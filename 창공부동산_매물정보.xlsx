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'토지'!$A$1:$P$1694</definedName>
    <definedName name="_xlnm._FilterDatabase" localSheetId="1" hidden="1">'공장창고'!$A$1:$T$278</definedName>
    <definedName name="_xlnm._FilterDatabase" localSheetId="2" hidden="1">'주택'!$A$1:$R$308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토지</t>
        </is>
      </c>
      <c r="E2" s="3" t="inlineStr">
        <is>
          <t>전</t>
        </is>
      </c>
      <c r="F2" s="3" t="inlineStr">
        <is>
          <t>매매</t>
        </is>
      </c>
      <c r="G2" s="4" t="n">
        <v>17500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토지</t>
        </is>
      </c>
      <c r="E3" s="3" t="inlineStr">
        <is>
          <t>답</t>
        </is>
      </c>
      <c r="F3" s="3" t="inlineStr">
        <is>
          <t>매매</t>
        </is>
      </c>
      <c r="G3" s="4" t="n">
        <v>48000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토지</t>
        </is>
      </c>
      <c r="E4" s="3" t="inlineStr">
        <is>
          <t>답</t>
        </is>
      </c>
      <c r="F4" s="3" t="inlineStr">
        <is>
          <t>매매</t>
        </is>
      </c>
      <c r="G4" s="4" t="n">
        <v>97200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토지</t>
        </is>
      </c>
      <c r="E5" s="3" t="inlineStr">
        <is>
          <t>전</t>
        </is>
      </c>
      <c r="F5" s="3" t="inlineStr">
        <is>
          <t>매매</t>
        </is>
      </c>
      <c r="G5" s="4" t="n">
        <v>17000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토지</t>
        </is>
      </c>
      <c r="E6" s="3" t="inlineStr">
        <is>
          <t>전</t>
        </is>
      </c>
      <c r="F6" s="3" t="inlineStr">
        <is>
          <t>매매</t>
        </is>
      </c>
      <c r="G6" s="4" t="n">
        <v>25500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토지</t>
        </is>
      </c>
      <c r="E7" s="3" t="inlineStr">
        <is>
          <t>전</t>
        </is>
      </c>
      <c r="F7" s="3" t="inlineStr">
        <is>
          <t>매매</t>
        </is>
      </c>
      <c r="G7" s="4" t="n">
        <v>41000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토지</t>
        </is>
      </c>
      <c r="E8" s="3" t="inlineStr">
        <is>
          <t>전</t>
        </is>
      </c>
      <c r="F8" s="3" t="inlineStr">
        <is>
          <t>매매</t>
        </is>
      </c>
      <c r="G8" s="4" t="n">
        <v>25400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토지</t>
        </is>
      </c>
      <c r="E9" s="3" t="inlineStr">
        <is>
          <t>대</t>
        </is>
      </c>
      <c r="F9" s="3" t="inlineStr">
        <is>
          <t>매매</t>
        </is>
      </c>
      <c r="G9" s="4" t="n">
        <v>8500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토지</t>
        </is>
      </c>
      <c r="E10" s="3" t="inlineStr">
        <is>
          <t>목장용지</t>
        </is>
      </c>
      <c r="F10" s="3" t="inlineStr">
        <is>
          <t>매매</t>
        </is>
      </c>
      <c r="G10" s="4" t="n">
        <v>30000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토지</t>
        </is>
      </c>
      <c r="E11" s="3" t="inlineStr">
        <is>
          <t>잡종지</t>
        </is>
      </c>
      <c r="F11" s="3" t="inlineStr">
        <is>
          <t>매매</t>
        </is>
      </c>
      <c r="G11" s="4" t="n">
        <v>60500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토지</t>
        </is>
      </c>
      <c r="E12" s="3" t="inlineStr">
        <is>
          <t>전</t>
        </is>
      </c>
      <c r="F12" s="3" t="inlineStr">
        <is>
          <t>매매</t>
        </is>
      </c>
      <c r="G12" s="4" t="n">
        <v>11450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토지</t>
        </is>
      </c>
      <c r="E13" s="3" t="inlineStr">
        <is>
          <t>전</t>
        </is>
      </c>
      <c r="F13" s="3" t="inlineStr">
        <is>
          <t>매매</t>
        </is>
      </c>
      <c r="G13" s="4" t="n">
        <v>85900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토지</t>
        </is>
      </c>
      <c r="E14" s="3" t="inlineStr">
        <is>
          <t>대</t>
        </is>
      </c>
      <c r="F14" s="3" t="inlineStr">
        <is>
          <t>매매</t>
        </is>
      </c>
      <c r="G14" s="4" t="n">
        <v>20000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토지</t>
        </is>
      </c>
      <c r="E15" s="3" t="inlineStr">
        <is>
          <t>대</t>
        </is>
      </c>
      <c r="F15" s="3" t="inlineStr">
        <is>
          <t>매매</t>
        </is>
      </c>
      <c r="G15" s="4" t="n">
        <v>20000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토지</t>
        </is>
      </c>
      <c r="E16" s="3" t="inlineStr">
        <is>
          <t>전</t>
        </is>
      </c>
      <c r="F16" s="3" t="inlineStr">
        <is>
          <t>매매</t>
        </is>
      </c>
      <c r="G16" s="4" t="n">
        <v>750000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토지</t>
        </is>
      </c>
      <c r="E17" s="3" t="inlineStr">
        <is>
          <t>전</t>
        </is>
      </c>
      <c r="F17" s="3" t="inlineStr">
        <is>
          <t>매매</t>
        </is>
      </c>
      <c r="G17" s="4" t="n">
        <v>38000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토지</t>
        </is>
      </c>
      <c r="E18" s="3" t="inlineStr">
        <is>
          <t>전</t>
        </is>
      </c>
      <c r="F18" s="3" t="inlineStr">
        <is>
          <t>매매</t>
        </is>
      </c>
      <c r="G18" s="4" t="n">
        <v>50000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토지</t>
        </is>
      </c>
      <c r="E19" s="3" t="inlineStr">
        <is>
          <t>묘지</t>
        </is>
      </c>
      <c r="F19" s="3" t="inlineStr">
        <is>
          <t>매매</t>
        </is>
      </c>
      <c r="G19" s="4" t="n">
        <v>25000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토지</t>
        </is>
      </c>
      <c r="E20" s="3" t="inlineStr">
        <is>
          <t>임야</t>
        </is>
      </c>
      <c r="F20" s="3" t="inlineStr">
        <is>
          <t>매매</t>
        </is>
      </c>
      <c r="G20" s="4" t="n">
        <v>526000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토지</t>
        </is>
      </c>
      <c r="E21" s="3" t="inlineStr">
        <is>
          <t>임야</t>
        </is>
      </c>
      <c r="F21" s="3" t="inlineStr">
        <is>
          <t>매매</t>
        </is>
      </c>
      <c r="G21" s="4" t="n">
        <v>520000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토지</t>
        </is>
      </c>
      <c r="E22" s="3" t="inlineStr">
        <is>
          <t>임야</t>
        </is>
      </c>
      <c r="F22" s="3" t="inlineStr">
        <is>
          <t>매매</t>
        </is>
      </c>
      <c r="G22" s="4" t="n">
        <v>535000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토지</t>
        </is>
      </c>
      <c r="E23" s="3" t="inlineStr">
        <is>
          <t>공장용지</t>
        </is>
      </c>
      <c r="F23" s="3" t="inlineStr">
        <is>
          <t>매매</t>
        </is>
      </c>
      <c r="G23" s="4" t="n">
        <v>600000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토지</t>
        </is>
      </c>
      <c r="E24" s="3" t="inlineStr">
        <is>
          <t>답</t>
        </is>
      </c>
      <c r="F24" s="3" t="inlineStr">
        <is>
          <t>매매</t>
        </is>
      </c>
      <c r="G24" s="4" t="n">
        <v>180000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토지</t>
        </is>
      </c>
      <c r="E25" s="3" t="inlineStr">
        <is>
          <t>전</t>
        </is>
      </c>
      <c r="F25" s="3" t="inlineStr">
        <is>
          <t>매매</t>
        </is>
      </c>
      <c r="G25" s="4" t="n">
        <v>74000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토지</t>
        </is>
      </c>
      <c r="E26" s="3" t="inlineStr">
        <is>
          <t>답</t>
        </is>
      </c>
      <c r="F26" s="3" t="inlineStr">
        <is>
          <t>매매</t>
        </is>
      </c>
      <c r="G26" s="4" t="n">
        <v>100000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토지</t>
        </is>
      </c>
      <c r="E27" s="3" t="inlineStr">
        <is>
          <t>대</t>
        </is>
      </c>
      <c r="F27" s="3" t="inlineStr">
        <is>
          <t>매매</t>
        </is>
      </c>
      <c r="G27" s="4" t="n">
        <v>46200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토지</t>
        </is>
      </c>
      <c r="E28" s="3" t="inlineStr">
        <is>
          <t>대</t>
        </is>
      </c>
      <c r="F28" s="3" t="inlineStr">
        <is>
          <t>매매</t>
        </is>
      </c>
      <c r="G28" s="4" t="n">
        <v>15800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토지</t>
        </is>
      </c>
      <c r="E29" s="3" t="inlineStr">
        <is>
          <t>전</t>
        </is>
      </c>
      <c r="F29" s="3" t="inlineStr">
        <is>
          <t>매매</t>
        </is>
      </c>
      <c r="G29" s="4" t="n">
        <v>50000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토지</t>
        </is>
      </c>
      <c r="E30" s="3" t="inlineStr">
        <is>
          <t>임야</t>
        </is>
      </c>
      <c r="F30" s="3" t="inlineStr">
        <is>
          <t>매매</t>
        </is>
      </c>
      <c r="G30" s="4" t="n">
        <v>42500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토지</t>
        </is>
      </c>
      <c r="E31" s="3" t="inlineStr">
        <is>
          <t>전</t>
        </is>
      </c>
      <c r="F31" s="3" t="inlineStr">
        <is>
          <t>매매</t>
        </is>
      </c>
      <c r="G31" s="4" t="n">
        <v>20000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토지</t>
        </is>
      </c>
      <c r="E32" s="3" t="inlineStr">
        <is>
          <t>전</t>
        </is>
      </c>
      <c r="F32" s="3" t="inlineStr">
        <is>
          <t>매매</t>
        </is>
      </c>
      <c r="G32" s="4" t="n">
        <v>20000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HYPERLINK("https://fin.land.naver.com/articles/2645008039",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세종소담황금</t>
        </is>
      </c>
      <c r="P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토지</t>
        </is>
      </c>
      <c r="E33" s="3" t="inlineStr">
        <is>
          <t>과수원</t>
        </is>
      </c>
      <c r="F33" s="3" t="inlineStr">
        <is>
          <t>매매</t>
        </is>
      </c>
      <c r="G33" s="4" t="n">
        <v>24000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토지</t>
        </is>
      </c>
      <c r="E34" s="3" t="inlineStr">
        <is>
          <t>전</t>
        </is>
      </c>
      <c r="F34" s="3" t="inlineStr">
        <is>
          <t>매매</t>
        </is>
      </c>
      <c r="G34" s="4" t="n">
        <v>61442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토지</t>
        </is>
      </c>
      <c r="E35" s="3" t="inlineStr">
        <is>
          <t>전</t>
        </is>
      </c>
      <c r="F35" s="3" t="inlineStr">
        <is>
          <t>매매</t>
        </is>
      </c>
      <c r="G35" s="4" t="n">
        <v>14520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토지</t>
        </is>
      </c>
      <c r="E36" s="3" t="inlineStr">
        <is>
          <t>답</t>
        </is>
      </c>
      <c r="F36" s="3" t="inlineStr">
        <is>
          <t>매매</t>
        </is>
      </c>
      <c r="G36" s="4" t="n">
        <v>9000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토지</t>
        </is>
      </c>
      <c r="E37" s="3" t="inlineStr">
        <is>
          <t>답</t>
        </is>
      </c>
      <c r="F37" s="3" t="inlineStr">
        <is>
          <t>매매</t>
        </is>
      </c>
      <c r="G37" s="4" t="n">
        <v>54000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토지</t>
        </is>
      </c>
      <c r="E38" s="3" t="inlineStr">
        <is>
          <t>임야</t>
        </is>
      </c>
      <c r="F38" s="3" t="inlineStr">
        <is>
          <t>매매</t>
        </is>
      </c>
      <c r="G38" s="4" t="n">
        <v>260000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토지</t>
        </is>
      </c>
      <c r="E39" s="3" t="inlineStr">
        <is>
          <t>답</t>
        </is>
      </c>
      <c r="F39" s="3" t="inlineStr">
        <is>
          <t>매매</t>
        </is>
      </c>
      <c r="G39" s="4" t="n">
        <v>39500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토지</t>
        </is>
      </c>
      <c r="E40" s="3" t="inlineStr">
        <is>
          <t>답</t>
        </is>
      </c>
      <c r="F40" s="3" t="inlineStr">
        <is>
          <t>매매</t>
        </is>
      </c>
      <c r="G40" s="4" t="n">
        <v>58000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토지</t>
        </is>
      </c>
      <c r="E41" s="3" t="inlineStr">
        <is>
          <t>전</t>
        </is>
      </c>
      <c r="F41" s="3" t="inlineStr">
        <is>
          <t>매매</t>
        </is>
      </c>
      <c r="G41" s="4" t="n">
        <v>86000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토지</t>
        </is>
      </c>
      <c r="E42" s="3" t="inlineStr">
        <is>
          <t>전</t>
        </is>
      </c>
      <c r="F42" s="3" t="inlineStr">
        <is>
          <t>매매</t>
        </is>
      </c>
      <c r="G42" s="4" t="n">
        <v>90000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토지</t>
        </is>
      </c>
      <c r="E43" s="3" t="inlineStr">
        <is>
          <t>대</t>
        </is>
      </c>
      <c r="F43" s="3" t="inlineStr">
        <is>
          <t>매매</t>
        </is>
      </c>
      <c r="G43" s="4" t="n">
        <v>43000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토지</t>
        </is>
      </c>
      <c r="E44" s="3" t="inlineStr">
        <is>
          <t>임야</t>
        </is>
      </c>
      <c r="F44" s="3" t="inlineStr">
        <is>
          <t>매매</t>
        </is>
      </c>
      <c r="G44" s="4" t="n">
        <v>19000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토지</t>
        </is>
      </c>
      <c r="E45" s="3" t="inlineStr">
        <is>
          <t>전</t>
        </is>
      </c>
      <c r="F45" s="3" t="inlineStr">
        <is>
          <t>매매</t>
        </is>
      </c>
      <c r="G45" s="4" t="n">
        <v>17000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토지</t>
        </is>
      </c>
      <c r="E46" s="3" t="inlineStr">
        <is>
          <t>임야</t>
        </is>
      </c>
      <c r="F46" s="3" t="inlineStr">
        <is>
          <t>매매</t>
        </is>
      </c>
      <c r="G46" s="4" t="n">
        <v>92000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토지</t>
        </is>
      </c>
      <c r="E47" s="3" t="inlineStr">
        <is>
          <t>전</t>
        </is>
      </c>
      <c r="F47" s="3" t="inlineStr">
        <is>
          <t>매매</t>
        </is>
      </c>
      <c r="G47" s="4" t="n">
        <v>35000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토지</t>
        </is>
      </c>
      <c r="E48" s="3" t="inlineStr">
        <is>
          <t>임야</t>
        </is>
      </c>
      <c r="F48" s="3" t="inlineStr">
        <is>
          <t>매매</t>
        </is>
      </c>
      <c r="G48" s="4" t="n">
        <v>247400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토지</t>
        </is>
      </c>
      <c r="E49" s="3" t="inlineStr">
        <is>
          <t>임야</t>
        </is>
      </c>
      <c r="F49" s="3" t="inlineStr">
        <is>
          <t>매매</t>
        </is>
      </c>
      <c r="G49" s="4" t="n">
        <v>240000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토지</t>
        </is>
      </c>
      <c r="E50" s="3" t="inlineStr">
        <is>
          <t>답</t>
        </is>
      </c>
      <c r="F50" s="3" t="inlineStr">
        <is>
          <t>매매</t>
        </is>
      </c>
      <c r="G50" s="4" t="n">
        <v>30000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토지</t>
        </is>
      </c>
      <c r="E51" s="3" t="inlineStr">
        <is>
          <t>임야</t>
        </is>
      </c>
      <c r="F51" s="3" t="inlineStr">
        <is>
          <t>매매</t>
        </is>
      </c>
      <c r="G51" s="4" t="n">
        <v>92000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토지</t>
        </is>
      </c>
      <c r="E52" s="3" t="inlineStr">
        <is>
          <t>대</t>
        </is>
      </c>
      <c r="F52" s="3" t="inlineStr">
        <is>
          <t>매매</t>
        </is>
      </c>
      <c r="G52" s="4" t="n">
        <v>13500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토지</t>
        </is>
      </c>
      <c r="E53" s="3" t="inlineStr">
        <is>
          <t>전</t>
        </is>
      </c>
      <c r="F53" s="3" t="inlineStr">
        <is>
          <t>매매</t>
        </is>
      </c>
      <c r="G53" s="4" t="n">
        <v>140000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토지</t>
        </is>
      </c>
      <c r="E54" s="3" t="inlineStr">
        <is>
          <t>전</t>
        </is>
      </c>
      <c r="F54" s="3" t="inlineStr">
        <is>
          <t>매매</t>
        </is>
      </c>
      <c r="G54" s="4" t="n">
        <v>190000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토지</t>
        </is>
      </c>
      <c r="E55" s="3" t="inlineStr">
        <is>
          <t>답</t>
        </is>
      </c>
      <c r="F55" s="3" t="inlineStr">
        <is>
          <t>매매</t>
        </is>
      </c>
      <c r="G55" s="4" t="n">
        <v>66000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토지</t>
        </is>
      </c>
      <c r="E56" s="3" t="inlineStr">
        <is>
          <t>답</t>
        </is>
      </c>
      <c r="F56" s="3" t="inlineStr">
        <is>
          <t>매매</t>
        </is>
      </c>
      <c r="G56" s="4" t="n">
        <v>118200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토지</t>
        </is>
      </c>
      <c r="E57" s="3" t="inlineStr">
        <is>
          <t>임야</t>
        </is>
      </c>
      <c r="F57" s="3" t="inlineStr">
        <is>
          <t>매매</t>
        </is>
      </c>
      <c r="G57" s="4" t="n">
        <v>73000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토지</t>
        </is>
      </c>
      <c r="E58" s="3" t="inlineStr">
        <is>
          <t>임야</t>
        </is>
      </c>
      <c r="F58" s="3" t="inlineStr">
        <is>
          <t>매매</t>
        </is>
      </c>
      <c r="G58" s="4" t="n">
        <v>135000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HYPERLINK("https://fin.land.naver.com/articles/2643706222",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한진인사무소</t>
        </is>
      </c>
      <c r="P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토지</t>
        </is>
      </c>
      <c r="E59" s="3" t="inlineStr">
        <is>
          <t>임야</t>
        </is>
      </c>
      <c r="F59" s="3" t="inlineStr">
        <is>
          <t>매매</t>
        </is>
      </c>
      <c r="G59" s="4" t="n">
        <v>150000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오너스</t>
        </is>
      </c>
      <c r="P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토지</t>
        </is>
      </c>
      <c r="E60" s="3" t="inlineStr">
        <is>
          <t>답</t>
        </is>
      </c>
      <c r="F60" s="3" t="inlineStr">
        <is>
          <t>매매</t>
        </is>
      </c>
      <c r="G60" s="4" t="n">
        <v>99000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토지</t>
        </is>
      </c>
      <c r="E61" s="3" t="inlineStr">
        <is>
          <t>답</t>
        </is>
      </c>
      <c r="F61" s="3" t="inlineStr">
        <is>
          <t>매매</t>
        </is>
      </c>
      <c r="G61" s="4" t="n">
        <v>93700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토지</t>
        </is>
      </c>
      <c r="E62" s="3" t="inlineStr">
        <is>
          <t>목장용지</t>
        </is>
      </c>
      <c r="F62" s="3" t="inlineStr">
        <is>
          <t>매매</t>
        </is>
      </c>
      <c r="G62" s="4" t="n">
        <v>22000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토지</t>
        </is>
      </c>
      <c r="E63" s="3" t="inlineStr">
        <is>
          <t>전</t>
        </is>
      </c>
      <c r="F63" s="3" t="inlineStr">
        <is>
          <t>매매</t>
        </is>
      </c>
      <c r="G63" s="4" t="n">
        <v>50000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토지</t>
        </is>
      </c>
      <c r="E64" s="3" t="inlineStr">
        <is>
          <t>전</t>
        </is>
      </c>
      <c r="F64" s="3" t="inlineStr">
        <is>
          <t>매매</t>
        </is>
      </c>
      <c r="G64" s="4" t="n">
        <v>27000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토지</t>
        </is>
      </c>
      <c r="E65" s="3" t="inlineStr">
        <is>
          <t>전</t>
        </is>
      </c>
      <c r="F65" s="3" t="inlineStr">
        <is>
          <t>매매</t>
        </is>
      </c>
      <c r="G65" s="4" t="n">
        <v>25500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토지</t>
        </is>
      </c>
      <c r="E66" s="3" t="inlineStr">
        <is>
          <t>전</t>
        </is>
      </c>
      <c r="F66" s="3" t="inlineStr">
        <is>
          <t>매매</t>
        </is>
      </c>
      <c r="G66" s="4" t="n">
        <v>56000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토지</t>
        </is>
      </c>
      <c r="E67" s="3" t="inlineStr">
        <is>
          <t>답</t>
        </is>
      </c>
      <c r="F67" s="3" t="inlineStr">
        <is>
          <t>매매</t>
        </is>
      </c>
      <c r="G67" s="4" t="n">
        <v>74500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토지</t>
        </is>
      </c>
      <c r="E68" s="3" t="inlineStr">
        <is>
          <t>답</t>
        </is>
      </c>
      <c r="F68" s="3" t="inlineStr">
        <is>
          <t>매매</t>
        </is>
      </c>
      <c r="G68" s="4" t="n">
        <v>45300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토지</t>
        </is>
      </c>
      <c r="E69" s="3" t="inlineStr">
        <is>
          <t>답</t>
        </is>
      </c>
      <c r="F69" s="3" t="inlineStr">
        <is>
          <t>매매</t>
        </is>
      </c>
      <c r="G69" s="4" t="n">
        <v>54900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토지</t>
        </is>
      </c>
      <c r="E70" s="3" t="inlineStr">
        <is>
          <t>답</t>
        </is>
      </c>
      <c r="F70" s="3" t="inlineStr">
        <is>
          <t>매매</t>
        </is>
      </c>
      <c r="G70" s="4" t="n">
        <v>39820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토지</t>
        </is>
      </c>
      <c r="E71" s="3" t="inlineStr">
        <is>
          <t>답</t>
        </is>
      </c>
      <c r="F71" s="3" t="inlineStr">
        <is>
          <t>매매</t>
        </is>
      </c>
      <c r="G71" s="4" t="n">
        <v>21000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토지</t>
        </is>
      </c>
      <c r="E72" s="3" t="inlineStr">
        <is>
          <t>전</t>
        </is>
      </c>
      <c r="F72" s="3" t="inlineStr">
        <is>
          <t>매매</t>
        </is>
      </c>
      <c r="G72" s="4" t="n">
        <v>120000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토지</t>
        </is>
      </c>
      <c r="E73" s="3" t="inlineStr">
        <is>
          <t>임야</t>
        </is>
      </c>
      <c r="F73" s="3" t="inlineStr">
        <is>
          <t>매매</t>
        </is>
      </c>
      <c r="G73" s="4" t="n">
        <v>800000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토지</t>
        </is>
      </c>
      <c r="E74" s="3" t="inlineStr">
        <is>
          <t>임야</t>
        </is>
      </c>
      <c r="F74" s="3" t="inlineStr">
        <is>
          <t>매매</t>
        </is>
      </c>
      <c r="G74" s="4" t="n">
        <v>50000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토지</t>
        </is>
      </c>
      <c r="E75" s="3" t="inlineStr">
        <is>
          <t>임야</t>
        </is>
      </c>
      <c r="F75" s="3" t="inlineStr">
        <is>
          <t>매매</t>
        </is>
      </c>
      <c r="G75" s="4" t="n">
        <v>272550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토지</t>
        </is>
      </c>
      <c r="E76" s="3" t="inlineStr">
        <is>
          <t>대</t>
        </is>
      </c>
      <c r="F76" s="3" t="inlineStr">
        <is>
          <t>매매</t>
        </is>
      </c>
      <c r="G76" s="4" t="n">
        <v>25000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토지</t>
        </is>
      </c>
      <c r="E77" s="3" t="inlineStr">
        <is>
          <t>임야</t>
        </is>
      </c>
      <c r="F77" s="3" t="inlineStr">
        <is>
          <t>매매</t>
        </is>
      </c>
      <c r="G77" s="4" t="n">
        <v>990000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토지</t>
        </is>
      </c>
      <c r="E78" s="3" t="inlineStr">
        <is>
          <t>대</t>
        </is>
      </c>
      <c r="F78" s="3" t="inlineStr">
        <is>
          <t>매매</t>
        </is>
      </c>
      <c r="G78" s="4" t="n">
        <v>209600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토지</t>
        </is>
      </c>
      <c r="E79" s="3" t="inlineStr">
        <is>
          <t>전</t>
        </is>
      </c>
      <c r="F79" s="3" t="inlineStr">
        <is>
          <t>매매</t>
        </is>
      </c>
      <c r="G79" s="4" t="n">
        <v>306000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토지</t>
        </is>
      </c>
      <c r="E80" s="3" t="inlineStr">
        <is>
          <t>답</t>
        </is>
      </c>
      <c r="F80" s="3" t="inlineStr">
        <is>
          <t>매매</t>
        </is>
      </c>
      <c r="G80" s="4" t="n">
        <v>38700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토지</t>
        </is>
      </c>
      <c r="E81" s="3" t="inlineStr">
        <is>
          <t>답</t>
        </is>
      </c>
      <c r="F81" s="3" t="inlineStr">
        <is>
          <t>매매</t>
        </is>
      </c>
      <c r="G81" s="4" t="n">
        <v>85000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토지</t>
        </is>
      </c>
      <c r="E82" s="3" t="inlineStr">
        <is>
          <t>답</t>
        </is>
      </c>
      <c r="F82" s="3" t="inlineStr">
        <is>
          <t>매매</t>
        </is>
      </c>
      <c r="G82" s="4" t="n">
        <v>12000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토지</t>
        </is>
      </c>
      <c r="E83" s="3" t="inlineStr">
        <is>
          <t>잡종지</t>
        </is>
      </c>
      <c r="F83" s="3" t="inlineStr">
        <is>
          <t>매매</t>
        </is>
      </c>
      <c r="G83" s="4" t="n">
        <v>172800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토지</t>
        </is>
      </c>
      <c r="E84" s="3" t="inlineStr">
        <is>
          <t>목장용지</t>
        </is>
      </c>
      <c r="F84" s="3" t="inlineStr">
        <is>
          <t>매매</t>
        </is>
      </c>
      <c r="G84" s="4" t="n">
        <v>172800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토지</t>
        </is>
      </c>
      <c r="E85" s="3" t="inlineStr">
        <is>
          <t>대</t>
        </is>
      </c>
      <c r="F85" s="3" t="inlineStr">
        <is>
          <t>매매</t>
        </is>
      </c>
      <c r="G85" s="4" t="n">
        <v>32880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토지</t>
        </is>
      </c>
      <c r="E86" s="3" t="inlineStr">
        <is>
          <t>공장용지</t>
        </is>
      </c>
      <c r="F86" s="3" t="inlineStr">
        <is>
          <t>매매</t>
        </is>
      </c>
      <c r="G86" s="4" t="n">
        <v>288000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토지</t>
        </is>
      </c>
      <c r="E87" s="3" t="inlineStr">
        <is>
          <t>대</t>
        </is>
      </c>
      <c r="F87" s="3" t="inlineStr">
        <is>
          <t>매매</t>
        </is>
      </c>
      <c r="G87" s="4" t="n">
        <v>19000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토지</t>
        </is>
      </c>
      <c r="E88" s="3" t="inlineStr">
        <is>
          <t>답</t>
        </is>
      </c>
      <c r="F88" s="3" t="inlineStr">
        <is>
          <t>매매</t>
        </is>
      </c>
      <c r="G88" s="4" t="n">
        <v>73200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토지</t>
        </is>
      </c>
      <c r="E89" s="3" t="inlineStr">
        <is>
          <t>대</t>
        </is>
      </c>
      <c r="F89" s="3" t="inlineStr">
        <is>
          <t>매매</t>
        </is>
      </c>
      <c r="G89" s="4" t="n">
        <v>38000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토지</t>
        </is>
      </c>
      <c r="E90" s="3" t="inlineStr">
        <is>
          <t>대</t>
        </is>
      </c>
      <c r="F90" s="3" t="inlineStr">
        <is>
          <t>매매</t>
        </is>
      </c>
      <c r="G90" s="4" t="n">
        <v>445000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토지</t>
        </is>
      </c>
      <c r="E91" s="3" t="inlineStr">
        <is>
          <t>대</t>
        </is>
      </c>
      <c r="F91" s="3" t="inlineStr">
        <is>
          <t>매매</t>
        </is>
      </c>
      <c r="G91" s="4" t="n">
        <v>190000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토지</t>
        </is>
      </c>
      <c r="E92" s="3" t="inlineStr">
        <is>
          <t>답</t>
        </is>
      </c>
      <c r="F92" s="3" t="inlineStr">
        <is>
          <t>매매</t>
        </is>
      </c>
      <c r="G92" s="4" t="n">
        <v>88000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토지</t>
        </is>
      </c>
      <c r="E93" s="3" t="inlineStr">
        <is>
          <t>대</t>
        </is>
      </c>
      <c r="F93" s="3" t="inlineStr">
        <is>
          <t>매매</t>
        </is>
      </c>
      <c r="G93" s="4" t="n">
        <v>30000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토지</t>
        </is>
      </c>
      <c r="E94" s="3" t="inlineStr">
        <is>
          <t>전</t>
        </is>
      </c>
      <c r="F94" s="3" t="inlineStr">
        <is>
          <t>매매</t>
        </is>
      </c>
      <c r="G94" s="4" t="n">
        <v>62000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토지</t>
        </is>
      </c>
      <c r="E95" s="3" t="inlineStr">
        <is>
          <t>답</t>
        </is>
      </c>
      <c r="F95" s="3" t="inlineStr">
        <is>
          <t>매매</t>
        </is>
      </c>
      <c r="G95" s="4" t="n">
        <v>40000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토지</t>
        </is>
      </c>
      <c r="E96" s="3" t="inlineStr">
        <is>
          <t>전</t>
        </is>
      </c>
      <c r="F96" s="3" t="inlineStr">
        <is>
          <t>매매</t>
        </is>
      </c>
      <c r="G96" s="4" t="n">
        <v>195400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토지</t>
        </is>
      </c>
      <c r="E97" s="3" t="inlineStr">
        <is>
          <t>답</t>
        </is>
      </c>
      <c r="F97" s="3" t="inlineStr">
        <is>
          <t>매매</t>
        </is>
      </c>
      <c r="G97" s="4" t="n">
        <v>80000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토지</t>
        </is>
      </c>
      <c r="E98" s="3" t="inlineStr">
        <is>
          <t>대</t>
        </is>
      </c>
      <c r="F98" s="3" t="inlineStr">
        <is>
          <t>매매</t>
        </is>
      </c>
      <c r="G98" s="4" t="n">
        <v>120000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토지</t>
        </is>
      </c>
      <c r="E99" s="3" t="inlineStr">
        <is>
          <t>답</t>
        </is>
      </c>
      <c r="F99" s="3" t="inlineStr">
        <is>
          <t>매매</t>
        </is>
      </c>
      <c r="G99" s="4" t="n">
        <v>49500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토지</t>
        </is>
      </c>
      <c r="E100" s="3" t="inlineStr">
        <is>
          <t>답</t>
        </is>
      </c>
      <c r="F100" s="3" t="inlineStr">
        <is>
          <t>매매</t>
        </is>
      </c>
      <c r="G100" s="4" t="n">
        <v>49500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HYPERLINK("https://fin.land.naver.com/articles/2643682448",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조은</t>
        </is>
      </c>
      <c r="P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토지</t>
        </is>
      </c>
      <c r="E101" s="3" t="inlineStr">
        <is>
          <t>답</t>
        </is>
      </c>
      <c r="F101" s="3" t="inlineStr">
        <is>
          <t>매매</t>
        </is>
      </c>
      <c r="G101" s="4" t="n">
        <v>49500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HYPERLINK("https://fin.land.naver.com/articles/2645932689",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-</t>
        </is>
      </c>
      <c r="P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토지</t>
        </is>
      </c>
      <c r="E102" s="3" t="inlineStr">
        <is>
          <t>임야</t>
        </is>
      </c>
      <c r="F102" s="3" t="inlineStr">
        <is>
          <t>매매</t>
        </is>
      </c>
      <c r="G102" s="4" t="n">
        <v>98000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토지</t>
        </is>
      </c>
      <c r="E103" s="3" t="inlineStr">
        <is>
          <t>임야</t>
        </is>
      </c>
      <c r="F103" s="3" t="inlineStr">
        <is>
          <t>매매</t>
        </is>
      </c>
      <c r="G103" s="4" t="n">
        <v>34700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토지</t>
        </is>
      </c>
      <c r="E104" s="3" t="inlineStr">
        <is>
          <t>답</t>
        </is>
      </c>
      <c r="F104" s="3" t="inlineStr">
        <is>
          <t>매매</t>
        </is>
      </c>
      <c r="G104" s="4" t="n">
        <v>175000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토지</t>
        </is>
      </c>
      <c r="E105" s="3" t="inlineStr">
        <is>
          <t>전</t>
        </is>
      </c>
      <c r="F105" s="3" t="inlineStr">
        <is>
          <t>매매</t>
        </is>
      </c>
      <c r="G105" s="4" t="n">
        <v>45000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토지</t>
        </is>
      </c>
      <c r="E106" s="3" t="inlineStr">
        <is>
          <t>전</t>
        </is>
      </c>
      <c r="F106" s="3" t="inlineStr">
        <is>
          <t>매매</t>
        </is>
      </c>
      <c r="G106" s="4" t="n">
        <v>16300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토지</t>
        </is>
      </c>
      <c r="E107" s="3" t="inlineStr">
        <is>
          <t>임야</t>
        </is>
      </c>
      <c r="F107" s="3" t="inlineStr">
        <is>
          <t>매매</t>
        </is>
      </c>
      <c r="G107" s="4" t="n">
        <v>59000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제이</t>
        </is>
      </c>
      <c r="P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토지</t>
        </is>
      </c>
      <c r="E108" s="3" t="inlineStr">
        <is>
          <t>임야</t>
        </is>
      </c>
      <c r="F108" s="3" t="inlineStr">
        <is>
          <t>매매</t>
        </is>
      </c>
      <c r="G108" s="4" t="n">
        <v>59000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HYPERLINK("https://fin.land.naver.com/articles/2647006142",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그린</t>
        </is>
      </c>
      <c r="P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토지</t>
        </is>
      </c>
      <c r="E109" s="3" t="inlineStr">
        <is>
          <t>공장용지</t>
        </is>
      </c>
      <c r="F109" s="3" t="inlineStr">
        <is>
          <t>월세</t>
        </is>
      </c>
      <c r="G109" s="4" t="n">
        <v>2000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토지</t>
        </is>
      </c>
      <c r="E110" s="3" t="inlineStr">
        <is>
          <t>공장용지</t>
        </is>
      </c>
      <c r="F110" s="3" t="inlineStr">
        <is>
          <t>월세</t>
        </is>
      </c>
      <c r="G110" s="4" t="n">
        <v>2000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토지</t>
        </is>
      </c>
      <c r="E111" s="3" t="inlineStr">
        <is>
          <t>전</t>
        </is>
      </c>
      <c r="F111" s="3" t="inlineStr">
        <is>
          <t>매매</t>
        </is>
      </c>
      <c r="G111" s="4" t="n">
        <v>123000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토지</t>
        </is>
      </c>
      <c r="E112" s="3" t="inlineStr">
        <is>
          <t>전</t>
        </is>
      </c>
      <c r="F112" s="3" t="inlineStr">
        <is>
          <t>매매</t>
        </is>
      </c>
      <c r="G112" s="4" t="n">
        <v>20000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토지</t>
        </is>
      </c>
      <c r="E113" s="3" t="inlineStr">
        <is>
          <t>답</t>
        </is>
      </c>
      <c r="F113" s="3" t="inlineStr">
        <is>
          <t>매매</t>
        </is>
      </c>
      <c r="G113" s="4" t="n">
        <v>19700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토지</t>
        </is>
      </c>
      <c r="E114" s="3" t="inlineStr">
        <is>
          <t>답</t>
        </is>
      </c>
      <c r="F114" s="3" t="inlineStr">
        <is>
          <t>매매</t>
        </is>
      </c>
      <c r="G114" s="4" t="n">
        <v>20000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토지</t>
        </is>
      </c>
      <c r="E115" s="3" t="inlineStr">
        <is>
          <t>전</t>
        </is>
      </c>
      <c r="F115" s="3" t="inlineStr">
        <is>
          <t>매매</t>
        </is>
      </c>
      <c r="G115" s="4" t="n">
        <v>6500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토지</t>
        </is>
      </c>
      <c r="E116" s="3" t="inlineStr">
        <is>
          <t>임야</t>
        </is>
      </c>
      <c r="F116" s="3" t="inlineStr">
        <is>
          <t>매매</t>
        </is>
      </c>
      <c r="G116" s="4" t="n">
        <v>23000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토지</t>
        </is>
      </c>
      <c r="E117" s="3" t="inlineStr">
        <is>
          <t>임야</t>
        </is>
      </c>
      <c r="F117" s="3" t="inlineStr">
        <is>
          <t>매매</t>
        </is>
      </c>
      <c r="G117" s="4" t="n">
        <v>1100000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토지</t>
        </is>
      </c>
      <c r="E118" s="3" t="inlineStr">
        <is>
          <t>전</t>
        </is>
      </c>
      <c r="F118" s="3" t="inlineStr">
        <is>
          <t>매매</t>
        </is>
      </c>
      <c r="G118" s="4" t="n">
        <v>30360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토지</t>
        </is>
      </c>
      <c r="E119" s="3" t="inlineStr">
        <is>
          <t>전</t>
        </is>
      </c>
      <c r="F119" s="3" t="inlineStr">
        <is>
          <t>매매</t>
        </is>
      </c>
      <c r="G119" s="4" t="n">
        <v>35000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토지</t>
        </is>
      </c>
      <c r="E120" s="3" t="inlineStr">
        <is>
          <t>전</t>
        </is>
      </c>
      <c r="F120" s="3" t="inlineStr">
        <is>
          <t>매매</t>
        </is>
      </c>
      <c r="G120" s="4" t="n">
        <v>35000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토지</t>
        </is>
      </c>
      <c r="E121" s="3" t="inlineStr">
        <is>
          <t>대</t>
        </is>
      </c>
      <c r="F121" s="3" t="inlineStr">
        <is>
          <t>매매</t>
        </is>
      </c>
      <c r="G121" s="4" t="n">
        <v>22600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HYPERLINK("https://fin.land.naver.com/articles/2642729441",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세종소담황금</t>
        </is>
      </c>
      <c r="P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토지</t>
        </is>
      </c>
      <c r="E122" s="3" t="inlineStr">
        <is>
          <t>대</t>
        </is>
      </c>
      <c r="F122" s="3" t="inlineStr">
        <is>
          <t>매매</t>
        </is>
      </c>
      <c r="G122" s="4" t="n">
        <v>22000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청담</t>
        </is>
      </c>
      <c r="P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토지</t>
        </is>
      </c>
      <c r="E123" s="3" t="inlineStr">
        <is>
          <t>대</t>
        </is>
      </c>
      <c r="F123" s="3" t="inlineStr">
        <is>
          <t>매매</t>
        </is>
      </c>
      <c r="G123" s="4" t="n">
        <v>22000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고운맘</t>
        </is>
      </c>
      <c r="P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토지</t>
        </is>
      </c>
      <c r="E124" s="3" t="inlineStr">
        <is>
          <t>전</t>
        </is>
      </c>
      <c r="F124" s="3" t="inlineStr">
        <is>
          <t>매매</t>
        </is>
      </c>
      <c r="G124" s="4" t="n">
        <v>14000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토지</t>
        </is>
      </c>
      <c r="E125" s="3" t="inlineStr">
        <is>
          <t>답</t>
        </is>
      </c>
      <c r="F125" s="3" t="inlineStr">
        <is>
          <t>매매</t>
        </is>
      </c>
      <c r="G125" s="4" t="n">
        <v>30500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토지</t>
        </is>
      </c>
      <c r="E126" s="3" t="inlineStr">
        <is>
          <t>답</t>
        </is>
      </c>
      <c r="F126" s="3" t="inlineStr">
        <is>
          <t>매매</t>
        </is>
      </c>
      <c r="G126" s="4" t="n">
        <v>84500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토지</t>
        </is>
      </c>
      <c r="E127" s="3" t="inlineStr">
        <is>
          <t>답</t>
        </is>
      </c>
      <c r="F127" s="3" t="inlineStr">
        <is>
          <t>매매</t>
        </is>
      </c>
      <c r="G127" s="4" t="n">
        <v>45000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토지</t>
        </is>
      </c>
      <c r="E128" s="3" t="inlineStr">
        <is>
          <t>전</t>
        </is>
      </c>
      <c r="F128" s="3" t="inlineStr">
        <is>
          <t>매매</t>
        </is>
      </c>
      <c r="G128" s="4" t="n">
        <v>40000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토지</t>
        </is>
      </c>
      <c r="E129" s="3" t="inlineStr">
        <is>
          <t>대</t>
        </is>
      </c>
      <c r="F129" s="3" t="inlineStr">
        <is>
          <t>매매</t>
        </is>
      </c>
      <c r="G129" s="4" t="n">
        <v>27000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토지</t>
        </is>
      </c>
      <c r="E130" s="3" t="inlineStr">
        <is>
          <t>전</t>
        </is>
      </c>
      <c r="F130" s="3" t="inlineStr">
        <is>
          <t>매매</t>
        </is>
      </c>
      <c r="G130" s="4" t="n">
        <v>20220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토지</t>
        </is>
      </c>
      <c r="E131" s="3" t="inlineStr">
        <is>
          <t>임야</t>
        </is>
      </c>
      <c r="F131" s="3" t="inlineStr">
        <is>
          <t>매매</t>
        </is>
      </c>
      <c r="G131" s="4" t="n">
        <v>14000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토지</t>
        </is>
      </c>
      <c r="E132" s="3" t="inlineStr">
        <is>
          <t>임야</t>
        </is>
      </c>
      <c r="F132" s="3" t="inlineStr">
        <is>
          <t>매매</t>
        </is>
      </c>
      <c r="G132" s="4" t="n">
        <v>16500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토지</t>
        </is>
      </c>
      <c r="E133" s="3" t="inlineStr">
        <is>
          <t>임야</t>
        </is>
      </c>
      <c r="F133" s="3" t="inlineStr">
        <is>
          <t>매매</t>
        </is>
      </c>
      <c r="G133" s="4" t="n">
        <v>32000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토지</t>
        </is>
      </c>
      <c r="E134" s="3" t="inlineStr">
        <is>
          <t>임야</t>
        </is>
      </c>
      <c r="F134" s="3" t="inlineStr">
        <is>
          <t>매매</t>
        </is>
      </c>
      <c r="G134" s="4" t="n">
        <v>33000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HYPERLINK("https://fin.land.naver.com/articles/2643615480",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탄탄</t>
        </is>
      </c>
      <c r="P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토지</t>
        </is>
      </c>
      <c r="E135" s="3" t="inlineStr">
        <is>
          <t>임야</t>
        </is>
      </c>
      <c r="F135" s="3" t="inlineStr">
        <is>
          <t>매매</t>
        </is>
      </c>
      <c r="G135" s="4" t="n">
        <v>27000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e교차로</t>
        </is>
      </c>
      <c r="P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토지</t>
        </is>
      </c>
      <c r="E136" s="3" t="inlineStr">
        <is>
          <t>임야</t>
        </is>
      </c>
      <c r="F136" s="3" t="inlineStr">
        <is>
          <t>매매</t>
        </is>
      </c>
      <c r="G136" s="4" t="n">
        <v>21000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</t>
        </is>
      </c>
      <c r="P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토지</t>
        </is>
      </c>
      <c r="E137" s="3" t="inlineStr">
        <is>
          <t>임야</t>
        </is>
      </c>
      <c r="F137" s="3" t="inlineStr">
        <is>
          <t>매매</t>
        </is>
      </c>
      <c r="G137" s="4" t="n">
        <v>21000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e교차로합동</t>
        </is>
      </c>
      <c r="P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토지</t>
        </is>
      </c>
      <c r="E138" s="3" t="inlineStr">
        <is>
          <t>임야</t>
        </is>
      </c>
      <c r="F138" s="3" t="inlineStr">
        <is>
          <t>매매</t>
        </is>
      </c>
      <c r="G138" s="4" t="n">
        <v>22000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HYPERLINK("https://fin.land.naver.com/articles/2642923664",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세종스타</t>
        </is>
      </c>
      <c r="P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토지</t>
        </is>
      </c>
      <c r="E139" s="3" t="inlineStr">
        <is>
          <t>임야</t>
        </is>
      </c>
      <c r="F139" s="3" t="inlineStr">
        <is>
          <t>매매</t>
        </is>
      </c>
      <c r="G139" s="4" t="n">
        <v>22000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나침반</t>
        </is>
      </c>
      <c r="P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토지</t>
        </is>
      </c>
      <c r="E140" s="3" t="inlineStr">
        <is>
          <t>임야</t>
        </is>
      </c>
      <c r="F140" s="3" t="inlineStr">
        <is>
          <t>매매</t>
        </is>
      </c>
      <c r="G140" s="4" t="n">
        <v>145000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토지</t>
        </is>
      </c>
      <c r="E141" s="3" t="inlineStr">
        <is>
          <t>임야</t>
        </is>
      </c>
      <c r="F141" s="3" t="inlineStr">
        <is>
          <t>매매</t>
        </is>
      </c>
      <c r="G141" s="4" t="n">
        <v>176000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토지</t>
        </is>
      </c>
      <c r="E142" s="3" t="inlineStr">
        <is>
          <t>전</t>
        </is>
      </c>
      <c r="F142" s="3" t="inlineStr">
        <is>
          <t>매매</t>
        </is>
      </c>
      <c r="G142" s="4" t="n">
        <v>51500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토지</t>
        </is>
      </c>
      <c r="E143" s="3" t="inlineStr">
        <is>
          <t>전</t>
        </is>
      </c>
      <c r="F143" s="3" t="inlineStr">
        <is>
          <t>매매</t>
        </is>
      </c>
      <c r="G143" s="4" t="n">
        <v>32000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토지</t>
        </is>
      </c>
      <c r="E144" s="3" t="inlineStr">
        <is>
          <t>대</t>
        </is>
      </c>
      <c r="F144" s="3" t="inlineStr">
        <is>
          <t>매매</t>
        </is>
      </c>
      <c r="G144" s="4" t="n">
        <v>1350000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토지</t>
        </is>
      </c>
      <c r="E145" s="3" t="inlineStr">
        <is>
          <t>대</t>
        </is>
      </c>
      <c r="F145" s="3" t="inlineStr">
        <is>
          <t>매매</t>
        </is>
      </c>
      <c r="G145" s="4" t="n">
        <v>41000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토지</t>
        </is>
      </c>
      <c r="E146" s="3" t="inlineStr">
        <is>
          <t>답</t>
        </is>
      </c>
      <c r="F146" s="3" t="inlineStr">
        <is>
          <t>매매</t>
        </is>
      </c>
      <c r="G146" s="4" t="n">
        <v>70000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토지</t>
        </is>
      </c>
      <c r="E147" s="3" t="inlineStr">
        <is>
          <t>답</t>
        </is>
      </c>
      <c r="F147" s="3" t="inlineStr">
        <is>
          <t>매매</t>
        </is>
      </c>
      <c r="G147" s="4" t="n">
        <v>97000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토지</t>
        </is>
      </c>
      <c r="E148" s="3" t="inlineStr">
        <is>
          <t>답</t>
        </is>
      </c>
      <c r="F148" s="3" t="inlineStr">
        <is>
          <t>매매</t>
        </is>
      </c>
      <c r="G148" s="4" t="n">
        <v>22000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토지</t>
        </is>
      </c>
      <c r="E149" s="3" t="inlineStr">
        <is>
          <t>전</t>
        </is>
      </c>
      <c r="F149" s="3" t="inlineStr">
        <is>
          <t>매매</t>
        </is>
      </c>
      <c r="G149" s="4" t="n">
        <v>245000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토지</t>
        </is>
      </c>
      <c r="E150" s="3" t="inlineStr">
        <is>
          <t>답</t>
        </is>
      </c>
      <c r="F150" s="3" t="inlineStr">
        <is>
          <t>매매</t>
        </is>
      </c>
      <c r="G150" s="4" t="n">
        <v>147000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토지</t>
        </is>
      </c>
      <c r="E151" s="3" t="inlineStr">
        <is>
          <t>답</t>
        </is>
      </c>
      <c r="F151" s="3" t="inlineStr">
        <is>
          <t>매매</t>
        </is>
      </c>
      <c r="G151" s="4" t="n">
        <v>208500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토지</t>
        </is>
      </c>
      <c r="E152" s="3" t="inlineStr">
        <is>
          <t>임야</t>
        </is>
      </c>
      <c r="F152" s="3" t="inlineStr">
        <is>
          <t>매매</t>
        </is>
      </c>
      <c r="G152" s="4" t="n">
        <v>330000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토지</t>
        </is>
      </c>
      <c r="E153" s="3" t="inlineStr">
        <is>
          <t>답</t>
        </is>
      </c>
      <c r="F153" s="3" t="inlineStr">
        <is>
          <t>매매</t>
        </is>
      </c>
      <c r="G153" s="4" t="n">
        <v>112200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토지</t>
        </is>
      </c>
      <c r="E154" s="3" t="inlineStr">
        <is>
          <t>공장용지</t>
        </is>
      </c>
      <c r="F154" s="3" t="inlineStr">
        <is>
          <t>매매</t>
        </is>
      </c>
      <c r="G154" s="4" t="n">
        <v>80000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토지</t>
        </is>
      </c>
      <c r="E155" s="3" t="inlineStr">
        <is>
          <t>답</t>
        </is>
      </c>
      <c r="F155" s="3" t="inlineStr">
        <is>
          <t>매매</t>
        </is>
      </c>
      <c r="G155" s="4" t="n">
        <v>226200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토지</t>
        </is>
      </c>
      <c r="E156" s="3" t="inlineStr">
        <is>
          <t>답</t>
        </is>
      </c>
      <c r="F156" s="3" t="inlineStr">
        <is>
          <t>매매</t>
        </is>
      </c>
      <c r="G156" s="4" t="n">
        <v>92040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토지</t>
        </is>
      </c>
      <c r="E157" s="3" t="inlineStr">
        <is>
          <t>공장용지</t>
        </is>
      </c>
      <c r="F157" s="3" t="inlineStr">
        <is>
          <t>월세</t>
        </is>
      </c>
      <c r="G157" s="4" t="n">
        <v>13500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토지</t>
        </is>
      </c>
      <c r="E158" s="3" t="inlineStr">
        <is>
          <t>전</t>
        </is>
      </c>
      <c r="F158" s="3" t="inlineStr">
        <is>
          <t>매매</t>
        </is>
      </c>
      <c r="G158" s="4" t="n">
        <v>49800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토지</t>
        </is>
      </c>
      <c r="E159" s="3" t="inlineStr">
        <is>
          <t>대</t>
        </is>
      </c>
      <c r="F159" s="3" t="inlineStr">
        <is>
          <t>매매</t>
        </is>
      </c>
      <c r="G159" s="4" t="n">
        <v>140000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토지</t>
        </is>
      </c>
      <c r="E160" s="3" t="inlineStr">
        <is>
          <t>대</t>
        </is>
      </c>
      <c r="F160" s="3" t="inlineStr">
        <is>
          <t>매매</t>
        </is>
      </c>
      <c r="G160" s="4" t="n">
        <v>115000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토지</t>
        </is>
      </c>
      <c r="E161" s="3" t="inlineStr">
        <is>
          <t>전</t>
        </is>
      </c>
      <c r="F161" s="3" t="inlineStr">
        <is>
          <t>매매</t>
        </is>
      </c>
      <c r="G161" s="4" t="n">
        <v>100000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토지</t>
        </is>
      </c>
      <c r="E162" s="3" t="inlineStr">
        <is>
          <t>전</t>
        </is>
      </c>
      <c r="F162" s="3" t="inlineStr">
        <is>
          <t>매매</t>
        </is>
      </c>
      <c r="G162" s="4" t="n">
        <v>113400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토지</t>
        </is>
      </c>
      <c r="E163" s="3" t="inlineStr">
        <is>
          <t>전</t>
        </is>
      </c>
      <c r="F163" s="3" t="inlineStr">
        <is>
          <t>매매</t>
        </is>
      </c>
      <c r="G163" s="4" t="n">
        <v>36000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토지</t>
        </is>
      </c>
      <c r="E164" s="3" t="inlineStr">
        <is>
          <t>답</t>
        </is>
      </c>
      <c r="F164" s="3" t="inlineStr">
        <is>
          <t>매매</t>
        </is>
      </c>
      <c r="G164" s="4" t="n">
        <v>210000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토지</t>
        </is>
      </c>
      <c r="E165" s="3" t="inlineStr">
        <is>
          <t>전</t>
        </is>
      </c>
      <c r="F165" s="3" t="inlineStr">
        <is>
          <t>매매</t>
        </is>
      </c>
      <c r="G165" s="4" t="n">
        <v>33300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토지</t>
        </is>
      </c>
      <c r="E166" s="3" t="inlineStr">
        <is>
          <t>전</t>
        </is>
      </c>
      <c r="F166" s="3" t="inlineStr">
        <is>
          <t>매매</t>
        </is>
      </c>
      <c r="G166" s="4" t="n">
        <v>66000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토지</t>
        </is>
      </c>
      <c r="E167" s="3" t="inlineStr">
        <is>
          <t>전</t>
        </is>
      </c>
      <c r="F167" s="3" t="inlineStr">
        <is>
          <t>매매</t>
        </is>
      </c>
      <c r="G167" s="4" t="n">
        <v>66000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토지</t>
        </is>
      </c>
      <c r="E168" s="3" t="inlineStr">
        <is>
          <t>답</t>
        </is>
      </c>
      <c r="F168" s="3" t="inlineStr">
        <is>
          <t>매매</t>
        </is>
      </c>
      <c r="G168" s="4" t="n">
        <v>85000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토지</t>
        </is>
      </c>
      <c r="E169" s="3" t="inlineStr">
        <is>
          <t>답</t>
        </is>
      </c>
      <c r="F169" s="3" t="inlineStr">
        <is>
          <t>매매</t>
        </is>
      </c>
      <c r="G169" s="4" t="n">
        <v>85000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토지</t>
        </is>
      </c>
      <c r="E170" s="3" t="inlineStr">
        <is>
          <t>답</t>
        </is>
      </c>
      <c r="F170" s="3" t="inlineStr">
        <is>
          <t>매매</t>
        </is>
      </c>
      <c r="G170" s="4" t="n">
        <v>55000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토지</t>
        </is>
      </c>
      <c r="E171" s="3" t="inlineStr">
        <is>
          <t>대</t>
        </is>
      </c>
      <c r="F171" s="3" t="inlineStr">
        <is>
          <t>매매</t>
        </is>
      </c>
      <c r="G171" s="4" t="n">
        <v>32000</v>
      </c>
      <c r="H171" s="4" t="n">
        <v>197</v>
      </c>
      <c r="I171" s="5" t="n">
        <v>162.4</v>
      </c>
      <c r="J171" s="5" t="n">
        <v>61.2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토지</t>
        </is>
      </c>
      <c r="E172" s="3" t="inlineStr">
        <is>
          <t>대</t>
        </is>
      </c>
      <c r="F172" s="3" t="inlineStr">
        <is>
          <t>매매</t>
        </is>
      </c>
      <c r="G172" s="4" t="n">
        <v>32000</v>
      </c>
      <c r="H172" s="4" t="n">
        <v>197</v>
      </c>
      <c r="I172" s="5" t="n">
        <v>162.4</v>
      </c>
      <c r="J172" s="5" t="n">
        <v>61.2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토지</t>
        </is>
      </c>
      <c r="E173" s="3" t="inlineStr">
        <is>
          <t>임야</t>
        </is>
      </c>
      <c r="F173" s="3" t="inlineStr">
        <is>
          <t>매매</t>
        </is>
      </c>
      <c r="G173" s="4" t="n">
        <v>59100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토지</t>
        </is>
      </c>
      <c r="E174" s="3" t="inlineStr">
        <is>
          <t>임야</t>
        </is>
      </c>
      <c r="F174" s="3" t="inlineStr">
        <is>
          <t>매매</t>
        </is>
      </c>
      <c r="G174" s="4" t="n">
        <v>475000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토지</t>
        </is>
      </c>
      <c r="E175" s="3" t="inlineStr">
        <is>
          <t>임야</t>
        </is>
      </c>
      <c r="F175" s="3" t="inlineStr">
        <is>
          <t>매매</t>
        </is>
      </c>
      <c r="G175" s="4" t="n">
        <v>463000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토지</t>
        </is>
      </c>
      <c r="E176" s="3" t="inlineStr">
        <is>
          <t>답</t>
        </is>
      </c>
      <c r="F176" s="3" t="inlineStr">
        <is>
          <t>매매</t>
        </is>
      </c>
      <c r="G176" s="4" t="n">
        <v>30000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토지</t>
        </is>
      </c>
      <c r="E177" s="3" t="inlineStr">
        <is>
          <t>전</t>
        </is>
      </c>
      <c r="F177" s="3" t="inlineStr">
        <is>
          <t>매매</t>
        </is>
      </c>
      <c r="G177" s="4" t="n">
        <v>67000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토지</t>
        </is>
      </c>
      <c r="E178" s="3" t="inlineStr">
        <is>
          <t>전</t>
        </is>
      </c>
      <c r="F178" s="3" t="inlineStr">
        <is>
          <t>매매</t>
        </is>
      </c>
      <c r="G178" s="4" t="n">
        <v>100000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토지</t>
        </is>
      </c>
      <c r="E179" s="3" t="inlineStr">
        <is>
          <t>전</t>
        </is>
      </c>
      <c r="F179" s="3" t="inlineStr">
        <is>
          <t>매매</t>
        </is>
      </c>
      <c r="G179" s="4" t="n">
        <v>227000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토지</t>
        </is>
      </c>
      <c r="E180" s="3" t="inlineStr">
        <is>
          <t>전</t>
        </is>
      </c>
      <c r="F180" s="3" t="inlineStr">
        <is>
          <t>매매</t>
        </is>
      </c>
      <c r="G180" s="4" t="n">
        <v>13000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토지</t>
        </is>
      </c>
      <c r="E181" s="3" t="inlineStr">
        <is>
          <t>답</t>
        </is>
      </c>
      <c r="F181" s="3" t="inlineStr">
        <is>
          <t>매매</t>
        </is>
      </c>
      <c r="G181" s="4" t="n">
        <v>210000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토지</t>
        </is>
      </c>
      <c r="E182" s="3" t="inlineStr">
        <is>
          <t>답</t>
        </is>
      </c>
      <c r="F182" s="3" t="inlineStr">
        <is>
          <t>매매</t>
        </is>
      </c>
      <c r="G182" s="4" t="n">
        <v>74000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토지</t>
        </is>
      </c>
      <c r="E183" s="3" t="inlineStr">
        <is>
          <t>대</t>
        </is>
      </c>
      <c r="F183" s="3" t="inlineStr">
        <is>
          <t>매매</t>
        </is>
      </c>
      <c r="G183" s="4" t="n">
        <v>30078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토지</t>
        </is>
      </c>
      <c r="E184" s="3" t="inlineStr">
        <is>
          <t>전</t>
        </is>
      </c>
      <c r="F184" s="3" t="inlineStr">
        <is>
          <t>매매</t>
        </is>
      </c>
      <c r="G184" s="4" t="n">
        <v>20000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토지</t>
        </is>
      </c>
      <c r="E185" s="3" t="inlineStr">
        <is>
          <t>답</t>
        </is>
      </c>
      <c r="F185" s="3" t="inlineStr">
        <is>
          <t>매매</t>
        </is>
      </c>
      <c r="G185" s="4" t="n">
        <v>140000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토지</t>
        </is>
      </c>
      <c r="E186" s="3" t="inlineStr">
        <is>
          <t>답</t>
        </is>
      </c>
      <c r="F186" s="3" t="inlineStr">
        <is>
          <t>매매</t>
        </is>
      </c>
      <c r="G186" s="4" t="n">
        <v>42000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토지</t>
        </is>
      </c>
      <c r="E187" s="3" t="inlineStr">
        <is>
          <t>답</t>
        </is>
      </c>
      <c r="F187" s="3" t="inlineStr">
        <is>
          <t>매매</t>
        </is>
      </c>
      <c r="G187" s="4" t="n">
        <v>42000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토지</t>
        </is>
      </c>
      <c r="E188" s="3" t="inlineStr">
        <is>
          <t>답</t>
        </is>
      </c>
      <c r="F188" s="3" t="inlineStr">
        <is>
          <t>매매</t>
        </is>
      </c>
      <c r="G188" s="4" t="n">
        <v>53000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토지</t>
        </is>
      </c>
      <c r="E189" s="3" t="inlineStr">
        <is>
          <t>답</t>
        </is>
      </c>
      <c r="F189" s="3" t="inlineStr">
        <is>
          <t>매매</t>
        </is>
      </c>
      <c r="G189" s="4" t="n">
        <v>38800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토지</t>
        </is>
      </c>
      <c r="E190" s="3" t="inlineStr">
        <is>
          <t>답</t>
        </is>
      </c>
      <c r="F190" s="3" t="inlineStr">
        <is>
          <t>매매</t>
        </is>
      </c>
      <c r="G190" s="4" t="n">
        <v>86000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토지</t>
        </is>
      </c>
      <c r="E191" s="3" t="inlineStr">
        <is>
          <t>전</t>
        </is>
      </c>
      <c r="F191" s="3" t="inlineStr">
        <is>
          <t>매매</t>
        </is>
      </c>
      <c r="G191" s="4" t="n">
        <v>134000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토지</t>
        </is>
      </c>
      <c r="E192" s="3" t="inlineStr">
        <is>
          <t>전</t>
        </is>
      </c>
      <c r="F192" s="3" t="inlineStr">
        <is>
          <t>매매</t>
        </is>
      </c>
      <c r="G192" s="4" t="n">
        <v>10200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토지</t>
        </is>
      </c>
      <c r="E193" s="3" t="inlineStr">
        <is>
          <t>답</t>
        </is>
      </c>
      <c r="F193" s="3" t="inlineStr">
        <is>
          <t>매매</t>
        </is>
      </c>
      <c r="G193" s="4" t="n">
        <v>36000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토지</t>
        </is>
      </c>
      <c r="E194" s="3" t="inlineStr">
        <is>
          <t>대</t>
        </is>
      </c>
      <c r="F194" s="3" t="inlineStr">
        <is>
          <t>매매</t>
        </is>
      </c>
      <c r="G194" s="4" t="n">
        <v>60000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토지</t>
        </is>
      </c>
      <c r="E195" s="3" t="inlineStr">
        <is>
          <t>답</t>
        </is>
      </c>
      <c r="F195" s="3" t="inlineStr">
        <is>
          <t>매매</t>
        </is>
      </c>
      <c r="G195" s="4" t="n">
        <v>70000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토지</t>
        </is>
      </c>
      <c r="E196" s="3" t="inlineStr">
        <is>
          <t>대</t>
        </is>
      </c>
      <c r="F196" s="3" t="inlineStr">
        <is>
          <t>매매</t>
        </is>
      </c>
      <c r="G196" s="4" t="n">
        <v>67000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토지</t>
        </is>
      </c>
      <c r="E197" s="3" t="inlineStr">
        <is>
          <t>대</t>
        </is>
      </c>
      <c r="F197" s="3" t="inlineStr">
        <is>
          <t>매매</t>
        </is>
      </c>
      <c r="G197" s="4" t="n">
        <v>67000</v>
      </c>
      <c r="H197" s="4" t="n">
        <v>96</v>
      </c>
      <c r="I197" s="5" t="n">
        <v>697.9</v>
      </c>
      <c r="J197" s="5" t="n">
        <v>358.7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토지</t>
        </is>
      </c>
      <c r="E198" s="3" t="inlineStr">
        <is>
          <t>대</t>
        </is>
      </c>
      <c r="F198" s="3" t="inlineStr">
        <is>
          <t>매매</t>
        </is>
      </c>
      <c r="G198" s="4" t="n">
        <v>67000</v>
      </c>
      <c r="H198" s="4" t="n">
        <v>96</v>
      </c>
      <c r="I198" s="5" t="n">
        <v>697.9</v>
      </c>
      <c r="J198" s="5" t="n">
        <v>358.7</v>
      </c>
      <c r="K198" s="3" t="inlineStr">
        <is>
          <t>위치좋은코너자리 학군 상권이용편리</t>
        </is>
      </c>
      <c r="L198" s="6">
        <f>HYPERLINK("https://fin.land.naver.com/articles/2645688824",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세종시토지</t>
        </is>
      </c>
      <c r="P198" s="4" t="n">
        <v>3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토지</t>
        </is>
      </c>
      <c r="E199" s="3" t="inlineStr">
        <is>
          <t>대</t>
        </is>
      </c>
      <c r="F199" s="3" t="inlineStr">
        <is>
          <t>매매</t>
        </is>
      </c>
      <c r="G199" s="4" t="n">
        <v>70000</v>
      </c>
      <c r="H199" s="4" t="n">
        <v>117</v>
      </c>
      <c r="I199" s="5" t="n">
        <v>598.3</v>
      </c>
      <c r="J199" s="5" t="n">
        <v>317.5</v>
      </c>
      <c r="K199" s="3" t="inlineStr">
        <is>
          <t>급매 공원조망 큰평수 위치최상</t>
        </is>
      </c>
      <c r="L199" s="6">
        <f>HYPERLINK("https://fin.land.naver.com/articles/2646937343",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세종스타</t>
        </is>
      </c>
      <c r="P199" s="4" t="n">
        <v>2</v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토지</t>
        </is>
      </c>
      <c r="E200" s="3" t="inlineStr">
        <is>
          <t>대</t>
        </is>
      </c>
      <c r="F200" s="3" t="inlineStr">
        <is>
          <t>매매</t>
        </is>
      </c>
      <c r="G200" s="4" t="n">
        <v>70000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HYPERLINK("https://fin.land.naver.com/articles/2642857897",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디아트성심</t>
        </is>
      </c>
      <c r="P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토지</t>
        </is>
      </c>
      <c r="E201" s="3" t="inlineStr">
        <is>
          <t>대</t>
        </is>
      </c>
      <c r="F201" s="3" t="inlineStr">
        <is>
          <t>매매</t>
        </is>
      </c>
      <c r="G201" s="4" t="n">
        <v>55000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토지</t>
        </is>
      </c>
      <c r="E202" s="3" t="inlineStr">
        <is>
          <t>대</t>
        </is>
      </c>
      <c r="F202" s="3" t="inlineStr">
        <is>
          <t>매매</t>
        </is>
      </c>
      <c r="G202" s="4" t="n">
        <v>50000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토지</t>
        </is>
      </c>
      <c r="E203" s="3" t="inlineStr">
        <is>
          <t>대</t>
        </is>
      </c>
      <c r="F203" s="3" t="inlineStr">
        <is>
          <t>매매</t>
        </is>
      </c>
      <c r="G203" s="4" t="n">
        <v>52000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토지</t>
        </is>
      </c>
      <c r="E204" s="3" t="inlineStr">
        <is>
          <t>대</t>
        </is>
      </c>
      <c r="F204" s="3" t="inlineStr">
        <is>
          <t>매매</t>
        </is>
      </c>
      <c r="G204" s="4" t="n">
        <v>57000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토지</t>
        </is>
      </c>
      <c r="E205" s="3" t="inlineStr">
        <is>
          <t>대</t>
        </is>
      </c>
      <c r="F205" s="3" t="inlineStr">
        <is>
          <t>매매</t>
        </is>
      </c>
      <c r="G205" s="4" t="n">
        <v>65000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토지</t>
        </is>
      </c>
      <c r="E206" s="3" t="inlineStr">
        <is>
          <t>대</t>
        </is>
      </c>
      <c r="F206" s="3" t="inlineStr">
        <is>
          <t>매매</t>
        </is>
      </c>
      <c r="G206" s="4" t="n">
        <v>65000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토지</t>
        </is>
      </c>
      <c r="E207" s="3" t="inlineStr">
        <is>
          <t>대</t>
        </is>
      </c>
      <c r="F207" s="3" t="inlineStr">
        <is>
          <t>매매</t>
        </is>
      </c>
      <c r="G207" s="4" t="n">
        <v>60000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토지</t>
        </is>
      </c>
      <c r="E208" s="3" t="inlineStr">
        <is>
          <t>대</t>
        </is>
      </c>
      <c r="F208" s="3" t="inlineStr">
        <is>
          <t>매매</t>
        </is>
      </c>
      <c r="G208" s="4" t="n">
        <v>51600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HYPERLINK("https://fin.land.naver.com/articles/2642859021",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디아트성심</t>
        </is>
      </c>
      <c r="P208" s="4" t="n">
        <v>2</v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토지</t>
        </is>
      </c>
      <c r="E209" s="3" t="inlineStr">
        <is>
          <t>대</t>
        </is>
      </c>
      <c r="F209" s="3" t="inlineStr">
        <is>
          <t>매매</t>
        </is>
      </c>
      <c r="G209" s="4" t="n">
        <v>51500</v>
      </c>
      <c r="H209" s="4" t="n">
        <v>103</v>
      </c>
      <c r="I209" s="5" t="n">
        <v>500</v>
      </c>
      <c r="J209" s="5" t="n">
        <v>330.5</v>
      </c>
      <c r="K209" s="3" t="inlineStr">
        <is>
          <t>nan</t>
        </is>
      </c>
      <c r="L209" s="6">
        <f>HYPERLINK("https://fin.land.naver.com/articles/2645685694",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세종시토지</t>
        </is>
      </c>
      <c r="P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토지</t>
        </is>
      </c>
      <c r="E210" s="3" t="inlineStr">
        <is>
          <t>대</t>
        </is>
      </c>
      <c r="F210" s="3" t="inlineStr">
        <is>
          <t>매매</t>
        </is>
      </c>
      <c r="G210" s="4" t="n">
        <v>69000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세종시토지</t>
        </is>
      </c>
      <c r="P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토지</t>
        </is>
      </c>
      <c r="E211" s="3" t="inlineStr">
        <is>
          <t>대</t>
        </is>
      </c>
      <c r="F211" s="3" t="inlineStr">
        <is>
          <t>매매</t>
        </is>
      </c>
      <c r="G211" s="4" t="n">
        <v>69000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토지</t>
        </is>
      </c>
      <c r="E212" s="3" t="inlineStr">
        <is>
          <t>대</t>
        </is>
      </c>
      <c r="F212" s="3" t="inlineStr">
        <is>
          <t>매매</t>
        </is>
      </c>
      <c r="G212" s="4" t="n">
        <v>69000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명진</t>
        </is>
      </c>
      <c r="P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토지</t>
        </is>
      </c>
      <c r="E213" s="3" t="inlineStr">
        <is>
          <t>대</t>
        </is>
      </c>
      <c r="F213" s="3" t="inlineStr">
        <is>
          <t>매매</t>
        </is>
      </c>
      <c r="G213" s="4" t="n">
        <v>65000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세종무지개</t>
        </is>
      </c>
      <c r="P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토지</t>
        </is>
      </c>
      <c r="E214" s="3" t="inlineStr">
        <is>
          <t>대</t>
        </is>
      </c>
      <c r="F214" s="3" t="inlineStr">
        <is>
          <t>매매</t>
        </is>
      </c>
      <c r="G214" s="4" t="n">
        <v>65000</v>
      </c>
      <c r="H214" s="4" t="n">
        <v>102</v>
      </c>
      <c r="I214" s="5" t="n">
        <v>637.3</v>
      </c>
      <c r="J214" s="5" t="n">
        <v>346.4</v>
      </c>
      <c r="K214" s="3" t="inlineStr">
        <is>
          <t>고운동 사거리 코너 각지 위치한 토지매매</t>
        </is>
      </c>
      <c r="L214" s="6">
        <f>HYPERLINK("https://fin.land.naver.com/articles/2645493520",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명진</t>
        </is>
      </c>
      <c r="P214" s="4" t="n">
        <v>1</v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토지</t>
        </is>
      </c>
      <c r="E215" s="3" t="inlineStr">
        <is>
          <t>대</t>
        </is>
      </c>
      <c r="F215" s="3" t="inlineStr">
        <is>
          <t>매매</t>
        </is>
      </c>
      <c r="G215" s="4" t="n">
        <v>65000</v>
      </c>
      <c r="H215" s="4" t="n">
        <v>102</v>
      </c>
      <c r="I215" s="5" t="n">
        <v>637.3</v>
      </c>
      <c r="J215" s="5" t="n">
        <v>346.4</v>
      </c>
      <c r="K215" s="3" t="inlineStr">
        <is>
          <t>급매위치좋은코너자리고운동학교 상권 이용편리</t>
        </is>
      </c>
      <c r="L215" s="6">
        <f>HYPERLINK("https://fin.land.naver.com/articles/2645686722",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세종시토지</t>
        </is>
      </c>
      <c r="P215" s="4" t="n">
        <v>1</v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토지</t>
        </is>
      </c>
      <c r="E216" s="3" t="inlineStr">
        <is>
          <t>대</t>
        </is>
      </c>
      <c r="F216" s="3" t="inlineStr">
        <is>
          <t>매매</t>
        </is>
      </c>
      <c r="G216" s="4" t="n">
        <v>43000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토지</t>
        </is>
      </c>
      <c r="E217" s="3" t="inlineStr">
        <is>
          <t>대</t>
        </is>
      </c>
      <c r="F217" s="3" t="inlineStr">
        <is>
          <t>매매</t>
        </is>
      </c>
      <c r="G217" s="4" t="n">
        <v>43500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토지</t>
        </is>
      </c>
      <c r="E218" s="3" t="inlineStr">
        <is>
          <t>대</t>
        </is>
      </c>
      <c r="F218" s="3" t="inlineStr">
        <is>
          <t>매매</t>
        </is>
      </c>
      <c r="G218" s="4" t="n">
        <v>60000</v>
      </c>
      <c r="H218" s="4" t="n">
        <v>109</v>
      </c>
      <c r="I218" s="5" t="n">
        <v>550.5</v>
      </c>
      <c r="J218" s="5" t="n">
        <v>346.4</v>
      </c>
      <c r="K218" s="3" t="inlineStr">
        <is>
          <t>학교 인근 입지 좋은 토지, 사거리 코너</t>
        </is>
      </c>
      <c r="L218" s="6">
        <f>HYPERLINK("https://fin.land.naver.com/articles/2645622582",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명진</t>
        </is>
      </c>
      <c r="P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토지</t>
        </is>
      </c>
      <c r="E219" s="3" t="inlineStr">
        <is>
          <t>대</t>
        </is>
      </c>
      <c r="F219" s="3" t="inlineStr">
        <is>
          <t>매매</t>
        </is>
      </c>
      <c r="G219" s="4" t="n">
        <v>60000</v>
      </c>
      <c r="H219" s="4" t="n">
        <v>109</v>
      </c>
      <c r="I219" s="5" t="n">
        <v>550.5</v>
      </c>
      <c r="J219" s="5" t="n">
        <v>346.4</v>
      </c>
      <c r="K219" s="3" t="inlineStr">
        <is>
          <t>사거리 코너, 입지 좋은 토지, 3면 각지, 전원주택지 토지매매</t>
        </is>
      </c>
      <c r="L219" s="6">
        <f>HYPERLINK("https://fin.land.naver.com/articles/2645252887",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세종무지개</t>
        </is>
      </c>
      <c r="P219" s="4" t="n">
        <v>1</v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토지</t>
        </is>
      </c>
      <c r="E220" s="3" t="inlineStr">
        <is>
          <t>대</t>
        </is>
      </c>
      <c r="F220" s="3" t="inlineStr">
        <is>
          <t>매매</t>
        </is>
      </c>
      <c r="G220" s="4" t="n">
        <v>60000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토지</t>
        </is>
      </c>
      <c r="E221" s="3" t="inlineStr">
        <is>
          <t>대</t>
        </is>
      </c>
      <c r="F221" s="3" t="inlineStr">
        <is>
          <t>매매</t>
        </is>
      </c>
      <c r="G221" s="4" t="n">
        <v>50000</v>
      </c>
      <c r="H221" s="4" t="n">
        <v>100</v>
      </c>
      <c r="I221" s="5" t="n">
        <v>500</v>
      </c>
      <c r="J221" s="5" t="n">
        <v>346.4</v>
      </c>
      <c r="K221" s="3" t="inlineStr">
        <is>
          <t>입지좋은단독택지  학군 상권 이용편리</t>
        </is>
      </c>
      <c r="L221" s="6">
        <f>HYPERLINK("https://fin.land.naver.com/articles/2645687473",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세종시토지</t>
        </is>
      </c>
      <c r="P221" s="4" t="n">
        <v>1</v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토지</t>
        </is>
      </c>
      <c r="E222" s="3" t="inlineStr">
        <is>
          <t>대</t>
        </is>
      </c>
      <c r="F222" s="3" t="inlineStr">
        <is>
          <t>매매</t>
        </is>
      </c>
      <c r="G222" s="4" t="n">
        <v>50000</v>
      </c>
      <c r="H222" s="4" t="n">
        <v>100</v>
      </c>
      <c r="I222" s="5" t="n">
        <v>500</v>
      </c>
      <c r="J222" s="5" t="n">
        <v>346.4</v>
      </c>
      <c r="K222" s="3" t="inlineStr">
        <is>
          <t>nan</t>
        </is>
      </c>
      <c r="L222" s="6">
        <f>HYPERLINK("https://fin.land.naver.com/articles/2643522915",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성훈</t>
        </is>
      </c>
      <c r="P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토지</t>
        </is>
      </c>
      <c r="E223" s="3" t="inlineStr">
        <is>
          <t>대</t>
        </is>
      </c>
      <c r="F223" s="3" t="inlineStr">
        <is>
          <t>매매</t>
        </is>
      </c>
      <c r="G223" s="4" t="n">
        <v>60000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토지</t>
        </is>
      </c>
      <c r="E224" s="3" t="inlineStr">
        <is>
          <t>대</t>
        </is>
      </c>
      <c r="F224" s="3" t="inlineStr">
        <is>
          <t>매매</t>
        </is>
      </c>
      <c r="G224" s="4" t="n">
        <v>60000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토지</t>
        </is>
      </c>
      <c r="E225" s="3" t="inlineStr">
        <is>
          <t>대</t>
        </is>
      </c>
      <c r="F225" s="3" t="inlineStr">
        <is>
          <t>매매</t>
        </is>
      </c>
      <c r="G225" s="4" t="n">
        <v>60000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토지</t>
        </is>
      </c>
      <c r="E226" s="3" t="inlineStr">
        <is>
          <t>대</t>
        </is>
      </c>
      <c r="F226" s="3" t="inlineStr">
        <is>
          <t>매매</t>
        </is>
      </c>
      <c r="G226" s="4" t="n">
        <v>60000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토지</t>
        </is>
      </c>
      <c r="E227" s="3" t="inlineStr">
        <is>
          <t>대</t>
        </is>
      </c>
      <c r="F227" s="3" t="inlineStr">
        <is>
          <t>매매</t>
        </is>
      </c>
      <c r="G227" s="4" t="n">
        <v>52000</v>
      </c>
      <c r="H227" s="4" t="n">
        <v>104</v>
      </c>
      <c r="I227" s="5" t="n">
        <v>500</v>
      </c>
      <c r="J227" s="5" t="n">
        <v>304.8</v>
      </c>
      <c r="K227" s="3" t="inlineStr">
        <is>
          <t>o택지추천o 두루고 가락초 인근. 남향. 네모 반듯.</t>
        </is>
      </c>
      <c r="L227" s="6">
        <f>HYPERLINK("https://fin.land.naver.com/articles/2646230632",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세종썬</t>
        </is>
      </c>
      <c r="P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토지</t>
        </is>
      </c>
      <c r="E228" s="3" t="inlineStr">
        <is>
          <t>대</t>
        </is>
      </c>
      <c r="F228" s="3" t="inlineStr">
        <is>
          <t>매매</t>
        </is>
      </c>
      <c r="G228" s="4" t="n">
        <v>52000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토지</t>
        </is>
      </c>
      <c r="E229" s="3" t="inlineStr">
        <is>
          <t>대</t>
        </is>
      </c>
      <c r="F229" s="3" t="inlineStr">
        <is>
          <t>매매</t>
        </is>
      </c>
      <c r="G229" s="4" t="n">
        <v>60000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세종무지개</t>
        </is>
      </c>
      <c r="P229" s="4" t="n">
        <v>1</v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토지</t>
        </is>
      </c>
      <c r="E230" s="3" t="inlineStr">
        <is>
          <t>대</t>
        </is>
      </c>
      <c r="F230" s="3" t="inlineStr">
        <is>
          <t>매매</t>
        </is>
      </c>
      <c r="G230" s="4" t="n">
        <v>80000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토지</t>
        </is>
      </c>
      <c r="E231" s="3" t="inlineStr">
        <is>
          <t>대</t>
        </is>
      </c>
      <c r="F231" s="3" t="inlineStr">
        <is>
          <t>매매</t>
        </is>
      </c>
      <c r="G231" s="4" t="n">
        <v>45000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HYPERLINK("https://fin.land.naver.com/articles/2645252849",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세종무지개</t>
        </is>
      </c>
      <c r="P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토지</t>
        </is>
      </c>
      <c r="E232" s="3" t="inlineStr">
        <is>
          <t>대</t>
        </is>
      </c>
      <c r="F232" s="3" t="inlineStr">
        <is>
          <t>매매</t>
        </is>
      </c>
      <c r="G232" s="4" t="n">
        <v>45000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명진</t>
        </is>
      </c>
      <c r="P232" s="4" t="n">
        <v>1</v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토지</t>
        </is>
      </c>
      <c r="E233" s="3" t="inlineStr">
        <is>
          <t>대</t>
        </is>
      </c>
      <c r="F233" s="3" t="inlineStr">
        <is>
          <t>매매</t>
        </is>
      </c>
      <c r="G233" s="4" t="n">
        <v>45000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토지</t>
        </is>
      </c>
      <c r="E234" s="3" t="inlineStr">
        <is>
          <t>대</t>
        </is>
      </c>
      <c r="F234" s="3" t="inlineStr">
        <is>
          <t>매매</t>
        </is>
      </c>
      <c r="G234" s="4" t="n">
        <v>75000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토지</t>
        </is>
      </c>
      <c r="E235" s="3" t="inlineStr">
        <is>
          <t>대</t>
        </is>
      </c>
      <c r="F235" s="3" t="inlineStr">
        <is>
          <t>매매</t>
        </is>
      </c>
      <c r="G235" s="4" t="n">
        <v>69000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토지</t>
        </is>
      </c>
      <c r="E236" s="3" t="inlineStr">
        <is>
          <t>대</t>
        </is>
      </c>
      <c r="F236" s="3" t="inlineStr">
        <is>
          <t>매매</t>
        </is>
      </c>
      <c r="G236" s="4" t="n">
        <v>58000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세종썬</t>
        </is>
      </c>
      <c r="P236" s="4" t="n">
        <v>1</v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토지</t>
        </is>
      </c>
      <c r="E237" s="3" t="inlineStr">
        <is>
          <t>대</t>
        </is>
      </c>
      <c r="F237" s="3" t="inlineStr">
        <is>
          <t>매매</t>
        </is>
      </c>
      <c r="G237" s="4" t="n">
        <v>59000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대전토지로무소</t>
        </is>
      </c>
      <c r="P237" s="4" t="n">
        <v>1</v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토지</t>
        </is>
      </c>
      <c r="E238" s="3" t="inlineStr">
        <is>
          <t>대</t>
        </is>
      </c>
      <c r="F238" s="3" t="inlineStr">
        <is>
          <t>매매</t>
        </is>
      </c>
      <c r="G238" s="4" t="n">
        <v>150000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토지</t>
        </is>
      </c>
      <c r="E239" s="3" t="inlineStr">
        <is>
          <t>대</t>
        </is>
      </c>
      <c r="F239" s="3" t="inlineStr">
        <is>
          <t>매매</t>
        </is>
      </c>
      <c r="G239" s="4" t="n">
        <v>58000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토지</t>
        </is>
      </c>
      <c r="E240" s="3" t="inlineStr">
        <is>
          <t>대</t>
        </is>
      </c>
      <c r="F240" s="3" t="inlineStr">
        <is>
          <t>매매</t>
        </is>
      </c>
      <c r="G240" s="4" t="n">
        <v>80000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토지</t>
        </is>
      </c>
      <c r="E241" s="3" t="inlineStr">
        <is>
          <t>대</t>
        </is>
      </c>
      <c r="F241" s="3" t="inlineStr">
        <is>
          <t>매매</t>
        </is>
      </c>
      <c r="G241" s="4" t="n">
        <v>80000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토지</t>
        </is>
      </c>
      <c r="E242" s="3" t="inlineStr">
        <is>
          <t>대</t>
        </is>
      </c>
      <c r="F242" s="3" t="inlineStr">
        <is>
          <t>매매</t>
        </is>
      </c>
      <c r="G242" s="4" t="n">
        <v>95000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토지</t>
        </is>
      </c>
      <c r="E243" s="3" t="inlineStr">
        <is>
          <t>대</t>
        </is>
      </c>
      <c r="F243" s="3" t="inlineStr">
        <is>
          <t>매매</t>
        </is>
      </c>
      <c r="G243" s="4" t="n">
        <v>95000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토지</t>
        </is>
      </c>
      <c r="E244" s="3" t="inlineStr">
        <is>
          <t>대</t>
        </is>
      </c>
      <c r="F244" s="3" t="inlineStr">
        <is>
          <t>매매</t>
        </is>
      </c>
      <c r="G244" s="4" t="n">
        <v>56000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토지</t>
        </is>
      </c>
      <c r="E245" s="3" t="inlineStr">
        <is>
          <t>대</t>
        </is>
      </c>
      <c r="F245" s="3" t="inlineStr">
        <is>
          <t>매매</t>
        </is>
      </c>
      <c r="G245" s="4" t="n">
        <v>85000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HYPERLINK("https://fin.land.naver.com/articles/2642872883",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명진</t>
        </is>
      </c>
      <c r="P245" s="4" t="n">
        <v>1</v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토지</t>
        </is>
      </c>
      <c r="E246" s="3" t="inlineStr">
        <is>
          <t>대</t>
        </is>
      </c>
      <c r="F246" s="3" t="inlineStr">
        <is>
          <t>매매</t>
        </is>
      </c>
      <c r="G246" s="4" t="n">
        <v>85000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HYPERLINK("https://fin.land.naver.com/articles/2644185931",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세종무지개</t>
        </is>
      </c>
      <c r="P246" s="4" t="n">
        <v>1</v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토지</t>
        </is>
      </c>
      <c r="E247" s="3" t="inlineStr">
        <is>
          <t>대</t>
        </is>
      </c>
      <c r="F247" s="3" t="inlineStr">
        <is>
          <t>매매</t>
        </is>
      </c>
      <c r="G247" s="4" t="n">
        <v>70000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토지</t>
        </is>
      </c>
      <c r="E248" s="3" t="inlineStr">
        <is>
          <t>대</t>
        </is>
      </c>
      <c r="F248" s="3" t="inlineStr">
        <is>
          <t>매매</t>
        </is>
      </c>
      <c r="G248" s="4" t="n">
        <v>58000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도안우리집</t>
        </is>
      </c>
      <c r="P248" s="4" t="n">
        <v>1</v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토지</t>
        </is>
      </c>
      <c r="E249" s="3" t="inlineStr">
        <is>
          <t>대</t>
        </is>
      </c>
      <c r="F249" s="3" t="inlineStr">
        <is>
          <t>매매</t>
        </is>
      </c>
      <c r="G249" s="4" t="n">
        <v>58000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골드클래스</t>
        </is>
      </c>
      <c r="P249" s="4" t="n">
        <v>2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토지</t>
        </is>
      </c>
      <c r="E250" s="3" t="inlineStr">
        <is>
          <t>대</t>
        </is>
      </c>
      <c r="F250" s="3" t="inlineStr">
        <is>
          <t>매매</t>
        </is>
      </c>
      <c r="G250" s="4" t="n">
        <v>65000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세종시토지</t>
        </is>
      </c>
      <c r="P250" s="4" t="n">
        <v>1</v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토지</t>
        </is>
      </c>
      <c r="E251" s="3" t="inlineStr">
        <is>
          <t>대</t>
        </is>
      </c>
      <c r="F251" s="3" t="inlineStr">
        <is>
          <t>매매</t>
        </is>
      </c>
      <c r="G251" s="4" t="n">
        <v>65000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HYPERLINK("https://fin.land.naver.com/articles/2642684350",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세종무지개</t>
        </is>
      </c>
      <c r="P251" s="4" t="n">
        <v>1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토지</t>
        </is>
      </c>
      <c r="E252" s="3" t="inlineStr">
        <is>
          <t>대</t>
        </is>
      </c>
      <c r="F252" s="3" t="inlineStr">
        <is>
          <t>매매</t>
        </is>
      </c>
      <c r="G252" s="4" t="n">
        <v>60000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고운동 생활인프라 좋은 위치 토지매매</t>
        </is>
      </c>
      <c r="L252" s="6">
        <f>HYPERLINK("https://fin.land.naver.com/articles/2645495836",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명진</t>
        </is>
      </c>
      <c r="P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토지</t>
        </is>
      </c>
      <c r="E253" s="3" t="inlineStr">
        <is>
          <t>대</t>
        </is>
      </c>
      <c r="F253" s="3" t="inlineStr">
        <is>
          <t>매매</t>
        </is>
      </c>
      <c r="G253" s="4" t="n">
        <v>60000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HYPERLINK("https://fin.land.naver.com/articles/2646692190",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세종무지개</t>
        </is>
      </c>
      <c r="P253" s="4" t="n">
        <v>1</v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토지</t>
        </is>
      </c>
      <c r="E254" s="3" t="inlineStr">
        <is>
          <t>대</t>
        </is>
      </c>
      <c r="F254" s="3" t="inlineStr">
        <is>
          <t>매매</t>
        </is>
      </c>
      <c r="G254" s="4" t="n">
        <v>60000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세종스타</t>
        </is>
      </c>
      <c r="P254" s="4" t="n">
        <v>2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토지</t>
        </is>
      </c>
      <c r="E255" s="3" t="inlineStr">
        <is>
          <t>대</t>
        </is>
      </c>
      <c r="F255" s="3" t="inlineStr">
        <is>
          <t>매매</t>
        </is>
      </c>
      <c r="G255" s="4" t="n">
        <v>65000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토지</t>
        </is>
      </c>
      <c r="E256" s="3" t="inlineStr">
        <is>
          <t>대</t>
        </is>
      </c>
      <c r="F256" s="3" t="inlineStr">
        <is>
          <t>매매</t>
        </is>
      </c>
      <c r="G256" s="4" t="n">
        <v>65000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HYPERLINK("https://fin.land.naver.com/articles/2643579906",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온뜰</t>
        </is>
      </c>
      <c r="P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토지</t>
        </is>
      </c>
      <c r="E257" s="3" t="inlineStr">
        <is>
          <t>대</t>
        </is>
      </c>
      <c r="F257" s="3" t="inlineStr">
        <is>
          <t>매매</t>
        </is>
      </c>
      <c r="G257" s="4" t="n">
        <v>65000</v>
      </c>
      <c r="H257" s="4" t="n">
        <v>106</v>
      </c>
      <c r="I257" s="5" t="n">
        <v>613.2</v>
      </c>
      <c r="J257" s="5" t="n">
        <v>353.1</v>
      </c>
      <c r="K257" s="3" t="inlineStr">
        <is>
          <t>공원바로옆 실개천품은단독택지학교상가이용편리</t>
        </is>
      </c>
      <c r="L257" s="6">
        <f>HYPERLINK("https://fin.land.naver.com/articles/2645694568",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세종시토지</t>
        </is>
      </c>
      <c r="P257" s="4" t="n">
        <v>1</v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토지</t>
        </is>
      </c>
      <c r="E258" s="3" t="inlineStr">
        <is>
          <t>대</t>
        </is>
      </c>
      <c r="F258" s="3" t="inlineStr">
        <is>
          <t>매매</t>
        </is>
      </c>
      <c r="G258" s="4" t="n">
        <v>65000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HYPERLINK("https://fin.land.naver.com/articles/2644482432",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세종무지개</t>
        </is>
      </c>
      <c r="P258" s="4" t="n">
        <v>1</v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토지</t>
        </is>
      </c>
      <c r="E259" s="3" t="inlineStr">
        <is>
          <t>대</t>
        </is>
      </c>
      <c r="F259" s="3" t="inlineStr">
        <is>
          <t>매매</t>
        </is>
      </c>
      <c r="G259" s="4" t="n">
        <v>60000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토지</t>
        </is>
      </c>
      <c r="E260" s="3" t="inlineStr">
        <is>
          <t>대</t>
        </is>
      </c>
      <c r="F260" s="3" t="inlineStr">
        <is>
          <t>매매</t>
        </is>
      </c>
      <c r="G260" s="4" t="n">
        <v>60000</v>
      </c>
      <c r="H260" s="4" t="n">
        <v>101</v>
      </c>
      <c r="I260" s="5" t="n">
        <v>594.1</v>
      </c>
      <c r="J260" s="5" t="n">
        <v>380.2</v>
      </c>
      <c r="K260" s="3" t="inlineStr">
        <is>
          <t>급매 추가조율가능 남향 코너각지</t>
        </is>
      </c>
      <c r="L260" s="6">
        <f>HYPERLINK("https://fin.land.naver.com/articles/2644917611",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세종스타</t>
        </is>
      </c>
      <c r="P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토지</t>
        </is>
      </c>
      <c r="E261" s="3" t="inlineStr">
        <is>
          <t>대</t>
        </is>
      </c>
      <c r="F261" s="3" t="inlineStr">
        <is>
          <t>매매</t>
        </is>
      </c>
      <c r="G261" s="4" t="n">
        <v>60000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HYPERLINK("https://fin.land.naver.com/articles/2643557413",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온뜰</t>
        </is>
      </c>
      <c r="P261" s="4" t="n">
        <v>1</v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토지</t>
        </is>
      </c>
      <c r="E262" s="3" t="inlineStr">
        <is>
          <t>대</t>
        </is>
      </c>
      <c r="F262" s="3" t="inlineStr">
        <is>
          <t>매매</t>
        </is>
      </c>
      <c r="G262" s="4" t="n">
        <v>60000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토지</t>
        </is>
      </c>
      <c r="E263" s="3" t="inlineStr">
        <is>
          <t>대</t>
        </is>
      </c>
      <c r="F263" s="3" t="inlineStr">
        <is>
          <t>매매</t>
        </is>
      </c>
      <c r="G263" s="4" t="n">
        <v>80000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토지</t>
        </is>
      </c>
      <c r="E264" s="3" t="inlineStr">
        <is>
          <t>대</t>
        </is>
      </c>
      <c r="F264" s="3" t="inlineStr">
        <is>
          <t>매매</t>
        </is>
      </c>
      <c r="G264" s="4" t="n">
        <v>80000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토지</t>
        </is>
      </c>
      <c r="E265" s="3" t="inlineStr">
        <is>
          <t>대</t>
        </is>
      </c>
      <c r="F265" s="3" t="inlineStr">
        <is>
          <t>매매</t>
        </is>
      </c>
      <c r="G265" s="4" t="n">
        <v>63000</v>
      </c>
      <c r="H265" s="4" t="n">
        <v>105</v>
      </c>
      <c r="I265" s="5" t="n">
        <v>600</v>
      </c>
      <c r="J265" s="5" t="n">
        <v>332.9</v>
      </c>
      <c r="K265" s="3" t="inlineStr">
        <is>
          <t>105.7p, 편의시설 가까운 입지 좋은 토지</t>
        </is>
      </c>
      <c r="L265" s="6">
        <f>HYPERLINK("https://fin.land.naver.com/articles/2644189435",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세종무지개</t>
        </is>
      </c>
      <c r="P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토지</t>
        </is>
      </c>
      <c r="E266" s="3" t="inlineStr">
        <is>
          <t>대</t>
        </is>
      </c>
      <c r="F266" s="3" t="inlineStr">
        <is>
          <t>매매</t>
        </is>
      </c>
      <c r="G266" s="4" t="n">
        <v>63000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HYPERLINK("https://fin.land.naver.com/articles/2643579139",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온뜰</t>
        </is>
      </c>
      <c r="P266" s="4" t="n">
        <v>1</v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토지</t>
        </is>
      </c>
      <c r="E267" s="3" t="inlineStr">
        <is>
          <t>대</t>
        </is>
      </c>
      <c r="F267" s="3" t="inlineStr">
        <is>
          <t>매매</t>
        </is>
      </c>
      <c r="G267" s="4" t="n">
        <v>64000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명진</t>
        </is>
      </c>
      <c r="P267" s="4" t="n">
        <v>1</v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토지</t>
        </is>
      </c>
      <c r="E268" s="3" t="inlineStr">
        <is>
          <t>대</t>
        </is>
      </c>
      <c r="F268" s="3" t="inlineStr">
        <is>
          <t>매매</t>
        </is>
      </c>
      <c r="G268" s="4" t="n">
        <v>65000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토지</t>
        </is>
      </c>
      <c r="E269" s="3" t="inlineStr">
        <is>
          <t>대</t>
        </is>
      </c>
      <c r="F269" s="3" t="inlineStr">
        <is>
          <t>매매</t>
        </is>
      </c>
      <c r="G269" s="4" t="n">
        <v>60000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토지</t>
        </is>
      </c>
      <c r="E270" s="3" t="inlineStr">
        <is>
          <t>대</t>
        </is>
      </c>
      <c r="F270" s="3" t="inlineStr">
        <is>
          <t>매매</t>
        </is>
      </c>
      <c r="G270" s="4" t="n">
        <v>69000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토지</t>
        </is>
      </c>
      <c r="E271" s="3" t="inlineStr">
        <is>
          <t>대</t>
        </is>
      </c>
      <c r="F271" s="3" t="inlineStr">
        <is>
          <t>매매</t>
        </is>
      </c>
      <c r="G271" s="4" t="n">
        <v>60000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토지</t>
        </is>
      </c>
      <c r="E272" s="3" t="inlineStr">
        <is>
          <t>대</t>
        </is>
      </c>
      <c r="F272" s="3" t="inlineStr">
        <is>
          <t>매매</t>
        </is>
      </c>
      <c r="G272" s="4" t="n">
        <v>60000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토지</t>
        </is>
      </c>
      <c r="E273" s="3" t="inlineStr">
        <is>
          <t>대</t>
        </is>
      </c>
      <c r="F273" s="3" t="inlineStr">
        <is>
          <t>매매</t>
        </is>
      </c>
      <c r="G273" s="4" t="n">
        <v>112000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토지</t>
        </is>
      </c>
      <c r="E274" s="3" t="inlineStr">
        <is>
          <t>대</t>
        </is>
      </c>
      <c r="F274" s="3" t="inlineStr">
        <is>
          <t>매매</t>
        </is>
      </c>
      <c r="G274" s="4" t="n">
        <v>110000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토지</t>
        </is>
      </c>
      <c r="E275" s="3" t="inlineStr">
        <is>
          <t>대</t>
        </is>
      </c>
      <c r="F275" s="3" t="inlineStr">
        <is>
          <t>매매</t>
        </is>
      </c>
      <c r="G275" s="4" t="n">
        <v>99000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토지</t>
        </is>
      </c>
      <c r="E276" s="3" t="inlineStr">
        <is>
          <t>대</t>
        </is>
      </c>
      <c r="F276" s="3" t="inlineStr">
        <is>
          <t>매매</t>
        </is>
      </c>
      <c r="G276" s="4" t="n">
        <v>50000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토지</t>
        </is>
      </c>
      <c r="E277" s="3" t="inlineStr">
        <is>
          <t>대</t>
        </is>
      </c>
      <c r="F277" s="3" t="inlineStr">
        <is>
          <t>매매</t>
        </is>
      </c>
      <c r="G277" s="4" t="n">
        <v>50000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HYPERLINK("https://fin.land.naver.com/articles/2642864232",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디아트성심</t>
        </is>
      </c>
      <c r="P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토지</t>
        </is>
      </c>
      <c r="E278" s="3" t="inlineStr">
        <is>
          <t>대</t>
        </is>
      </c>
      <c r="F278" s="3" t="inlineStr">
        <is>
          <t>매매</t>
        </is>
      </c>
      <c r="G278" s="4" t="n">
        <v>50000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HYPERLINK("https://fin.land.naver.com/articles/2642868325",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명진</t>
        </is>
      </c>
      <c r="P278" s="4" t="n">
        <v>1</v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토지</t>
        </is>
      </c>
      <c r="E279" s="3" t="inlineStr">
        <is>
          <t>대</t>
        </is>
      </c>
      <c r="F279" s="3" t="inlineStr">
        <is>
          <t>매매</t>
        </is>
      </c>
      <c r="G279" s="4" t="n">
        <v>50000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HYPERLINK("https://fin.land.naver.com/articles/2647149019",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세종스타</t>
        </is>
      </c>
      <c r="P279" s="4" t="n">
        <v>3</v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토지</t>
        </is>
      </c>
      <c r="E280" s="3" t="inlineStr">
        <is>
          <t>대</t>
        </is>
      </c>
      <c r="F280" s="3" t="inlineStr">
        <is>
          <t>매매</t>
        </is>
      </c>
      <c r="G280" s="4" t="n">
        <v>50000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세종무지개</t>
        </is>
      </c>
      <c r="P280" s="4" t="n">
        <v>1</v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토지</t>
        </is>
      </c>
      <c r="E281" s="3" t="inlineStr">
        <is>
          <t>대</t>
        </is>
      </c>
      <c r="F281" s="3" t="inlineStr">
        <is>
          <t>매매</t>
        </is>
      </c>
      <c r="G281" s="4" t="n">
        <v>50000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HYPERLINK("https://fin.land.naver.com/articles/2644708794",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고운맘</t>
        </is>
      </c>
      <c r="P281" s="4" t="n">
        <v>1</v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토지</t>
        </is>
      </c>
      <c r="E282" s="3" t="inlineStr">
        <is>
          <t>대</t>
        </is>
      </c>
      <c r="F282" s="3" t="inlineStr">
        <is>
          <t>매매</t>
        </is>
      </c>
      <c r="G282" s="4" t="n">
        <v>55000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토지</t>
        </is>
      </c>
      <c r="E283" s="3" t="inlineStr">
        <is>
          <t>대</t>
        </is>
      </c>
      <c r="F283" s="3" t="inlineStr">
        <is>
          <t>매매</t>
        </is>
      </c>
      <c r="G283" s="4" t="n">
        <v>65000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토지</t>
        </is>
      </c>
      <c r="E284" s="3" t="inlineStr">
        <is>
          <t>대</t>
        </is>
      </c>
      <c r="F284" s="3" t="inlineStr">
        <is>
          <t>매매</t>
        </is>
      </c>
      <c r="G284" s="4" t="n">
        <v>55000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명진</t>
        </is>
      </c>
      <c r="P284" s="4" t="n">
        <v>1</v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토지</t>
        </is>
      </c>
      <c r="E285" s="3" t="inlineStr">
        <is>
          <t>대</t>
        </is>
      </c>
      <c r="F285" s="3" t="inlineStr">
        <is>
          <t>매매</t>
        </is>
      </c>
      <c r="G285" s="4" t="n">
        <v>55000</v>
      </c>
      <c r="H285" s="4" t="n">
        <v>108</v>
      </c>
      <c r="I285" s="5" t="n">
        <v>509.3</v>
      </c>
      <c r="J285" s="5" t="n">
        <v>324.2</v>
      </c>
      <c r="K285" s="3" t="inlineStr">
        <is>
          <t>급매, 위치좋은 토지매매, 108.1p</t>
        </is>
      </c>
      <c r="L285" s="6">
        <f>HYPERLINK("https://fin.land.naver.com/articles/2646692779",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세종무지개</t>
        </is>
      </c>
      <c r="P285" s="4" t="n">
        <v>1</v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토지</t>
        </is>
      </c>
      <c r="E286" s="3" t="inlineStr">
        <is>
          <t>대</t>
        </is>
      </c>
      <c r="F286" s="3" t="inlineStr">
        <is>
          <t>매매</t>
        </is>
      </c>
      <c r="G286" s="4" t="n">
        <v>80000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토지</t>
        </is>
      </c>
      <c r="E287" s="3" t="inlineStr">
        <is>
          <t>대</t>
        </is>
      </c>
      <c r="F287" s="3" t="inlineStr">
        <is>
          <t>매매</t>
        </is>
      </c>
      <c r="G287" s="4" t="n">
        <v>58000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토지</t>
        </is>
      </c>
      <c r="E288" s="3" t="inlineStr">
        <is>
          <t>대</t>
        </is>
      </c>
      <c r="F288" s="3" t="inlineStr">
        <is>
          <t>매매</t>
        </is>
      </c>
      <c r="G288" s="4" t="n">
        <v>80000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토지</t>
        </is>
      </c>
      <c r="E289" s="3" t="inlineStr">
        <is>
          <t>대</t>
        </is>
      </c>
      <c r="F289" s="3" t="inlineStr">
        <is>
          <t>매매</t>
        </is>
      </c>
      <c r="G289" s="4" t="n">
        <v>51000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토지</t>
        </is>
      </c>
      <c r="E290" s="3" t="inlineStr">
        <is>
          <t>대</t>
        </is>
      </c>
      <c r="F290" s="3" t="inlineStr">
        <is>
          <t>매매</t>
        </is>
      </c>
      <c r="G290" s="4" t="n">
        <v>172000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토지</t>
        </is>
      </c>
      <c r="E291" s="3" t="inlineStr">
        <is>
          <t>대</t>
        </is>
      </c>
      <c r="F291" s="3" t="inlineStr">
        <is>
          <t>매매</t>
        </is>
      </c>
      <c r="G291" s="4" t="n">
        <v>58000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토지</t>
        </is>
      </c>
      <c r="E292" s="3" t="inlineStr">
        <is>
          <t>대</t>
        </is>
      </c>
      <c r="F292" s="3" t="inlineStr">
        <is>
          <t>매매</t>
        </is>
      </c>
      <c r="G292" s="4" t="n">
        <v>60000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토지</t>
        </is>
      </c>
      <c r="E293" s="3" t="inlineStr">
        <is>
          <t>대</t>
        </is>
      </c>
      <c r="F293" s="3" t="inlineStr">
        <is>
          <t>매매</t>
        </is>
      </c>
      <c r="G293" s="4" t="n">
        <v>60000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토지</t>
        </is>
      </c>
      <c r="E294" s="3" t="inlineStr">
        <is>
          <t>대</t>
        </is>
      </c>
      <c r="F294" s="3" t="inlineStr">
        <is>
          <t>매매</t>
        </is>
      </c>
      <c r="G294" s="4" t="n">
        <v>49000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토지</t>
        </is>
      </c>
      <c r="E295" s="3" t="inlineStr">
        <is>
          <t>대</t>
        </is>
      </c>
      <c r="F295" s="3" t="inlineStr">
        <is>
          <t>매매</t>
        </is>
      </c>
      <c r="G295" s="4" t="n">
        <v>55000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토지</t>
        </is>
      </c>
      <c r="E296" s="3" t="inlineStr">
        <is>
          <t>대</t>
        </is>
      </c>
      <c r="F296" s="3" t="inlineStr">
        <is>
          <t>매매</t>
        </is>
      </c>
      <c r="G296" s="4" t="n">
        <v>233000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토지</t>
        </is>
      </c>
      <c r="E297" s="3" t="inlineStr">
        <is>
          <t>대</t>
        </is>
      </c>
      <c r="F297" s="3" t="inlineStr">
        <is>
          <t>매매</t>
        </is>
      </c>
      <c r="G297" s="4" t="n">
        <v>60000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토지</t>
        </is>
      </c>
      <c r="E298" s="3" t="inlineStr">
        <is>
          <t>대</t>
        </is>
      </c>
      <c r="F298" s="3" t="inlineStr">
        <is>
          <t>매매</t>
        </is>
      </c>
      <c r="G298" s="4" t="n">
        <v>60000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토지</t>
        </is>
      </c>
      <c r="E299" s="3" t="inlineStr">
        <is>
          <t>대</t>
        </is>
      </c>
      <c r="F299" s="3" t="inlineStr">
        <is>
          <t>매매</t>
        </is>
      </c>
      <c r="G299" s="4" t="n">
        <v>68900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토지</t>
        </is>
      </c>
      <c r="E300" s="3" t="inlineStr">
        <is>
          <t>대</t>
        </is>
      </c>
      <c r="F300" s="3" t="inlineStr">
        <is>
          <t>매매</t>
        </is>
      </c>
      <c r="G300" s="4" t="n">
        <v>60000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토지</t>
        </is>
      </c>
      <c r="E301" s="3" t="inlineStr">
        <is>
          <t>대</t>
        </is>
      </c>
      <c r="F301" s="3" t="inlineStr">
        <is>
          <t>매매</t>
        </is>
      </c>
      <c r="G301" s="4" t="n">
        <v>57000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토지</t>
        </is>
      </c>
      <c r="E302" s="3" t="inlineStr">
        <is>
          <t>대</t>
        </is>
      </c>
      <c r="F302" s="3" t="inlineStr">
        <is>
          <t>매매</t>
        </is>
      </c>
      <c r="G302" s="4" t="n">
        <v>57000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토지</t>
        </is>
      </c>
      <c r="E303" s="3" t="inlineStr">
        <is>
          <t>대</t>
        </is>
      </c>
      <c r="F303" s="3" t="inlineStr">
        <is>
          <t>매매</t>
        </is>
      </c>
      <c r="G303" s="4" t="n">
        <v>95000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토지</t>
        </is>
      </c>
      <c r="E304" s="3" t="inlineStr">
        <is>
          <t>대</t>
        </is>
      </c>
      <c r="F304" s="3" t="inlineStr">
        <is>
          <t>매매</t>
        </is>
      </c>
      <c r="G304" s="4" t="n">
        <v>150000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토지</t>
        </is>
      </c>
      <c r="E305" s="3" t="inlineStr">
        <is>
          <t>대</t>
        </is>
      </c>
      <c r="F305" s="3" t="inlineStr">
        <is>
          <t>매매</t>
        </is>
      </c>
      <c r="G305" s="4" t="n">
        <v>88000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토지</t>
        </is>
      </c>
      <c r="E306" s="3" t="inlineStr">
        <is>
          <t>대</t>
        </is>
      </c>
      <c r="F306" s="3" t="inlineStr">
        <is>
          <t>매매</t>
        </is>
      </c>
      <c r="G306" s="4" t="n">
        <v>150000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토지</t>
        </is>
      </c>
      <c r="E307" s="3" t="inlineStr">
        <is>
          <t>대</t>
        </is>
      </c>
      <c r="F307" s="3" t="inlineStr">
        <is>
          <t>매매</t>
        </is>
      </c>
      <c r="G307" s="4" t="n">
        <v>85000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토지</t>
        </is>
      </c>
      <c r="E308" s="3" t="inlineStr">
        <is>
          <t>대</t>
        </is>
      </c>
      <c r="F308" s="3" t="inlineStr">
        <is>
          <t>매매</t>
        </is>
      </c>
      <c r="G308" s="4" t="n">
        <v>54000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토지</t>
        </is>
      </c>
      <c r="E309" s="3" t="inlineStr">
        <is>
          <t>대</t>
        </is>
      </c>
      <c r="F309" s="3" t="inlineStr">
        <is>
          <t>매매</t>
        </is>
      </c>
      <c r="G309" s="4" t="n">
        <v>50000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고운맘</t>
        </is>
      </c>
      <c r="P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토지</t>
        </is>
      </c>
      <c r="E310" s="3" t="inlineStr">
        <is>
          <t>대</t>
        </is>
      </c>
      <c r="F310" s="3" t="inlineStr">
        <is>
          <t>매매</t>
        </is>
      </c>
      <c r="G310" s="4" t="n">
        <v>50000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토지</t>
        </is>
      </c>
      <c r="E311" s="3" t="inlineStr">
        <is>
          <t>대</t>
        </is>
      </c>
      <c r="F311" s="3" t="inlineStr">
        <is>
          <t>매매</t>
        </is>
      </c>
      <c r="G311" s="4" t="n">
        <v>52000</v>
      </c>
      <c r="H311" s="4" t="n">
        <v>101</v>
      </c>
      <c r="I311" s="5" t="n">
        <v>514.9</v>
      </c>
      <c r="J311" s="5" t="n">
        <v>308.7</v>
      </c>
      <c r="K311" s="3" t="inlineStr">
        <is>
          <t>코너각지에 보행자도로 접하고 남향으로 반듯한 단독주택부지, 가격조정 가능</t>
        </is>
      </c>
      <c r="L311" s="6">
        <f>HYPERLINK("https://fin.land.naver.com/articles/2643557280",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온뜰</t>
        </is>
      </c>
      <c r="P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토지</t>
        </is>
      </c>
      <c r="E312" s="3" t="inlineStr">
        <is>
          <t>대</t>
        </is>
      </c>
      <c r="F312" s="3" t="inlineStr">
        <is>
          <t>매매</t>
        </is>
      </c>
      <c r="G312" s="4" t="n">
        <v>63000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토지</t>
        </is>
      </c>
      <c r="E313" s="3" t="inlineStr">
        <is>
          <t>대</t>
        </is>
      </c>
      <c r="F313" s="3" t="inlineStr">
        <is>
          <t>매매</t>
        </is>
      </c>
      <c r="G313" s="4" t="n">
        <v>63000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토지</t>
        </is>
      </c>
      <c r="E314" s="3" t="inlineStr">
        <is>
          <t>대</t>
        </is>
      </c>
      <c r="F314" s="3" t="inlineStr">
        <is>
          <t>매매</t>
        </is>
      </c>
      <c r="G314" s="4" t="n">
        <v>65000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토지</t>
        </is>
      </c>
      <c r="E315" s="3" t="inlineStr">
        <is>
          <t>대</t>
        </is>
      </c>
      <c r="F315" s="3" t="inlineStr">
        <is>
          <t>매매</t>
        </is>
      </c>
      <c r="G315" s="4" t="n">
        <v>64900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토지</t>
        </is>
      </c>
      <c r="E316" s="3" t="inlineStr">
        <is>
          <t>대</t>
        </is>
      </c>
      <c r="F316" s="3" t="inlineStr">
        <is>
          <t>매매</t>
        </is>
      </c>
      <c r="G316" s="4" t="n">
        <v>75000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토지</t>
        </is>
      </c>
      <c r="E317" s="3" t="inlineStr">
        <is>
          <t>대</t>
        </is>
      </c>
      <c r="F317" s="3" t="inlineStr">
        <is>
          <t>매매</t>
        </is>
      </c>
      <c r="G317" s="4" t="n">
        <v>65000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토지</t>
        </is>
      </c>
      <c r="E318" s="3" t="inlineStr">
        <is>
          <t>대</t>
        </is>
      </c>
      <c r="F318" s="3" t="inlineStr">
        <is>
          <t>매매</t>
        </is>
      </c>
      <c r="G318" s="4" t="n">
        <v>101920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토지</t>
        </is>
      </c>
      <c r="E319" s="3" t="inlineStr">
        <is>
          <t>대</t>
        </is>
      </c>
      <c r="F319" s="3" t="inlineStr">
        <is>
          <t>매매</t>
        </is>
      </c>
      <c r="G319" s="4" t="n">
        <v>79000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HYPERLINK("https://fin.land.naver.com/articles/2647095527",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명품시티</t>
        </is>
      </c>
      <c r="P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토지</t>
        </is>
      </c>
      <c r="E320" s="3" t="inlineStr">
        <is>
          <t>대</t>
        </is>
      </c>
      <c r="F320" s="3" t="inlineStr">
        <is>
          <t>매매</t>
        </is>
      </c>
      <c r="G320" s="4" t="n">
        <v>91000</v>
      </c>
      <c r="H320" s="4" t="n">
        <v>104</v>
      </c>
      <c r="I320" s="5" t="n">
        <v>875</v>
      </c>
      <c r="J320" s="5" t="n">
        <v>297.2</v>
      </c>
      <c r="K320" s="3" t="inlineStr">
        <is>
          <t>도로 접한 남향 주택 건축하기좋은 면적과 모양</t>
        </is>
      </c>
      <c r="L320" s="6">
        <f>HYPERLINK("https://fin.land.naver.com/articles/2644527861",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학하랜드</t>
        </is>
      </c>
      <c r="P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토지</t>
        </is>
      </c>
      <c r="E321" s="3" t="inlineStr">
        <is>
          <t>대</t>
        </is>
      </c>
      <c r="F321" s="3" t="inlineStr">
        <is>
          <t>매매</t>
        </is>
      </c>
      <c r="G321" s="4" t="n">
        <v>57000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토지</t>
        </is>
      </c>
      <c r="E322" s="3" t="inlineStr">
        <is>
          <t>대</t>
        </is>
      </c>
      <c r="F322" s="3" t="inlineStr">
        <is>
          <t>매매</t>
        </is>
      </c>
      <c r="G322" s="4" t="n">
        <v>70000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토지</t>
        </is>
      </c>
      <c r="E323" s="3" t="inlineStr">
        <is>
          <t>대</t>
        </is>
      </c>
      <c r="F323" s="3" t="inlineStr">
        <is>
          <t>매매</t>
        </is>
      </c>
      <c r="G323" s="4" t="n">
        <v>73500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토지</t>
        </is>
      </c>
      <c r="E324" s="3" t="inlineStr">
        <is>
          <t>대</t>
        </is>
      </c>
      <c r="F324" s="3" t="inlineStr">
        <is>
          <t>매매</t>
        </is>
      </c>
      <c r="G324" s="4" t="n">
        <v>530000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토지</t>
        </is>
      </c>
      <c r="E325" s="3" t="inlineStr">
        <is>
          <t>대</t>
        </is>
      </c>
      <c r="F325" s="3" t="inlineStr">
        <is>
          <t>매매</t>
        </is>
      </c>
      <c r="G325" s="4" t="n">
        <v>483600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토지</t>
        </is>
      </c>
      <c r="E326" s="3" t="inlineStr">
        <is>
          <t>대</t>
        </is>
      </c>
      <c r="F326" s="3" t="inlineStr">
        <is>
          <t>매매</t>
        </is>
      </c>
      <c r="G326" s="4" t="n">
        <v>539400</v>
      </c>
      <c r="H326" s="4" t="n">
        <v>186</v>
      </c>
      <c r="I326" s="5" t="n">
        <v>2900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HYPERLINK("https://fin.land.naver.com/articles/2643424136",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토지</t>
        </is>
      </c>
      <c r="E327" s="3" t="inlineStr">
        <is>
          <t>대</t>
        </is>
      </c>
      <c r="F327" s="3" t="inlineStr">
        <is>
          <t>매매</t>
        </is>
      </c>
      <c r="G327" s="4" t="n">
        <v>539400</v>
      </c>
      <c r="H327" s="4" t="n">
        <v>186</v>
      </c>
      <c r="I327" s="5" t="n">
        <v>2900</v>
      </c>
      <c r="J327" s="5" t="n">
        <v>1021.2</v>
      </c>
      <c r="K327" s="3" t="inlineStr">
        <is>
          <t>고운동 일반상업지 시립도서 다이소본점 옆 건축, 투자용 나대지 매매</t>
        </is>
      </c>
      <c r="L327" s="6">
        <f>HYPERLINK("https://fin.land.naver.com/articles/2647454080",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나침반</t>
        </is>
      </c>
      <c r="P327" s="4" t="n">
        <v>4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토지</t>
        </is>
      </c>
      <c r="E328" s="3" t="inlineStr">
        <is>
          <t>대</t>
        </is>
      </c>
      <c r="F328" s="3" t="inlineStr">
        <is>
          <t>매매</t>
        </is>
      </c>
      <c r="G328" s="4" t="n">
        <v>540000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HYPERLINK("https://fin.land.naver.com/articles/2646054776",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세종특별시</t>
        </is>
      </c>
      <c r="P328" s="4" t="n">
        <v>1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토지</t>
        </is>
      </c>
      <c r="E329" s="3" t="inlineStr">
        <is>
          <t>대</t>
        </is>
      </c>
      <c r="F329" s="3" t="inlineStr">
        <is>
          <t>매매</t>
        </is>
      </c>
      <c r="G329" s="4" t="n">
        <v>80000</v>
      </c>
      <c r="H329" s="4" t="n">
        <v>117</v>
      </c>
      <c r="I329" s="5" t="n">
        <v>683.8</v>
      </c>
      <c r="J329" s="5" t="n">
        <v>290.5</v>
      </c>
      <c r="K329" s="3" t="inlineStr">
        <is>
          <t>파크힐즈 토지매매, 삼거리 앞</t>
        </is>
      </c>
      <c r="L329" s="6">
        <f>HYPERLINK("https://fin.land.naver.com/articles/2642685946",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토지</t>
        </is>
      </c>
      <c r="E330" s="3" t="inlineStr">
        <is>
          <t>대</t>
        </is>
      </c>
      <c r="F330" s="3" t="inlineStr">
        <is>
          <t>매매</t>
        </is>
      </c>
      <c r="G330" s="4" t="n">
        <v>80000</v>
      </c>
      <c r="H330" s="4" t="n">
        <v>117</v>
      </c>
      <c r="I330" s="5" t="n">
        <v>683.8</v>
      </c>
      <c r="J330" s="5" t="n">
        <v>290.5</v>
      </c>
      <c r="K330" s="3" t="inlineStr">
        <is>
          <t>총 117p, 파크힐즈, 조율가능, 입지좋은 곳</t>
        </is>
      </c>
      <c r="L330" s="6">
        <f>HYPERLINK("https://fin.land.naver.com/articles/2648414195",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명진</t>
        </is>
      </c>
      <c r="P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토지</t>
        </is>
      </c>
      <c r="E331" s="3" t="inlineStr">
        <is>
          <t>대</t>
        </is>
      </c>
      <c r="F331" s="3" t="inlineStr">
        <is>
          <t>매매</t>
        </is>
      </c>
      <c r="G331" s="4" t="n">
        <v>85000</v>
      </c>
      <c r="H331" s="4" t="n">
        <v>120</v>
      </c>
      <c r="I331" s="5" t="n">
        <v>708.3</v>
      </c>
      <c r="J331" s="5" t="n">
        <v>293.4</v>
      </c>
      <c r="K331" s="3" t="inlineStr">
        <is>
          <t>파크힐스 최저가 부지</t>
        </is>
      </c>
      <c r="L331" s="6">
        <f>HYPERLINK("https://fin.land.naver.com/articles/2643858006",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세종삼촌</t>
        </is>
      </c>
      <c r="P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토지</t>
        </is>
      </c>
      <c r="E332" s="3" t="inlineStr">
        <is>
          <t>대</t>
        </is>
      </c>
      <c r="F332" s="3" t="inlineStr">
        <is>
          <t>매매</t>
        </is>
      </c>
      <c r="G332" s="4" t="n">
        <v>85000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토지</t>
        </is>
      </c>
      <c r="E333" s="3" t="inlineStr">
        <is>
          <t>대</t>
        </is>
      </c>
      <c r="F333" s="3" t="inlineStr">
        <is>
          <t>매매</t>
        </is>
      </c>
      <c r="G333" s="4" t="n">
        <v>85000</v>
      </c>
      <c r="H333" s="4" t="n">
        <v>120</v>
      </c>
      <c r="I333" s="5" t="n">
        <v>708.3</v>
      </c>
      <c r="J333" s="5" t="n">
        <v>293.4</v>
      </c>
      <c r="K333" s="3" t="inlineStr">
        <is>
          <t>총 120.9p, 파크힐즈 단독주택 토지, 네모반듯</t>
        </is>
      </c>
      <c r="L333" s="6">
        <f>HYPERLINK("https://fin.land.naver.com/articles/2648152800",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명진</t>
        </is>
      </c>
      <c r="P333" s="4" t="n">
        <v>1</v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토지</t>
        </is>
      </c>
      <c r="E334" s="3" t="inlineStr">
        <is>
          <t>대</t>
        </is>
      </c>
      <c r="F334" s="3" t="inlineStr">
        <is>
          <t>매매</t>
        </is>
      </c>
      <c r="G334" s="4" t="n">
        <v>80000</v>
      </c>
      <c r="H334" s="4" t="n">
        <v>120</v>
      </c>
      <c r="I334" s="5" t="n">
        <v>666.7</v>
      </c>
      <c r="J334" s="5" t="n">
        <v>293.4</v>
      </c>
      <c r="K334" s="3" t="inlineStr">
        <is>
          <t>타운하우스내 대지, 고운뜰공원산책로 및 상권 인접</t>
        </is>
      </c>
      <c r="L334" s="6">
        <f>HYPERLINK("https://fin.land.naver.com/articles/2643406777",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세종해비치</t>
        </is>
      </c>
      <c r="P334" s="4" t="n">
        <v>1</v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토지</t>
        </is>
      </c>
      <c r="E335" s="3" t="inlineStr">
        <is>
          <t>대</t>
        </is>
      </c>
      <c r="F335" s="3" t="inlineStr">
        <is>
          <t>매매</t>
        </is>
      </c>
      <c r="G335" s="4" t="n">
        <v>110000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토지</t>
        </is>
      </c>
      <c r="E336" s="3" t="inlineStr">
        <is>
          <t>대</t>
        </is>
      </c>
      <c r="F336" s="3" t="inlineStr">
        <is>
          <t>매매</t>
        </is>
      </c>
      <c r="G336" s="4" t="n">
        <v>90000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토지</t>
        </is>
      </c>
      <c r="E337" s="3" t="inlineStr">
        <is>
          <t>대</t>
        </is>
      </c>
      <c r="F337" s="3" t="inlineStr">
        <is>
          <t>매매</t>
        </is>
      </c>
      <c r="G337" s="4" t="n">
        <v>69000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토지</t>
        </is>
      </c>
      <c r="E338" s="3" t="inlineStr">
        <is>
          <t>대</t>
        </is>
      </c>
      <c r="F338" s="3" t="inlineStr">
        <is>
          <t>매매</t>
        </is>
      </c>
      <c r="G338" s="4" t="n">
        <v>120000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토지</t>
        </is>
      </c>
      <c r="E339" s="3" t="inlineStr">
        <is>
          <t>대</t>
        </is>
      </c>
      <c r="F339" s="3" t="inlineStr">
        <is>
          <t>매매</t>
        </is>
      </c>
      <c r="G339" s="4" t="n">
        <v>120000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토지</t>
        </is>
      </c>
      <c r="E340" s="3" t="inlineStr">
        <is>
          <t>대</t>
        </is>
      </c>
      <c r="F340" s="3" t="inlineStr">
        <is>
          <t>매매</t>
        </is>
      </c>
      <c r="G340" s="4" t="n">
        <v>90000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토지</t>
        </is>
      </c>
      <c r="E341" s="3" t="inlineStr">
        <is>
          <t>대</t>
        </is>
      </c>
      <c r="F341" s="3" t="inlineStr">
        <is>
          <t>매매</t>
        </is>
      </c>
      <c r="G341" s="4" t="n">
        <v>70000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생명나무</t>
        </is>
      </c>
      <c r="P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토지</t>
        </is>
      </c>
      <c r="E342" s="3" t="inlineStr">
        <is>
          <t>대</t>
        </is>
      </c>
      <c r="F342" s="3" t="inlineStr">
        <is>
          <t>매매</t>
        </is>
      </c>
      <c r="G342" s="4" t="n">
        <v>70000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토지</t>
        </is>
      </c>
      <c r="E343" s="3" t="inlineStr">
        <is>
          <t>대</t>
        </is>
      </c>
      <c r="F343" s="3" t="inlineStr">
        <is>
          <t>매매</t>
        </is>
      </c>
      <c r="G343" s="4" t="n">
        <v>70000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토지</t>
        </is>
      </c>
      <c r="E344" s="3" t="inlineStr">
        <is>
          <t>대</t>
        </is>
      </c>
      <c r="F344" s="3" t="inlineStr">
        <is>
          <t>매매</t>
        </is>
      </c>
      <c r="G344" s="4" t="n">
        <v>70000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부엉이</t>
        </is>
      </c>
      <c r="P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토지</t>
        </is>
      </c>
      <c r="E345" s="3" t="inlineStr">
        <is>
          <t>대</t>
        </is>
      </c>
      <c r="F345" s="3" t="inlineStr">
        <is>
          <t>매매</t>
        </is>
      </c>
      <c r="G345" s="4" t="n">
        <v>85000</v>
      </c>
      <c r="H345" s="4" t="n">
        <v>115</v>
      </c>
      <c r="I345" s="5" t="n">
        <v>739.1</v>
      </c>
      <c r="J345" s="5" t="n">
        <v>286.8</v>
      </c>
      <c r="K345" s="3" t="inlineStr">
        <is>
          <t>115.2p, 리안비채힐즈 토지, 조율가능, 앞쪽 위치</t>
        </is>
      </c>
      <c r="L345" s="6">
        <f>HYPERLINK("https://fin.land.naver.com/articles/2644315940",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세종무지개</t>
        </is>
      </c>
      <c r="P345" s="4" t="n">
        <v>1</v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토지</t>
        </is>
      </c>
      <c r="E346" s="3" t="inlineStr">
        <is>
          <t>대</t>
        </is>
      </c>
      <c r="F346" s="3" t="inlineStr">
        <is>
          <t>매매</t>
        </is>
      </c>
      <c r="G346" s="4" t="n">
        <v>85000</v>
      </c>
      <c r="H346" s="4" t="n">
        <v>115</v>
      </c>
      <c r="I346" s="5" t="n">
        <v>739.1</v>
      </c>
      <c r="J346" s="5" t="n">
        <v>286.8</v>
      </c>
      <c r="K346" s="3" t="inlineStr">
        <is>
          <t>115.2p, 고운동 리안비체힐즈 단독주택 토지매매</t>
        </is>
      </c>
      <c r="L346" s="6">
        <f>HYPERLINK("https://fin.land.naver.com/articles/2642876381",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명진</t>
        </is>
      </c>
      <c r="P346" s="4" t="n">
        <v>1</v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토지</t>
        </is>
      </c>
      <c r="E347" s="3" t="inlineStr">
        <is>
          <t>대</t>
        </is>
      </c>
      <c r="F347" s="3" t="inlineStr">
        <is>
          <t>매매</t>
        </is>
      </c>
      <c r="G347" s="4" t="n">
        <v>90000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토지</t>
        </is>
      </c>
      <c r="E348" s="3" t="inlineStr">
        <is>
          <t>대</t>
        </is>
      </c>
      <c r="F348" s="3" t="inlineStr">
        <is>
          <t>매매</t>
        </is>
      </c>
      <c r="G348" s="4" t="n">
        <v>73000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HYPERLINK("https://fin.land.naver.com/articles/2642876022",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토지</t>
        </is>
      </c>
      <c r="E349" s="3" t="inlineStr">
        <is>
          <t>대</t>
        </is>
      </c>
      <c r="F349" s="3" t="inlineStr">
        <is>
          <t>매매</t>
        </is>
      </c>
      <c r="G349" s="4" t="n">
        <v>70000</v>
      </c>
      <c r="H349" s="4" t="n">
        <v>108</v>
      </c>
      <c r="I349" s="5" t="n">
        <v>648.1</v>
      </c>
      <c r="J349" s="5" t="n">
        <v>357.7</v>
      </c>
      <c r="K349" s="3" t="inlineStr">
        <is>
          <t>고운동 노블테라스 토지매매</t>
        </is>
      </c>
      <c r="L349" s="6">
        <f>HYPERLINK("https://fin.land.naver.com/articles/2644106271",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고운동리치세종</t>
        </is>
      </c>
      <c r="P349" s="4" t="n">
        <v>2</v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토지</t>
        </is>
      </c>
      <c r="E350" s="3" t="inlineStr">
        <is>
          <t>대</t>
        </is>
      </c>
      <c r="F350" s="3" t="inlineStr">
        <is>
          <t>매매</t>
        </is>
      </c>
      <c r="G350" s="4" t="n">
        <v>70000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토지</t>
        </is>
      </c>
      <c r="E351" s="3" t="inlineStr">
        <is>
          <t>대</t>
        </is>
      </c>
      <c r="F351" s="3" t="inlineStr">
        <is>
          <t>매매</t>
        </is>
      </c>
      <c r="G351" s="4" t="n">
        <v>65000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토지</t>
        </is>
      </c>
      <c r="E352" s="3" t="inlineStr">
        <is>
          <t>대</t>
        </is>
      </c>
      <c r="F352" s="3" t="inlineStr">
        <is>
          <t>매매</t>
        </is>
      </c>
      <c r="G352" s="4" t="n">
        <v>60000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토지</t>
        </is>
      </c>
      <c r="E353" s="3" t="inlineStr">
        <is>
          <t>대</t>
        </is>
      </c>
      <c r="F353" s="3" t="inlineStr">
        <is>
          <t>매매</t>
        </is>
      </c>
      <c r="G353" s="4" t="n">
        <v>59000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토지</t>
        </is>
      </c>
      <c r="E354" s="3" t="inlineStr">
        <is>
          <t>대</t>
        </is>
      </c>
      <c r="F354" s="3" t="inlineStr">
        <is>
          <t>매매</t>
        </is>
      </c>
      <c r="G354" s="4" t="n">
        <v>55000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HYPERLINK("https://fin.land.naver.com/articles/2647420346",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명진</t>
        </is>
      </c>
      <c r="P354" s="4" t="n">
        <v>1</v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토지</t>
        </is>
      </c>
      <c r="E355" s="3" t="inlineStr">
        <is>
          <t>대</t>
        </is>
      </c>
      <c r="F355" s="3" t="inlineStr">
        <is>
          <t>매매</t>
        </is>
      </c>
      <c r="G355" s="4" t="n">
        <v>55000</v>
      </c>
      <c r="H355" s="4" t="n">
        <v>108</v>
      </c>
      <c r="I355" s="5" t="n">
        <v>509.3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HYPERLINK("https://fin.land.naver.com/articles/2646658111",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고운맘</t>
        </is>
      </c>
      <c r="P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토지</t>
        </is>
      </c>
      <c r="E356" s="3" t="inlineStr">
        <is>
          <t>대</t>
        </is>
      </c>
      <c r="F356" s="3" t="inlineStr">
        <is>
          <t>매매</t>
        </is>
      </c>
      <c r="G356" s="4" t="n">
        <v>49955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토지</t>
        </is>
      </c>
      <c r="E357" s="3" t="inlineStr">
        <is>
          <t>대</t>
        </is>
      </c>
      <c r="F357" s="3" t="inlineStr">
        <is>
          <t>매매</t>
        </is>
      </c>
      <c r="G357" s="4" t="n">
        <v>49955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토지</t>
        </is>
      </c>
      <c r="E358" s="3" t="inlineStr">
        <is>
          <t>대</t>
        </is>
      </c>
      <c r="F358" s="3" t="inlineStr">
        <is>
          <t>매매</t>
        </is>
      </c>
      <c r="G358" s="4" t="n">
        <v>50000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토지</t>
        </is>
      </c>
      <c r="E359" s="3" t="inlineStr">
        <is>
          <t>대</t>
        </is>
      </c>
      <c r="F359" s="3" t="inlineStr">
        <is>
          <t>매매</t>
        </is>
      </c>
      <c r="G359" s="4" t="n">
        <v>50000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HYPERLINK("https://fin.land.naver.com/articles/2647324463",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세종스타</t>
        </is>
      </c>
      <c r="P359" s="4" t="n">
        <v>1</v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토지</t>
        </is>
      </c>
      <c r="E360" s="3" t="inlineStr">
        <is>
          <t>대</t>
        </is>
      </c>
      <c r="F360" s="3" t="inlineStr">
        <is>
          <t>매매</t>
        </is>
      </c>
      <c r="G360" s="4" t="n">
        <v>50000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세종무지개</t>
        </is>
      </c>
      <c r="P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토지</t>
        </is>
      </c>
      <c r="E361" s="3" t="inlineStr">
        <is>
          <t>대</t>
        </is>
      </c>
      <c r="F361" s="3" t="inlineStr">
        <is>
          <t>매매</t>
        </is>
      </c>
      <c r="G361" s="4" t="n">
        <v>150000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토지</t>
        </is>
      </c>
      <c r="E362" s="3" t="inlineStr">
        <is>
          <t>대</t>
        </is>
      </c>
      <c r="F362" s="3" t="inlineStr">
        <is>
          <t>매매</t>
        </is>
      </c>
      <c r="G362" s="4" t="n">
        <v>150000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토지</t>
        </is>
      </c>
      <c r="E363" s="3" t="inlineStr">
        <is>
          <t>대</t>
        </is>
      </c>
      <c r="F363" s="3" t="inlineStr">
        <is>
          <t>매매</t>
        </is>
      </c>
      <c r="G363" s="4" t="n">
        <v>150000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토지</t>
        </is>
      </c>
      <c r="E364" s="3" t="inlineStr">
        <is>
          <t>대</t>
        </is>
      </c>
      <c r="F364" s="3" t="inlineStr">
        <is>
          <t>매매</t>
        </is>
      </c>
      <c r="G364" s="4" t="n">
        <v>50000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토지</t>
        </is>
      </c>
      <c r="E365" s="3" t="inlineStr">
        <is>
          <t>대</t>
        </is>
      </c>
      <c r="F365" s="3" t="inlineStr">
        <is>
          <t>매매</t>
        </is>
      </c>
      <c r="G365" s="4" t="n">
        <v>56000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토지</t>
        </is>
      </c>
      <c r="E366" s="3" t="inlineStr">
        <is>
          <t>대</t>
        </is>
      </c>
      <c r="F366" s="3" t="inlineStr">
        <is>
          <t>매매</t>
        </is>
      </c>
      <c r="G366" s="4" t="n">
        <v>56000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토지</t>
        </is>
      </c>
      <c r="E367" s="3" t="inlineStr">
        <is>
          <t>대</t>
        </is>
      </c>
      <c r="F367" s="3" t="inlineStr">
        <is>
          <t>매매</t>
        </is>
      </c>
      <c r="G367" s="4" t="n">
        <v>56000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토지</t>
        </is>
      </c>
      <c r="E368" s="3" t="inlineStr">
        <is>
          <t>대</t>
        </is>
      </c>
      <c r="F368" s="3" t="inlineStr">
        <is>
          <t>매매</t>
        </is>
      </c>
      <c r="G368" s="4" t="n">
        <v>43000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토지</t>
        </is>
      </c>
      <c r="E369" s="3" t="inlineStr">
        <is>
          <t>대</t>
        </is>
      </c>
      <c r="F369" s="3" t="inlineStr">
        <is>
          <t>매매</t>
        </is>
      </c>
      <c r="G369" s="4" t="n">
        <v>50000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토지</t>
        </is>
      </c>
      <c r="E370" s="3" t="inlineStr">
        <is>
          <t>대</t>
        </is>
      </c>
      <c r="F370" s="3" t="inlineStr">
        <is>
          <t>매매</t>
        </is>
      </c>
      <c r="G370" s="4" t="n">
        <v>45000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토지</t>
        </is>
      </c>
      <c r="E371" s="3" t="inlineStr">
        <is>
          <t>대</t>
        </is>
      </c>
      <c r="F371" s="3" t="inlineStr">
        <is>
          <t>매매</t>
        </is>
      </c>
      <c r="G371" s="4" t="n">
        <v>45000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토지</t>
        </is>
      </c>
      <c r="E372" s="3" t="inlineStr">
        <is>
          <t>대</t>
        </is>
      </c>
      <c r="F372" s="3" t="inlineStr">
        <is>
          <t>매매</t>
        </is>
      </c>
      <c r="G372" s="4" t="n">
        <v>66000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토지</t>
        </is>
      </c>
      <c r="E373" s="3" t="inlineStr">
        <is>
          <t>대</t>
        </is>
      </c>
      <c r="F373" s="3" t="inlineStr">
        <is>
          <t>매매</t>
        </is>
      </c>
      <c r="G373" s="4" t="n">
        <v>49500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토지</t>
        </is>
      </c>
      <c r="E374" s="3" t="inlineStr">
        <is>
          <t>대</t>
        </is>
      </c>
      <c r="F374" s="3" t="inlineStr">
        <is>
          <t>매매</t>
        </is>
      </c>
      <c r="G374" s="4" t="n">
        <v>38000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HYPERLINK("https://fin.land.naver.com/articles/2647319640",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SD</t>
        </is>
      </c>
      <c r="P374" s="4" t="n">
        <v>1</v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토지</t>
        </is>
      </c>
      <c r="E375" s="3" t="inlineStr">
        <is>
          <t>대</t>
        </is>
      </c>
      <c r="F375" s="3" t="inlineStr">
        <is>
          <t>매매</t>
        </is>
      </c>
      <c r="G375" s="4" t="n">
        <v>38000</v>
      </c>
      <c r="H375" s="4" t="n">
        <v>76</v>
      </c>
      <c r="I375" s="5" t="n">
        <v>500</v>
      </c>
      <c r="J375" s="5" t="n">
        <v>319.6</v>
      </c>
      <c r="K375" s="3" t="inlineStr">
        <is>
          <t>고운동 코지빌 택지</t>
        </is>
      </c>
      <c r="L375" s="6">
        <f>HYPERLINK("https://fin.land.naver.com/articles/2644547904",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강아지풀</t>
        </is>
      </c>
      <c r="P375" s="4" t="n">
        <v>2</v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토지</t>
        </is>
      </c>
      <c r="E376" s="3" t="inlineStr">
        <is>
          <t>대</t>
        </is>
      </c>
      <c r="F376" s="3" t="inlineStr">
        <is>
          <t>매매</t>
        </is>
      </c>
      <c r="G376" s="4" t="n">
        <v>53000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토지</t>
        </is>
      </c>
      <c r="E377" s="3" t="inlineStr">
        <is>
          <t>대</t>
        </is>
      </c>
      <c r="F377" s="3" t="inlineStr">
        <is>
          <t>매매</t>
        </is>
      </c>
      <c r="G377" s="4" t="n">
        <v>49000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토지</t>
        </is>
      </c>
      <c r="E378" s="3" t="inlineStr">
        <is>
          <t>대</t>
        </is>
      </c>
      <c r="F378" s="3" t="inlineStr">
        <is>
          <t>매매</t>
        </is>
      </c>
      <c r="G378" s="4" t="n">
        <v>49000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토지</t>
        </is>
      </c>
      <c r="E379" s="3" t="inlineStr">
        <is>
          <t>대</t>
        </is>
      </c>
      <c r="F379" s="3" t="inlineStr">
        <is>
          <t>매매</t>
        </is>
      </c>
      <c r="G379" s="4" t="n">
        <v>50000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토지</t>
        </is>
      </c>
      <c r="E380" s="3" t="inlineStr">
        <is>
          <t>대</t>
        </is>
      </c>
      <c r="F380" s="3" t="inlineStr">
        <is>
          <t>매매</t>
        </is>
      </c>
      <c r="G380" s="4" t="n">
        <v>44000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HYPERLINK("https://fin.land.naver.com/articles/2645385552",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세종무지개</t>
        </is>
      </c>
      <c r="P380" s="4" t="n">
        <v>1</v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토지</t>
        </is>
      </c>
      <c r="E381" s="3" t="inlineStr">
        <is>
          <t>대</t>
        </is>
      </c>
      <c r="F381" s="3" t="inlineStr">
        <is>
          <t>매매</t>
        </is>
      </c>
      <c r="G381" s="4" t="n">
        <v>44000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HYPERLINK("https://fin.land.naver.com/articles/2644701452",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고운동리치세종</t>
        </is>
      </c>
      <c r="P381" s="4" t="n">
        <v>1</v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토지</t>
        </is>
      </c>
      <c r="E382" s="3" t="inlineStr">
        <is>
          <t>대</t>
        </is>
      </c>
      <c r="F382" s="3" t="inlineStr">
        <is>
          <t>매매</t>
        </is>
      </c>
      <c r="G382" s="4" t="n">
        <v>44000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토지</t>
        </is>
      </c>
      <c r="E383" s="3" t="inlineStr">
        <is>
          <t>대</t>
        </is>
      </c>
      <c r="F383" s="3" t="inlineStr">
        <is>
          <t>매매</t>
        </is>
      </c>
      <c r="G383" s="4" t="n">
        <v>66000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토지</t>
        </is>
      </c>
      <c r="E384" s="3" t="inlineStr">
        <is>
          <t>대</t>
        </is>
      </c>
      <c r="F384" s="3" t="inlineStr">
        <is>
          <t>매매</t>
        </is>
      </c>
      <c r="G384" s="4" t="n">
        <v>42000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토지</t>
        </is>
      </c>
      <c r="E385" s="3" t="inlineStr">
        <is>
          <t>대</t>
        </is>
      </c>
      <c r="F385" s="3" t="inlineStr">
        <is>
          <t>매매</t>
        </is>
      </c>
      <c r="G385" s="4" t="n">
        <v>45000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토지</t>
        </is>
      </c>
      <c r="E386" s="3" t="inlineStr">
        <is>
          <t>대</t>
        </is>
      </c>
      <c r="F386" s="3" t="inlineStr">
        <is>
          <t>매매</t>
        </is>
      </c>
      <c r="G386" s="4" t="n">
        <v>62000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토지</t>
        </is>
      </c>
      <c r="E387" s="3" t="inlineStr">
        <is>
          <t>대</t>
        </is>
      </c>
      <c r="F387" s="3" t="inlineStr">
        <is>
          <t>매매</t>
        </is>
      </c>
      <c r="G387" s="4" t="n">
        <v>65000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토지</t>
        </is>
      </c>
      <c r="E388" s="3" t="inlineStr">
        <is>
          <t>대</t>
        </is>
      </c>
      <c r="F388" s="3" t="inlineStr">
        <is>
          <t>매매</t>
        </is>
      </c>
      <c r="G388" s="4" t="n">
        <v>57000</v>
      </c>
      <c r="H388" s="4" t="n">
        <v>104</v>
      </c>
      <c r="I388" s="5" t="n">
        <v>548.1</v>
      </c>
      <c r="J388" s="5" t="n">
        <v>315.1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토지</t>
        </is>
      </c>
      <c r="E389" s="3" t="inlineStr">
        <is>
          <t>대</t>
        </is>
      </c>
      <c r="F389" s="3" t="inlineStr">
        <is>
          <t>매매</t>
        </is>
      </c>
      <c r="G389" s="4" t="n">
        <v>52000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토지</t>
        </is>
      </c>
      <c r="E390" s="3" t="inlineStr">
        <is>
          <t>대</t>
        </is>
      </c>
      <c r="F390" s="3" t="inlineStr">
        <is>
          <t>매매</t>
        </is>
      </c>
      <c r="G390" s="4" t="n">
        <v>52000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토지</t>
        </is>
      </c>
      <c r="E391" s="3" t="inlineStr">
        <is>
          <t>대</t>
        </is>
      </c>
      <c r="F391" s="3" t="inlineStr">
        <is>
          <t>매매</t>
        </is>
      </c>
      <c r="G391" s="4" t="n">
        <v>52000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고운맘</t>
        </is>
      </c>
      <c r="P391" s="4" t="n">
        <v>1</v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토지</t>
        </is>
      </c>
      <c r="E392" s="3" t="inlineStr">
        <is>
          <t>대</t>
        </is>
      </c>
      <c r="F392" s="3" t="inlineStr">
        <is>
          <t>매매</t>
        </is>
      </c>
      <c r="G392" s="4" t="n">
        <v>59000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토지</t>
        </is>
      </c>
      <c r="E393" s="3" t="inlineStr">
        <is>
          <t>대</t>
        </is>
      </c>
      <c r="F393" s="3" t="inlineStr">
        <is>
          <t>매매</t>
        </is>
      </c>
      <c r="G393" s="4" t="n">
        <v>65000</v>
      </c>
      <c r="H393" s="4" t="n">
        <v>106</v>
      </c>
      <c r="I393" s="5" t="n">
        <v>613.2</v>
      </c>
      <c r="J393" s="5" t="n">
        <v>315.1</v>
      </c>
      <c r="K393" s="3" t="inlineStr">
        <is>
          <t>총 106.85p, 고운동 공원인근</t>
        </is>
      </c>
      <c r="L393" s="6">
        <f>HYPERLINK("https://fin.land.naver.com/articles/2642822639",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세종무지개</t>
        </is>
      </c>
      <c r="P393" s="4" t="n">
        <v>1</v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토지</t>
        </is>
      </c>
      <c r="E394" s="3" t="inlineStr">
        <is>
          <t>대</t>
        </is>
      </c>
      <c r="F394" s="3" t="inlineStr">
        <is>
          <t>매매</t>
        </is>
      </c>
      <c r="G394" s="4" t="n">
        <v>65000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HYPERLINK("https://fin.land.naver.com/articles/2642883852",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명진</t>
        </is>
      </c>
      <c r="P394" s="4" t="n">
        <v>1</v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토지</t>
        </is>
      </c>
      <c r="E395" s="3" t="inlineStr">
        <is>
          <t>대</t>
        </is>
      </c>
      <c r="F395" s="3" t="inlineStr">
        <is>
          <t>매매</t>
        </is>
      </c>
      <c r="G395" s="4" t="n">
        <v>82000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토지</t>
        </is>
      </c>
      <c r="E396" s="3" t="inlineStr">
        <is>
          <t>대</t>
        </is>
      </c>
      <c r="F396" s="3" t="inlineStr">
        <is>
          <t>매매</t>
        </is>
      </c>
      <c r="G396" s="4" t="n">
        <v>55000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토지</t>
        </is>
      </c>
      <c r="E397" s="3" t="inlineStr">
        <is>
          <t>대</t>
        </is>
      </c>
      <c r="F397" s="3" t="inlineStr">
        <is>
          <t>매매</t>
        </is>
      </c>
      <c r="G397" s="4" t="n">
        <v>65000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토지</t>
        </is>
      </c>
      <c r="E398" s="3" t="inlineStr">
        <is>
          <t>대</t>
        </is>
      </c>
      <c r="F398" s="3" t="inlineStr">
        <is>
          <t>매매</t>
        </is>
      </c>
      <c r="G398" s="4" t="n">
        <v>69000</v>
      </c>
      <c r="H398" s="4" t="n">
        <v>109</v>
      </c>
      <c r="I398" s="5" t="n">
        <v>633</v>
      </c>
      <c r="J398" s="5" t="n">
        <v>315.1</v>
      </c>
      <c r="K398" s="3" t="inlineStr">
        <is>
          <t>조율가능O 학군좋고 교통편리한곳 벙커주차가능한 귀한택지 측량완료</t>
        </is>
      </c>
      <c r="L398" s="6">
        <f>HYPERLINK("https://fin.land.naver.com/articles/2644604851",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현</t>
        </is>
      </c>
      <c r="P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토지</t>
        </is>
      </c>
      <c r="E399" s="3" t="inlineStr">
        <is>
          <t>대</t>
        </is>
      </c>
      <c r="F399" s="3" t="inlineStr">
        <is>
          <t>매매</t>
        </is>
      </c>
      <c r="G399" s="4" t="n">
        <v>69000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토지</t>
        </is>
      </c>
      <c r="E400" s="3" t="inlineStr">
        <is>
          <t>대</t>
        </is>
      </c>
      <c r="F400" s="3" t="inlineStr">
        <is>
          <t>매매</t>
        </is>
      </c>
      <c r="G400" s="4" t="n">
        <v>69000</v>
      </c>
      <c r="H400" s="4" t="n">
        <v>109</v>
      </c>
      <c r="I400" s="5" t="n">
        <v>633</v>
      </c>
      <c r="J400" s="5" t="n">
        <v>315.1</v>
      </c>
      <c r="K400" s="3" t="inlineStr">
        <is>
          <t>도로에서단차가있는토지로벙커주차장가능한귀한땅,측량완료,상가,학교가까움</t>
        </is>
      </c>
      <c r="L400" s="6">
        <f>HYPERLINK("https://fin.land.naver.com/articles/2648318178",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김하나</t>
        </is>
      </c>
      <c r="P400" s="4" t="n">
        <v>1</v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토지</t>
        </is>
      </c>
      <c r="E401" s="3" t="inlineStr">
        <is>
          <t>대</t>
        </is>
      </c>
      <c r="F401" s="3" t="inlineStr">
        <is>
          <t>매매</t>
        </is>
      </c>
      <c r="G401" s="4" t="n">
        <v>69000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토지</t>
        </is>
      </c>
      <c r="E402" s="3" t="inlineStr">
        <is>
          <t>대</t>
        </is>
      </c>
      <c r="F402" s="3" t="inlineStr">
        <is>
          <t>매매</t>
        </is>
      </c>
      <c r="G402" s="4" t="n">
        <v>60000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토지</t>
        </is>
      </c>
      <c r="E403" s="3" t="inlineStr">
        <is>
          <t>대</t>
        </is>
      </c>
      <c r="F403" s="3" t="inlineStr">
        <is>
          <t>매매</t>
        </is>
      </c>
      <c r="G403" s="4" t="n">
        <v>60000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HYPERLINK("https://fin.land.naver.com/articles/2647426014",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세종무지개</t>
        </is>
      </c>
      <c r="P403" s="4" t="n">
        <v>1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토지</t>
        </is>
      </c>
      <c r="E404" s="3" t="inlineStr">
        <is>
          <t>대</t>
        </is>
      </c>
      <c r="F404" s="3" t="inlineStr">
        <is>
          <t>매매</t>
        </is>
      </c>
      <c r="G404" s="4" t="n">
        <v>60000</v>
      </c>
      <c r="H404" s="4" t="n">
        <v>111</v>
      </c>
      <c r="I404" s="5" t="n">
        <v>540.5</v>
      </c>
      <c r="J404" s="5" t="n">
        <v>358.7</v>
      </c>
      <c r="K404" s="3" t="inlineStr">
        <is>
          <t>조절가능  넓은평수</t>
        </is>
      </c>
      <c r="L404" s="6">
        <f>HYPERLINK("https://fin.land.naver.com/articles/2645684744",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세종시토지</t>
        </is>
      </c>
      <c r="P404" s="4" t="n">
        <v>2</v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토지</t>
        </is>
      </c>
      <c r="E405" s="3" t="inlineStr">
        <is>
          <t>대</t>
        </is>
      </c>
      <c r="F405" s="3" t="inlineStr">
        <is>
          <t>매매</t>
        </is>
      </c>
      <c r="G405" s="4" t="n">
        <v>60000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고운맘</t>
        </is>
      </c>
      <c r="P405" s="4" t="n">
        <v>1</v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토지</t>
        </is>
      </c>
      <c r="E406" s="3" t="inlineStr">
        <is>
          <t>대</t>
        </is>
      </c>
      <c r="F406" s="3" t="inlineStr">
        <is>
          <t>매매</t>
        </is>
      </c>
      <c r="G406" s="4" t="n">
        <v>60000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토지</t>
        </is>
      </c>
      <c r="E407" s="3" t="inlineStr">
        <is>
          <t>대</t>
        </is>
      </c>
      <c r="F407" s="3" t="inlineStr">
        <is>
          <t>매매</t>
        </is>
      </c>
      <c r="G407" s="4" t="n">
        <v>109000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토지</t>
        </is>
      </c>
      <c r="E408" s="3" t="inlineStr">
        <is>
          <t>대</t>
        </is>
      </c>
      <c r="F408" s="3" t="inlineStr">
        <is>
          <t>매매</t>
        </is>
      </c>
      <c r="G408" s="4" t="n">
        <v>62000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토지</t>
        </is>
      </c>
      <c r="E409" s="3" t="inlineStr">
        <is>
          <t>대</t>
        </is>
      </c>
      <c r="F409" s="3" t="inlineStr">
        <is>
          <t>매매</t>
        </is>
      </c>
      <c r="G409" s="4" t="n">
        <v>62000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토지</t>
        </is>
      </c>
      <c r="E410" s="3" t="inlineStr">
        <is>
          <t>대</t>
        </is>
      </c>
      <c r="F410" s="3" t="inlineStr">
        <is>
          <t>매매</t>
        </is>
      </c>
      <c r="G410" s="4" t="n">
        <v>62000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토지</t>
        </is>
      </c>
      <c r="E411" s="3" t="inlineStr">
        <is>
          <t>대</t>
        </is>
      </c>
      <c r="F411" s="3" t="inlineStr">
        <is>
          <t>매매</t>
        </is>
      </c>
      <c r="G411" s="4" t="n">
        <v>60000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토지</t>
        </is>
      </c>
      <c r="E412" s="3" t="inlineStr">
        <is>
          <t>대</t>
        </is>
      </c>
      <c r="F412" s="3" t="inlineStr">
        <is>
          <t>매매</t>
        </is>
      </c>
      <c r="G412" s="4" t="n">
        <v>70000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토지</t>
        </is>
      </c>
      <c r="E413" s="3" t="inlineStr">
        <is>
          <t>대</t>
        </is>
      </c>
      <c r="F413" s="3" t="inlineStr">
        <is>
          <t>매매</t>
        </is>
      </c>
      <c r="G413" s="4" t="n">
        <v>69000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토지</t>
        </is>
      </c>
      <c r="E414" s="3" t="inlineStr">
        <is>
          <t>대</t>
        </is>
      </c>
      <c r="F414" s="3" t="inlineStr">
        <is>
          <t>매매</t>
        </is>
      </c>
      <c r="G414" s="4" t="n">
        <v>57000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토지</t>
        </is>
      </c>
      <c r="E415" s="3" t="inlineStr">
        <is>
          <t>대</t>
        </is>
      </c>
      <c r="F415" s="3" t="inlineStr">
        <is>
          <t>매매</t>
        </is>
      </c>
      <c r="G415" s="4" t="n">
        <v>57000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토지</t>
        </is>
      </c>
      <c r="E416" s="3" t="inlineStr">
        <is>
          <t>대</t>
        </is>
      </c>
      <c r="F416" s="3" t="inlineStr">
        <is>
          <t>매매</t>
        </is>
      </c>
      <c r="G416" s="4" t="n">
        <v>60000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토지</t>
        </is>
      </c>
      <c r="E417" s="3" t="inlineStr">
        <is>
          <t>대</t>
        </is>
      </c>
      <c r="F417" s="3" t="inlineStr">
        <is>
          <t>매매</t>
        </is>
      </c>
      <c r="G417" s="4" t="n">
        <v>68000</v>
      </c>
      <c r="H417" s="4" t="n">
        <v>162</v>
      </c>
      <c r="I417" s="5" t="n">
        <v>419.8</v>
      </c>
      <c r="J417" s="5" t="n">
        <v>278</v>
      </c>
      <c r="K417" s="3" t="inlineStr">
        <is>
          <t>급매물 다정동 주거용지</t>
        </is>
      </c>
      <c r="L417" s="6">
        <f>HYPERLINK("https://fin.land.naver.com/articles/2643828326",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세종삼촌</t>
        </is>
      </c>
      <c r="P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토지</t>
        </is>
      </c>
      <c r="E418" s="3" t="inlineStr">
        <is>
          <t>대</t>
        </is>
      </c>
      <c r="F418" s="3" t="inlineStr">
        <is>
          <t>매매</t>
        </is>
      </c>
      <c r="G418" s="4" t="n">
        <v>68000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토지</t>
        </is>
      </c>
      <c r="E419" s="3" t="inlineStr">
        <is>
          <t>대</t>
        </is>
      </c>
      <c r="F419" s="3" t="inlineStr">
        <is>
          <t>매매</t>
        </is>
      </c>
      <c r="G419" s="4" t="n">
        <v>68000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HYPERLINK("https://fin.land.naver.com/articles/2644187344",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세종무지개</t>
        </is>
      </c>
      <c r="P419" s="4" t="n">
        <v>1</v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토지</t>
        </is>
      </c>
      <c r="E420" s="3" t="inlineStr">
        <is>
          <t>대</t>
        </is>
      </c>
      <c r="F420" s="3" t="inlineStr">
        <is>
          <t>매매</t>
        </is>
      </c>
      <c r="G420" s="4" t="n">
        <v>68000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킹세종</t>
        </is>
      </c>
      <c r="P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토지</t>
        </is>
      </c>
      <c r="E421" s="3" t="inlineStr">
        <is>
          <t>대</t>
        </is>
      </c>
      <c r="F421" s="3" t="inlineStr">
        <is>
          <t>매매</t>
        </is>
      </c>
      <c r="G421" s="4" t="n">
        <v>60000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토지</t>
        </is>
      </c>
      <c r="E422" s="3" t="inlineStr">
        <is>
          <t>대</t>
        </is>
      </c>
      <c r="F422" s="3" t="inlineStr">
        <is>
          <t>매매</t>
        </is>
      </c>
      <c r="G422" s="4" t="n">
        <v>60000</v>
      </c>
      <c r="H422" s="4" t="n">
        <v>91</v>
      </c>
      <c r="I422" s="5" t="n">
        <v>659.3</v>
      </c>
      <c r="J422" s="5" t="n">
        <v>292.7</v>
      </c>
      <c r="K422" s="3" t="inlineStr">
        <is>
          <t>급매 정남향 넓은 시유지접함 조율가능</t>
        </is>
      </c>
      <c r="L422" s="6">
        <f>HYPERLINK("https://fin.land.naver.com/articles/2645721062",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세종스타</t>
        </is>
      </c>
      <c r="P422" s="4" t="n">
        <v>2</v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토지</t>
        </is>
      </c>
      <c r="E423" s="3" t="inlineStr">
        <is>
          <t>대</t>
        </is>
      </c>
      <c r="F423" s="3" t="inlineStr">
        <is>
          <t>매매</t>
        </is>
      </c>
      <c r="G423" s="4" t="n">
        <v>60000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HYPERLINK("https://fin.land.naver.com/articles/2642882907",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명진</t>
        </is>
      </c>
      <c r="P423" s="4" t="n">
        <v>1</v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토지</t>
        </is>
      </c>
      <c r="E424" s="3" t="inlineStr">
        <is>
          <t>대</t>
        </is>
      </c>
      <c r="F424" s="3" t="inlineStr">
        <is>
          <t>매매</t>
        </is>
      </c>
      <c r="G424" s="4" t="n">
        <v>47000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토지</t>
        </is>
      </c>
      <c r="E425" s="3" t="inlineStr">
        <is>
          <t>대</t>
        </is>
      </c>
      <c r="F425" s="3" t="inlineStr">
        <is>
          <t>매매</t>
        </is>
      </c>
      <c r="G425" s="4" t="n">
        <v>62000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토지</t>
        </is>
      </c>
      <c r="E426" s="3" t="inlineStr">
        <is>
          <t>대</t>
        </is>
      </c>
      <c r="F426" s="3" t="inlineStr">
        <is>
          <t>매매</t>
        </is>
      </c>
      <c r="G426" s="4" t="n">
        <v>43000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토지</t>
        </is>
      </c>
      <c r="E427" s="3" t="inlineStr">
        <is>
          <t>대</t>
        </is>
      </c>
      <c r="F427" s="3" t="inlineStr">
        <is>
          <t>매매</t>
        </is>
      </c>
      <c r="G427" s="4" t="n">
        <v>43000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토지</t>
        </is>
      </c>
      <c r="E428" s="3" t="inlineStr">
        <is>
          <t>대</t>
        </is>
      </c>
      <c r="F428" s="3" t="inlineStr">
        <is>
          <t>매매</t>
        </is>
      </c>
      <c r="G428" s="4" t="n">
        <v>43000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토지</t>
        </is>
      </c>
      <c r="E429" s="3" t="inlineStr">
        <is>
          <t>대</t>
        </is>
      </c>
      <c r="F429" s="3" t="inlineStr">
        <is>
          <t>매매</t>
        </is>
      </c>
      <c r="G429" s="4" t="n">
        <v>62000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토지</t>
        </is>
      </c>
      <c r="E430" s="3" t="inlineStr">
        <is>
          <t>대</t>
        </is>
      </c>
      <c r="F430" s="3" t="inlineStr">
        <is>
          <t>매매</t>
        </is>
      </c>
      <c r="G430" s="4" t="n">
        <v>45000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HYPERLINK("https://fin.land.naver.com/articles/2642703875",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세종금주</t>
        </is>
      </c>
      <c r="P430" s="4" t="n">
        <v>1</v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토지</t>
        </is>
      </c>
      <c r="E431" s="3" t="inlineStr">
        <is>
          <t>대</t>
        </is>
      </c>
      <c r="F431" s="3" t="inlineStr">
        <is>
          <t>매매</t>
        </is>
      </c>
      <c r="G431" s="4" t="n">
        <v>45000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HYPERLINK("https://fin.land.naver.com/articles/2644917555",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세종스타</t>
        </is>
      </c>
      <c r="P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토지</t>
        </is>
      </c>
      <c r="E432" s="3" t="inlineStr">
        <is>
          <t>대</t>
        </is>
      </c>
      <c r="F432" s="3" t="inlineStr">
        <is>
          <t>매매</t>
        </is>
      </c>
      <c r="G432" s="4" t="n">
        <v>67000</v>
      </c>
      <c r="H432" s="4" t="n">
        <v>112</v>
      </c>
      <c r="I432" s="5" t="n">
        <v>598.2</v>
      </c>
      <c r="J432" s="5" t="n">
        <v>341.2</v>
      </c>
      <c r="K432" s="3" t="inlineStr">
        <is>
          <t>남향이면서 코너자리 입지최고 가격조정가능</t>
        </is>
      </c>
      <c r="L432" s="6">
        <f>HYPERLINK("https://fin.land.naver.com/articles/2642745264",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고운동리치세종</t>
        </is>
      </c>
      <c r="P432" s="4" t="n">
        <v>1</v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토지</t>
        </is>
      </c>
      <c r="E433" s="3" t="inlineStr">
        <is>
          <t>대</t>
        </is>
      </c>
      <c r="F433" s="3" t="inlineStr">
        <is>
          <t>매매</t>
        </is>
      </c>
      <c r="G433" s="4" t="n">
        <v>67000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토지</t>
        </is>
      </c>
      <c r="E434" s="3" t="inlineStr">
        <is>
          <t>대</t>
        </is>
      </c>
      <c r="F434" s="3" t="inlineStr">
        <is>
          <t>매매</t>
        </is>
      </c>
      <c r="G434" s="4" t="n">
        <v>67000</v>
      </c>
      <c r="H434" s="4" t="n">
        <v>112</v>
      </c>
      <c r="I434" s="5" t="n">
        <v>598.2</v>
      </c>
      <c r="J434" s="5" t="n">
        <v>341.2</v>
      </c>
      <c r="K434" s="3" t="inlineStr">
        <is>
          <t>다정동 단독주택토지, 코너입지, 111.8p</t>
        </is>
      </c>
      <c r="L434" s="6">
        <f>HYPERLINK("https://fin.land.naver.com/articles/2646692103",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세종무지개</t>
        </is>
      </c>
      <c r="P434" s="4" t="n">
        <v>1</v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토지</t>
        </is>
      </c>
      <c r="E435" s="3" t="inlineStr">
        <is>
          <t>대</t>
        </is>
      </c>
      <c r="F435" s="3" t="inlineStr">
        <is>
          <t>매매</t>
        </is>
      </c>
      <c r="G435" s="4" t="n">
        <v>83000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HYPERLINK("https://fin.land.naver.com/articles/2644479943",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세종무지개</t>
        </is>
      </c>
      <c r="P435" s="4" t="n">
        <v>1</v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토지</t>
        </is>
      </c>
      <c r="E436" s="3" t="inlineStr">
        <is>
          <t>대</t>
        </is>
      </c>
      <c r="F436" s="3" t="inlineStr">
        <is>
          <t>매매</t>
        </is>
      </c>
      <c r="G436" s="4" t="n">
        <v>83625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명진</t>
        </is>
      </c>
      <c r="P436" s="4" t="n">
        <v>1</v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토지</t>
        </is>
      </c>
      <c r="E437" s="3" t="inlineStr">
        <is>
          <t>대</t>
        </is>
      </c>
      <c r="F437" s="3" t="inlineStr">
        <is>
          <t>매매</t>
        </is>
      </c>
      <c r="G437" s="4" t="n">
        <v>50000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토지</t>
        </is>
      </c>
      <c r="E438" s="3" t="inlineStr">
        <is>
          <t>대</t>
        </is>
      </c>
      <c r="F438" s="3" t="inlineStr">
        <is>
          <t>매매</t>
        </is>
      </c>
      <c r="G438" s="4" t="n">
        <v>69500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토지</t>
        </is>
      </c>
      <c r="E439" s="3" t="inlineStr">
        <is>
          <t>대</t>
        </is>
      </c>
      <c r="F439" s="3" t="inlineStr">
        <is>
          <t>매매</t>
        </is>
      </c>
      <c r="G439" s="4" t="n">
        <v>69500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토지</t>
        </is>
      </c>
      <c r="E440" s="3" t="inlineStr">
        <is>
          <t>대</t>
        </is>
      </c>
      <c r="F440" s="3" t="inlineStr">
        <is>
          <t>매매</t>
        </is>
      </c>
      <c r="G440" s="4" t="n">
        <v>55000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토지</t>
        </is>
      </c>
      <c r="E441" s="3" t="inlineStr">
        <is>
          <t>대</t>
        </is>
      </c>
      <c r="F441" s="3" t="inlineStr">
        <is>
          <t>매매</t>
        </is>
      </c>
      <c r="G441" s="4" t="n">
        <v>44000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토지</t>
        </is>
      </c>
      <c r="E442" s="3" t="inlineStr">
        <is>
          <t>대</t>
        </is>
      </c>
      <c r="F442" s="3" t="inlineStr">
        <is>
          <t>매매</t>
        </is>
      </c>
      <c r="G442" s="4" t="n">
        <v>69500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토지</t>
        </is>
      </c>
      <c r="E443" s="3" t="inlineStr">
        <is>
          <t>대</t>
        </is>
      </c>
      <c r="F443" s="3" t="inlineStr">
        <is>
          <t>매매</t>
        </is>
      </c>
      <c r="G443" s="4" t="n">
        <v>50000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토지</t>
        </is>
      </c>
      <c r="E444" s="3" t="inlineStr">
        <is>
          <t>대</t>
        </is>
      </c>
      <c r="F444" s="3" t="inlineStr">
        <is>
          <t>매매</t>
        </is>
      </c>
      <c r="G444" s="4" t="n">
        <v>45000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토지</t>
        </is>
      </c>
      <c r="E445" s="3" t="inlineStr">
        <is>
          <t>대</t>
        </is>
      </c>
      <c r="F445" s="3" t="inlineStr">
        <is>
          <t>매매</t>
        </is>
      </c>
      <c r="G445" s="4" t="n">
        <v>42000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토지</t>
        </is>
      </c>
      <c r="E446" s="3" t="inlineStr">
        <is>
          <t>대</t>
        </is>
      </c>
      <c r="F446" s="3" t="inlineStr">
        <is>
          <t>매매</t>
        </is>
      </c>
      <c r="G446" s="4" t="n">
        <v>50000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토지</t>
        </is>
      </c>
      <c r="E447" s="3" t="inlineStr">
        <is>
          <t>대</t>
        </is>
      </c>
      <c r="F447" s="3" t="inlineStr">
        <is>
          <t>매매</t>
        </is>
      </c>
      <c r="G447" s="4" t="n">
        <v>75000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토지</t>
        </is>
      </c>
      <c r="E448" s="3" t="inlineStr">
        <is>
          <t>대</t>
        </is>
      </c>
      <c r="F448" s="3" t="inlineStr">
        <is>
          <t>매매</t>
        </is>
      </c>
      <c r="G448" s="4" t="n">
        <v>59500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토지</t>
        </is>
      </c>
      <c r="E449" s="3" t="inlineStr">
        <is>
          <t>대</t>
        </is>
      </c>
      <c r="F449" s="3" t="inlineStr">
        <is>
          <t>매매</t>
        </is>
      </c>
      <c r="G449" s="4" t="n">
        <v>83500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토지</t>
        </is>
      </c>
      <c r="E450" s="3" t="inlineStr">
        <is>
          <t>대</t>
        </is>
      </c>
      <c r="F450" s="3" t="inlineStr">
        <is>
          <t>매매</t>
        </is>
      </c>
      <c r="G450" s="4" t="n">
        <v>73000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디아트성심</t>
        </is>
      </c>
      <c r="P450" s="4" t="n">
        <v>1</v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토지</t>
        </is>
      </c>
      <c r="E451" s="3" t="inlineStr">
        <is>
          <t>대</t>
        </is>
      </c>
      <c r="F451" s="3" t="inlineStr">
        <is>
          <t>매매</t>
        </is>
      </c>
      <c r="G451" s="4" t="n">
        <v>73000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HYPERLINK("https://fin.land.naver.com/articles/2642887016",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명진</t>
        </is>
      </c>
      <c r="P451" s="4" t="n">
        <v>1</v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토지</t>
        </is>
      </c>
      <c r="E452" s="3" t="inlineStr">
        <is>
          <t>대</t>
        </is>
      </c>
      <c r="F452" s="3" t="inlineStr">
        <is>
          <t>매매</t>
        </is>
      </c>
      <c r="G452" s="4" t="n">
        <v>73000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HYPERLINK("https://fin.land.naver.com/articles/2642686851",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세종무지개</t>
        </is>
      </c>
      <c r="P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토지</t>
        </is>
      </c>
      <c r="E453" s="3" t="inlineStr">
        <is>
          <t>대</t>
        </is>
      </c>
      <c r="F453" s="3" t="inlineStr">
        <is>
          <t>매매</t>
        </is>
      </c>
      <c r="G453" s="4" t="n">
        <v>64000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토지</t>
        </is>
      </c>
      <c r="E454" s="3" t="inlineStr">
        <is>
          <t>대</t>
        </is>
      </c>
      <c r="F454" s="3" t="inlineStr">
        <is>
          <t>매매</t>
        </is>
      </c>
      <c r="G454" s="4" t="n">
        <v>64000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토지</t>
        </is>
      </c>
      <c r="E455" s="3" t="inlineStr">
        <is>
          <t>대</t>
        </is>
      </c>
      <c r="F455" s="3" t="inlineStr">
        <is>
          <t>매매</t>
        </is>
      </c>
      <c r="G455" s="4" t="n">
        <v>49000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세종스타</t>
        </is>
      </c>
      <c r="P455" s="4" t="n">
        <v>3</v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토지</t>
        </is>
      </c>
      <c r="E456" s="3" t="inlineStr">
        <is>
          <t>대</t>
        </is>
      </c>
      <c r="F456" s="3" t="inlineStr">
        <is>
          <t>매매</t>
        </is>
      </c>
      <c r="G456" s="4" t="n">
        <v>58000</v>
      </c>
      <c r="H456" s="4" t="n">
        <v>95</v>
      </c>
      <c r="I456" s="5" t="n">
        <v>610.5</v>
      </c>
      <c r="J456" s="5" t="n">
        <v>318.9</v>
      </c>
      <c r="K456" s="3" t="inlineStr">
        <is>
          <t>nan</t>
        </is>
      </c>
      <c r="L456" s="6">
        <f>HYPERLINK("https://fin.land.naver.com/articles/2647198512",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디아트성심</t>
        </is>
      </c>
      <c r="P456" s="4" t="n">
        <v>1</v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토지</t>
        </is>
      </c>
      <c r="E457" s="3" t="inlineStr">
        <is>
          <t>대</t>
        </is>
      </c>
      <c r="F457" s="3" t="inlineStr">
        <is>
          <t>매매</t>
        </is>
      </c>
      <c r="G457" s="4" t="n">
        <v>48000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토지</t>
        </is>
      </c>
      <c r="E458" s="3" t="inlineStr">
        <is>
          <t>대</t>
        </is>
      </c>
      <c r="F458" s="3" t="inlineStr">
        <is>
          <t>매매</t>
        </is>
      </c>
      <c r="G458" s="4" t="n">
        <v>48000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토지</t>
        </is>
      </c>
      <c r="E459" s="3" t="inlineStr">
        <is>
          <t>대</t>
        </is>
      </c>
      <c r="F459" s="3" t="inlineStr">
        <is>
          <t>매매</t>
        </is>
      </c>
      <c r="G459" s="4" t="n">
        <v>53000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토지</t>
        </is>
      </c>
      <c r="E460" s="3" t="inlineStr">
        <is>
          <t>대</t>
        </is>
      </c>
      <c r="F460" s="3" t="inlineStr">
        <is>
          <t>매매</t>
        </is>
      </c>
      <c r="G460" s="4" t="n">
        <v>53000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토지</t>
        </is>
      </c>
      <c r="E461" s="3" t="inlineStr">
        <is>
          <t>대</t>
        </is>
      </c>
      <c r="F461" s="3" t="inlineStr">
        <is>
          <t>매매</t>
        </is>
      </c>
      <c r="G461" s="4" t="n">
        <v>54000</v>
      </c>
      <c r="H461" s="4" t="n">
        <v>113</v>
      </c>
      <c r="I461" s="5" t="n">
        <v>477.9</v>
      </c>
      <c r="J461" s="5" t="n">
        <v>353.7</v>
      </c>
      <c r="K461" s="3" t="inlineStr">
        <is>
          <t>급매 다정동 전원주택토지임.</t>
        </is>
      </c>
      <c r="L461" s="6">
        <f>HYPERLINK("https://fin.land.naver.com/articles/2647387576",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태흥</t>
        </is>
      </c>
      <c r="P461" s="4" t="n">
        <v>1</v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토지</t>
        </is>
      </c>
      <c r="E462" s="3" t="inlineStr">
        <is>
          <t>대</t>
        </is>
      </c>
      <c r="F462" s="3" t="inlineStr">
        <is>
          <t>매매</t>
        </is>
      </c>
      <c r="G462" s="4" t="n">
        <v>53000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HYPERLINK("https://fin.land.naver.com/articles/2642890497",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명진</t>
        </is>
      </c>
      <c r="P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토지</t>
        </is>
      </c>
      <c r="E463" s="3" t="inlineStr">
        <is>
          <t>대</t>
        </is>
      </c>
      <c r="F463" s="3" t="inlineStr">
        <is>
          <t>매매</t>
        </is>
      </c>
      <c r="G463" s="4" t="n">
        <v>194000</v>
      </c>
      <c r="H463" s="4" t="n">
        <v>194</v>
      </c>
      <c r="I463" s="5" t="n">
        <v>1000</v>
      </c>
      <c r="J463" s="5" t="n">
        <v>763</v>
      </c>
      <c r="K463" s="3" t="inlineStr">
        <is>
          <t>코너자리로입지최고  가격조정가능</t>
        </is>
      </c>
      <c r="L463" s="6">
        <f>HYPERLINK("https://fin.land.naver.com/articles/2648500416",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고운동리치세종</t>
        </is>
      </c>
      <c r="P463" s="4" t="n">
        <v>4</v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토지</t>
        </is>
      </c>
      <c r="E464" s="3" t="inlineStr">
        <is>
          <t>대</t>
        </is>
      </c>
      <c r="F464" s="3" t="inlineStr">
        <is>
          <t>매매</t>
        </is>
      </c>
      <c r="G464" s="4" t="n">
        <v>194000</v>
      </c>
      <c r="H464" s="4" t="n">
        <v>194</v>
      </c>
      <c r="I464" s="5" t="n">
        <v>1000</v>
      </c>
      <c r="J464" s="5" t="n">
        <v>763</v>
      </c>
      <c r="K464" s="3" t="inlineStr">
        <is>
          <t>다정동 코너 위치한 근생 토지매매, 조율가능, 입지 최고</t>
        </is>
      </c>
      <c r="L464" s="6">
        <f>HYPERLINK("https://fin.land.naver.com/articles/2644187138",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세종무지개</t>
        </is>
      </c>
      <c r="P464" s="4" t="n">
        <v>1</v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토지</t>
        </is>
      </c>
      <c r="E465" s="3" t="inlineStr">
        <is>
          <t>대</t>
        </is>
      </c>
      <c r="F465" s="3" t="inlineStr">
        <is>
          <t>매매</t>
        </is>
      </c>
      <c r="G465" s="4" t="n">
        <v>194000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토지</t>
        </is>
      </c>
      <c r="E466" s="3" t="inlineStr">
        <is>
          <t>대</t>
        </is>
      </c>
      <c r="F466" s="3" t="inlineStr">
        <is>
          <t>매매</t>
        </is>
      </c>
      <c r="G466" s="4" t="n">
        <v>250000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토지</t>
        </is>
      </c>
      <c r="E467" s="3" t="inlineStr">
        <is>
          <t>대</t>
        </is>
      </c>
      <c r="F467" s="3" t="inlineStr">
        <is>
          <t>매매</t>
        </is>
      </c>
      <c r="G467" s="4" t="n">
        <v>396000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HYPERLINK("https://fin.land.naver.com/articles/2643615665",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세종대명</t>
        </is>
      </c>
      <c r="P467" s="4" t="n">
        <v>1</v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토지</t>
        </is>
      </c>
      <c r="E468" s="3" t="inlineStr">
        <is>
          <t>대</t>
        </is>
      </c>
      <c r="F468" s="3" t="inlineStr">
        <is>
          <t>매매</t>
        </is>
      </c>
      <c r="G468" s="4" t="n">
        <v>396000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세종무지개</t>
        </is>
      </c>
      <c r="P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토지</t>
        </is>
      </c>
      <c r="E469" s="3" t="inlineStr">
        <is>
          <t>대</t>
        </is>
      </c>
      <c r="F469" s="3" t="inlineStr">
        <is>
          <t>매매</t>
        </is>
      </c>
      <c r="G469" s="4" t="n">
        <v>100000</v>
      </c>
      <c r="H469" s="4" t="n">
        <v>100</v>
      </c>
      <c r="I469" s="5" t="n">
        <v>1000</v>
      </c>
      <c r="J469" s="5" t="n">
        <v>362</v>
      </c>
      <c r="K469" s="3" t="inlineStr">
        <is>
          <t>조율가능 남향 코너각지 천조망가능 최상입지</t>
        </is>
      </c>
      <c r="L469" s="6">
        <f>HYPERLINK("https://fin.land.naver.com/articles/2643971797",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세종스타</t>
        </is>
      </c>
      <c r="P469" s="4" t="n">
        <v>2</v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토지</t>
        </is>
      </c>
      <c r="E470" s="3" t="inlineStr">
        <is>
          <t>대</t>
        </is>
      </c>
      <c r="F470" s="3" t="inlineStr">
        <is>
          <t>매매</t>
        </is>
      </c>
      <c r="G470" s="4" t="n">
        <v>100000</v>
      </c>
      <c r="H470" s="4" t="n">
        <v>100</v>
      </c>
      <c r="I470" s="5" t="n">
        <v>1000</v>
      </c>
      <c r="J470" s="5" t="n">
        <v>362</v>
      </c>
      <c r="K470" s="3" t="inlineStr">
        <is>
          <t>100p, 도담동 말발굽토지, 왼쪽 사거리 코너자리</t>
        </is>
      </c>
      <c r="L470" s="6">
        <f>HYPERLINK("https://fin.land.naver.com/articles/2647429203",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세종무지개</t>
        </is>
      </c>
      <c r="P470" s="4" t="n">
        <v>1</v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토지</t>
        </is>
      </c>
      <c r="E471" s="3" t="inlineStr">
        <is>
          <t>대</t>
        </is>
      </c>
      <c r="F471" s="3" t="inlineStr">
        <is>
          <t>매매</t>
        </is>
      </c>
      <c r="G471" s="4" t="n">
        <v>100000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토지</t>
        </is>
      </c>
      <c r="E472" s="3" t="inlineStr">
        <is>
          <t>대</t>
        </is>
      </c>
      <c r="F472" s="3" t="inlineStr">
        <is>
          <t>매매</t>
        </is>
      </c>
      <c r="G472" s="4" t="n">
        <v>100000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토지</t>
        </is>
      </c>
      <c r="E473" s="3" t="inlineStr">
        <is>
          <t>대</t>
        </is>
      </c>
      <c r="F473" s="3" t="inlineStr">
        <is>
          <t>매매</t>
        </is>
      </c>
      <c r="G473" s="4" t="n">
        <v>100000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토지</t>
        </is>
      </c>
      <c r="E474" s="3" t="inlineStr">
        <is>
          <t>대</t>
        </is>
      </c>
      <c r="F474" s="3" t="inlineStr">
        <is>
          <t>매매</t>
        </is>
      </c>
      <c r="G474" s="4" t="n">
        <v>100000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토지</t>
        </is>
      </c>
      <c r="E475" s="3" t="inlineStr">
        <is>
          <t>대</t>
        </is>
      </c>
      <c r="F475" s="3" t="inlineStr">
        <is>
          <t>매매</t>
        </is>
      </c>
      <c r="G475" s="4" t="n">
        <v>115000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토지</t>
        </is>
      </c>
      <c r="E476" s="3" t="inlineStr">
        <is>
          <t>대</t>
        </is>
      </c>
      <c r="F476" s="3" t="inlineStr">
        <is>
          <t>매매</t>
        </is>
      </c>
      <c r="G476" s="4" t="n">
        <v>110000</v>
      </c>
      <c r="H476" s="4" t="n">
        <v>92</v>
      </c>
      <c r="I476" s="5" t="n">
        <v>1195.7</v>
      </c>
      <c r="J476" s="5" t="n">
        <v>358.3</v>
      </c>
      <c r="K476" s="3" t="inlineStr">
        <is>
          <t>급매진행 조율최대가능  도담동 말발급주택지 원수산아래 넓은 녹지공간</t>
        </is>
      </c>
      <c r="L476" s="6">
        <f>HYPERLINK("https://fin.land.naver.com/articles/2647649226",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홍기표</t>
        </is>
      </c>
      <c r="P476" s="4" t="n">
        <v>3</v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토지</t>
        </is>
      </c>
      <c r="E477" s="3" t="inlineStr">
        <is>
          <t>대</t>
        </is>
      </c>
      <c r="F477" s="3" t="inlineStr">
        <is>
          <t>매매</t>
        </is>
      </c>
      <c r="G477" s="4" t="n">
        <v>110000</v>
      </c>
      <c r="H477" s="4" t="n">
        <v>92</v>
      </c>
      <c r="I477" s="5" t="n">
        <v>1195.7</v>
      </c>
      <c r="J477" s="5" t="n">
        <v>358.3</v>
      </c>
      <c r="K477" s="3" t="inlineStr">
        <is>
          <t>총 92.1p, 말발굽 최고입지, 넓은 공원 인근</t>
        </is>
      </c>
      <c r="L477" s="6">
        <f>HYPERLINK("https://fin.land.naver.com/articles/2647421924",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명진</t>
        </is>
      </c>
      <c r="P477" s="4" t="n">
        <v>1</v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토지</t>
        </is>
      </c>
      <c r="E478" s="3" t="inlineStr">
        <is>
          <t>대</t>
        </is>
      </c>
      <c r="F478" s="3" t="inlineStr">
        <is>
          <t>매매</t>
        </is>
      </c>
      <c r="G478" s="4" t="n">
        <v>110000</v>
      </c>
      <c r="H478" s="4" t="n">
        <v>92</v>
      </c>
      <c r="I478" s="5" t="n">
        <v>1195.7</v>
      </c>
      <c r="J478" s="5" t="n">
        <v>358.3</v>
      </c>
      <c r="K478" s="3" t="inlineStr">
        <is>
          <t>도담동 말발굽토지 매매, 공원 인근, 선호도 높은 토지</t>
        </is>
      </c>
      <c r="L478" s="6">
        <f>HYPERLINK("https://fin.land.naver.com/articles/2644185791",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세종무지개</t>
        </is>
      </c>
      <c r="P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토지</t>
        </is>
      </c>
      <c r="E479" s="3" t="inlineStr">
        <is>
          <t>대</t>
        </is>
      </c>
      <c r="F479" s="3" t="inlineStr">
        <is>
          <t>매매</t>
        </is>
      </c>
      <c r="G479" s="4" t="n">
        <v>93000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토지</t>
        </is>
      </c>
      <c r="E480" s="3" t="inlineStr">
        <is>
          <t>대</t>
        </is>
      </c>
      <c r="F480" s="3" t="inlineStr">
        <is>
          <t>매매</t>
        </is>
      </c>
      <c r="G480" s="4" t="n">
        <v>93000</v>
      </c>
      <c r="H480" s="4" t="n">
        <v>102</v>
      </c>
      <c r="I480" s="5" t="n">
        <v>911.8</v>
      </c>
      <c r="J480" s="5" t="n">
        <v>358.3</v>
      </c>
      <c r="K480" s="3" t="inlineStr">
        <is>
          <t>조율가능 반원호내 좋은위치</t>
        </is>
      </c>
      <c r="L480" s="6">
        <f>HYPERLINK("https://fin.land.naver.com/articles/2646901119",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세종스타</t>
        </is>
      </c>
      <c r="P480" s="4" t="n">
        <v>1</v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토지</t>
        </is>
      </c>
      <c r="E481" s="3" t="inlineStr">
        <is>
          <t>대</t>
        </is>
      </c>
      <c r="F481" s="3" t="inlineStr">
        <is>
          <t>매매</t>
        </is>
      </c>
      <c r="G481" s="4" t="n">
        <v>93000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HYPERLINK("https://fin.land.naver.com/articles/2644186162",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세종무지개</t>
        </is>
      </c>
      <c r="P481" s="4" t="n">
        <v>1</v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토지</t>
        </is>
      </c>
      <c r="E482" s="3" t="inlineStr">
        <is>
          <t>대</t>
        </is>
      </c>
      <c r="F482" s="3" t="inlineStr">
        <is>
          <t>매매</t>
        </is>
      </c>
      <c r="G482" s="4" t="n">
        <v>75000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토지</t>
        </is>
      </c>
      <c r="E483" s="3" t="inlineStr">
        <is>
          <t>대</t>
        </is>
      </c>
      <c r="F483" s="3" t="inlineStr">
        <is>
          <t>매매</t>
        </is>
      </c>
      <c r="G483" s="4" t="n">
        <v>75000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토지</t>
        </is>
      </c>
      <c r="E484" s="3" t="inlineStr">
        <is>
          <t>대</t>
        </is>
      </c>
      <c r="F484" s="3" t="inlineStr">
        <is>
          <t>매매</t>
        </is>
      </c>
      <c r="G484" s="4" t="n">
        <v>80000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HYPERLINK("https://fin.land.naver.com/articles/2644917658",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세종스타</t>
        </is>
      </c>
      <c r="P484" s="4" t="n">
        <v>2</v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토지</t>
        </is>
      </c>
      <c r="E485" s="3" t="inlineStr">
        <is>
          <t>대</t>
        </is>
      </c>
      <c r="F485" s="3" t="inlineStr">
        <is>
          <t>매매</t>
        </is>
      </c>
      <c r="G485" s="4" t="n">
        <v>80000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HYPERLINK("https://fin.land.naver.com/articles/2642876207",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명진</t>
        </is>
      </c>
      <c r="P485" s="4" t="n">
        <v>1</v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토지</t>
        </is>
      </c>
      <c r="E486" s="3" t="inlineStr">
        <is>
          <t>대</t>
        </is>
      </c>
      <c r="F486" s="3" t="inlineStr">
        <is>
          <t>매매</t>
        </is>
      </c>
      <c r="G486" s="4" t="n">
        <v>80000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토지</t>
        </is>
      </c>
      <c r="E487" s="3" t="inlineStr">
        <is>
          <t>대</t>
        </is>
      </c>
      <c r="F487" s="3" t="inlineStr">
        <is>
          <t>매매</t>
        </is>
      </c>
      <c r="G487" s="4" t="n">
        <v>85000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토지</t>
        </is>
      </c>
      <c r="E488" s="3" t="inlineStr">
        <is>
          <t>대</t>
        </is>
      </c>
      <c r="F488" s="3" t="inlineStr">
        <is>
          <t>매매</t>
        </is>
      </c>
      <c r="G488" s="4" t="n">
        <v>85000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명진</t>
        </is>
      </c>
      <c r="P488" s="4" t="n">
        <v>1</v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토지</t>
        </is>
      </c>
      <c r="E489" s="3" t="inlineStr">
        <is>
          <t>대</t>
        </is>
      </c>
      <c r="F489" s="3" t="inlineStr">
        <is>
          <t>매매</t>
        </is>
      </c>
      <c r="G489" s="4" t="n">
        <v>120000</v>
      </c>
      <c r="H489" s="4" t="n">
        <v>116</v>
      </c>
      <c r="I489" s="5" t="n">
        <v>1034.5</v>
      </c>
      <c r="J489" s="5" t="n">
        <v>363</v>
      </c>
      <c r="K489" s="3" t="inlineStr">
        <is>
          <t>nan</t>
        </is>
      </c>
      <c r="L489" s="6">
        <f>HYPERLINK("https://fin.land.naver.com/articles/2648012649",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세종산울랜드마크</t>
        </is>
      </c>
      <c r="P489" s="4" t="n">
        <v>2</v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토지</t>
        </is>
      </c>
      <c r="E490" s="3" t="inlineStr">
        <is>
          <t>대</t>
        </is>
      </c>
      <c r="F490" s="3" t="inlineStr">
        <is>
          <t>매매</t>
        </is>
      </c>
      <c r="G490" s="4" t="n">
        <v>130000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토지</t>
        </is>
      </c>
      <c r="E491" s="3" t="inlineStr">
        <is>
          <t>대</t>
        </is>
      </c>
      <c r="F491" s="3" t="inlineStr">
        <is>
          <t>매매</t>
        </is>
      </c>
      <c r="G491" s="4" t="n">
        <v>85000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토지</t>
        </is>
      </c>
      <c r="E492" s="3" t="inlineStr">
        <is>
          <t>대</t>
        </is>
      </c>
      <c r="F492" s="3" t="inlineStr">
        <is>
          <t>매매</t>
        </is>
      </c>
      <c r="G492" s="4" t="n">
        <v>320000</v>
      </c>
      <c r="H492" s="4" t="n">
        <v>151</v>
      </c>
      <c r="I492" s="5" t="n">
        <v>2119.2</v>
      </c>
      <c r="J492" s="5" t="n">
        <v>735.9</v>
      </c>
      <c r="K492" s="3" t="inlineStr">
        <is>
          <t>명성공인, 도담동 근생용지 추천 매물</t>
        </is>
      </c>
      <c r="L492" s="6">
        <f>HYPERLINK("https://fin.land.naver.com/articles/2646317788",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명성</t>
        </is>
      </c>
      <c r="P492" s="4" t="n">
        <v>1</v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토지</t>
        </is>
      </c>
      <c r="E493" s="3" t="inlineStr">
        <is>
          <t>대</t>
        </is>
      </c>
      <c r="F493" s="3" t="inlineStr">
        <is>
          <t>매매</t>
        </is>
      </c>
      <c r="G493" s="4" t="n">
        <v>263000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HYPERLINK("https://fin.land.naver.com/articles/2644184164",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세종무지개</t>
        </is>
      </c>
      <c r="P493" s="4" t="n">
        <v>1</v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토지</t>
        </is>
      </c>
      <c r="E494" s="3" t="inlineStr">
        <is>
          <t>대</t>
        </is>
      </c>
      <c r="F494" s="3" t="inlineStr">
        <is>
          <t>매매</t>
        </is>
      </c>
      <c r="G494" s="4" t="n">
        <v>263000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토지</t>
        </is>
      </c>
      <c r="E495" s="3" t="inlineStr">
        <is>
          <t>대</t>
        </is>
      </c>
      <c r="F495" s="3" t="inlineStr">
        <is>
          <t>매매</t>
        </is>
      </c>
      <c r="G495" s="4" t="n">
        <v>85000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토지</t>
        </is>
      </c>
      <c r="E496" s="3" t="inlineStr">
        <is>
          <t>대</t>
        </is>
      </c>
      <c r="F496" s="3" t="inlineStr">
        <is>
          <t>매매</t>
        </is>
      </c>
      <c r="G496" s="4" t="n">
        <v>85000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HYPERLINK("https://fin.land.naver.com/articles/2642890327",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명진</t>
        </is>
      </c>
      <c r="P496" s="4" t="n">
        <v>1</v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토지</t>
        </is>
      </c>
      <c r="E497" s="3" t="inlineStr">
        <is>
          <t>대</t>
        </is>
      </c>
      <c r="F497" s="3" t="inlineStr">
        <is>
          <t>매매</t>
        </is>
      </c>
      <c r="G497" s="4" t="n">
        <v>85000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OK세종</t>
        </is>
      </c>
      <c r="P497" s="4" t="n">
        <v>3</v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토지</t>
        </is>
      </c>
      <c r="E498" s="3" t="inlineStr">
        <is>
          <t>대</t>
        </is>
      </c>
      <c r="F498" s="3" t="inlineStr">
        <is>
          <t>매매</t>
        </is>
      </c>
      <c r="G498" s="4" t="n">
        <v>85000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세종무지개</t>
        </is>
      </c>
      <c r="P498" s="4" t="n">
        <v>1</v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토지</t>
        </is>
      </c>
      <c r="E499" s="3" t="inlineStr">
        <is>
          <t>대</t>
        </is>
      </c>
      <c r="F499" s="3" t="inlineStr">
        <is>
          <t>매매</t>
        </is>
      </c>
      <c r="G499" s="4" t="n">
        <v>90000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토지</t>
        </is>
      </c>
      <c r="E500" s="3" t="inlineStr">
        <is>
          <t>대</t>
        </is>
      </c>
      <c r="F500" s="3" t="inlineStr">
        <is>
          <t>매매</t>
        </is>
      </c>
      <c r="G500" s="4" t="n">
        <v>84000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토지</t>
        </is>
      </c>
      <c r="E501" s="3" t="inlineStr">
        <is>
          <t>대</t>
        </is>
      </c>
      <c r="F501" s="3" t="inlineStr">
        <is>
          <t>매매</t>
        </is>
      </c>
      <c r="G501" s="4" t="n">
        <v>87000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HYPERLINK("https://fin.land.naver.com/articles/2644908954",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세종스타</t>
        </is>
      </c>
      <c r="P501" s="4" t="n">
        <v>1</v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토지</t>
        </is>
      </c>
      <c r="E502" s="3" t="inlineStr">
        <is>
          <t>대</t>
        </is>
      </c>
      <c r="F502" s="3" t="inlineStr">
        <is>
          <t>매매</t>
        </is>
      </c>
      <c r="G502" s="4" t="n">
        <v>87000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토지</t>
        </is>
      </c>
      <c r="E503" s="3" t="inlineStr">
        <is>
          <t>대</t>
        </is>
      </c>
      <c r="F503" s="3" t="inlineStr">
        <is>
          <t>매매</t>
        </is>
      </c>
      <c r="G503" s="4" t="n">
        <v>87000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세종무지개</t>
        </is>
      </c>
      <c r="P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토지</t>
        </is>
      </c>
      <c r="E504" s="3" t="inlineStr">
        <is>
          <t>대</t>
        </is>
      </c>
      <c r="F504" s="3" t="inlineStr">
        <is>
          <t>매매</t>
        </is>
      </c>
      <c r="G504" s="4" t="n">
        <v>175000</v>
      </c>
      <c r="H504" s="4" t="n">
        <v>127</v>
      </c>
      <c r="I504" s="5" t="n">
        <v>1378</v>
      </c>
      <c r="J504" s="5" t="n">
        <v>796</v>
      </c>
      <c r="K504" s="3" t="inlineStr">
        <is>
          <t>도담동 2단지 단독주택지 앞 상가용 토지.가격 최대조율,연락 주세요.</t>
        </is>
      </c>
      <c r="L504" s="6">
        <f>HYPERLINK("https://fin.land.naver.com/articles/2646521378",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다정현대</t>
        </is>
      </c>
      <c r="P504" s="4" t="n">
        <v>2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토지</t>
        </is>
      </c>
      <c r="E505" s="3" t="inlineStr">
        <is>
          <t>대</t>
        </is>
      </c>
      <c r="F505" s="3" t="inlineStr">
        <is>
          <t>매매</t>
        </is>
      </c>
      <c r="G505" s="4" t="n">
        <v>175000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토지</t>
        </is>
      </c>
      <c r="E506" s="3" t="inlineStr">
        <is>
          <t>대</t>
        </is>
      </c>
      <c r="F506" s="3" t="inlineStr">
        <is>
          <t>매매</t>
        </is>
      </c>
      <c r="G506" s="4" t="n">
        <v>175000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HYPERLINK("https://fin.land.naver.com/articles/2644184324",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세종무지개</t>
        </is>
      </c>
      <c r="P506" s="4" t="n">
        <v>1</v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토지</t>
        </is>
      </c>
      <c r="E507" s="3" t="inlineStr">
        <is>
          <t>대</t>
        </is>
      </c>
      <c r="F507" s="3" t="inlineStr">
        <is>
          <t>매매</t>
        </is>
      </c>
      <c r="G507" s="4" t="n">
        <v>175000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짱</t>
        </is>
      </c>
      <c r="P507" s="4" t="n">
        <v>1</v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토지</t>
        </is>
      </c>
      <c r="E508" s="3" t="inlineStr">
        <is>
          <t>대</t>
        </is>
      </c>
      <c r="F508" s="3" t="inlineStr">
        <is>
          <t>매매</t>
        </is>
      </c>
      <c r="G508" s="4" t="n">
        <v>77000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토지</t>
        </is>
      </c>
      <c r="E509" s="3" t="inlineStr">
        <is>
          <t>대</t>
        </is>
      </c>
      <c r="F509" s="3" t="inlineStr">
        <is>
          <t>매매</t>
        </is>
      </c>
      <c r="G509" s="4" t="n">
        <v>92000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토지</t>
        </is>
      </c>
      <c r="E510" s="3" t="inlineStr">
        <is>
          <t>대</t>
        </is>
      </c>
      <c r="F510" s="3" t="inlineStr">
        <is>
          <t>매매</t>
        </is>
      </c>
      <c r="G510" s="4" t="n">
        <v>80000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토지</t>
        </is>
      </c>
      <c r="E511" s="3" t="inlineStr">
        <is>
          <t>대</t>
        </is>
      </c>
      <c r="F511" s="3" t="inlineStr">
        <is>
          <t>매매</t>
        </is>
      </c>
      <c r="G511" s="4" t="n">
        <v>80000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명진</t>
        </is>
      </c>
      <c r="P511" s="4" t="n">
        <v>1</v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토지</t>
        </is>
      </c>
      <c r="E512" s="3" t="inlineStr">
        <is>
          <t>대</t>
        </is>
      </c>
      <c r="F512" s="3" t="inlineStr">
        <is>
          <t>매매</t>
        </is>
      </c>
      <c r="G512" s="4" t="n">
        <v>80000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HYPERLINK("https://fin.land.naver.com/articles/2644187455",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세종무지개</t>
        </is>
      </c>
      <c r="P512" s="4" t="n">
        <v>1</v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토지</t>
        </is>
      </c>
      <c r="E513" s="3" t="inlineStr">
        <is>
          <t>대</t>
        </is>
      </c>
      <c r="F513" s="3" t="inlineStr">
        <is>
          <t>매매</t>
        </is>
      </c>
      <c r="G513" s="4" t="n">
        <v>97000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토지</t>
        </is>
      </c>
      <c r="E514" s="3" t="inlineStr">
        <is>
          <t>대</t>
        </is>
      </c>
      <c r="F514" s="3" t="inlineStr">
        <is>
          <t>매매</t>
        </is>
      </c>
      <c r="G514" s="4" t="n">
        <v>90000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토지</t>
        </is>
      </c>
      <c r="E515" s="3" t="inlineStr">
        <is>
          <t>대</t>
        </is>
      </c>
      <c r="F515" s="3" t="inlineStr">
        <is>
          <t>매매</t>
        </is>
      </c>
      <c r="G515" s="4" t="n">
        <v>77000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토지</t>
        </is>
      </c>
      <c r="E516" s="3" t="inlineStr">
        <is>
          <t>대</t>
        </is>
      </c>
      <c r="F516" s="3" t="inlineStr">
        <is>
          <t>매매</t>
        </is>
      </c>
      <c r="G516" s="4" t="n">
        <v>77000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토지</t>
        </is>
      </c>
      <c r="E517" s="3" t="inlineStr">
        <is>
          <t>대</t>
        </is>
      </c>
      <c r="F517" s="3" t="inlineStr">
        <is>
          <t>매매</t>
        </is>
      </c>
      <c r="G517" s="4" t="n">
        <v>77000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토지</t>
        </is>
      </c>
      <c r="E518" s="3" t="inlineStr">
        <is>
          <t>대</t>
        </is>
      </c>
      <c r="F518" s="3" t="inlineStr">
        <is>
          <t>매매</t>
        </is>
      </c>
      <c r="G518" s="4" t="n">
        <v>104000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명진</t>
        </is>
      </c>
      <c r="P518" s="4" t="n">
        <v>1</v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토지</t>
        </is>
      </c>
      <c r="E519" s="3" t="inlineStr">
        <is>
          <t>대</t>
        </is>
      </c>
      <c r="F519" s="3" t="inlineStr">
        <is>
          <t>매매</t>
        </is>
      </c>
      <c r="G519" s="4" t="n">
        <v>104000</v>
      </c>
      <c r="H519" s="4" t="n">
        <v>103</v>
      </c>
      <c r="I519" s="5" t="n">
        <v>1009.7</v>
      </c>
      <c r="J519" s="5" t="n">
        <v>410.6</v>
      </c>
      <c r="K519" s="3" t="inlineStr">
        <is>
          <t>103.7p, 단지 맞은편, 유치원 인근</t>
        </is>
      </c>
      <c r="L519" s="6">
        <f>HYPERLINK("https://fin.land.naver.com/articles/2642859928",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세종무지개</t>
        </is>
      </c>
      <c r="P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토지</t>
        </is>
      </c>
      <c r="E520" s="3" t="inlineStr">
        <is>
          <t>대</t>
        </is>
      </c>
      <c r="F520" s="3" t="inlineStr">
        <is>
          <t>매매</t>
        </is>
      </c>
      <c r="G520" s="4" t="n">
        <v>85000</v>
      </c>
      <c r="H520" s="4" t="n">
        <v>96</v>
      </c>
      <c r="I520" s="5" t="n">
        <v>885.4</v>
      </c>
      <c r="J520" s="5" t="n">
        <v>391.1</v>
      </c>
      <c r="K520" s="3" t="inlineStr">
        <is>
          <t>도심속 안전한 전원생활에 적당한 좋은택지</t>
        </is>
      </c>
      <c r="L520" s="6">
        <f>HYPERLINK("https://fin.land.naver.com/articles/2643872420",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명동</t>
        </is>
      </c>
      <c r="P520" s="4" t="n">
        <v>1</v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토지</t>
        </is>
      </c>
      <c r="E521" s="3" t="inlineStr">
        <is>
          <t>대</t>
        </is>
      </c>
      <c r="F521" s="3" t="inlineStr">
        <is>
          <t>매매</t>
        </is>
      </c>
      <c r="G521" s="4" t="n">
        <v>85000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토지</t>
        </is>
      </c>
      <c r="E522" s="3" t="inlineStr">
        <is>
          <t>대</t>
        </is>
      </c>
      <c r="F522" s="3" t="inlineStr">
        <is>
          <t>매매</t>
        </is>
      </c>
      <c r="G522" s="4" t="n">
        <v>85000</v>
      </c>
      <c r="H522" s="4" t="n">
        <v>96</v>
      </c>
      <c r="I522" s="5" t="n">
        <v>885.4</v>
      </c>
      <c r="J522" s="5" t="n">
        <v>391.1</v>
      </c>
      <c r="K522" s="3" t="inlineStr">
        <is>
          <t>96.6p, 정남향, 단지 맞은편, 가운데 입지</t>
        </is>
      </c>
      <c r="L522" s="6">
        <f>HYPERLINK("https://fin.land.naver.com/articles/2642683909",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세종무지개</t>
        </is>
      </c>
      <c r="P522" s="4" t="n">
        <v>1</v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토지</t>
        </is>
      </c>
      <c r="E523" s="3" t="inlineStr">
        <is>
          <t>대</t>
        </is>
      </c>
      <c r="F523" s="3" t="inlineStr">
        <is>
          <t>매매</t>
        </is>
      </c>
      <c r="G523" s="4" t="n">
        <v>62500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토지</t>
        </is>
      </c>
      <c r="E524" s="3" t="inlineStr">
        <is>
          <t>대</t>
        </is>
      </c>
      <c r="F524" s="3" t="inlineStr">
        <is>
          <t>매매</t>
        </is>
      </c>
      <c r="G524" s="4" t="n">
        <v>90000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토지</t>
        </is>
      </c>
      <c r="E525" s="3" t="inlineStr">
        <is>
          <t>대</t>
        </is>
      </c>
      <c r="F525" s="3" t="inlineStr">
        <is>
          <t>매매</t>
        </is>
      </c>
      <c r="G525" s="4" t="n">
        <v>70000</v>
      </c>
      <c r="H525" s="4" t="n">
        <v>95</v>
      </c>
      <c r="I525" s="5" t="n">
        <v>736.8</v>
      </c>
      <c r="J525" s="5" t="n">
        <v>391.1</v>
      </c>
      <c r="K525" s="3" t="inlineStr">
        <is>
          <t>강추매물, 가격좋은 토지, 홈플인접</t>
        </is>
      </c>
      <c r="L525" s="6">
        <f>HYPERLINK("https://fin.land.naver.com/articles/2643975473",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사이다</t>
        </is>
      </c>
      <c r="P525" s="4" t="n">
        <v>1</v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토지</t>
        </is>
      </c>
      <c r="E526" s="3" t="inlineStr">
        <is>
          <t>대</t>
        </is>
      </c>
      <c r="F526" s="3" t="inlineStr">
        <is>
          <t>매매</t>
        </is>
      </c>
      <c r="G526" s="4" t="n">
        <v>90000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HYPERLINK("https://fin.land.naver.com/articles/2642911893",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명진</t>
        </is>
      </c>
      <c r="P526" s="4" t="n">
        <v>1</v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토지</t>
        </is>
      </c>
      <c r="E527" s="3" t="inlineStr">
        <is>
          <t>대</t>
        </is>
      </c>
      <c r="F527" s="3" t="inlineStr">
        <is>
          <t>매매</t>
        </is>
      </c>
      <c r="G527" s="4" t="n">
        <v>140000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토지</t>
        </is>
      </c>
      <c r="E528" s="3" t="inlineStr">
        <is>
          <t>대</t>
        </is>
      </c>
      <c r="F528" s="3" t="inlineStr">
        <is>
          <t>매매</t>
        </is>
      </c>
      <c r="G528" s="4" t="n">
        <v>140000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토지</t>
        </is>
      </c>
      <c r="E529" s="3" t="inlineStr">
        <is>
          <t>대</t>
        </is>
      </c>
      <c r="F529" s="3" t="inlineStr">
        <is>
          <t>매매</t>
        </is>
      </c>
      <c r="G529" s="4" t="n">
        <v>150000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토지</t>
        </is>
      </c>
      <c r="E530" s="3" t="inlineStr">
        <is>
          <t>대</t>
        </is>
      </c>
      <c r="F530" s="3" t="inlineStr">
        <is>
          <t>매매</t>
        </is>
      </c>
      <c r="G530" s="4" t="n">
        <v>45000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토지</t>
        </is>
      </c>
      <c r="E531" s="3" t="inlineStr">
        <is>
          <t>대</t>
        </is>
      </c>
      <c r="F531" s="3" t="inlineStr">
        <is>
          <t>매매</t>
        </is>
      </c>
      <c r="G531" s="4" t="n">
        <v>40000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토지</t>
        </is>
      </c>
      <c r="E532" s="3" t="inlineStr">
        <is>
          <t>대</t>
        </is>
      </c>
      <c r="F532" s="3" t="inlineStr">
        <is>
          <t>매매</t>
        </is>
      </c>
      <c r="G532" s="4" t="n">
        <v>35000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토지</t>
        </is>
      </c>
      <c r="E533" s="3" t="inlineStr">
        <is>
          <t>대</t>
        </is>
      </c>
      <c r="F533" s="3" t="inlineStr">
        <is>
          <t>매매</t>
        </is>
      </c>
      <c r="G533" s="4" t="n">
        <v>70000</v>
      </c>
      <c r="H533" s="4" t="n">
        <v>145</v>
      </c>
      <c r="I533" s="5" t="n">
        <v>482.8</v>
      </c>
      <c r="J533" s="5" t="n">
        <v>302.2</v>
      </c>
      <c r="K533" s="3" t="inlineStr">
        <is>
          <t>nan</t>
        </is>
      </c>
      <c r="L533" s="6">
        <f>HYPERLINK("https://fin.land.naver.com/articles/2642866912",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디아트성심</t>
        </is>
      </c>
      <c r="P533" s="4" t="n">
        <v>1</v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토지</t>
        </is>
      </c>
      <c r="E534" s="3" t="inlineStr">
        <is>
          <t>대</t>
        </is>
      </c>
      <c r="F534" s="3" t="inlineStr">
        <is>
          <t>매매</t>
        </is>
      </c>
      <c r="G534" s="4" t="n">
        <v>70000</v>
      </c>
      <c r="H534" s="4" t="n">
        <v>145</v>
      </c>
      <c r="I534" s="5" t="n">
        <v>482.8</v>
      </c>
      <c r="J534" s="5" t="n">
        <v>302.2</v>
      </c>
      <c r="K534" s="3" t="inlineStr">
        <is>
          <t>급매 KDI옆 반곡동D2 넓은평수 144.71p</t>
        </is>
      </c>
      <c r="L534" s="6">
        <f>HYPERLINK("https://fin.land.naver.com/articles/2647126360",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세종스타</t>
        </is>
      </c>
      <c r="P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토지</t>
        </is>
      </c>
      <c r="E535" s="3" t="inlineStr">
        <is>
          <t>대</t>
        </is>
      </c>
      <c r="F535" s="3" t="inlineStr">
        <is>
          <t>매매</t>
        </is>
      </c>
      <c r="G535" s="4" t="n">
        <v>80000</v>
      </c>
      <c r="H535" s="4" t="n">
        <v>135</v>
      </c>
      <c r="I535" s="5" t="n">
        <v>592.6</v>
      </c>
      <c r="J535" s="5" t="n">
        <v>308</v>
      </c>
      <c r="K535" s="3" t="inlineStr">
        <is>
          <t>135p, 넓은 단독주택 토지매매, 공원앞, 입지 굿</t>
        </is>
      </c>
      <c r="L535" s="6">
        <f>HYPERLINK("https://fin.land.naver.com/articles/2647421791",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명진</t>
        </is>
      </c>
      <c r="P535" s="4" t="n">
        <v>1</v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토지</t>
        </is>
      </c>
      <c r="E536" s="3" t="inlineStr">
        <is>
          <t>대</t>
        </is>
      </c>
      <c r="F536" s="3" t="inlineStr">
        <is>
          <t>매매</t>
        </is>
      </c>
      <c r="G536" s="4" t="n">
        <v>65000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토지</t>
        </is>
      </c>
      <c r="E537" s="3" t="inlineStr">
        <is>
          <t>대</t>
        </is>
      </c>
      <c r="F537" s="3" t="inlineStr">
        <is>
          <t>매매</t>
        </is>
      </c>
      <c r="G537" s="4" t="n">
        <v>65000</v>
      </c>
      <c r="H537" s="4" t="n">
        <v>135</v>
      </c>
      <c r="I537" s="5" t="n">
        <v>481.5</v>
      </c>
      <c r="J537" s="5" t="n">
        <v>308</v>
      </c>
      <c r="K537" s="3" t="inlineStr">
        <is>
          <t>가격조율가능,코너각지,최고자리</t>
        </is>
      </c>
      <c r="L537" s="6">
        <f>HYPERLINK("https://fin.land.naver.com/articles/2648355485",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늘푸른</t>
        </is>
      </c>
      <c r="P537" s="4" t="n">
        <v>2</v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토지</t>
        </is>
      </c>
      <c r="E538" s="3" t="inlineStr">
        <is>
          <t>대</t>
        </is>
      </c>
      <c r="F538" s="3" t="inlineStr">
        <is>
          <t>매매</t>
        </is>
      </c>
      <c r="G538" s="4" t="n">
        <v>75000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토지</t>
        </is>
      </c>
      <c r="E539" s="3" t="inlineStr">
        <is>
          <t>대</t>
        </is>
      </c>
      <c r="F539" s="3" t="inlineStr">
        <is>
          <t>매매</t>
        </is>
      </c>
      <c r="G539" s="4" t="n">
        <v>74700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토지</t>
        </is>
      </c>
      <c r="E540" s="3" t="inlineStr">
        <is>
          <t>대</t>
        </is>
      </c>
      <c r="F540" s="3" t="inlineStr">
        <is>
          <t>매매</t>
        </is>
      </c>
      <c r="G540" s="4" t="n">
        <v>67000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토지</t>
        </is>
      </c>
      <c r="E541" s="3" t="inlineStr">
        <is>
          <t>대</t>
        </is>
      </c>
      <c r="F541" s="3" t="inlineStr">
        <is>
          <t>매매</t>
        </is>
      </c>
      <c r="G541" s="4" t="n">
        <v>74400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토지</t>
        </is>
      </c>
      <c r="E542" s="3" t="inlineStr">
        <is>
          <t>대</t>
        </is>
      </c>
      <c r="F542" s="3" t="inlineStr">
        <is>
          <t>매매</t>
        </is>
      </c>
      <c r="G542" s="4" t="n">
        <v>76000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토지</t>
        </is>
      </c>
      <c r="E543" s="3" t="inlineStr">
        <is>
          <t>대</t>
        </is>
      </c>
      <c r="F543" s="3" t="inlineStr">
        <is>
          <t>매매</t>
        </is>
      </c>
      <c r="G543" s="4" t="n">
        <v>210000</v>
      </c>
      <c r="H543" s="4" t="n">
        <v>187</v>
      </c>
      <c r="I543" s="5" t="n">
        <v>1123</v>
      </c>
      <c r="J543" s="5" t="n">
        <v>581.2</v>
      </c>
      <c r="K543" s="3" t="inlineStr">
        <is>
          <t>명성공인, 전용186.64, 근생용지 추천 매물</t>
        </is>
      </c>
      <c r="L543" s="6">
        <f>HYPERLINK("https://fin.land.naver.com/articles/2646317246",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명성</t>
        </is>
      </c>
      <c r="P543" s="4" t="n">
        <v>1</v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토지</t>
        </is>
      </c>
      <c r="E544" s="3" t="inlineStr">
        <is>
          <t>대</t>
        </is>
      </c>
      <c r="F544" s="3" t="inlineStr">
        <is>
          <t>매매</t>
        </is>
      </c>
      <c r="G544" s="4" t="n">
        <v>210000</v>
      </c>
      <c r="H544" s="4" t="n">
        <v>187</v>
      </c>
      <c r="I544" s="5" t="n">
        <v>1123</v>
      </c>
      <c r="J544" s="5" t="n">
        <v>581.2</v>
      </c>
      <c r="K544" s="3" t="inlineStr">
        <is>
          <t>nan</t>
        </is>
      </c>
      <c r="L544" s="6">
        <f>HYPERLINK("https://fin.land.naver.com/articles/2644433409",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국제</t>
        </is>
      </c>
      <c r="P544" s="4" t="n">
        <v>2</v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토지</t>
        </is>
      </c>
      <c r="E545" s="3" t="inlineStr">
        <is>
          <t>대</t>
        </is>
      </c>
      <c r="F545" s="3" t="inlineStr">
        <is>
          <t>매매</t>
        </is>
      </c>
      <c r="G545" s="4" t="n">
        <v>88000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토지</t>
        </is>
      </c>
      <c r="E546" s="3" t="inlineStr">
        <is>
          <t>대</t>
        </is>
      </c>
      <c r="F546" s="3" t="inlineStr">
        <is>
          <t>매매</t>
        </is>
      </c>
      <c r="G546" s="4" t="n">
        <v>80000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토지</t>
        </is>
      </c>
      <c r="E547" s="3" t="inlineStr">
        <is>
          <t>대</t>
        </is>
      </c>
      <c r="F547" s="3" t="inlineStr">
        <is>
          <t>매매</t>
        </is>
      </c>
      <c r="G547" s="4" t="n">
        <v>64000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토지</t>
        </is>
      </c>
      <c r="E548" s="3" t="inlineStr">
        <is>
          <t>대</t>
        </is>
      </c>
      <c r="F548" s="3" t="inlineStr">
        <is>
          <t>매매</t>
        </is>
      </c>
      <c r="G548" s="4" t="n">
        <v>65000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토지</t>
        </is>
      </c>
      <c r="E549" s="3" t="inlineStr">
        <is>
          <t>대</t>
        </is>
      </c>
      <c r="F549" s="3" t="inlineStr">
        <is>
          <t>매매</t>
        </is>
      </c>
      <c r="G549" s="4" t="n">
        <v>97000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토지</t>
        </is>
      </c>
      <c r="E550" s="3" t="inlineStr">
        <is>
          <t>대</t>
        </is>
      </c>
      <c r="F550" s="3" t="inlineStr">
        <is>
          <t>매매</t>
        </is>
      </c>
      <c r="G550" s="4" t="n">
        <v>97000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토지</t>
        </is>
      </c>
      <c r="E551" s="3" t="inlineStr">
        <is>
          <t>대</t>
        </is>
      </c>
      <c r="F551" s="3" t="inlineStr">
        <is>
          <t>매매</t>
        </is>
      </c>
      <c r="G551" s="4" t="n">
        <v>73000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토지</t>
        </is>
      </c>
      <c r="E552" s="3" t="inlineStr">
        <is>
          <t>대</t>
        </is>
      </c>
      <c r="F552" s="3" t="inlineStr">
        <is>
          <t>매매</t>
        </is>
      </c>
      <c r="G552" s="4" t="n">
        <v>83000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 산조망 조용한곳 땅모양 네모반듯</t>
        </is>
      </c>
      <c r="L552" s="6">
        <f>HYPERLINK("https://fin.land.naver.com/articles/2643971813",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세종스타</t>
        </is>
      </c>
      <c r="P552" s="4" t="n">
        <v>1</v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토지</t>
        </is>
      </c>
      <c r="E553" s="3" t="inlineStr">
        <is>
          <t>대</t>
        </is>
      </c>
      <c r="F553" s="3" t="inlineStr">
        <is>
          <t>매매</t>
        </is>
      </c>
      <c r="G553" s="4" t="n">
        <v>83000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조율가능, 산조망 가능, 귀한 토지매매</t>
        </is>
      </c>
      <c r="L553" s="6">
        <f>HYPERLINK("https://fin.land.naver.com/articles/2643457154",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세종무지개</t>
        </is>
      </c>
      <c r="P553" s="4" t="n">
        <v>1</v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토지</t>
        </is>
      </c>
      <c r="E554" s="3" t="inlineStr">
        <is>
          <t>대</t>
        </is>
      </c>
      <c r="F554" s="3" t="inlineStr">
        <is>
          <t>매매</t>
        </is>
      </c>
      <c r="G554" s="4" t="n">
        <v>88000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토지</t>
        </is>
      </c>
      <c r="E555" s="3" t="inlineStr">
        <is>
          <t>대</t>
        </is>
      </c>
      <c r="F555" s="3" t="inlineStr">
        <is>
          <t>매매</t>
        </is>
      </c>
      <c r="G555" s="4" t="n">
        <v>65000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토지</t>
        </is>
      </c>
      <c r="E556" s="3" t="inlineStr">
        <is>
          <t>대</t>
        </is>
      </c>
      <c r="F556" s="3" t="inlineStr">
        <is>
          <t>매매</t>
        </is>
      </c>
      <c r="G556" s="4" t="n">
        <v>90000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토지</t>
        </is>
      </c>
      <c r="E557" s="3" t="inlineStr">
        <is>
          <t>대</t>
        </is>
      </c>
      <c r="F557" s="3" t="inlineStr">
        <is>
          <t>매매</t>
        </is>
      </c>
      <c r="G557" s="4" t="n">
        <v>68000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토지</t>
        </is>
      </c>
      <c r="E558" s="3" t="inlineStr">
        <is>
          <t>전</t>
        </is>
      </c>
      <c r="F558" s="3" t="inlineStr">
        <is>
          <t>매매</t>
        </is>
      </c>
      <c r="G558" s="4" t="n">
        <v>208600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토지</t>
        </is>
      </c>
      <c r="E559" s="3" t="inlineStr">
        <is>
          <t>전</t>
        </is>
      </c>
      <c r="F559" s="3" t="inlineStr">
        <is>
          <t>매매</t>
        </is>
      </c>
      <c r="G559" s="4" t="n">
        <v>200000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토지</t>
        </is>
      </c>
      <c r="E560" s="3" t="inlineStr">
        <is>
          <t>전</t>
        </is>
      </c>
      <c r="F560" s="3" t="inlineStr">
        <is>
          <t>매매</t>
        </is>
      </c>
      <c r="G560" s="4" t="n">
        <v>27000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토지</t>
        </is>
      </c>
      <c r="E561" s="3" t="inlineStr">
        <is>
          <t>대</t>
        </is>
      </c>
      <c r="F561" s="3" t="inlineStr">
        <is>
          <t>매매</t>
        </is>
      </c>
      <c r="G561" s="4" t="n">
        <v>29000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토지</t>
        </is>
      </c>
      <c r="E562" s="3" t="inlineStr">
        <is>
          <t>공장용지</t>
        </is>
      </c>
      <c r="F562" s="3" t="inlineStr">
        <is>
          <t>매매</t>
        </is>
      </c>
      <c r="G562" s="4" t="n">
        <v>630000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4200 남청주ic 5분 공장용지 물류센터 창고</t>
        </is>
      </c>
      <c r="L562" s="6">
        <f>HYPERLINK("https://fin.land.naver.com/articles/2645059549",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반포더드림</t>
        </is>
      </c>
      <c r="P562" s="4" t="n">
        <v>1</v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토지</t>
        </is>
      </c>
      <c r="E563" s="3" t="inlineStr">
        <is>
          <t>공장용지</t>
        </is>
      </c>
      <c r="F563" s="3" t="inlineStr">
        <is>
          <t>매매</t>
        </is>
      </c>
      <c r="G563" s="4" t="n">
        <v>630000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남청주 ic 5분, 2차선에서 진입가능한 공장부지</t>
        </is>
      </c>
      <c r="L563" s="6">
        <f>HYPERLINK("https://fin.land.naver.com/articles/2643685783",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토지</t>
        </is>
      </c>
      <c r="E564" s="3" t="inlineStr">
        <is>
          <t>공장용지</t>
        </is>
      </c>
      <c r="F564" s="3" t="inlineStr">
        <is>
          <t>매매</t>
        </is>
      </c>
      <c r="G564" s="4" t="n">
        <v>630000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토지</t>
        </is>
      </c>
      <c r="E565" s="3" t="inlineStr">
        <is>
          <t>답</t>
        </is>
      </c>
      <c r="F565" s="3" t="inlineStr">
        <is>
          <t>매매</t>
        </is>
      </c>
      <c r="G565" s="4" t="n">
        <v>98200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토지</t>
        </is>
      </c>
      <c r="E566" s="3" t="inlineStr">
        <is>
          <t>답</t>
        </is>
      </c>
      <c r="F566" s="3" t="inlineStr">
        <is>
          <t>매매</t>
        </is>
      </c>
      <c r="G566" s="4" t="n">
        <v>10000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토지</t>
        </is>
      </c>
      <c r="E567" s="3" t="inlineStr">
        <is>
          <t>대</t>
        </is>
      </c>
      <c r="F567" s="3" t="inlineStr">
        <is>
          <t>매매</t>
        </is>
      </c>
      <c r="G567" s="4" t="n">
        <v>55000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토지</t>
        </is>
      </c>
      <c r="E568" s="3" t="inlineStr">
        <is>
          <t>임야</t>
        </is>
      </c>
      <c r="F568" s="3" t="inlineStr">
        <is>
          <t>매매</t>
        </is>
      </c>
      <c r="G568" s="4" t="n">
        <v>760000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토지</t>
        </is>
      </c>
      <c r="E569" s="3" t="inlineStr">
        <is>
          <t>임야</t>
        </is>
      </c>
      <c r="F569" s="3" t="inlineStr">
        <is>
          <t>매매</t>
        </is>
      </c>
      <c r="G569" s="4" t="n">
        <v>1450000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토지</t>
        </is>
      </c>
      <c r="E570" s="3" t="inlineStr">
        <is>
          <t>임야</t>
        </is>
      </c>
      <c r="F570" s="3" t="inlineStr">
        <is>
          <t>매매</t>
        </is>
      </c>
      <c r="G570" s="4" t="n">
        <v>400000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토지</t>
        </is>
      </c>
      <c r="E571" s="3" t="inlineStr">
        <is>
          <t>대</t>
        </is>
      </c>
      <c r="F571" s="3" t="inlineStr">
        <is>
          <t>매매</t>
        </is>
      </c>
      <c r="G571" s="4" t="n">
        <v>340000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토지</t>
        </is>
      </c>
      <c r="E572" s="3" t="inlineStr">
        <is>
          <t>전</t>
        </is>
      </c>
      <c r="F572" s="3" t="inlineStr">
        <is>
          <t>매매</t>
        </is>
      </c>
      <c r="G572" s="4" t="n">
        <v>70000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토지</t>
        </is>
      </c>
      <c r="E573" s="3" t="inlineStr">
        <is>
          <t>전</t>
        </is>
      </c>
      <c r="F573" s="3" t="inlineStr">
        <is>
          <t>매매</t>
        </is>
      </c>
      <c r="G573" s="4" t="n">
        <v>22000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토지</t>
        </is>
      </c>
      <c r="E574" s="3" t="inlineStr">
        <is>
          <t>전</t>
        </is>
      </c>
      <c r="F574" s="3" t="inlineStr">
        <is>
          <t>매매</t>
        </is>
      </c>
      <c r="G574" s="4" t="n">
        <v>82000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토지</t>
        </is>
      </c>
      <c r="E575" s="3" t="inlineStr">
        <is>
          <t>전</t>
        </is>
      </c>
      <c r="F575" s="3" t="inlineStr">
        <is>
          <t>매매</t>
        </is>
      </c>
      <c r="G575" s="4" t="n">
        <v>250000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토지</t>
        </is>
      </c>
      <c r="E576" s="3" t="inlineStr">
        <is>
          <t>전</t>
        </is>
      </c>
      <c r="F576" s="3" t="inlineStr">
        <is>
          <t>매매</t>
        </is>
      </c>
      <c r="G576" s="4" t="n">
        <v>80000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토지</t>
        </is>
      </c>
      <c r="E577" s="3" t="inlineStr">
        <is>
          <t>전</t>
        </is>
      </c>
      <c r="F577" s="3" t="inlineStr">
        <is>
          <t>매매</t>
        </is>
      </c>
      <c r="G577" s="4" t="n">
        <v>120000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토지</t>
        </is>
      </c>
      <c r="E578" s="3" t="inlineStr">
        <is>
          <t>대</t>
        </is>
      </c>
      <c r="F578" s="3" t="inlineStr">
        <is>
          <t>매매</t>
        </is>
      </c>
      <c r="G578" s="4" t="n">
        <v>55000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토지</t>
        </is>
      </c>
      <c r="E579" s="3" t="inlineStr">
        <is>
          <t>대</t>
        </is>
      </c>
      <c r="F579" s="3" t="inlineStr">
        <is>
          <t>매매</t>
        </is>
      </c>
      <c r="G579" s="4" t="n">
        <v>67000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토지</t>
        </is>
      </c>
      <c r="E580" s="3" t="inlineStr">
        <is>
          <t>전</t>
        </is>
      </c>
      <c r="F580" s="3" t="inlineStr">
        <is>
          <t>매매</t>
        </is>
      </c>
      <c r="G580" s="4" t="n">
        <v>150000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토지</t>
        </is>
      </c>
      <c r="E581" s="3" t="inlineStr">
        <is>
          <t>답</t>
        </is>
      </c>
      <c r="F581" s="3" t="inlineStr">
        <is>
          <t>매매</t>
        </is>
      </c>
      <c r="G581" s="4" t="n">
        <v>82000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토지</t>
        </is>
      </c>
      <c r="E582" s="3" t="inlineStr">
        <is>
          <t>대</t>
        </is>
      </c>
      <c r="F582" s="3" t="inlineStr">
        <is>
          <t>매매</t>
        </is>
      </c>
      <c r="G582" s="4" t="n">
        <v>109000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토지</t>
        </is>
      </c>
      <c r="E583" s="3" t="inlineStr">
        <is>
          <t>전</t>
        </is>
      </c>
      <c r="F583" s="3" t="inlineStr">
        <is>
          <t>매매</t>
        </is>
      </c>
      <c r="G583" s="4" t="n">
        <v>82500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토지</t>
        </is>
      </c>
      <c r="E584" s="3" t="inlineStr">
        <is>
          <t>공장용지</t>
        </is>
      </c>
      <c r="F584" s="3" t="inlineStr">
        <is>
          <t>매매</t>
        </is>
      </c>
      <c r="G584" s="4" t="n">
        <v>210000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토지</t>
        </is>
      </c>
      <c r="E585" s="3" t="inlineStr">
        <is>
          <t>임야</t>
        </is>
      </c>
      <c r="F585" s="3" t="inlineStr">
        <is>
          <t>매매</t>
        </is>
      </c>
      <c r="G585" s="4" t="n">
        <v>25000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세종시삼성래미안</t>
        </is>
      </c>
      <c r="P585" s="4" t="n">
        <v>1</v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토지</t>
        </is>
      </c>
      <c r="E586" s="3" t="inlineStr">
        <is>
          <t>임야</t>
        </is>
      </c>
      <c r="F586" s="3" t="inlineStr">
        <is>
          <t>매매</t>
        </is>
      </c>
      <c r="G586" s="4" t="n">
        <v>25000</v>
      </c>
      <c r="H586" s="4" t="n">
        <v>326</v>
      </c>
      <c r="I586" s="5" t="n">
        <v>76.7</v>
      </c>
      <c r="J586" s="5" t="n">
        <v>5.2</v>
      </c>
      <c r="K586" s="3" t="inlineStr">
        <is>
          <t>부강면 금호리 개발된 보전관리 임야, 급매, 건축허가 필요</t>
        </is>
      </c>
      <c r="L586" s="6">
        <f>HYPERLINK("https://fin.land.naver.com/articles/2647581115",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스카이</t>
        </is>
      </c>
      <c r="P586" s="4" t="n">
        <v>3</v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토지</t>
        </is>
      </c>
      <c r="E587" s="3" t="inlineStr">
        <is>
          <t>대</t>
        </is>
      </c>
      <c r="F587" s="3" t="inlineStr">
        <is>
          <t>매매</t>
        </is>
      </c>
      <c r="G587" s="4" t="n">
        <v>49000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토지</t>
        </is>
      </c>
      <c r="E588" s="3" t="inlineStr">
        <is>
          <t>대</t>
        </is>
      </c>
      <c r="F588" s="3" t="inlineStr">
        <is>
          <t>매매</t>
        </is>
      </c>
      <c r="G588" s="4" t="n">
        <v>194000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토지</t>
        </is>
      </c>
      <c r="E589" s="3" t="inlineStr">
        <is>
          <t>대</t>
        </is>
      </c>
      <c r="F589" s="3" t="inlineStr">
        <is>
          <t>매매</t>
        </is>
      </c>
      <c r="G589" s="4" t="n">
        <v>194000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토지</t>
        </is>
      </c>
      <c r="E590" s="3" t="inlineStr">
        <is>
          <t>답</t>
        </is>
      </c>
      <c r="F590" s="3" t="inlineStr">
        <is>
          <t>매매</t>
        </is>
      </c>
      <c r="G590" s="4" t="n">
        <v>112000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토지</t>
        </is>
      </c>
      <c r="E591" s="3" t="inlineStr">
        <is>
          <t>답</t>
        </is>
      </c>
      <c r="F591" s="3" t="inlineStr">
        <is>
          <t>매매</t>
        </is>
      </c>
      <c r="G591" s="4" t="n">
        <v>160000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토지</t>
        </is>
      </c>
      <c r="E592" s="3" t="inlineStr">
        <is>
          <t>답</t>
        </is>
      </c>
      <c r="F592" s="3" t="inlineStr">
        <is>
          <t>매매</t>
        </is>
      </c>
      <c r="G592" s="4" t="n">
        <v>60000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토지</t>
        </is>
      </c>
      <c r="E593" s="3" t="inlineStr">
        <is>
          <t>답</t>
        </is>
      </c>
      <c r="F593" s="3" t="inlineStr">
        <is>
          <t>매매</t>
        </is>
      </c>
      <c r="G593" s="4" t="n">
        <v>112000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토지</t>
        </is>
      </c>
      <c r="E594" s="3" t="inlineStr">
        <is>
          <t>답</t>
        </is>
      </c>
      <c r="F594" s="3" t="inlineStr">
        <is>
          <t>매매</t>
        </is>
      </c>
      <c r="G594" s="4" t="n">
        <v>118000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토지</t>
        </is>
      </c>
      <c r="E595" s="3" t="inlineStr">
        <is>
          <t>전</t>
        </is>
      </c>
      <c r="F595" s="3" t="inlineStr">
        <is>
          <t>매매</t>
        </is>
      </c>
      <c r="G595" s="4" t="n">
        <v>62000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토지</t>
        </is>
      </c>
      <c r="E596" s="3" t="inlineStr">
        <is>
          <t>전</t>
        </is>
      </c>
      <c r="F596" s="3" t="inlineStr">
        <is>
          <t>매매</t>
        </is>
      </c>
      <c r="G596" s="4" t="n">
        <v>62000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토지</t>
        </is>
      </c>
      <c r="E597" s="3" t="inlineStr">
        <is>
          <t>대</t>
        </is>
      </c>
      <c r="F597" s="3" t="inlineStr">
        <is>
          <t>매매</t>
        </is>
      </c>
      <c r="G597" s="4" t="n">
        <v>50000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토지</t>
        </is>
      </c>
      <c r="E598" s="3" t="inlineStr">
        <is>
          <t>임야</t>
        </is>
      </c>
      <c r="F598" s="3" t="inlineStr">
        <is>
          <t>매매</t>
        </is>
      </c>
      <c r="G598" s="4" t="n">
        <v>180000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토지</t>
        </is>
      </c>
      <c r="E599" s="3" t="inlineStr">
        <is>
          <t>대</t>
        </is>
      </c>
      <c r="F599" s="3" t="inlineStr">
        <is>
          <t>매매</t>
        </is>
      </c>
      <c r="G599" s="4" t="n">
        <v>94000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토지</t>
        </is>
      </c>
      <c r="E600" s="3" t="inlineStr">
        <is>
          <t>대</t>
        </is>
      </c>
      <c r="F600" s="3" t="inlineStr">
        <is>
          <t>매매</t>
        </is>
      </c>
      <c r="G600" s="4" t="n">
        <v>40000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토지</t>
        </is>
      </c>
      <c r="E601" s="3" t="inlineStr">
        <is>
          <t>전</t>
        </is>
      </c>
      <c r="F601" s="3" t="inlineStr">
        <is>
          <t>매매</t>
        </is>
      </c>
      <c r="G601" s="4" t="n">
        <v>52400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토지</t>
        </is>
      </c>
      <c r="E602" s="3" t="inlineStr">
        <is>
          <t>대</t>
        </is>
      </c>
      <c r="F602" s="3" t="inlineStr">
        <is>
          <t>매매</t>
        </is>
      </c>
      <c r="G602" s="4" t="n">
        <v>35000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토지</t>
        </is>
      </c>
      <c r="E603" s="3" t="inlineStr">
        <is>
          <t>대</t>
        </is>
      </c>
      <c r="F603" s="3" t="inlineStr">
        <is>
          <t>매매</t>
        </is>
      </c>
      <c r="G603" s="4" t="n">
        <v>35000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세종복댕이</t>
        </is>
      </c>
      <c r="P603" s="4" t="n">
        <v>1</v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토지</t>
        </is>
      </c>
      <c r="E604" s="3" t="inlineStr">
        <is>
          <t>대</t>
        </is>
      </c>
      <c r="F604" s="3" t="inlineStr">
        <is>
          <t>매매</t>
        </is>
      </c>
      <c r="G604" s="4" t="n">
        <v>35000</v>
      </c>
      <c r="H604" s="4" t="n">
        <v>115</v>
      </c>
      <c r="I604" s="5" t="n">
        <v>304.3</v>
      </c>
      <c r="J604" s="5" t="n">
        <v>94.5</v>
      </c>
      <c r="K604" s="3" t="inlineStr">
        <is>
          <t>남청주IC 자동차로 약17분거리10km</t>
        </is>
      </c>
      <c r="L604" s="6">
        <f>HYPERLINK("https://fin.land.naver.com/articles/2648088822",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지장고</t>
        </is>
      </c>
      <c r="P604" s="4" t="n">
        <v>1</v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토지</t>
        </is>
      </c>
      <c r="E605" s="3" t="inlineStr">
        <is>
          <t>전</t>
        </is>
      </c>
      <c r="F605" s="3" t="inlineStr">
        <is>
          <t>매매</t>
        </is>
      </c>
      <c r="G605" s="4" t="n">
        <v>26000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토지</t>
        </is>
      </c>
      <c r="E606" s="3" t="inlineStr">
        <is>
          <t>답</t>
        </is>
      </c>
      <c r="F606" s="3" t="inlineStr">
        <is>
          <t>매매</t>
        </is>
      </c>
      <c r="G606" s="4" t="n">
        <v>174600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토지</t>
        </is>
      </c>
      <c r="E607" s="3" t="inlineStr">
        <is>
          <t>임야</t>
        </is>
      </c>
      <c r="F607" s="3" t="inlineStr">
        <is>
          <t>매매</t>
        </is>
      </c>
      <c r="G607" s="4" t="n">
        <v>30000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토지</t>
        </is>
      </c>
      <c r="E608" s="3" t="inlineStr">
        <is>
          <t>임야</t>
        </is>
      </c>
      <c r="F608" s="3" t="inlineStr">
        <is>
          <t>매매</t>
        </is>
      </c>
      <c r="G608" s="4" t="n">
        <v>60000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토지</t>
        </is>
      </c>
      <c r="E609" s="3" t="inlineStr">
        <is>
          <t>임야</t>
        </is>
      </c>
      <c r="F609" s="3" t="inlineStr">
        <is>
          <t>매매</t>
        </is>
      </c>
      <c r="G609" s="4" t="n">
        <v>250000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토지</t>
        </is>
      </c>
      <c r="E610" s="3" t="inlineStr">
        <is>
          <t>전</t>
        </is>
      </c>
      <c r="F610" s="3" t="inlineStr">
        <is>
          <t>매매</t>
        </is>
      </c>
      <c r="G610" s="4" t="n">
        <v>10000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토지</t>
        </is>
      </c>
      <c r="E611" s="3" t="inlineStr">
        <is>
          <t>답</t>
        </is>
      </c>
      <c r="F611" s="3" t="inlineStr">
        <is>
          <t>매매</t>
        </is>
      </c>
      <c r="G611" s="4" t="n">
        <v>250000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토지</t>
        </is>
      </c>
      <c r="E612" s="3" t="inlineStr">
        <is>
          <t>답</t>
        </is>
      </c>
      <c r="F612" s="3" t="inlineStr">
        <is>
          <t>매매</t>
        </is>
      </c>
      <c r="G612" s="4" t="n">
        <v>38400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토지</t>
        </is>
      </c>
      <c r="E613" s="3" t="inlineStr">
        <is>
          <t>답</t>
        </is>
      </c>
      <c r="F613" s="3" t="inlineStr">
        <is>
          <t>매매</t>
        </is>
      </c>
      <c r="G613" s="4" t="n">
        <v>23000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토지</t>
        </is>
      </c>
      <c r="E614" s="3" t="inlineStr">
        <is>
          <t>대</t>
        </is>
      </c>
      <c r="F614" s="3" t="inlineStr">
        <is>
          <t>매매</t>
        </is>
      </c>
      <c r="G614" s="4" t="n">
        <v>155000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토지</t>
        </is>
      </c>
      <c r="E615" s="3" t="inlineStr">
        <is>
          <t>답</t>
        </is>
      </c>
      <c r="F615" s="3" t="inlineStr">
        <is>
          <t>매매</t>
        </is>
      </c>
      <c r="G615" s="4" t="n">
        <v>72000</v>
      </c>
      <c r="H615" s="4" t="n">
        <v>1199</v>
      </c>
      <c r="I615" s="5" t="n">
        <v>60.1</v>
      </c>
      <c r="J615" s="5" t="n">
        <v>25.8</v>
      </c>
      <c r="K615" s="3" t="inlineStr">
        <is>
          <t>부강면 노호리 도로접한 토지매매.</t>
        </is>
      </c>
      <c r="L615" s="6">
        <f>HYPERLINK("https://fin.land.naver.com/articles/2647631268",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방서에이스</t>
        </is>
      </c>
      <c r="P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토지</t>
        </is>
      </c>
      <c r="E616" s="3" t="inlineStr">
        <is>
          <t>답</t>
        </is>
      </c>
      <c r="F616" s="3" t="inlineStr">
        <is>
          <t>매매</t>
        </is>
      </c>
      <c r="G616" s="4" t="n">
        <v>72000</v>
      </c>
      <c r="H616" s="4" t="n">
        <v>1199</v>
      </c>
      <c r="I616" s="5" t="n">
        <v>60.1</v>
      </c>
      <c r="J616" s="5" t="n">
        <v>25.8</v>
      </c>
      <c r="K616" s="3" t="inlineStr">
        <is>
          <t>부강면노호리 생산관리지역 마을인접 가격조정가능</t>
        </is>
      </c>
      <c r="L616" s="6">
        <f>HYPERLINK("https://fin.land.naver.com/articles/2643062467",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고운동리치세종</t>
        </is>
      </c>
      <c r="P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토지</t>
        </is>
      </c>
      <c r="E617" s="3" t="inlineStr">
        <is>
          <t>답</t>
        </is>
      </c>
      <c r="F617" s="3" t="inlineStr">
        <is>
          <t>매매</t>
        </is>
      </c>
      <c r="G617" s="4" t="n">
        <v>71930</v>
      </c>
      <c r="H617" s="4" t="n">
        <v>1199</v>
      </c>
      <c r="I617" s="5" t="n">
        <v>60</v>
      </c>
      <c r="J617" s="5" t="n">
        <v>25.8</v>
      </c>
      <c r="K617" s="3" t="inlineStr">
        <is>
          <t>매포역 인근 금강 변, 국도 인접 생산관리지역, 개발호재 많은 투자 물건</t>
        </is>
      </c>
      <c r="L617" s="6">
        <f>HYPERLINK("https://fin.land.naver.com/articles/2643890318",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오송3산단  사무소</t>
        </is>
      </c>
      <c r="P617" s="4" t="n">
        <v>1</v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토지</t>
        </is>
      </c>
      <c r="E618" s="3" t="inlineStr">
        <is>
          <t>답</t>
        </is>
      </c>
      <c r="F618" s="3" t="inlineStr">
        <is>
          <t>매매</t>
        </is>
      </c>
      <c r="G618" s="4" t="n">
        <v>71200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HYPERLINK("https://fin.land.naver.com/articles/2642992582",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114</t>
        </is>
      </c>
      <c r="P618" s="4" t="n">
        <v>1</v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토지</t>
        </is>
      </c>
      <c r="E619" s="3" t="inlineStr">
        <is>
          <t>대</t>
        </is>
      </c>
      <c r="F619" s="3" t="inlineStr">
        <is>
          <t>매매</t>
        </is>
      </c>
      <c r="G619" s="4" t="n">
        <v>23000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토지</t>
        </is>
      </c>
      <c r="E620" s="3" t="inlineStr">
        <is>
          <t>임야</t>
        </is>
      </c>
      <c r="F620" s="3" t="inlineStr">
        <is>
          <t>매매</t>
        </is>
      </c>
      <c r="G620" s="4" t="n">
        <v>49000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토지</t>
        </is>
      </c>
      <c r="E621" s="3" t="inlineStr">
        <is>
          <t>대</t>
        </is>
      </c>
      <c r="F621" s="3" t="inlineStr">
        <is>
          <t>매매</t>
        </is>
      </c>
      <c r="G621" s="4" t="n">
        <v>16500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토지</t>
        </is>
      </c>
      <c r="E622" s="3" t="inlineStr">
        <is>
          <t>전</t>
        </is>
      </c>
      <c r="F622" s="3" t="inlineStr">
        <is>
          <t>매매</t>
        </is>
      </c>
      <c r="G622" s="4" t="n">
        <v>12700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토지</t>
        </is>
      </c>
      <c r="E623" s="3" t="inlineStr">
        <is>
          <t>답</t>
        </is>
      </c>
      <c r="F623" s="3" t="inlineStr">
        <is>
          <t>매매</t>
        </is>
      </c>
      <c r="G623" s="4" t="n">
        <v>19000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토지</t>
        </is>
      </c>
      <c r="E624" s="3" t="inlineStr">
        <is>
          <t>대</t>
        </is>
      </c>
      <c r="F624" s="3" t="inlineStr">
        <is>
          <t>매매</t>
        </is>
      </c>
      <c r="G624" s="4" t="n">
        <v>25000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토지</t>
        </is>
      </c>
      <c r="E625" s="3" t="inlineStr">
        <is>
          <t>답</t>
        </is>
      </c>
      <c r="F625" s="3" t="inlineStr">
        <is>
          <t>매매</t>
        </is>
      </c>
      <c r="G625" s="4" t="n">
        <v>410000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토지</t>
        </is>
      </c>
      <c r="E626" s="3" t="inlineStr">
        <is>
          <t>답</t>
        </is>
      </c>
      <c r="F626" s="3" t="inlineStr">
        <is>
          <t>매매</t>
        </is>
      </c>
      <c r="G626" s="4" t="n">
        <v>159000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토지</t>
        </is>
      </c>
      <c r="E627" s="3" t="inlineStr">
        <is>
          <t>답</t>
        </is>
      </c>
      <c r="F627" s="3" t="inlineStr">
        <is>
          <t>매매</t>
        </is>
      </c>
      <c r="G627" s="4" t="n">
        <v>159000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토지</t>
        </is>
      </c>
      <c r="E628" s="3" t="inlineStr">
        <is>
          <t>답</t>
        </is>
      </c>
      <c r="F628" s="3" t="inlineStr">
        <is>
          <t>매매</t>
        </is>
      </c>
      <c r="G628" s="4" t="n">
        <v>500000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토지</t>
        </is>
      </c>
      <c r="E629" s="3" t="inlineStr">
        <is>
          <t>임야</t>
        </is>
      </c>
      <c r="F629" s="3" t="inlineStr">
        <is>
          <t>매매</t>
        </is>
      </c>
      <c r="G629" s="4" t="n">
        <v>130000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토지</t>
        </is>
      </c>
      <c r="E630" s="3" t="inlineStr">
        <is>
          <t>답</t>
        </is>
      </c>
      <c r="F630" s="3" t="inlineStr">
        <is>
          <t>매매</t>
        </is>
      </c>
      <c r="G630" s="4" t="n">
        <v>30000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토지</t>
        </is>
      </c>
      <c r="E631" s="3" t="inlineStr">
        <is>
          <t>답</t>
        </is>
      </c>
      <c r="F631" s="3" t="inlineStr">
        <is>
          <t>매매</t>
        </is>
      </c>
      <c r="G631" s="4" t="n">
        <v>32000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토지</t>
        </is>
      </c>
      <c r="E632" s="3" t="inlineStr">
        <is>
          <t>답</t>
        </is>
      </c>
      <c r="F632" s="3" t="inlineStr">
        <is>
          <t>매매</t>
        </is>
      </c>
      <c r="G632" s="4" t="n">
        <v>14000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토지</t>
        </is>
      </c>
      <c r="E633" s="3" t="inlineStr">
        <is>
          <t>대</t>
        </is>
      </c>
      <c r="F633" s="3" t="inlineStr">
        <is>
          <t>매매</t>
        </is>
      </c>
      <c r="G633" s="4" t="n">
        <v>130000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토지</t>
        </is>
      </c>
      <c r="E634" s="3" t="inlineStr">
        <is>
          <t>공장용지</t>
        </is>
      </c>
      <c r="F634" s="3" t="inlineStr">
        <is>
          <t>매매</t>
        </is>
      </c>
      <c r="G634" s="4" t="n">
        <v>95000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토지</t>
        </is>
      </c>
      <c r="E635" s="3" t="inlineStr">
        <is>
          <t>전</t>
        </is>
      </c>
      <c r="F635" s="3" t="inlineStr">
        <is>
          <t>매매</t>
        </is>
      </c>
      <c r="G635" s="4" t="n">
        <v>28700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토지</t>
        </is>
      </c>
      <c r="E636" s="3" t="inlineStr">
        <is>
          <t>대</t>
        </is>
      </c>
      <c r="F636" s="3" t="inlineStr">
        <is>
          <t>매매</t>
        </is>
      </c>
      <c r="G636" s="4" t="n">
        <v>17000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토지</t>
        </is>
      </c>
      <c r="E637" s="3" t="inlineStr">
        <is>
          <t>답</t>
        </is>
      </c>
      <c r="F637" s="3" t="inlineStr">
        <is>
          <t>매매</t>
        </is>
      </c>
      <c r="G637" s="4" t="n">
        <v>16500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토지</t>
        </is>
      </c>
      <c r="E638" s="3" t="inlineStr">
        <is>
          <t>주유소용지</t>
        </is>
      </c>
      <c r="F638" s="3" t="inlineStr">
        <is>
          <t>매매</t>
        </is>
      </c>
      <c r="G638" s="4" t="n">
        <v>380000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토지</t>
        </is>
      </c>
      <c r="E639" s="3" t="inlineStr">
        <is>
          <t>전</t>
        </is>
      </c>
      <c r="F639" s="3" t="inlineStr">
        <is>
          <t>매매</t>
        </is>
      </c>
      <c r="G639" s="4" t="n">
        <v>186800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토지</t>
        </is>
      </c>
      <c r="E640" s="3" t="inlineStr">
        <is>
          <t>대</t>
        </is>
      </c>
      <c r="F640" s="3" t="inlineStr">
        <is>
          <t>매매</t>
        </is>
      </c>
      <c r="G640" s="4" t="n">
        <v>40000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토지</t>
        </is>
      </c>
      <c r="E641" s="3" t="inlineStr">
        <is>
          <t>전</t>
        </is>
      </c>
      <c r="F641" s="3" t="inlineStr">
        <is>
          <t>매매</t>
        </is>
      </c>
      <c r="G641" s="4" t="n">
        <v>41000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토지</t>
        </is>
      </c>
      <c r="E642" s="3" t="inlineStr">
        <is>
          <t>대</t>
        </is>
      </c>
      <c r="F642" s="3" t="inlineStr">
        <is>
          <t>매매</t>
        </is>
      </c>
      <c r="G642" s="4" t="n">
        <v>50000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토지</t>
        </is>
      </c>
      <c r="E643" s="3" t="inlineStr">
        <is>
          <t>답</t>
        </is>
      </c>
      <c r="F643" s="3" t="inlineStr">
        <is>
          <t>매매</t>
        </is>
      </c>
      <c r="G643" s="4" t="n">
        <v>47000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토지</t>
        </is>
      </c>
      <c r="E644" s="3" t="inlineStr">
        <is>
          <t>답</t>
        </is>
      </c>
      <c r="F644" s="3" t="inlineStr">
        <is>
          <t>매매</t>
        </is>
      </c>
      <c r="G644" s="4" t="n">
        <v>123000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토지</t>
        </is>
      </c>
      <c r="E645" s="3" t="inlineStr">
        <is>
          <t>답</t>
        </is>
      </c>
      <c r="F645" s="3" t="inlineStr">
        <is>
          <t>매매</t>
        </is>
      </c>
      <c r="G645" s="4" t="n">
        <v>98800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토지</t>
        </is>
      </c>
      <c r="E646" s="3" t="inlineStr">
        <is>
          <t>답</t>
        </is>
      </c>
      <c r="F646" s="3" t="inlineStr">
        <is>
          <t>매매</t>
        </is>
      </c>
      <c r="G646" s="4" t="n">
        <v>136000</v>
      </c>
      <c r="H646" s="4" t="n">
        <v>1060</v>
      </c>
      <c r="I646" s="5" t="n">
        <v>128.3</v>
      </c>
      <c r="J646" s="5" t="n">
        <v>22.5</v>
      </c>
      <c r="K646" s="3" t="inlineStr">
        <is>
          <t>즉시 건축 가능한 공장 및 창고부지 계획관리지역 남청주 IC인근</t>
        </is>
      </c>
      <c r="L646" s="6">
        <f>HYPERLINK("https://fin.land.naver.com/articles/2646279919",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대전토지로무소</t>
        </is>
      </c>
      <c r="P646" s="4" t="n">
        <v>1</v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토지</t>
        </is>
      </c>
      <c r="E647" s="3" t="inlineStr">
        <is>
          <t>전</t>
        </is>
      </c>
      <c r="F647" s="3" t="inlineStr">
        <is>
          <t>매매</t>
        </is>
      </c>
      <c r="G647" s="4" t="n">
        <v>136000</v>
      </c>
      <c r="H647" s="4" t="n">
        <v>1061</v>
      </c>
      <c r="I647" s="5" t="n">
        <v>128.2</v>
      </c>
      <c r="J647" s="5" t="n">
        <v>22.5</v>
      </c>
      <c r="K647" s="3" t="inlineStr">
        <is>
          <t>남청주IC 5분,  공장부지 용도</t>
        </is>
      </c>
      <c r="L647" s="6">
        <f>HYPERLINK("https://fin.land.naver.com/articles/2645438731",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미더스</t>
        </is>
      </c>
      <c r="P647" s="4" t="n">
        <v>2</v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토지</t>
        </is>
      </c>
      <c r="E648" s="3" t="inlineStr">
        <is>
          <t>답</t>
        </is>
      </c>
      <c r="F648" s="3" t="inlineStr">
        <is>
          <t>매매</t>
        </is>
      </c>
      <c r="G648" s="4" t="n">
        <v>250000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토지</t>
        </is>
      </c>
      <c r="E649" s="3" t="inlineStr">
        <is>
          <t>임야</t>
        </is>
      </c>
      <c r="F649" s="3" t="inlineStr">
        <is>
          <t>매매</t>
        </is>
      </c>
      <c r="G649" s="4" t="n">
        <v>67000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토지</t>
        </is>
      </c>
      <c r="E650" s="3" t="inlineStr">
        <is>
          <t>임야</t>
        </is>
      </c>
      <c r="F650" s="3" t="inlineStr">
        <is>
          <t>매매</t>
        </is>
      </c>
      <c r="G650" s="4" t="n">
        <v>630000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토지</t>
        </is>
      </c>
      <c r="E651" s="3" t="inlineStr">
        <is>
          <t>대</t>
        </is>
      </c>
      <c r="F651" s="3" t="inlineStr">
        <is>
          <t>매매</t>
        </is>
      </c>
      <c r="G651" s="4" t="n">
        <v>295000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토지</t>
        </is>
      </c>
      <c r="E652" s="3" t="inlineStr">
        <is>
          <t>전</t>
        </is>
      </c>
      <c r="F652" s="3" t="inlineStr">
        <is>
          <t>매매</t>
        </is>
      </c>
      <c r="G652" s="4" t="n">
        <v>70000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토지</t>
        </is>
      </c>
      <c r="E653" s="3" t="inlineStr">
        <is>
          <t>대</t>
        </is>
      </c>
      <c r="F653" s="3" t="inlineStr">
        <is>
          <t>매매</t>
        </is>
      </c>
      <c r="G653" s="4" t="n">
        <v>100000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토지</t>
        </is>
      </c>
      <c r="E654" s="3" t="inlineStr">
        <is>
          <t>주차장</t>
        </is>
      </c>
      <c r="F654" s="3" t="inlineStr">
        <is>
          <t>월세</t>
        </is>
      </c>
      <c r="G654" s="4" t="n">
        <v>1000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토지</t>
        </is>
      </c>
      <c r="E655" s="3" t="inlineStr">
        <is>
          <t>답</t>
        </is>
      </c>
      <c r="F655" s="3" t="inlineStr">
        <is>
          <t>매매</t>
        </is>
      </c>
      <c r="G655" s="4" t="n">
        <v>63500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토지</t>
        </is>
      </c>
      <c r="E656" s="3" t="inlineStr">
        <is>
          <t>대</t>
        </is>
      </c>
      <c r="F656" s="3" t="inlineStr">
        <is>
          <t>매매</t>
        </is>
      </c>
      <c r="G656" s="4" t="n">
        <v>35000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토지</t>
        </is>
      </c>
      <c r="E657" s="3" t="inlineStr">
        <is>
          <t>답</t>
        </is>
      </c>
      <c r="F657" s="3" t="inlineStr">
        <is>
          <t>매매</t>
        </is>
      </c>
      <c r="G657" s="4" t="n">
        <v>58000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토지</t>
        </is>
      </c>
      <c r="E658" s="3" t="inlineStr">
        <is>
          <t>답</t>
        </is>
      </c>
      <c r="F658" s="3" t="inlineStr">
        <is>
          <t>매매</t>
        </is>
      </c>
      <c r="G658" s="4" t="n">
        <v>170000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토지</t>
        </is>
      </c>
      <c r="E659" s="3" t="inlineStr">
        <is>
          <t>대</t>
        </is>
      </c>
      <c r="F659" s="3" t="inlineStr">
        <is>
          <t>매매</t>
        </is>
      </c>
      <c r="G659" s="4" t="n">
        <v>29500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토지</t>
        </is>
      </c>
      <c r="E660" s="3" t="inlineStr">
        <is>
          <t>대</t>
        </is>
      </c>
      <c r="F660" s="3" t="inlineStr">
        <is>
          <t>매매</t>
        </is>
      </c>
      <c r="G660" s="4" t="n">
        <v>50000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토지</t>
        </is>
      </c>
      <c r="E661" s="3" t="inlineStr">
        <is>
          <t>대</t>
        </is>
      </c>
      <c r="F661" s="3" t="inlineStr">
        <is>
          <t>매매</t>
        </is>
      </c>
      <c r="G661" s="4" t="n">
        <v>50000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토지</t>
        </is>
      </c>
      <c r="E662" s="3" t="inlineStr">
        <is>
          <t>대</t>
        </is>
      </c>
      <c r="F662" s="3" t="inlineStr">
        <is>
          <t>매매</t>
        </is>
      </c>
      <c r="G662" s="4" t="n">
        <v>140000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토지</t>
        </is>
      </c>
      <c r="E663" s="3" t="inlineStr">
        <is>
          <t>대</t>
        </is>
      </c>
      <c r="F663" s="3" t="inlineStr">
        <is>
          <t>매매</t>
        </is>
      </c>
      <c r="G663" s="4" t="n">
        <v>95000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토지</t>
        </is>
      </c>
      <c r="E664" s="3" t="inlineStr">
        <is>
          <t>대</t>
        </is>
      </c>
      <c r="F664" s="3" t="inlineStr">
        <is>
          <t>매매</t>
        </is>
      </c>
      <c r="G664" s="4" t="n">
        <v>68000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토지</t>
        </is>
      </c>
      <c r="E665" s="3" t="inlineStr">
        <is>
          <t>전</t>
        </is>
      </c>
      <c r="F665" s="3" t="inlineStr">
        <is>
          <t>매매</t>
        </is>
      </c>
      <c r="G665" s="4" t="n">
        <v>37000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토지</t>
        </is>
      </c>
      <c r="E666" s="3" t="inlineStr">
        <is>
          <t>답</t>
        </is>
      </c>
      <c r="F666" s="3" t="inlineStr">
        <is>
          <t>매매</t>
        </is>
      </c>
      <c r="G666" s="4" t="n">
        <v>320000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토지</t>
        </is>
      </c>
      <c r="E667" s="3" t="inlineStr">
        <is>
          <t>공장용지</t>
        </is>
      </c>
      <c r="F667" s="3" t="inlineStr">
        <is>
          <t>매매</t>
        </is>
      </c>
      <c r="G667" s="4" t="n">
        <v>346000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토지</t>
        </is>
      </c>
      <c r="E668" s="3" t="inlineStr">
        <is>
          <t>대</t>
        </is>
      </c>
      <c r="F668" s="3" t="inlineStr">
        <is>
          <t>매매</t>
        </is>
      </c>
      <c r="G668" s="4" t="n">
        <v>66000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토지</t>
        </is>
      </c>
      <c r="E669" s="3" t="inlineStr">
        <is>
          <t>대</t>
        </is>
      </c>
      <c r="F669" s="3" t="inlineStr">
        <is>
          <t>매매</t>
        </is>
      </c>
      <c r="G669" s="4" t="n">
        <v>34000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토지</t>
        </is>
      </c>
      <c r="E670" s="3" t="inlineStr">
        <is>
          <t>답</t>
        </is>
      </c>
      <c r="F670" s="3" t="inlineStr">
        <is>
          <t>매매</t>
        </is>
      </c>
      <c r="G670" s="4" t="n">
        <v>50000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토지</t>
        </is>
      </c>
      <c r="E671" s="3" t="inlineStr">
        <is>
          <t>전</t>
        </is>
      </c>
      <c r="F671" s="3" t="inlineStr">
        <is>
          <t>매매</t>
        </is>
      </c>
      <c r="G671" s="4" t="n">
        <v>28000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토지</t>
        </is>
      </c>
      <c r="E672" s="3" t="inlineStr">
        <is>
          <t>전</t>
        </is>
      </c>
      <c r="F672" s="3" t="inlineStr">
        <is>
          <t>매매</t>
        </is>
      </c>
      <c r="G672" s="4" t="n">
        <v>45000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토지</t>
        </is>
      </c>
      <c r="E673" s="3" t="inlineStr">
        <is>
          <t>답</t>
        </is>
      </c>
      <c r="F673" s="3" t="inlineStr">
        <is>
          <t>매매</t>
        </is>
      </c>
      <c r="G673" s="4" t="n">
        <v>279000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토지</t>
        </is>
      </c>
      <c r="E674" s="3" t="inlineStr">
        <is>
          <t>답</t>
        </is>
      </c>
      <c r="F674" s="3" t="inlineStr">
        <is>
          <t>매매</t>
        </is>
      </c>
      <c r="G674" s="4" t="n">
        <v>28000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토지</t>
        </is>
      </c>
      <c r="E675" s="3" t="inlineStr">
        <is>
          <t>답</t>
        </is>
      </c>
      <c r="F675" s="3" t="inlineStr">
        <is>
          <t>매매</t>
        </is>
      </c>
      <c r="G675" s="4" t="n">
        <v>35000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토지</t>
        </is>
      </c>
      <c r="E676" s="3" t="inlineStr">
        <is>
          <t>답</t>
        </is>
      </c>
      <c r="F676" s="3" t="inlineStr">
        <is>
          <t>매매</t>
        </is>
      </c>
      <c r="G676" s="4" t="n">
        <v>85000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토지</t>
        </is>
      </c>
      <c r="E677" s="3" t="inlineStr">
        <is>
          <t>전</t>
        </is>
      </c>
      <c r="F677" s="3" t="inlineStr">
        <is>
          <t>매매</t>
        </is>
      </c>
      <c r="G677" s="4" t="n">
        <v>200000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토지</t>
        </is>
      </c>
      <c r="E678" s="3" t="inlineStr">
        <is>
          <t>답</t>
        </is>
      </c>
      <c r="F678" s="3" t="inlineStr">
        <is>
          <t>매매</t>
        </is>
      </c>
      <c r="G678" s="4" t="n">
        <v>120000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토지</t>
        </is>
      </c>
      <c r="E679" s="3" t="inlineStr">
        <is>
          <t>답</t>
        </is>
      </c>
      <c r="F679" s="3" t="inlineStr">
        <is>
          <t>매매</t>
        </is>
      </c>
      <c r="G679" s="4" t="n">
        <v>40000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토지</t>
        </is>
      </c>
      <c r="E680" s="3" t="inlineStr">
        <is>
          <t>답</t>
        </is>
      </c>
      <c r="F680" s="3" t="inlineStr">
        <is>
          <t>매매</t>
        </is>
      </c>
      <c r="G680" s="4" t="n">
        <v>35000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토지</t>
        </is>
      </c>
      <c r="E681" s="3" t="inlineStr">
        <is>
          <t>대</t>
        </is>
      </c>
      <c r="F681" s="3" t="inlineStr">
        <is>
          <t>매매</t>
        </is>
      </c>
      <c r="G681" s="4" t="n">
        <v>42500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토지</t>
        </is>
      </c>
      <c r="E682" s="3" t="inlineStr">
        <is>
          <t>전</t>
        </is>
      </c>
      <c r="F682" s="3" t="inlineStr">
        <is>
          <t>매매</t>
        </is>
      </c>
      <c r="G682" s="4" t="n">
        <v>38000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토지</t>
        </is>
      </c>
      <c r="E683" s="3" t="inlineStr">
        <is>
          <t>창고용지</t>
        </is>
      </c>
      <c r="F683" s="3" t="inlineStr">
        <is>
          <t>매매</t>
        </is>
      </c>
      <c r="G683" s="4" t="n">
        <v>56000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토지</t>
        </is>
      </c>
      <c r="E684" s="3" t="inlineStr">
        <is>
          <t>답</t>
        </is>
      </c>
      <c r="F684" s="3" t="inlineStr">
        <is>
          <t>매매</t>
        </is>
      </c>
      <c r="G684" s="4" t="n">
        <v>40000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토지</t>
        </is>
      </c>
      <c r="E685" s="3" t="inlineStr">
        <is>
          <t>답</t>
        </is>
      </c>
      <c r="F685" s="3" t="inlineStr">
        <is>
          <t>매매</t>
        </is>
      </c>
      <c r="G685" s="4" t="n">
        <v>40000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토지</t>
        </is>
      </c>
      <c r="E686" s="3" t="inlineStr">
        <is>
          <t>전</t>
        </is>
      </c>
      <c r="F686" s="3" t="inlineStr">
        <is>
          <t>매매</t>
        </is>
      </c>
      <c r="G686" s="4" t="n">
        <v>35000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계획관리지역으로 전과 대로 이뤄진 2필지 급매</t>
        </is>
      </c>
      <c r="L686" s="6">
        <f>HYPERLINK("https://fin.land.naver.com/articles/2645640836",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세종대장</t>
        </is>
      </c>
      <c r="P686" s="4" t="n">
        <v>1</v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토지</t>
        </is>
      </c>
      <c r="E687" s="3" t="inlineStr">
        <is>
          <t>대</t>
        </is>
      </c>
      <c r="F687" s="3" t="inlineStr">
        <is>
          <t>매매</t>
        </is>
      </c>
      <c r="G687" s="4" t="n">
        <v>35000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 대지 전 매매</t>
        </is>
      </c>
      <c r="L687" s="6">
        <f>HYPERLINK("https://fin.land.naver.com/articles/2646598391",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진성</t>
        </is>
      </c>
      <c r="P687" s="4" t="n">
        <v>1</v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토지</t>
        </is>
      </c>
      <c r="E688" s="3" t="inlineStr">
        <is>
          <t>대</t>
        </is>
      </c>
      <c r="F688" s="3" t="inlineStr">
        <is>
          <t>매매</t>
        </is>
      </c>
      <c r="G688" s="4" t="n">
        <v>16000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토지</t>
        </is>
      </c>
      <c r="E689" s="3" t="inlineStr">
        <is>
          <t>전</t>
        </is>
      </c>
      <c r="F689" s="3" t="inlineStr">
        <is>
          <t>매매</t>
        </is>
      </c>
      <c r="G689" s="4" t="n">
        <v>33900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토지</t>
        </is>
      </c>
      <c r="E690" s="3" t="inlineStr">
        <is>
          <t>과수원</t>
        </is>
      </c>
      <c r="F690" s="3" t="inlineStr">
        <is>
          <t>매매</t>
        </is>
      </c>
      <c r="G690" s="4" t="n">
        <v>390000</v>
      </c>
      <c r="H690" s="4" t="n">
        <v>2427</v>
      </c>
      <c r="I690" s="5" t="n">
        <v>160.7</v>
      </c>
      <c r="J690" s="5" t="n">
        <v>41.2</v>
      </c>
      <c r="K690" s="3" t="inlineStr">
        <is>
          <t>공장 및 창고용지로 추천합니다</t>
        </is>
      </c>
      <c r="L690" s="6">
        <f>HYPERLINK("https://fin.land.naver.com/articles/2643477856",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토지</t>
        </is>
      </c>
      <c r="E691" s="3" t="inlineStr">
        <is>
          <t>과수원</t>
        </is>
      </c>
      <c r="F691" s="3" t="inlineStr">
        <is>
          <t>매매</t>
        </is>
      </c>
      <c r="G691" s="4" t="n">
        <v>526000</v>
      </c>
      <c r="H691" s="4" t="n">
        <v>3555</v>
      </c>
      <c r="I691" s="5" t="n">
        <v>148</v>
      </c>
      <c r="J691" s="5" t="n">
        <v>41.2</v>
      </c>
      <c r="K691" s="3" t="inlineStr">
        <is>
          <t>세종시 부근에서 공장부지로 최상</t>
        </is>
      </c>
      <c r="L691" s="6">
        <f>HYPERLINK("https://fin.land.naver.com/articles/2646866931",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토지</t>
        </is>
      </c>
      <c r="E692" s="3" t="inlineStr">
        <is>
          <t>전</t>
        </is>
      </c>
      <c r="F692" s="3" t="inlineStr">
        <is>
          <t>매매</t>
        </is>
      </c>
      <c r="G692" s="4" t="n">
        <v>33000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토지</t>
        </is>
      </c>
      <c r="E693" s="3" t="inlineStr">
        <is>
          <t>전</t>
        </is>
      </c>
      <c r="F693" s="3" t="inlineStr">
        <is>
          <t>매매</t>
        </is>
      </c>
      <c r="G693" s="4" t="n">
        <v>64000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토지</t>
        </is>
      </c>
      <c r="E694" s="3" t="inlineStr">
        <is>
          <t>답</t>
        </is>
      </c>
      <c r="F694" s="3" t="inlineStr">
        <is>
          <t>매매</t>
        </is>
      </c>
      <c r="G694" s="4" t="n">
        <v>85000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토지</t>
        </is>
      </c>
      <c r="E695" s="3" t="inlineStr">
        <is>
          <t>목장용지</t>
        </is>
      </c>
      <c r="F695" s="3" t="inlineStr">
        <is>
          <t>매매</t>
        </is>
      </c>
      <c r="G695" s="4" t="n">
        <v>196500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토지</t>
        </is>
      </c>
      <c r="E696" s="3" t="inlineStr">
        <is>
          <t>과수원</t>
        </is>
      </c>
      <c r="F696" s="3" t="inlineStr">
        <is>
          <t>매매</t>
        </is>
      </c>
      <c r="G696" s="4" t="n">
        <v>52200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HYPERLINK("https://fin.land.naver.com/articles/2642722096",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세종소담황금</t>
        </is>
      </c>
      <c r="P696" s="4" t="n">
        <v>1</v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토지</t>
        </is>
      </c>
      <c r="E697" s="3" t="inlineStr">
        <is>
          <t>과수원</t>
        </is>
      </c>
      <c r="F697" s="3" t="inlineStr">
        <is>
          <t>매매</t>
        </is>
      </c>
      <c r="G697" s="4" t="n">
        <v>52000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토지</t>
        </is>
      </c>
      <c r="E698" s="3" t="inlineStr">
        <is>
          <t>과수원</t>
        </is>
      </c>
      <c r="F698" s="3" t="inlineStr">
        <is>
          <t>매매</t>
        </is>
      </c>
      <c r="G698" s="4" t="n">
        <v>52000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HYPERLINK("https://fin.land.naver.com/articles/2643452102",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고운맘</t>
        </is>
      </c>
      <c r="P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토지</t>
        </is>
      </c>
      <c r="E699" s="3" t="inlineStr">
        <is>
          <t>과수원</t>
        </is>
      </c>
      <c r="F699" s="3" t="inlineStr">
        <is>
          <t>매매</t>
        </is>
      </c>
      <c r="G699" s="4" t="n">
        <v>23600</v>
      </c>
      <c r="H699" s="4" t="n">
        <v>236</v>
      </c>
      <c r="I699" s="5" t="n">
        <v>100</v>
      </c>
      <c r="J699" s="5" t="n">
        <v>24.8</v>
      </c>
      <c r="K699" s="3" t="inlineStr">
        <is>
          <t>계획관리지역의 과수원으로 농촌 체류형 쉼터나 공방 및 전원주택지로 좋은</t>
        </is>
      </c>
      <c r="L699" s="6">
        <f>HYPERLINK("https://fin.land.naver.com/articles/2645376576",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스마일세종</t>
        </is>
      </c>
      <c r="P699" s="4" t="n">
        <v>2</v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토지</t>
        </is>
      </c>
      <c r="E700" s="3" t="inlineStr">
        <is>
          <t>과수원</t>
        </is>
      </c>
      <c r="F700" s="3" t="inlineStr">
        <is>
          <t>매매</t>
        </is>
      </c>
      <c r="G700" s="4" t="n">
        <v>38500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토지</t>
        </is>
      </c>
      <c r="E701" s="3" t="inlineStr">
        <is>
          <t>과수원</t>
        </is>
      </c>
      <c r="F701" s="3" t="inlineStr">
        <is>
          <t>매매</t>
        </is>
      </c>
      <c r="G701" s="4" t="n">
        <v>23600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HYPERLINK("https://fin.land.naver.com/articles/2643007979",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토지</t>
        </is>
      </c>
      <c r="E702" s="3" t="inlineStr">
        <is>
          <t>과수원</t>
        </is>
      </c>
      <c r="F702" s="3" t="inlineStr">
        <is>
          <t>매매</t>
        </is>
      </c>
      <c r="G702" s="4" t="n">
        <v>15000</v>
      </c>
      <c r="H702" s="4" t="n">
        <v>149</v>
      </c>
      <c r="I702" s="5" t="n">
        <v>100.7</v>
      </c>
      <c r="J702" s="5" t="n">
        <v>24.8</v>
      </c>
      <c r="K702" s="3" t="inlineStr">
        <is>
          <t>행산리 황금필지, 세종5생활권의 최대의 수익지 , 건축바로가능</t>
        </is>
      </c>
      <c r="L702" s="6">
        <f>HYPERLINK("https://fin.land.naver.com/articles/2647016748",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이담</t>
        </is>
      </c>
      <c r="P702" s="4" t="n">
        <v>6</v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토지</t>
        </is>
      </c>
      <c r="E703" s="3" t="inlineStr">
        <is>
          <t>과수원</t>
        </is>
      </c>
      <c r="F703" s="3" t="inlineStr">
        <is>
          <t>매매</t>
        </is>
      </c>
      <c r="G703" s="4" t="n">
        <v>15000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HYPERLINK("https://fin.land.naver.com/articles/2643009113",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고운맘</t>
        </is>
      </c>
      <c r="P703" s="4" t="n">
        <v>1</v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토지</t>
        </is>
      </c>
      <c r="E704" s="3" t="inlineStr">
        <is>
          <t>답</t>
        </is>
      </c>
      <c r="F704" s="3" t="inlineStr">
        <is>
          <t>매매</t>
        </is>
      </c>
      <c r="G704" s="4" t="n">
        <v>82000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토지</t>
        </is>
      </c>
      <c r="E705" s="3" t="inlineStr">
        <is>
          <t>답</t>
        </is>
      </c>
      <c r="F705" s="3" t="inlineStr">
        <is>
          <t>매매</t>
        </is>
      </c>
      <c r="G705" s="4" t="n">
        <v>24800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토지</t>
        </is>
      </c>
      <c r="E706" s="3" t="inlineStr">
        <is>
          <t>답</t>
        </is>
      </c>
      <c r="F706" s="3" t="inlineStr">
        <is>
          <t>매매</t>
        </is>
      </c>
      <c r="G706" s="4" t="n">
        <v>24800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토지</t>
        </is>
      </c>
      <c r="E707" s="3" t="inlineStr">
        <is>
          <t>답</t>
        </is>
      </c>
      <c r="F707" s="3" t="inlineStr">
        <is>
          <t>매매</t>
        </is>
      </c>
      <c r="G707" s="4" t="n">
        <v>129600</v>
      </c>
      <c r="H707" s="4" t="n">
        <v>2357</v>
      </c>
      <c r="I707" s="5" t="n">
        <v>55</v>
      </c>
      <c r="J707" s="5" t="n">
        <v>18.3</v>
      </c>
      <c r="K707" s="3" t="inlineStr">
        <is>
          <t>행산리 농림지역 대토 농지 논 답</t>
        </is>
      </c>
      <c r="L707" s="6">
        <f>HYPERLINK("https://fin.land.naver.com/articles/2644414298",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로데오상가</t>
        </is>
      </c>
      <c r="P707" s="4" t="n">
        <v>2</v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토지</t>
        </is>
      </c>
      <c r="E708" s="3" t="inlineStr">
        <is>
          <t>답</t>
        </is>
      </c>
      <c r="F708" s="3" t="inlineStr">
        <is>
          <t>매매</t>
        </is>
      </c>
      <c r="G708" s="4" t="n">
        <v>129000</v>
      </c>
      <c r="H708" s="4" t="n">
        <v>2356</v>
      </c>
      <c r="I708" s="5" t="n">
        <v>54.8</v>
      </c>
      <c r="J708" s="5" t="n">
        <v>18.3</v>
      </c>
      <c r="K708" s="3" t="inlineStr">
        <is>
          <t>부강면 행산리 2차선 도로에 접한 투자용 토지 급매물입니다</t>
        </is>
      </c>
      <c r="L708" s="6">
        <f>HYPERLINK("https://fin.land.naver.com/articles/2646113557",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스마일세종</t>
        </is>
      </c>
      <c r="P708" s="4" t="n">
        <v>3</v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토지</t>
        </is>
      </c>
      <c r="E709" s="3" t="inlineStr">
        <is>
          <t>답</t>
        </is>
      </c>
      <c r="F709" s="3" t="inlineStr">
        <is>
          <t>매매</t>
        </is>
      </c>
      <c r="G709" s="4" t="n">
        <v>141000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토지</t>
        </is>
      </c>
      <c r="E710" s="3" t="inlineStr">
        <is>
          <t>답</t>
        </is>
      </c>
      <c r="F710" s="3" t="inlineStr">
        <is>
          <t>매매</t>
        </is>
      </c>
      <c r="G710" s="4" t="n">
        <v>38000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토지</t>
        </is>
      </c>
      <c r="E711" s="3" t="inlineStr">
        <is>
          <t>답</t>
        </is>
      </c>
      <c r="F711" s="3" t="inlineStr">
        <is>
          <t>매매</t>
        </is>
      </c>
      <c r="G711" s="4" t="n">
        <v>57000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토지</t>
        </is>
      </c>
      <c r="E712" s="3" t="inlineStr">
        <is>
          <t>답</t>
        </is>
      </c>
      <c r="F712" s="3" t="inlineStr">
        <is>
          <t>매매</t>
        </is>
      </c>
      <c r="G712" s="4" t="n">
        <v>57000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토지</t>
        </is>
      </c>
      <c r="E713" s="3" t="inlineStr">
        <is>
          <t>임야</t>
        </is>
      </c>
      <c r="F713" s="3" t="inlineStr">
        <is>
          <t>매매</t>
        </is>
      </c>
      <c r="G713" s="4" t="n">
        <v>18300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토지</t>
        </is>
      </c>
      <c r="E714" s="3" t="inlineStr">
        <is>
          <t>대</t>
        </is>
      </c>
      <c r="F714" s="3" t="inlineStr">
        <is>
          <t>매매</t>
        </is>
      </c>
      <c r="G714" s="4" t="n">
        <v>51000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토지</t>
        </is>
      </c>
      <c r="E715" s="3" t="inlineStr">
        <is>
          <t>대</t>
        </is>
      </c>
      <c r="F715" s="3" t="inlineStr">
        <is>
          <t>매매</t>
        </is>
      </c>
      <c r="G715" s="4" t="n">
        <v>65000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토지</t>
        </is>
      </c>
      <c r="E716" s="3" t="inlineStr">
        <is>
          <t>대</t>
        </is>
      </c>
      <c r="F716" s="3" t="inlineStr">
        <is>
          <t>매매</t>
        </is>
      </c>
      <c r="G716" s="4" t="n">
        <v>65000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토지</t>
        </is>
      </c>
      <c r="E717" s="3" t="inlineStr">
        <is>
          <t>대</t>
        </is>
      </c>
      <c r="F717" s="3" t="inlineStr">
        <is>
          <t>매매</t>
        </is>
      </c>
      <c r="G717" s="4" t="n">
        <v>83000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토지</t>
        </is>
      </c>
      <c r="E718" s="3" t="inlineStr">
        <is>
          <t>대</t>
        </is>
      </c>
      <c r="F718" s="3" t="inlineStr">
        <is>
          <t>매매</t>
        </is>
      </c>
      <c r="G718" s="4" t="n">
        <v>75000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토지</t>
        </is>
      </c>
      <c r="E719" s="3" t="inlineStr">
        <is>
          <t>대</t>
        </is>
      </c>
      <c r="F719" s="3" t="inlineStr">
        <is>
          <t>매매</t>
        </is>
      </c>
      <c r="G719" s="4" t="n">
        <v>65000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토지</t>
        </is>
      </c>
      <c r="E720" s="3" t="inlineStr">
        <is>
          <t>대</t>
        </is>
      </c>
      <c r="F720" s="3" t="inlineStr">
        <is>
          <t>매매</t>
        </is>
      </c>
      <c r="G720" s="4" t="n">
        <v>83000</v>
      </c>
      <c r="H720" s="4" t="n">
        <v>109</v>
      </c>
      <c r="I720" s="5" t="n">
        <v>761.5</v>
      </c>
      <c r="J720" s="5" t="n">
        <v>373.9</v>
      </c>
      <c r="K720" s="3" t="inlineStr">
        <is>
          <t>오가낭뜰과 어린이공원 가까운 선호되는 저렴한 넓은 모서리 택지</t>
        </is>
      </c>
      <c r="L720" s="6">
        <f>HYPERLINK("https://fin.land.naver.com/articles/2645210881",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바로그</t>
        </is>
      </c>
      <c r="P720" s="4" t="n">
        <v>1</v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토지</t>
        </is>
      </c>
      <c r="E721" s="3" t="inlineStr">
        <is>
          <t>대</t>
        </is>
      </c>
      <c r="F721" s="3" t="inlineStr">
        <is>
          <t>매매</t>
        </is>
      </c>
      <c r="G721" s="4" t="n">
        <v>83000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토지</t>
        </is>
      </c>
      <c r="E722" s="3" t="inlineStr">
        <is>
          <t>대</t>
        </is>
      </c>
      <c r="F722" s="3" t="inlineStr">
        <is>
          <t>매매</t>
        </is>
      </c>
      <c r="G722" s="4" t="n">
        <v>83000</v>
      </c>
      <c r="H722" s="4" t="n">
        <v>109</v>
      </c>
      <c r="I722" s="5" t="n">
        <v>761.5</v>
      </c>
      <c r="J722" s="5" t="n">
        <v>373.9</v>
      </c>
      <c r="K722" s="3" t="inlineStr">
        <is>
          <t>108.9p, 사거리 코너자리, 아름동 최고입지</t>
        </is>
      </c>
      <c r="L722" s="6">
        <f>HYPERLINK("https://fin.land.naver.com/articles/2642687414",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세종무지개</t>
        </is>
      </c>
      <c r="P722" s="4" t="n">
        <v>1</v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토지</t>
        </is>
      </c>
      <c r="E723" s="3" t="inlineStr">
        <is>
          <t>대</t>
        </is>
      </c>
      <c r="F723" s="3" t="inlineStr">
        <is>
          <t>매매</t>
        </is>
      </c>
      <c r="G723" s="4" t="n">
        <v>57000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토지</t>
        </is>
      </c>
      <c r="E724" s="3" t="inlineStr">
        <is>
          <t>대</t>
        </is>
      </c>
      <c r="F724" s="3" t="inlineStr">
        <is>
          <t>매매</t>
        </is>
      </c>
      <c r="G724" s="4" t="n">
        <v>60000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토지</t>
        </is>
      </c>
      <c r="E725" s="3" t="inlineStr">
        <is>
          <t>대</t>
        </is>
      </c>
      <c r="F725" s="3" t="inlineStr">
        <is>
          <t>매매</t>
        </is>
      </c>
      <c r="G725" s="4" t="n">
        <v>83000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토지</t>
        </is>
      </c>
      <c r="E726" s="3" t="inlineStr">
        <is>
          <t>대</t>
        </is>
      </c>
      <c r="F726" s="3" t="inlineStr">
        <is>
          <t>매매</t>
        </is>
      </c>
      <c r="G726" s="4" t="n">
        <v>52000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토지</t>
        </is>
      </c>
      <c r="E727" s="3" t="inlineStr">
        <is>
          <t>대</t>
        </is>
      </c>
      <c r="F727" s="3" t="inlineStr">
        <is>
          <t>매매</t>
        </is>
      </c>
      <c r="G727" s="4" t="n">
        <v>52000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세종스타</t>
        </is>
      </c>
      <c r="P727" s="4" t="n">
        <v>1</v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토지</t>
        </is>
      </c>
      <c r="E728" s="3" t="inlineStr">
        <is>
          <t>대</t>
        </is>
      </c>
      <c r="F728" s="3" t="inlineStr">
        <is>
          <t>매매</t>
        </is>
      </c>
      <c r="G728" s="4" t="n">
        <v>52000</v>
      </c>
      <c r="H728" s="4" t="n">
        <v>97</v>
      </c>
      <c r="I728" s="5" t="n">
        <v>536.1</v>
      </c>
      <c r="J728" s="5" t="n">
        <v>356.4</v>
      </c>
      <c r="K728" s="3" t="inlineStr">
        <is>
          <t>97.6p, 충대병원 인근 토지 급매, 조율도가능</t>
        </is>
      </c>
      <c r="L728" s="6">
        <f>HYPERLINK("https://fin.land.naver.com/articles/2647420786",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명진</t>
        </is>
      </c>
      <c r="P728" s="4" t="n">
        <v>1</v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토지</t>
        </is>
      </c>
      <c r="E729" s="3" t="inlineStr">
        <is>
          <t>대</t>
        </is>
      </c>
      <c r="F729" s="3" t="inlineStr">
        <is>
          <t>매매</t>
        </is>
      </c>
      <c r="G729" s="4" t="n">
        <v>60000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토지</t>
        </is>
      </c>
      <c r="E730" s="3" t="inlineStr">
        <is>
          <t>대</t>
        </is>
      </c>
      <c r="F730" s="3" t="inlineStr">
        <is>
          <t>매매</t>
        </is>
      </c>
      <c r="G730" s="4" t="n">
        <v>74900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토지</t>
        </is>
      </c>
      <c r="E731" s="3" t="inlineStr">
        <is>
          <t>대</t>
        </is>
      </c>
      <c r="F731" s="3" t="inlineStr">
        <is>
          <t>매매</t>
        </is>
      </c>
      <c r="G731" s="4" t="n">
        <v>70000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토지</t>
        </is>
      </c>
      <c r="E732" s="3" t="inlineStr">
        <is>
          <t>대</t>
        </is>
      </c>
      <c r="F732" s="3" t="inlineStr">
        <is>
          <t>매매</t>
        </is>
      </c>
      <c r="G732" s="4" t="n">
        <v>70000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토지</t>
        </is>
      </c>
      <c r="E733" s="3" t="inlineStr">
        <is>
          <t>대</t>
        </is>
      </c>
      <c r="F733" s="3" t="inlineStr">
        <is>
          <t>매매</t>
        </is>
      </c>
      <c r="G733" s="4" t="n">
        <v>180000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세종무지개</t>
        </is>
      </c>
      <c r="P733" s="4" t="n">
        <v>1</v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토지</t>
        </is>
      </c>
      <c r="E734" s="3" t="inlineStr">
        <is>
          <t>대</t>
        </is>
      </c>
      <c r="F734" s="3" t="inlineStr">
        <is>
          <t>매매</t>
        </is>
      </c>
      <c r="G734" s="4" t="n">
        <v>180000</v>
      </c>
      <c r="H734" s="4" t="n">
        <v>89</v>
      </c>
      <c r="I734" s="5" t="n">
        <v>2022.5</v>
      </c>
      <c r="J734" s="5" t="n">
        <v>734.2</v>
      </c>
      <c r="K734" s="3" t="inlineStr">
        <is>
          <t>대로변 코너 노출 좋은 입지좋은 근생 토지 매매</t>
        </is>
      </c>
      <c r="L734" s="6">
        <f>HYPERLINK("https://fin.land.naver.com/articles/2645544961",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명진</t>
        </is>
      </c>
      <c r="P734" s="4" t="n">
        <v>1</v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토지</t>
        </is>
      </c>
      <c r="E735" s="3" t="inlineStr">
        <is>
          <t>대</t>
        </is>
      </c>
      <c r="F735" s="3" t="inlineStr">
        <is>
          <t>매매</t>
        </is>
      </c>
      <c r="G735" s="4" t="n">
        <v>150000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토지</t>
        </is>
      </c>
      <c r="E736" s="3" t="inlineStr">
        <is>
          <t>대</t>
        </is>
      </c>
      <c r="F736" s="3" t="inlineStr">
        <is>
          <t>매매</t>
        </is>
      </c>
      <c r="G736" s="4" t="n">
        <v>145000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대우마을</t>
        </is>
      </c>
      <c r="P736" s="4" t="n">
        <v>1</v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토지</t>
        </is>
      </c>
      <c r="E737" s="3" t="inlineStr">
        <is>
          <t>대</t>
        </is>
      </c>
      <c r="F737" s="3" t="inlineStr">
        <is>
          <t>매매</t>
        </is>
      </c>
      <c r="G737" s="4" t="n">
        <v>150000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세종무지개</t>
        </is>
      </c>
      <c r="P737" s="4" t="n">
        <v>1</v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토지</t>
        </is>
      </c>
      <c r="E738" s="3" t="inlineStr">
        <is>
          <t>대</t>
        </is>
      </c>
      <c r="F738" s="3" t="inlineStr">
        <is>
          <t>매매</t>
        </is>
      </c>
      <c r="G738" s="4" t="n">
        <v>150000</v>
      </c>
      <c r="H738" s="4" t="n">
        <v>96</v>
      </c>
      <c r="I738" s="5" t="n">
        <v>1562.5</v>
      </c>
      <c r="J738" s="5" t="n">
        <v>724</v>
      </c>
      <c r="K738" s="3" t="inlineStr">
        <is>
          <t>96.1p, 근생용지, 도로변 위치 굿, 건축허가완료</t>
        </is>
      </c>
      <c r="L738" s="6">
        <f>HYPERLINK("https://fin.land.naver.com/articles/2647421008",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명진</t>
        </is>
      </c>
      <c r="P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토지</t>
        </is>
      </c>
      <c r="E739" s="3" t="inlineStr">
        <is>
          <t>대</t>
        </is>
      </c>
      <c r="F739" s="3" t="inlineStr">
        <is>
          <t>매매</t>
        </is>
      </c>
      <c r="G739" s="4" t="n">
        <v>75000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토지</t>
        </is>
      </c>
      <c r="E740" s="3" t="inlineStr">
        <is>
          <t>대</t>
        </is>
      </c>
      <c r="F740" s="3" t="inlineStr">
        <is>
          <t>매매</t>
        </is>
      </c>
      <c r="G740" s="4" t="n">
        <v>75000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HYPERLINK("https://fin.land.naver.com/articles/2642823541",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세종무지개</t>
        </is>
      </c>
      <c r="P740" s="4" t="n">
        <v>1</v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토지</t>
        </is>
      </c>
      <c r="E741" s="3" t="inlineStr">
        <is>
          <t>대</t>
        </is>
      </c>
      <c r="F741" s="3" t="inlineStr">
        <is>
          <t>매매</t>
        </is>
      </c>
      <c r="G741" s="4" t="n">
        <v>75000</v>
      </c>
      <c r="H741" s="4" t="n">
        <v>109</v>
      </c>
      <c r="I741" s="5" t="n">
        <v>688.1</v>
      </c>
      <c r="J741" s="5" t="n">
        <v>349.4</v>
      </c>
      <c r="K741" s="3" t="inlineStr">
        <is>
          <t>총 109.3p, 사거리코너자리, 충대병원 인접 토지</t>
        </is>
      </c>
      <c r="L741" s="6">
        <f>HYPERLINK("https://fin.land.naver.com/articles/2648139112",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명진</t>
        </is>
      </c>
      <c r="P741" s="4" t="n">
        <v>1</v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토지</t>
        </is>
      </c>
      <c r="E742" s="3" t="inlineStr">
        <is>
          <t>대</t>
        </is>
      </c>
      <c r="F742" s="3" t="inlineStr">
        <is>
          <t>매매</t>
        </is>
      </c>
      <c r="G742" s="4" t="n">
        <v>70000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토지</t>
        </is>
      </c>
      <c r="E743" s="3" t="inlineStr">
        <is>
          <t>대</t>
        </is>
      </c>
      <c r="F743" s="3" t="inlineStr">
        <is>
          <t>매매</t>
        </is>
      </c>
      <c r="G743" s="4" t="n">
        <v>68000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토지</t>
        </is>
      </c>
      <c r="E744" s="3" t="inlineStr">
        <is>
          <t>대</t>
        </is>
      </c>
      <c r="F744" s="3" t="inlineStr">
        <is>
          <t>매매</t>
        </is>
      </c>
      <c r="G744" s="4" t="n">
        <v>60000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토지</t>
        </is>
      </c>
      <c r="E745" s="3" t="inlineStr">
        <is>
          <t>대</t>
        </is>
      </c>
      <c r="F745" s="3" t="inlineStr">
        <is>
          <t>매매</t>
        </is>
      </c>
      <c r="G745" s="4" t="n">
        <v>65000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토지</t>
        </is>
      </c>
      <c r="E746" s="3" t="inlineStr">
        <is>
          <t>대</t>
        </is>
      </c>
      <c r="F746" s="3" t="inlineStr">
        <is>
          <t>매매</t>
        </is>
      </c>
      <c r="G746" s="4" t="n">
        <v>60000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HYPERLINK("https://fin.land.naver.com/articles/2642863775",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명진</t>
        </is>
      </c>
      <c r="P746" s="4" t="n">
        <v>1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토지</t>
        </is>
      </c>
      <c r="E747" s="3" t="inlineStr">
        <is>
          <t>대</t>
        </is>
      </c>
      <c r="F747" s="3" t="inlineStr">
        <is>
          <t>매매</t>
        </is>
      </c>
      <c r="G747" s="4" t="n">
        <v>60000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세종무지개</t>
        </is>
      </c>
      <c r="P747" s="4" t="n">
        <v>1</v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토지</t>
        </is>
      </c>
      <c r="E748" s="3" t="inlineStr">
        <is>
          <t>대</t>
        </is>
      </c>
      <c r="F748" s="3" t="inlineStr">
        <is>
          <t>매매</t>
        </is>
      </c>
      <c r="G748" s="4" t="n">
        <v>60000</v>
      </c>
      <c r="H748" s="4" t="n">
        <v>110</v>
      </c>
      <c r="I748" s="5" t="n">
        <v>545.5</v>
      </c>
      <c r="J748" s="5" t="n">
        <v>343.1</v>
      </c>
      <c r="K748" s="3" t="inlineStr">
        <is>
          <t>급매 아름동학원가, 상권이용편리로얄택지, 금액조율가능, 추천매매</t>
        </is>
      </c>
      <c r="L748" s="6">
        <f>HYPERLINK("https://fin.land.naver.com/articles/2644302320",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한방</t>
        </is>
      </c>
      <c r="P748" s="4" t="n">
        <v>1</v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토지</t>
        </is>
      </c>
      <c r="E749" s="3" t="inlineStr">
        <is>
          <t>대</t>
        </is>
      </c>
      <c r="F749" s="3" t="inlineStr">
        <is>
          <t>매매</t>
        </is>
      </c>
      <c r="G749" s="4" t="n">
        <v>60000</v>
      </c>
      <c r="H749" s="4" t="n">
        <v>110</v>
      </c>
      <c r="I749" s="5" t="n">
        <v>545.5</v>
      </c>
      <c r="J749" s="5" t="n">
        <v>343.1</v>
      </c>
      <c r="K749" s="3" t="inlineStr">
        <is>
          <t>정남향 가운데 필지</t>
        </is>
      </c>
      <c r="L749" s="6">
        <f>HYPERLINK("https://fin.land.naver.com/articles/2648353843",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킹세종</t>
        </is>
      </c>
      <c r="P749" s="4" t="n">
        <v>3</v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토지</t>
        </is>
      </c>
      <c r="E750" s="3" t="inlineStr">
        <is>
          <t>대</t>
        </is>
      </c>
      <c r="F750" s="3" t="inlineStr">
        <is>
          <t>매매</t>
        </is>
      </c>
      <c r="G750" s="4" t="n">
        <v>70000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토지</t>
        </is>
      </c>
      <c r="E751" s="3" t="inlineStr">
        <is>
          <t>대</t>
        </is>
      </c>
      <c r="F751" s="3" t="inlineStr">
        <is>
          <t>매매</t>
        </is>
      </c>
      <c r="G751" s="4" t="n">
        <v>70000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토지</t>
        </is>
      </c>
      <c r="E752" s="3" t="inlineStr">
        <is>
          <t>대</t>
        </is>
      </c>
      <c r="F752" s="3" t="inlineStr">
        <is>
          <t>매매</t>
        </is>
      </c>
      <c r="G752" s="4" t="n">
        <v>52000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토지</t>
        </is>
      </c>
      <c r="E753" s="3" t="inlineStr">
        <is>
          <t>대</t>
        </is>
      </c>
      <c r="F753" s="3" t="inlineStr">
        <is>
          <t>매매</t>
        </is>
      </c>
      <c r="G753" s="4" t="n">
        <v>52000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토지</t>
        </is>
      </c>
      <c r="E754" s="3" t="inlineStr">
        <is>
          <t>대</t>
        </is>
      </c>
      <c r="F754" s="3" t="inlineStr">
        <is>
          <t>매매</t>
        </is>
      </c>
      <c r="G754" s="4" t="n">
        <v>52000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토지</t>
        </is>
      </c>
      <c r="E755" s="3" t="inlineStr">
        <is>
          <t>대</t>
        </is>
      </c>
      <c r="F755" s="3" t="inlineStr">
        <is>
          <t>매매</t>
        </is>
      </c>
      <c r="G755" s="4" t="n">
        <v>60000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토지</t>
        </is>
      </c>
      <c r="E756" s="3" t="inlineStr">
        <is>
          <t>대</t>
        </is>
      </c>
      <c r="F756" s="3" t="inlineStr">
        <is>
          <t>매매</t>
        </is>
      </c>
      <c r="G756" s="4" t="n">
        <v>45000</v>
      </c>
      <c r="H756" s="4" t="n">
        <v>91</v>
      </c>
      <c r="I756" s="5" t="n">
        <v>494.5</v>
      </c>
      <c r="J756" s="5" t="n">
        <v>352.4</v>
      </c>
      <c r="K756" s="3" t="inlineStr">
        <is>
          <t>급매, 총 91p, 삼거리코너, 아파트 단지 밑</t>
        </is>
      </c>
      <c r="L756" s="6">
        <f>HYPERLINK("https://fin.land.naver.com/articles/2646695404",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세종무지개</t>
        </is>
      </c>
      <c r="P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토지</t>
        </is>
      </c>
      <c r="E757" s="3" t="inlineStr">
        <is>
          <t>대</t>
        </is>
      </c>
      <c r="F757" s="3" t="inlineStr">
        <is>
          <t>매매</t>
        </is>
      </c>
      <c r="G757" s="4" t="n">
        <v>45000</v>
      </c>
      <c r="H757" s="4" t="n">
        <v>91</v>
      </c>
      <c r="I757" s="5" t="n">
        <v>494.5</v>
      </c>
      <c r="J757" s="5" t="n">
        <v>352.4</v>
      </c>
      <c r="K757" s="3" t="inlineStr">
        <is>
          <t>급매, 학교, 편의시설, 정부청사 가까워 생활편리, 보행도로접 코너각지</t>
        </is>
      </c>
      <c r="L757" s="6">
        <f>HYPERLINK("https://fin.land.naver.com/articles/2643579561",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온뜰</t>
        </is>
      </c>
      <c r="P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토지</t>
        </is>
      </c>
      <c r="E758" s="3" t="inlineStr">
        <is>
          <t>대</t>
        </is>
      </c>
      <c r="F758" s="3" t="inlineStr">
        <is>
          <t>매매</t>
        </is>
      </c>
      <c r="G758" s="4" t="n">
        <v>45000</v>
      </c>
      <c r="H758" s="4" t="n">
        <v>91</v>
      </c>
      <c r="I758" s="5" t="n">
        <v>494.5</v>
      </c>
      <c r="J758" s="5" t="n">
        <v>352.4</v>
      </c>
      <c r="K758" s="3" t="inlineStr">
        <is>
          <t>초중고 학군 좋고 근린공원 낀 인기 주택단지</t>
        </is>
      </c>
      <c r="L758" s="6">
        <f>HYPERLINK("https://fin.land.naver.com/articles/2646537172",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현대탑</t>
        </is>
      </c>
      <c r="P758" s="4" t="n">
        <v>1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토지</t>
        </is>
      </c>
      <c r="E759" s="3" t="inlineStr">
        <is>
          <t>대</t>
        </is>
      </c>
      <c r="F759" s="3" t="inlineStr">
        <is>
          <t>매매</t>
        </is>
      </c>
      <c r="G759" s="4" t="n">
        <v>45000</v>
      </c>
      <c r="H759" s="4" t="n">
        <v>91</v>
      </c>
      <c r="I759" s="5" t="n">
        <v>494.5</v>
      </c>
      <c r="J759" s="5" t="n">
        <v>352.4</v>
      </c>
      <c r="K759" s="3" t="inlineStr">
        <is>
          <t>홈플러스 도보5분거리,햇볕잘드는 양지바른땅,2면 도로인접</t>
        </is>
      </c>
      <c r="L759" s="6">
        <f>HYPERLINK("https://fin.land.naver.com/articles/2647948528",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보람최고</t>
        </is>
      </c>
      <c r="P759" s="4" t="n">
        <v>13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토지</t>
        </is>
      </c>
      <c r="E760" s="3" t="inlineStr">
        <is>
          <t>대</t>
        </is>
      </c>
      <c r="F760" s="3" t="inlineStr">
        <is>
          <t>매매</t>
        </is>
      </c>
      <c r="G760" s="4" t="n">
        <v>45000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다정현대</t>
        </is>
      </c>
      <c r="P760" s="4" t="n">
        <v>2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토지</t>
        </is>
      </c>
      <c r="E761" s="3" t="inlineStr">
        <is>
          <t>대</t>
        </is>
      </c>
      <c r="F761" s="3" t="inlineStr">
        <is>
          <t>매매</t>
        </is>
      </c>
      <c r="G761" s="4" t="n">
        <v>45000</v>
      </c>
      <c r="H761" s="4" t="n">
        <v>91</v>
      </c>
      <c r="I761" s="5" t="n">
        <v>494.5</v>
      </c>
      <c r="J761" s="5" t="n">
        <v>352.4</v>
      </c>
      <c r="K761" s="3" t="inlineStr">
        <is>
          <t>급매 아름동학원가, 상권이용편리로얄택지, 금액조율가능, 추천매매</t>
        </is>
      </c>
      <c r="L761" s="6">
        <f>HYPERLINK("https://fin.land.naver.com/articles/2644133032",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한방</t>
        </is>
      </c>
      <c r="P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토지</t>
        </is>
      </c>
      <c r="E762" s="3" t="inlineStr">
        <is>
          <t>대</t>
        </is>
      </c>
      <c r="F762" s="3" t="inlineStr">
        <is>
          <t>매매</t>
        </is>
      </c>
      <c r="G762" s="4" t="n">
        <v>45000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토지</t>
        </is>
      </c>
      <c r="E763" s="3" t="inlineStr">
        <is>
          <t>대</t>
        </is>
      </c>
      <c r="F763" s="3" t="inlineStr">
        <is>
          <t>매매</t>
        </is>
      </c>
      <c r="G763" s="4" t="n">
        <v>45000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HYPERLINK("https://fin.land.naver.com/articles/2644953939",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수자인</t>
        </is>
      </c>
      <c r="P763" s="4" t="n">
        <v>1</v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토지</t>
        </is>
      </c>
      <c r="E764" s="3" t="inlineStr">
        <is>
          <t>대</t>
        </is>
      </c>
      <c r="F764" s="3" t="inlineStr">
        <is>
          <t>매매</t>
        </is>
      </c>
      <c r="G764" s="4" t="n">
        <v>45000</v>
      </c>
      <c r="H764" s="4" t="n">
        <v>91</v>
      </c>
      <c r="I764" s="5" t="n">
        <v>494.5</v>
      </c>
      <c r="J764" s="5" t="n">
        <v>352.4</v>
      </c>
      <c r="K764" s="3" t="inlineStr">
        <is>
          <t>총 91p, 삼거리 코너, 단지 인접, 급매</t>
        </is>
      </c>
      <c r="L764" s="6">
        <f>HYPERLINK("https://fin.land.naver.com/articles/2648138484",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명진</t>
        </is>
      </c>
      <c r="P764" s="4" t="n">
        <v>1</v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토지</t>
        </is>
      </c>
      <c r="E765" s="3" t="inlineStr">
        <is>
          <t>대</t>
        </is>
      </c>
      <c r="F765" s="3" t="inlineStr">
        <is>
          <t>매매</t>
        </is>
      </c>
      <c r="G765" s="4" t="n">
        <v>82000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토지</t>
        </is>
      </c>
      <c r="E766" s="3" t="inlineStr">
        <is>
          <t>대</t>
        </is>
      </c>
      <c r="F766" s="3" t="inlineStr">
        <is>
          <t>매매</t>
        </is>
      </c>
      <c r="G766" s="4" t="n">
        <v>55000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HYPERLINK("https://fin.land.naver.com/articles/2642704822",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명진</t>
        </is>
      </c>
      <c r="P766" s="4" t="n">
        <v>1</v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토지</t>
        </is>
      </c>
      <c r="E767" s="3" t="inlineStr">
        <is>
          <t>대</t>
        </is>
      </c>
      <c r="F767" s="3" t="inlineStr">
        <is>
          <t>매매</t>
        </is>
      </c>
      <c r="G767" s="4" t="n">
        <v>65000</v>
      </c>
      <c r="H767" s="4" t="n">
        <v>92</v>
      </c>
      <c r="I767" s="5" t="n">
        <v>706.5</v>
      </c>
      <c r="J767" s="5" t="n">
        <v>352.4</v>
      </c>
      <c r="K767" s="3" t="inlineStr">
        <is>
          <t>추가조율 가능. 급매. 코너각지</t>
        </is>
      </c>
      <c r="L767" s="6">
        <f>HYPERLINK("https://fin.land.naver.com/articles/2644009563",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세종삼촌</t>
        </is>
      </c>
      <c r="P767" s="4" t="n">
        <v>1</v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토지</t>
        </is>
      </c>
      <c r="E768" s="3" t="inlineStr">
        <is>
          <t>대</t>
        </is>
      </c>
      <c r="F768" s="3" t="inlineStr">
        <is>
          <t>매매</t>
        </is>
      </c>
      <c r="G768" s="4" t="n">
        <v>55000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토지</t>
        </is>
      </c>
      <c r="E769" s="3" t="inlineStr">
        <is>
          <t>대</t>
        </is>
      </c>
      <c r="F769" s="3" t="inlineStr">
        <is>
          <t>매매</t>
        </is>
      </c>
      <c r="G769" s="4" t="n">
        <v>70000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세종무지개</t>
        </is>
      </c>
      <c r="P769" s="4" t="n">
        <v>1</v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토지</t>
        </is>
      </c>
      <c r="E770" s="3" t="inlineStr">
        <is>
          <t>대</t>
        </is>
      </c>
      <c r="F770" s="3" t="inlineStr">
        <is>
          <t>매매</t>
        </is>
      </c>
      <c r="G770" s="4" t="n">
        <v>70000</v>
      </c>
      <c r="H770" s="4" t="n">
        <v>92</v>
      </c>
      <c r="I770" s="5" t="n">
        <v>760.9</v>
      </c>
      <c r="J770" s="5" t="n">
        <v>338.2</v>
      </c>
      <c r="K770" s="3" t="inlineStr">
        <is>
          <t>도심속 전원생활, 학교, 상권불편없는전원주택지</t>
        </is>
      </c>
      <c r="L770" s="6">
        <f>HYPERLINK("https://fin.land.naver.com/articles/2643872217",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명동</t>
        </is>
      </c>
      <c r="P770" s="4" t="n">
        <v>1</v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토지</t>
        </is>
      </c>
      <c r="E771" s="3" t="inlineStr">
        <is>
          <t>대</t>
        </is>
      </c>
      <c r="F771" s="3" t="inlineStr">
        <is>
          <t>매매</t>
        </is>
      </c>
      <c r="G771" s="4" t="n">
        <v>70000</v>
      </c>
      <c r="H771" s="4" t="n">
        <v>92</v>
      </c>
      <c r="I771" s="5" t="n">
        <v>760.9</v>
      </c>
      <c r="J771" s="5" t="n">
        <v>338.2</v>
      </c>
      <c r="K771" s="3" t="inlineStr">
        <is>
          <t>92.1p, 단지 바로 옆, 아름동 단독주택지</t>
        </is>
      </c>
      <c r="L771" s="6">
        <f>HYPERLINK("https://fin.land.naver.com/articles/2642865089",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명진</t>
        </is>
      </c>
      <c r="P771" s="4" t="n">
        <v>1</v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토지</t>
        </is>
      </c>
      <c r="E772" s="3" t="inlineStr">
        <is>
          <t>대</t>
        </is>
      </c>
      <c r="F772" s="3" t="inlineStr">
        <is>
          <t>매매</t>
        </is>
      </c>
      <c r="G772" s="4" t="n">
        <v>65000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세종몽땅</t>
        </is>
      </c>
      <c r="P772" s="4" t="n">
        <v>1</v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토지</t>
        </is>
      </c>
      <c r="E773" s="3" t="inlineStr">
        <is>
          <t>대</t>
        </is>
      </c>
      <c r="F773" s="3" t="inlineStr">
        <is>
          <t>매매</t>
        </is>
      </c>
      <c r="G773" s="4" t="n">
        <v>65000</v>
      </c>
      <c r="H773" s="4" t="n">
        <v>104</v>
      </c>
      <c r="I773" s="5" t="n">
        <v>625</v>
      </c>
      <c r="J773" s="5" t="n">
        <v>338.2</v>
      </c>
      <c r="K773" s="3" t="inlineStr">
        <is>
          <t>접근성 좋은 아름동 택지</t>
        </is>
      </c>
      <c r="L773" s="6">
        <f>HYPERLINK("https://fin.land.naver.com/articles/2646824248",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강아지풀</t>
        </is>
      </c>
      <c r="P773" s="4" t="n">
        <v>1</v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토지</t>
        </is>
      </c>
      <c r="E774" s="3" t="inlineStr">
        <is>
          <t>대</t>
        </is>
      </c>
      <c r="F774" s="3" t="inlineStr">
        <is>
          <t>매매</t>
        </is>
      </c>
      <c r="G774" s="4" t="n">
        <v>55000</v>
      </c>
      <c r="H774" s="4" t="n">
        <v>96</v>
      </c>
      <c r="I774" s="5" t="n">
        <v>572.9</v>
      </c>
      <c r="J774" s="5" t="n">
        <v>334.5</v>
      </c>
      <c r="K774" s="3" t="inlineStr">
        <is>
          <t>총 96.7p, 12단지 맞은편 위치좋은 단독주택지</t>
        </is>
      </c>
      <c r="L774" s="6">
        <f>HYPERLINK("https://fin.land.naver.com/articles/2645650952",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명진</t>
        </is>
      </c>
      <c r="P774" s="4" t="n">
        <v>1</v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토지</t>
        </is>
      </c>
      <c r="E775" s="3" t="inlineStr">
        <is>
          <t>대</t>
        </is>
      </c>
      <c r="F775" s="3" t="inlineStr">
        <is>
          <t>매매</t>
        </is>
      </c>
      <c r="G775" s="4" t="n">
        <v>55000</v>
      </c>
      <c r="H775" s="4" t="n">
        <v>96</v>
      </c>
      <c r="I775" s="5" t="n">
        <v>572.9</v>
      </c>
      <c r="J775" s="5" t="n">
        <v>334.5</v>
      </c>
      <c r="K775" s="3" t="inlineStr">
        <is>
          <t>96.7p, 단지 맞은편, 사거리 코너자리</t>
        </is>
      </c>
      <c r="L775" s="6">
        <f>HYPERLINK("https://fin.land.naver.com/articles/2647425590",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세종무지개</t>
        </is>
      </c>
      <c r="P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토지</t>
        </is>
      </c>
      <c r="E776" s="3" t="inlineStr">
        <is>
          <t>대</t>
        </is>
      </c>
      <c r="F776" s="3" t="inlineStr">
        <is>
          <t>매매</t>
        </is>
      </c>
      <c r="G776" s="4" t="n">
        <v>120000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세종무지개</t>
        </is>
      </c>
      <c r="P776" s="4" t="n">
        <v>1</v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토지</t>
        </is>
      </c>
      <c r="E777" s="3" t="inlineStr">
        <is>
          <t>대</t>
        </is>
      </c>
      <c r="F777" s="3" t="inlineStr">
        <is>
          <t>매매</t>
        </is>
      </c>
      <c r="G777" s="4" t="n">
        <v>120000</v>
      </c>
      <c r="H777" s="4" t="n">
        <v>151</v>
      </c>
      <c r="I777" s="5" t="n">
        <v>794.7</v>
      </c>
      <c r="J777" s="5" t="n">
        <v>172.1</v>
      </c>
      <c r="K777" s="3" t="inlineStr">
        <is>
          <t>방송통신용지 데이터센터 또는 방송관련 사옥으로 최적 가격조율가능</t>
        </is>
      </c>
      <c r="L777" s="6">
        <f>HYPERLINK("https://fin.land.naver.com/articles/2647087826",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뉴엘리트탑</t>
        </is>
      </c>
      <c r="P777" s="4" t="n">
        <v>2</v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토지</t>
        </is>
      </c>
      <c r="E778" s="3" t="inlineStr">
        <is>
          <t>대</t>
        </is>
      </c>
      <c r="F778" s="3" t="inlineStr">
        <is>
          <t>매매</t>
        </is>
      </c>
      <c r="G778" s="4" t="n">
        <v>120000</v>
      </c>
      <c r="H778" s="4" t="n">
        <v>151</v>
      </c>
      <c r="I778" s="5" t="n">
        <v>794.7</v>
      </c>
      <c r="J778" s="5" t="n">
        <v>172.1</v>
      </c>
      <c r="K778" s="3" t="inlineStr">
        <is>
          <t>151.5p, 데이터센터, 방송관련 사옥 추천, 조율가능, 입지좋은 토지</t>
        </is>
      </c>
      <c r="L778" s="6">
        <f>HYPERLINK("https://fin.land.naver.com/articles/2642886573",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명진</t>
        </is>
      </c>
      <c r="P778" s="4" t="n">
        <v>1</v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토지</t>
        </is>
      </c>
      <c r="E779" s="3" t="inlineStr">
        <is>
          <t>대</t>
        </is>
      </c>
      <c r="F779" s="3" t="inlineStr">
        <is>
          <t>매매</t>
        </is>
      </c>
      <c r="G779" s="4" t="n">
        <v>65000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세종무지개</t>
        </is>
      </c>
      <c r="P779" s="4" t="n">
        <v>1</v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토지</t>
        </is>
      </c>
      <c r="E780" s="3" t="inlineStr">
        <is>
          <t>대</t>
        </is>
      </c>
      <c r="F780" s="3" t="inlineStr">
        <is>
          <t>매매</t>
        </is>
      </c>
      <c r="G780" s="4" t="n">
        <v>65000</v>
      </c>
      <c r="H780" s="4" t="n">
        <v>92</v>
      </c>
      <c r="I780" s="5" t="n">
        <v>706.5</v>
      </c>
      <c r="J780" s="5" t="n">
        <v>339.5</v>
      </c>
      <c r="K780" s="3" t="inlineStr">
        <is>
          <t>아름동 국제고 인근, 입지좋은 단독주택 토지매매</t>
        </is>
      </c>
      <c r="L780" s="6">
        <f>HYPERLINK("https://fin.land.naver.com/articles/2648188007",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명진</t>
        </is>
      </c>
      <c r="P780" s="4" t="n">
        <v>1</v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토지</t>
        </is>
      </c>
      <c r="E781" s="3" t="inlineStr">
        <is>
          <t>대</t>
        </is>
      </c>
      <c r="F781" s="3" t="inlineStr">
        <is>
          <t>매매</t>
        </is>
      </c>
      <c r="G781" s="4" t="n">
        <v>80000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토지</t>
        </is>
      </c>
      <c r="E782" s="3" t="inlineStr">
        <is>
          <t>대</t>
        </is>
      </c>
      <c r="F782" s="3" t="inlineStr">
        <is>
          <t>매매</t>
        </is>
      </c>
      <c r="G782" s="4" t="n">
        <v>50000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토지</t>
        </is>
      </c>
      <c r="E783" s="3" t="inlineStr">
        <is>
          <t>대</t>
        </is>
      </c>
      <c r="F783" s="3" t="inlineStr">
        <is>
          <t>매매</t>
        </is>
      </c>
      <c r="G783" s="4" t="n">
        <v>70000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토지</t>
        </is>
      </c>
      <c r="E784" s="3" t="inlineStr">
        <is>
          <t>대</t>
        </is>
      </c>
      <c r="F784" s="3" t="inlineStr">
        <is>
          <t>매매</t>
        </is>
      </c>
      <c r="G784" s="4" t="n">
        <v>59000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고운맘</t>
        </is>
      </c>
      <c r="P784" s="4" t="n">
        <v>1</v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토지</t>
        </is>
      </c>
      <c r="E785" s="3" t="inlineStr">
        <is>
          <t>대</t>
        </is>
      </c>
      <c r="F785" s="3" t="inlineStr">
        <is>
          <t>매매</t>
        </is>
      </c>
      <c r="G785" s="4" t="n">
        <v>59000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세종스타</t>
        </is>
      </c>
      <c r="P785" s="4" t="n">
        <v>2</v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토지</t>
        </is>
      </c>
      <c r="E786" s="3" t="inlineStr">
        <is>
          <t>대</t>
        </is>
      </c>
      <c r="F786" s="3" t="inlineStr">
        <is>
          <t>매매</t>
        </is>
      </c>
      <c r="G786" s="4" t="n">
        <v>74000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토지</t>
        </is>
      </c>
      <c r="E787" s="3" t="inlineStr">
        <is>
          <t>대</t>
        </is>
      </c>
      <c r="F787" s="3" t="inlineStr">
        <is>
          <t>매매</t>
        </is>
      </c>
      <c r="G787" s="4" t="n">
        <v>80000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토지</t>
        </is>
      </c>
      <c r="E788" s="3" t="inlineStr">
        <is>
          <t>대</t>
        </is>
      </c>
      <c r="F788" s="3" t="inlineStr">
        <is>
          <t>매매</t>
        </is>
      </c>
      <c r="G788" s="4" t="n">
        <v>82000</v>
      </c>
      <c r="H788" s="4" t="n">
        <v>90</v>
      </c>
      <c r="I788" s="5" t="n">
        <v>911.1</v>
      </c>
      <c r="J788" s="5" t="n">
        <v>339.8</v>
      </c>
      <c r="K788" s="3" t="inlineStr">
        <is>
          <t>국제고인근 위치좋은 코너각지, 공원인접,보행로연결</t>
        </is>
      </c>
      <c r="L788" s="6">
        <f>HYPERLINK("https://fin.land.naver.com/articles/2644476344",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똑똑</t>
        </is>
      </c>
      <c r="P788" s="4" t="n">
        <v>1</v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토지</t>
        </is>
      </c>
      <c r="E789" s="3" t="inlineStr">
        <is>
          <t>대</t>
        </is>
      </c>
      <c r="F789" s="3" t="inlineStr">
        <is>
          <t>매매</t>
        </is>
      </c>
      <c r="G789" s="4" t="n">
        <v>82000</v>
      </c>
      <c r="H789" s="4" t="n">
        <v>90</v>
      </c>
      <c r="I789" s="5" t="n">
        <v>911.1</v>
      </c>
      <c r="J789" s="5" t="n">
        <v>339.8</v>
      </c>
      <c r="K789" s="3" t="inlineStr">
        <is>
          <t>90.6p, 아름동 국제고 인근 위치 좋은 토지 매매</t>
        </is>
      </c>
      <c r="L789" s="6">
        <f>HYPERLINK("https://fin.land.naver.com/articles/2645495174",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명진</t>
        </is>
      </c>
      <c r="P789" s="4" t="n">
        <v>1</v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토지</t>
        </is>
      </c>
      <c r="E790" s="3" t="inlineStr">
        <is>
          <t>대</t>
        </is>
      </c>
      <c r="F790" s="3" t="inlineStr">
        <is>
          <t>매매</t>
        </is>
      </c>
      <c r="G790" s="4" t="n">
        <v>82000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토지</t>
        </is>
      </c>
      <c r="E791" s="3" t="inlineStr">
        <is>
          <t>대</t>
        </is>
      </c>
      <c r="F791" s="3" t="inlineStr">
        <is>
          <t>매매</t>
        </is>
      </c>
      <c r="G791" s="4" t="n">
        <v>63000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HYPERLINK("https://fin.land.naver.com/articles/2642873576",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명진</t>
        </is>
      </c>
      <c r="P791" s="4" t="n">
        <v>1</v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토지</t>
        </is>
      </c>
      <c r="E792" s="3" t="inlineStr">
        <is>
          <t>대</t>
        </is>
      </c>
      <c r="F792" s="3" t="inlineStr">
        <is>
          <t>매매</t>
        </is>
      </c>
      <c r="G792" s="4" t="n">
        <v>63000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세종무지개</t>
        </is>
      </c>
      <c r="P792" s="4" t="n">
        <v>1</v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토지</t>
        </is>
      </c>
      <c r="E793" s="3" t="inlineStr">
        <is>
          <t>대</t>
        </is>
      </c>
      <c r="F793" s="3" t="inlineStr">
        <is>
          <t>매매</t>
        </is>
      </c>
      <c r="G793" s="4" t="n">
        <v>65000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토지</t>
        </is>
      </c>
      <c r="E794" s="3" t="inlineStr">
        <is>
          <t>대</t>
        </is>
      </c>
      <c r="F794" s="3" t="inlineStr">
        <is>
          <t>매매</t>
        </is>
      </c>
      <c r="G794" s="4" t="n">
        <v>65000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토지</t>
        </is>
      </c>
      <c r="E795" s="3" t="inlineStr">
        <is>
          <t>대</t>
        </is>
      </c>
      <c r="F795" s="3" t="inlineStr">
        <is>
          <t>매매</t>
        </is>
      </c>
      <c r="G795" s="4" t="n">
        <v>51000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토지</t>
        </is>
      </c>
      <c r="E796" s="3" t="inlineStr">
        <is>
          <t>대</t>
        </is>
      </c>
      <c r="F796" s="3" t="inlineStr">
        <is>
          <t>매매</t>
        </is>
      </c>
      <c r="G796" s="4" t="n">
        <v>60000</v>
      </c>
      <c r="H796" s="4" t="n">
        <v>90</v>
      </c>
      <c r="I796" s="5" t="n">
        <v>666.7</v>
      </c>
      <c r="J796" s="5" t="n">
        <v>330.6</v>
      </c>
      <c r="K796" s="3" t="inlineStr">
        <is>
          <t>언덕형 지대높음 채광 개방감 좋음 조율가능</t>
        </is>
      </c>
      <c r="L796" s="6">
        <f>HYPERLINK("https://fin.land.naver.com/articles/2644909025",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세종스타</t>
        </is>
      </c>
      <c r="P796" s="4" t="n">
        <v>1</v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토지</t>
        </is>
      </c>
      <c r="E797" s="3" t="inlineStr">
        <is>
          <t>대</t>
        </is>
      </c>
      <c r="F797" s="3" t="inlineStr">
        <is>
          <t>매매</t>
        </is>
      </c>
      <c r="G797" s="4" t="n">
        <v>60000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고운맘</t>
        </is>
      </c>
      <c r="P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토지</t>
        </is>
      </c>
      <c r="E798" s="3" t="inlineStr">
        <is>
          <t>대</t>
        </is>
      </c>
      <c r="F798" s="3" t="inlineStr">
        <is>
          <t>매매</t>
        </is>
      </c>
      <c r="G798" s="4" t="n">
        <v>77000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토지</t>
        </is>
      </c>
      <c r="E799" s="3" t="inlineStr">
        <is>
          <t>대</t>
        </is>
      </c>
      <c r="F799" s="3" t="inlineStr">
        <is>
          <t>매매</t>
        </is>
      </c>
      <c r="G799" s="4" t="n">
        <v>77000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토지</t>
        </is>
      </c>
      <c r="E800" s="3" t="inlineStr">
        <is>
          <t>대</t>
        </is>
      </c>
      <c r="F800" s="3" t="inlineStr">
        <is>
          <t>매매</t>
        </is>
      </c>
      <c r="G800" s="4" t="n">
        <v>77000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토지</t>
        </is>
      </c>
      <c r="E801" s="3" t="inlineStr">
        <is>
          <t>대</t>
        </is>
      </c>
      <c r="F801" s="3" t="inlineStr">
        <is>
          <t>매매</t>
        </is>
      </c>
      <c r="G801" s="4" t="n">
        <v>85000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토지</t>
        </is>
      </c>
      <c r="E802" s="3" t="inlineStr">
        <is>
          <t>대</t>
        </is>
      </c>
      <c r="F802" s="3" t="inlineStr">
        <is>
          <t>매매</t>
        </is>
      </c>
      <c r="G802" s="4" t="n">
        <v>85000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토지</t>
        </is>
      </c>
      <c r="E803" s="3" t="inlineStr">
        <is>
          <t>대</t>
        </is>
      </c>
      <c r="F803" s="3" t="inlineStr">
        <is>
          <t>매매</t>
        </is>
      </c>
      <c r="G803" s="4" t="n">
        <v>79560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토지</t>
        </is>
      </c>
      <c r="E804" s="3" t="inlineStr">
        <is>
          <t>대</t>
        </is>
      </c>
      <c r="F804" s="3" t="inlineStr">
        <is>
          <t>매매</t>
        </is>
      </c>
      <c r="G804" s="4" t="n">
        <v>75000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토지</t>
        </is>
      </c>
      <c r="E805" s="3" t="inlineStr">
        <is>
          <t>대</t>
        </is>
      </c>
      <c r="F805" s="3" t="inlineStr">
        <is>
          <t>매매</t>
        </is>
      </c>
      <c r="G805" s="4" t="n">
        <v>24500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토지</t>
        </is>
      </c>
      <c r="E806" s="3" t="inlineStr">
        <is>
          <t>전</t>
        </is>
      </c>
      <c r="F806" s="3" t="inlineStr">
        <is>
          <t>매매</t>
        </is>
      </c>
      <c r="G806" s="4" t="n">
        <v>67000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토지</t>
        </is>
      </c>
      <c r="E807" s="3" t="inlineStr">
        <is>
          <t>전</t>
        </is>
      </c>
      <c r="F807" s="3" t="inlineStr">
        <is>
          <t>매매</t>
        </is>
      </c>
      <c r="G807" s="4" t="n">
        <v>190000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토지</t>
        </is>
      </c>
      <c r="E808" s="3" t="inlineStr">
        <is>
          <t>답</t>
        </is>
      </c>
      <c r="F808" s="3" t="inlineStr">
        <is>
          <t>매매</t>
        </is>
      </c>
      <c r="G808" s="4" t="n">
        <v>180000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토지</t>
        </is>
      </c>
      <c r="E809" s="3" t="inlineStr">
        <is>
          <t>전</t>
        </is>
      </c>
      <c r="F809" s="3" t="inlineStr">
        <is>
          <t>매매</t>
        </is>
      </c>
      <c r="G809" s="4" t="n">
        <v>65000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토지</t>
        </is>
      </c>
      <c r="E810" s="3" t="inlineStr">
        <is>
          <t>대</t>
        </is>
      </c>
      <c r="F810" s="3" t="inlineStr">
        <is>
          <t>매매</t>
        </is>
      </c>
      <c r="G810" s="4" t="n">
        <v>109850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토지</t>
        </is>
      </c>
      <c r="E811" s="3" t="inlineStr">
        <is>
          <t>전</t>
        </is>
      </c>
      <c r="F811" s="3" t="inlineStr">
        <is>
          <t>매매</t>
        </is>
      </c>
      <c r="G811" s="4" t="n">
        <v>191664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토지</t>
        </is>
      </c>
      <c r="E812" s="3" t="inlineStr">
        <is>
          <t>대</t>
        </is>
      </c>
      <c r="F812" s="3" t="inlineStr">
        <is>
          <t>매매</t>
        </is>
      </c>
      <c r="G812" s="4" t="n">
        <v>50000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토지</t>
        </is>
      </c>
      <c r="E813" s="3" t="inlineStr">
        <is>
          <t>대</t>
        </is>
      </c>
      <c r="F813" s="3" t="inlineStr">
        <is>
          <t>매매</t>
        </is>
      </c>
      <c r="G813" s="4" t="n">
        <v>133100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토지</t>
        </is>
      </c>
      <c r="E814" s="3" t="inlineStr">
        <is>
          <t>대</t>
        </is>
      </c>
      <c r="F814" s="3" t="inlineStr">
        <is>
          <t>매매</t>
        </is>
      </c>
      <c r="G814" s="4" t="n">
        <v>140000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토지</t>
        </is>
      </c>
      <c r="E815" s="3" t="inlineStr">
        <is>
          <t>임야</t>
        </is>
      </c>
      <c r="F815" s="3" t="inlineStr">
        <is>
          <t>매매</t>
        </is>
      </c>
      <c r="G815" s="4" t="n">
        <v>220000</v>
      </c>
      <c r="H815" s="4" t="n">
        <v>1719</v>
      </c>
      <c r="I815" s="5" t="n">
        <v>128</v>
      </c>
      <c r="J815" s="5" t="n">
        <v>41.8</v>
      </c>
      <c r="K815" s="3" t="inlineStr">
        <is>
          <t>계획관리지역 건축부지 시세이하가격</t>
        </is>
      </c>
      <c r="L815" s="6">
        <f>HYPERLINK("https://fin.land.naver.com/articles/2644684717",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(주)경진컨설팅</t>
        </is>
      </c>
      <c r="P815" s="4" t="n">
        <v>1</v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토지</t>
        </is>
      </c>
      <c r="E816" s="3" t="inlineStr">
        <is>
          <t>임야</t>
        </is>
      </c>
      <c r="F816" s="3" t="inlineStr">
        <is>
          <t>매매</t>
        </is>
      </c>
      <c r="G816" s="4" t="n">
        <v>224000</v>
      </c>
      <c r="H816" s="4" t="n">
        <v>1719</v>
      </c>
      <c r="I816" s="5" t="n">
        <v>130.3</v>
      </c>
      <c r="J816" s="5" t="n">
        <v>41.8</v>
      </c>
      <c r="K816" s="3" t="inlineStr">
        <is>
          <t>시세보다 저렴한  최상의 위치로  계획관리 토지로 용도다양</t>
        </is>
      </c>
      <c r="L816" s="6">
        <f>HYPERLINK("https://fin.land.naver.com/articles/2644914099",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연동스카이</t>
        </is>
      </c>
      <c r="P816" s="4" t="n">
        <v>1</v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토지</t>
        </is>
      </c>
      <c r="E817" s="3" t="inlineStr">
        <is>
          <t>임야</t>
        </is>
      </c>
      <c r="F817" s="3" t="inlineStr">
        <is>
          <t>매매</t>
        </is>
      </c>
      <c r="G817" s="4" t="n">
        <v>220000</v>
      </c>
      <c r="H817" s="4" t="n">
        <v>1719</v>
      </c>
      <c r="I817" s="5" t="n">
        <v>128</v>
      </c>
      <c r="J817" s="5" t="n">
        <v>41.8</v>
      </c>
      <c r="K817" s="3" t="inlineStr">
        <is>
          <t>급매 시세보다 저렴한 토지 추천매물입니다</t>
        </is>
      </c>
      <c r="L817" s="6">
        <f>HYPERLINK("https://fin.land.naver.com/articles/2643081566",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세종푸르지오</t>
        </is>
      </c>
      <c r="P817" s="4" t="n">
        <v>1</v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토지</t>
        </is>
      </c>
      <c r="E818" s="3" t="inlineStr">
        <is>
          <t>답</t>
        </is>
      </c>
      <c r="F818" s="3" t="inlineStr">
        <is>
          <t>매매</t>
        </is>
      </c>
      <c r="G818" s="4" t="n">
        <v>80000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토지</t>
        </is>
      </c>
      <c r="E819" s="3" t="inlineStr">
        <is>
          <t>답</t>
        </is>
      </c>
      <c r="F819" s="3" t="inlineStr">
        <is>
          <t>매매</t>
        </is>
      </c>
      <c r="G819" s="4" t="n">
        <v>80000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토지</t>
        </is>
      </c>
      <c r="E820" s="3" t="inlineStr">
        <is>
          <t>답</t>
        </is>
      </c>
      <c r="F820" s="3" t="inlineStr">
        <is>
          <t>매매</t>
        </is>
      </c>
      <c r="G820" s="4" t="n">
        <v>80000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토지</t>
        </is>
      </c>
      <c r="E821" s="3" t="inlineStr">
        <is>
          <t>답</t>
        </is>
      </c>
      <c r="F821" s="3" t="inlineStr">
        <is>
          <t>매매</t>
        </is>
      </c>
      <c r="G821" s="4" t="n">
        <v>234600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토지</t>
        </is>
      </c>
      <c r="E822" s="3" t="inlineStr">
        <is>
          <t>답</t>
        </is>
      </c>
      <c r="F822" s="3" t="inlineStr">
        <is>
          <t>매매</t>
        </is>
      </c>
      <c r="G822" s="4" t="n">
        <v>115500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토지</t>
        </is>
      </c>
      <c r="E823" s="3" t="inlineStr">
        <is>
          <t>답</t>
        </is>
      </c>
      <c r="F823" s="3" t="inlineStr">
        <is>
          <t>매매</t>
        </is>
      </c>
      <c r="G823" s="4" t="n">
        <v>216000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토지</t>
        </is>
      </c>
      <c r="E824" s="3" t="inlineStr">
        <is>
          <t>답</t>
        </is>
      </c>
      <c r="F824" s="3" t="inlineStr">
        <is>
          <t>매매</t>
        </is>
      </c>
      <c r="G824" s="4" t="n">
        <v>169000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토지</t>
        </is>
      </c>
      <c r="E825" s="3" t="inlineStr">
        <is>
          <t>답</t>
        </is>
      </c>
      <c r="F825" s="3" t="inlineStr">
        <is>
          <t>매매</t>
        </is>
      </c>
      <c r="G825" s="4" t="n">
        <v>80000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토지</t>
        </is>
      </c>
      <c r="E826" s="3" t="inlineStr">
        <is>
          <t>전</t>
        </is>
      </c>
      <c r="F826" s="3" t="inlineStr">
        <is>
          <t>매매</t>
        </is>
      </c>
      <c r="G826" s="4" t="n">
        <v>12000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토지</t>
        </is>
      </c>
      <c r="E827" s="3" t="inlineStr">
        <is>
          <t>답</t>
        </is>
      </c>
      <c r="F827" s="3" t="inlineStr">
        <is>
          <t>매매</t>
        </is>
      </c>
      <c r="G827" s="4" t="n">
        <v>60000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토지</t>
        </is>
      </c>
      <c r="E828" s="3" t="inlineStr">
        <is>
          <t>답</t>
        </is>
      </c>
      <c r="F828" s="3" t="inlineStr">
        <is>
          <t>매매</t>
        </is>
      </c>
      <c r="G828" s="4" t="n">
        <v>88000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토지</t>
        </is>
      </c>
      <c r="E829" s="3" t="inlineStr">
        <is>
          <t>답</t>
        </is>
      </c>
      <c r="F829" s="3" t="inlineStr">
        <is>
          <t>매매</t>
        </is>
      </c>
      <c r="G829" s="4" t="n">
        <v>149000</v>
      </c>
      <c r="H829" s="4" t="n">
        <v>797</v>
      </c>
      <c r="I829" s="5" t="n">
        <v>187</v>
      </c>
      <c r="J829" s="5" t="n">
        <v>83.3</v>
      </c>
      <c r="K829" s="3" t="inlineStr">
        <is>
          <t>급매,계획관리구역,성장관리계획구역</t>
        </is>
      </c>
      <c r="L829" s="6">
        <f>HYPERLINK("https://fin.land.naver.com/articles/2646558266",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굿모닝한라</t>
        </is>
      </c>
      <c r="P829" s="4" t="n">
        <v>1</v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토지</t>
        </is>
      </c>
      <c r="E830" s="3" t="inlineStr">
        <is>
          <t>답</t>
        </is>
      </c>
      <c r="F830" s="3" t="inlineStr">
        <is>
          <t>매매</t>
        </is>
      </c>
      <c r="G830" s="4" t="n">
        <v>280000</v>
      </c>
      <c r="H830" s="4" t="n">
        <v>432</v>
      </c>
      <c r="I830" s="5" t="n">
        <v>648.1</v>
      </c>
      <c r="J830" s="5" t="n">
        <v>83.3</v>
      </c>
      <c r="K830" s="3" t="inlineStr">
        <is>
          <t>세종5생활권 2차도로 접도 계획관리 토지 매매</t>
        </is>
      </c>
      <c r="L830" s="6">
        <f>HYPERLINK("https://fin.land.naver.com/articles/2643190037",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행운</t>
        </is>
      </c>
      <c r="P830" s="4" t="n">
        <v>1</v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토지</t>
        </is>
      </c>
      <c r="E831" s="3" t="inlineStr">
        <is>
          <t>임야</t>
        </is>
      </c>
      <c r="F831" s="3" t="inlineStr">
        <is>
          <t>매매</t>
        </is>
      </c>
      <c r="G831" s="4" t="n">
        <v>100000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토지</t>
        </is>
      </c>
      <c r="E832" s="3" t="inlineStr">
        <is>
          <t>전</t>
        </is>
      </c>
      <c r="F832" s="3" t="inlineStr">
        <is>
          <t>매매</t>
        </is>
      </c>
      <c r="G832" s="4" t="n">
        <v>70000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토지</t>
        </is>
      </c>
      <c r="E833" s="3" t="inlineStr">
        <is>
          <t>과수원</t>
        </is>
      </c>
      <c r="F833" s="3" t="inlineStr">
        <is>
          <t>매매</t>
        </is>
      </c>
      <c r="G833" s="4" t="n">
        <v>86000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토지</t>
        </is>
      </c>
      <c r="E834" s="3" t="inlineStr">
        <is>
          <t>대</t>
        </is>
      </c>
      <c r="F834" s="3" t="inlineStr">
        <is>
          <t>매매</t>
        </is>
      </c>
      <c r="G834" s="4" t="n">
        <v>17800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토지</t>
        </is>
      </c>
      <c r="E835" s="3" t="inlineStr">
        <is>
          <t>대</t>
        </is>
      </c>
      <c r="F835" s="3" t="inlineStr">
        <is>
          <t>매매</t>
        </is>
      </c>
      <c r="G835" s="4" t="n">
        <v>12600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토지</t>
        </is>
      </c>
      <c r="E836" s="3" t="inlineStr">
        <is>
          <t>전</t>
        </is>
      </c>
      <c r="F836" s="3" t="inlineStr">
        <is>
          <t>매매</t>
        </is>
      </c>
      <c r="G836" s="4" t="n">
        <v>92000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토지</t>
        </is>
      </c>
      <c r="E837" s="3" t="inlineStr">
        <is>
          <t>대</t>
        </is>
      </c>
      <c r="F837" s="3" t="inlineStr">
        <is>
          <t>매매</t>
        </is>
      </c>
      <c r="G837" s="4" t="n">
        <v>39500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토지</t>
        </is>
      </c>
      <c r="E838" s="3" t="inlineStr">
        <is>
          <t>대</t>
        </is>
      </c>
      <c r="F838" s="3" t="inlineStr">
        <is>
          <t>매매</t>
        </is>
      </c>
      <c r="G838" s="4" t="n">
        <v>180000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토지</t>
        </is>
      </c>
      <c r="E839" s="3" t="inlineStr">
        <is>
          <t>대</t>
        </is>
      </c>
      <c r="F839" s="3" t="inlineStr">
        <is>
          <t>매매</t>
        </is>
      </c>
      <c r="G839" s="4" t="n">
        <v>35000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토지</t>
        </is>
      </c>
      <c r="E840" s="3" t="inlineStr">
        <is>
          <t>대</t>
        </is>
      </c>
      <c r="F840" s="3" t="inlineStr">
        <is>
          <t>매매</t>
        </is>
      </c>
      <c r="G840" s="4" t="n">
        <v>35000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토지</t>
        </is>
      </c>
      <c r="E841" s="3" t="inlineStr">
        <is>
          <t>전</t>
        </is>
      </c>
      <c r="F841" s="3" t="inlineStr">
        <is>
          <t>매매</t>
        </is>
      </c>
      <c r="G841" s="4" t="n">
        <v>162000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토지</t>
        </is>
      </c>
      <c r="E842" s="3" t="inlineStr">
        <is>
          <t>임야</t>
        </is>
      </c>
      <c r="F842" s="3" t="inlineStr">
        <is>
          <t>매매</t>
        </is>
      </c>
      <c r="G842" s="4" t="n">
        <v>45000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토지</t>
        </is>
      </c>
      <c r="E843" s="3" t="inlineStr">
        <is>
          <t>전</t>
        </is>
      </c>
      <c r="F843" s="3" t="inlineStr">
        <is>
          <t>매매</t>
        </is>
      </c>
      <c r="G843" s="4" t="n">
        <v>133750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토지</t>
        </is>
      </c>
      <c r="E844" s="3" t="inlineStr">
        <is>
          <t>전</t>
        </is>
      </c>
      <c r="F844" s="3" t="inlineStr">
        <is>
          <t>매매</t>
        </is>
      </c>
      <c r="G844" s="4" t="n">
        <v>23000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토지</t>
        </is>
      </c>
      <c r="E845" s="3" t="inlineStr">
        <is>
          <t>전</t>
        </is>
      </c>
      <c r="F845" s="3" t="inlineStr">
        <is>
          <t>매매</t>
        </is>
      </c>
      <c r="G845" s="4" t="n">
        <v>104400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토지</t>
        </is>
      </c>
      <c r="E846" s="3" t="inlineStr">
        <is>
          <t>답</t>
        </is>
      </c>
      <c r="F846" s="3" t="inlineStr">
        <is>
          <t>매매</t>
        </is>
      </c>
      <c r="G846" s="4" t="n">
        <v>185000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토지</t>
        </is>
      </c>
      <c r="E847" s="3" t="inlineStr">
        <is>
          <t>답</t>
        </is>
      </c>
      <c r="F847" s="3" t="inlineStr">
        <is>
          <t>매매</t>
        </is>
      </c>
      <c r="G847" s="4" t="n">
        <v>85000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토지</t>
        </is>
      </c>
      <c r="E848" s="3" t="inlineStr">
        <is>
          <t>전</t>
        </is>
      </c>
      <c r="F848" s="3" t="inlineStr">
        <is>
          <t>매매</t>
        </is>
      </c>
      <c r="G848" s="4" t="n">
        <v>155000</v>
      </c>
      <c r="H848" s="4" t="n">
        <v>600</v>
      </c>
      <c r="I848" s="5" t="n">
        <v>258.3</v>
      </c>
      <c r="J848" s="5" t="n">
        <v>53.2</v>
      </c>
      <c r="K848" s="3" t="inlineStr">
        <is>
          <t>nan</t>
        </is>
      </c>
      <c r="L848" s="6">
        <f>HYPERLINK("https://fin.land.naver.com/articles/2645064190",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노은역</t>
        </is>
      </c>
      <c r="P848" s="4" t="n">
        <v>2</v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토지</t>
        </is>
      </c>
      <c r="E849" s="3" t="inlineStr">
        <is>
          <t>전</t>
        </is>
      </c>
      <c r="F849" s="3" t="inlineStr">
        <is>
          <t>매매</t>
        </is>
      </c>
      <c r="G849" s="4" t="n">
        <v>150000</v>
      </c>
      <c r="H849" s="4" t="n">
        <v>600</v>
      </c>
      <c r="I849" s="5" t="n">
        <v>250</v>
      </c>
      <c r="J849" s="5" t="n">
        <v>53.2</v>
      </c>
      <c r="K849" s="3" t="inlineStr">
        <is>
          <t>2차선도로접, 계획관리, 4거리변위치, 산단인근 매매가조절가능</t>
        </is>
      </c>
      <c r="L849" s="6">
        <f>HYPERLINK("https://fin.land.naver.com/articles/2644486433",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힐스테이트정문</t>
        </is>
      </c>
      <c r="P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토지</t>
        </is>
      </c>
      <c r="E850" s="3" t="inlineStr">
        <is>
          <t>전</t>
        </is>
      </c>
      <c r="F850" s="3" t="inlineStr">
        <is>
          <t>매매</t>
        </is>
      </c>
      <c r="G850" s="4" t="n">
        <v>100000</v>
      </c>
      <c r="H850" s="4" t="n">
        <v>195</v>
      </c>
      <c r="I850" s="5" t="n">
        <v>512.8</v>
      </c>
      <c r="J850" s="5" t="n">
        <v>25.1</v>
      </c>
      <c r="K850" s="3" t="inlineStr">
        <is>
          <t>일부 매매,전체 매매 가능,도로변에 위치</t>
        </is>
      </c>
      <c r="L850" s="6">
        <f>HYPERLINK("https://fin.land.naver.com/articles/2643982129",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다산</t>
        </is>
      </c>
      <c r="P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토지</t>
        </is>
      </c>
      <c r="E851" s="3" t="inlineStr">
        <is>
          <t>대</t>
        </is>
      </c>
      <c r="F851" s="3" t="inlineStr">
        <is>
          <t>매매</t>
        </is>
      </c>
      <c r="G851" s="4" t="n">
        <v>503500</v>
      </c>
      <c r="H851" s="4" t="n">
        <v>1119</v>
      </c>
      <c r="I851" s="5" t="n">
        <v>450</v>
      </c>
      <c r="J851" s="5" t="n">
        <v>25.1</v>
      </c>
      <c r="K851" s="3" t="inlineStr">
        <is>
          <t>5생활권인접, 정남향의 최상의 금강뷰부지</t>
        </is>
      </c>
      <c r="L851" s="6">
        <f>HYPERLINK("https://fin.land.naver.com/articles/2648344254",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이담</t>
        </is>
      </c>
      <c r="P851" s="4" t="n">
        <v>5</v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토지</t>
        </is>
      </c>
      <c r="E852" s="3" t="inlineStr">
        <is>
          <t>전</t>
        </is>
      </c>
      <c r="F852" s="3" t="inlineStr">
        <is>
          <t>매매</t>
        </is>
      </c>
      <c r="G852" s="4" t="n">
        <v>500000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토지</t>
        </is>
      </c>
      <c r="E853" s="3" t="inlineStr">
        <is>
          <t>과수원</t>
        </is>
      </c>
      <c r="F853" s="3" t="inlineStr">
        <is>
          <t>매매</t>
        </is>
      </c>
      <c r="G853" s="4" t="n">
        <v>90000</v>
      </c>
      <c r="H853" s="4" t="n">
        <v>200</v>
      </c>
      <c r="I853" s="5" t="n">
        <v>450</v>
      </c>
      <c r="J853" s="5" t="n">
        <v>25.1</v>
      </c>
      <c r="K853" s="3" t="inlineStr">
        <is>
          <t>nan</t>
        </is>
      </c>
      <c r="L853" s="6">
        <f>HYPERLINK("https://fin.land.naver.com/articles/2644022711",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세종</t>
        </is>
      </c>
      <c r="P853" s="4" t="n">
        <v>1</v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토지</t>
        </is>
      </c>
      <c r="E854" s="3" t="inlineStr">
        <is>
          <t>대</t>
        </is>
      </c>
      <c r="F854" s="3" t="inlineStr">
        <is>
          <t>매매</t>
        </is>
      </c>
      <c r="G854" s="4" t="n">
        <v>350000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토지</t>
        </is>
      </c>
      <c r="E855" s="3" t="inlineStr">
        <is>
          <t>전</t>
        </is>
      </c>
      <c r="F855" s="3" t="inlineStr">
        <is>
          <t>매매</t>
        </is>
      </c>
      <c r="G855" s="4" t="n">
        <v>64400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토지</t>
        </is>
      </c>
      <c r="E856" s="3" t="inlineStr">
        <is>
          <t>대</t>
        </is>
      </c>
      <c r="F856" s="3" t="inlineStr">
        <is>
          <t>매매</t>
        </is>
      </c>
      <c r="G856" s="4" t="n">
        <v>45000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토지</t>
        </is>
      </c>
      <c r="E857" s="3" t="inlineStr">
        <is>
          <t>전</t>
        </is>
      </c>
      <c r="F857" s="3" t="inlineStr">
        <is>
          <t>매매</t>
        </is>
      </c>
      <c r="G857" s="4" t="n">
        <v>173000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토지</t>
        </is>
      </c>
      <c r="E858" s="3" t="inlineStr">
        <is>
          <t>대</t>
        </is>
      </c>
      <c r="F858" s="3" t="inlineStr">
        <is>
          <t>매매</t>
        </is>
      </c>
      <c r="G858" s="4" t="n">
        <v>40000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토지</t>
        </is>
      </c>
      <c r="E859" s="3" t="inlineStr">
        <is>
          <t>대</t>
        </is>
      </c>
      <c r="F859" s="3" t="inlineStr">
        <is>
          <t>매매</t>
        </is>
      </c>
      <c r="G859" s="4" t="n">
        <v>21400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토지</t>
        </is>
      </c>
      <c r="E860" s="3" t="inlineStr">
        <is>
          <t>대</t>
        </is>
      </c>
      <c r="F860" s="3" t="inlineStr">
        <is>
          <t>매매</t>
        </is>
      </c>
      <c r="G860" s="4" t="n">
        <v>72000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토지</t>
        </is>
      </c>
      <c r="E861" s="3" t="inlineStr">
        <is>
          <t>전</t>
        </is>
      </c>
      <c r="F861" s="3" t="inlineStr">
        <is>
          <t>매매</t>
        </is>
      </c>
      <c r="G861" s="4" t="n">
        <v>30000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토지</t>
        </is>
      </c>
      <c r="E862" s="3" t="inlineStr">
        <is>
          <t>답</t>
        </is>
      </c>
      <c r="F862" s="3" t="inlineStr">
        <is>
          <t>매매</t>
        </is>
      </c>
      <c r="G862" s="4" t="n">
        <v>14000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토지</t>
        </is>
      </c>
      <c r="E863" s="3" t="inlineStr">
        <is>
          <t>임야</t>
        </is>
      </c>
      <c r="F863" s="3" t="inlineStr">
        <is>
          <t>매매</t>
        </is>
      </c>
      <c r="G863" s="4" t="n">
        <v>52000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토지</t>
        </is>
      </c>
      <c r="E864" s="3" t="inlineStr">
        <is>
          <t>임야</t>
        </is>
      </c>
      <c r="F864" s="3" t="inlineStr">
        <is>
          <t>매매</t>
        </is>
      </c>
      <c r="G864" s="4" t="n">
        <v>150000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토지</t>
        </is>
      </c>
      <c r="E865" s="3" t="inlineStr">
        <is>
          <t>답</t>
        </is>
      </c>
      <c r="F865" s="3" t="inlineStr">
        <is>
          <t>매매</t>
        </is>
      </c>
      <c r="G865" s="4" t="n">
        <v>71900</v>
      </c>
      <c r="H865" s="4" t="n">
        <v>218</v>
      </c>
      <c r="I865" s="5" t="n">
        <v>329.8</v>
      </c>
      <c r="J865" s="5" t="n">
        <v>52.8</v>
      </c>
      <c r="K865" s="3" t="inlineStr">
        <is>
          <t>nan</t>
        </is>
      </c>
      <c r="L865" s="6">
        <f>HYPERLINK("https://fin.land.naver.com/articles/2647746185",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다산</t>
        </is>
      </c>
      <c r="P865" s="4" t="n">
        <v>1</v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토지</t>
        </is>
      </c>
      <c r="E866" s="3" t="inlineStr">
        <is>
          <t>답</t>
        </is>
      </c>
      <c r="F866" s="3" t="inlineStr">
        <is>
          <t>매매</t>
        </is>
      </c>
      <c r="G866" s="4" t="n">
        <v>82460</v>
      </c>
      <c r="H866" s="4" t="n">
        <v>218</v>
      </c>
      <c r="I866" s="5" t="n">
        <v>378.3</v>
      </c>
      <c r="J866" s="5" t="n">
        <v>52.8</v>
      </c>
      <c r="K866" s="3" t="inlineStr">
        <is>
          <t>명성공인, 명학리 계획관리지역 추천 매물</t>
        </is>
      </c>
      <c r="L866" s="6">
        <f>HYPERLINK("https://fin.land.naver.com/articles/2648045385",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명성</t>
        </is>
      </c>
      <c r="P866" s="4" t="n">
        <v>1</v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토지</t>
        </is>
      </c>
      <c r="E867" s="3" t="inlineStr">
        <is>
          <t>전</t>
        </is>
      </c>
      <c r="F867" s="3" t="inlineStr">
        <is>
          <t>매매</t>
        </is>
      </c>
      <c r="G867" s="4" t="n">
        <v>27000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토지</t>
        </is>
      </c>
      <c r="E868" s="3" t="inlineStr">
        <is>
          <t>전</t>
        </is>
      </c>
      <c r="F868" s="3" t="inlineStr">
        <is>
          <t>매매</t>
        </is>
      </c>
      <c r="G868" s="4" t="n">
        <v>30000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토지</t>
        </is>
      </c>
      <c r="E869" s="3" t="inlineStr">
        <is>
          <t>답</t>
        </is>
      </c>
      <c r="F869" s="3" t="inlineStr">
        <is>
          <t>매매</t>
        </is>
      </c>
      <c r="G869" s="4" t="n">
        <v>55000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토지</t>
        </is>
      </c>
      <c r="E870" s="3" t="inlineStr">
        <is>
          <t>답</t>
        </is>
      </c>
      <c r="F870" s="3" t="inlineStr">
        <is>
          <t>매매</t>
        </is>
      </c>
      <c r="G870" s="4" t="n">
        <v>57700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토지</t>
        </is>
      </c>
      <c r="E871" s="3" t="inlineStr">
        <is>
          <t>답</t>
        </is>
      </c>
      <c r="F871" s="3" t="inlineStr">
        <is>
          <t>매매</t>
        </is>
      </c>
      <c r="G871" s="4" t="n">
        <v>36500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토지</t>
        </is>
      </c>
      <c r="E872" s="3" t="inlineStr">
        <is>
          <t>답</t>
        </is>
      </c>
      <c r="F872" s="3" t="inlineStr">
        <is>
          <t>매매</t>
        </is>
      </c>
      <c r="G872" s="4" t="n">
        <v>20000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토지</t>
        </is>
      </c>
      <c r="E873" s="3" t="inlineStr">
        <is>
          <t>답</t>
        </is>
      </c>
      <c r="F873" s="3" t="inlineStr">
        <is>
          <t>매매</t>
        </is>
      </c>
      <c r="G873" s="4" t="n">
        <v>20000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HYPERLINK("https://fin.land.naver.com/articles/2647688920",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THE동아</t>
        </is>
      </c>
      <c r="P873" s="4" t="n">
        <v>1</v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토지</t>
        </is>
      </c>
      <c r="E874" s="3" t="inlineStr">
        <is>
          <t>답</t>
        </is>
      </c>
      <c r="F874" s="3" t="inlineStr">
        <is>
          <t>매매</t>
        </is>
      </c>
      <c r="G874" s="4" t="n">
        <v>20000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HYPERLINK("https://fin.land.naver.com/articles/2644847717",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세종몽땅</t>
        </is>
      </c>
      <c r="P874" s="4" t="n">
        <v>1</v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토지</t>
        </is>
      </c>
      <c r="E875" s="3" t="inlineStr">
        <is>
          <t>전</t>
        </is>
      </c>
      <c r="F875" s="3" t="inlineStr">
        <is>
          <t>매매</t>
        </is>
      </c>
      <c r="G875" s="4" t="n">
        <v>110000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토지</t>
        </is>
      </c>
      <c r="E876" s="3" t="inlineStr">
        <is>
          <t>임야</t>
        </is>
      </c>
      <c r="F876" s="3" t="inlineStr">
        <is>
          <t>매매</t>
        </is>
      </c>
      <c r="G876" s="4" t="n">
        <v>750000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토지</t>
        </is>
      </c>
      <c r="E877" s="3" t="inlineStr">
        <is>
          <t>전</t>
        </is>
      </c>
      <c r="F877" s="3" t="inlineStr">
        <is>
          <t>매매</t>
        </is>
      </c>
      <c r="G877" s="4" t="n">
        <v>170000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토지</t>
        </is>
      </c>
      <c r="E878" s="3" t="inlineStr">
        <is>
          <t>대</t>
        </is>
      </c>
      <c r="F878" s="3" t="inlineStr">
        <is>
          <t>매매</t>
        </is>
      </c>
      <c r="G878" s="4" t="n">
        <v>21500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토지</t>
        </is>
      </c>
      <c r="E879" s="3" t="inlineStr">
        <is>
          <t>대</t>
        </is>
      </c>
      <c r="F879" s="3" t="inlineStr">
        <is>
          <t>매매</t>
        </is>
      </c>
      <c r="G879" s="4" t="n">
        <v>20000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토지</t>
        </is>
      </c>
      <c r="E880" s="3" t="inlineStr">
        <is>
          <t>대</t>
        </is>
      </c>
      <c r="F880" s="3" t="inlineStr">
        <is>
          <t>매매</t>
        </is>
      </c>
      <c r="G880" s="4" t="n">
        <v>18000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토지</t>
        </is>
      </c>
      <c r="E881" s="3" t="inlineStr">
        <is>
          <t>답</t>
        </is>
      </c>
      <c r="F881" s="3" t="inlineStr">
        <is>
          <t>매매</t>
        </is>
      </c>
      <c r="G881" s="4" t="n">
        <v>88700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토지</t>
        </is>
      </c>
      <c r="E882" s="3" t="inlineStr">
        <is>
          <t>답</t>
        </is>
      </c>
      <c r="F882" s="3" t="inlineStr">
        <is>
          <t>매매</t>
        </is>
      </c>
      <c r="G882" s="4" t="n">
        <v>61000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토지</t>
        </is>
      </c>
      <c r="E883" s="3" t="inlineStr">
        <is>
          <t>답</t>
        </is>
      </c>
      <c r="F883" s="3" t="inlineStr">
        <is>
          <t>매매</t>
        </is>
      </c>
      <c r="G883" s="4" t="n">
        <v>245000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토지</t>
        </is>
      </c>
      <c r="E884" s="3" t="inlineStr">
        <is>
          <t>답</t>
        </is>
      </c>
      <c r="F884" s="3" t="inlineStr">
        <is>
          <t>매매</t>
        </is>
      </c>
      <c r="G884" s="4" t="n">
        <v>58000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토지</t>
        </is>
      </c>
      <c r="E885" s="3" t="inlineStr">
        <is>
          <t>대</t>
        </is>
      </c>
      <c r="F885" s="3" t="inlineStr">
        <is>
          <t>매매</t>
        </is>
      </c>
      <c r="G885" s="4" t="n">
        <v>101400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토지</t>
        </is>
      </c>
      <c r="E886" s="3" t="inlineStr">
        <is>
          <t>답</t>
        </is>
      </c>
      <c r="F886" s="3" t="inlineStr">
        <is>
          <t>매매</t>
        </is>
      </c>
      <c r="G886" s="4" t="n">
        <v>13600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토지</t>
        </is>
      </c>
      <c r="E887" s="3" t="inlineStr">
        <is>
          <t>답</t>
        </is>
      </c>
      <c r="F887" s="3" t="inlineStr">
        <is>
          <t>매매</t>
        </is>
      </c>
      <c r="G887" s="4" t="n">
        <v>13600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토지</t>
        </is>
      </c>
      <c r="E888" s="3" t="inlineStr">
        <is>
          <t>답</t>
        </is>
      </c>
      <c r="F888" s="3" t="inlineStr">
        <is>
          <t>매매</t>
        </is>
      </c>
      <c r="G888" s="4" t="n">
        <v>66600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토지</t>
        </is>
      </c>
      <c r="E889" s="3" t="inlineStr">
        <is>
          <t>대</t>
        </is>
      </c>
      <c r="F889" s="3" t="inlineStr">
        <is>
          <t>매매</t>
        </is>
      </c>
      <c r="G889" s="4" t="n">
        <v>250000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토지</t>
        </is>
      </c>
      <c r="E890" s="3" t="inlineStr">
        <is>
          <t>잡종지</t>
        </is>
      </c>
      <c r="F890" s="3" t="inlineStr">
        <is>
          <t>매매</t>
        </is>
      </c>
      <c r="G890" s="4" t="n">
        <v>80000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토지</t>
        </is>
      </c>
      <c r="E891" s="3" t="inlineStr">
        <is>
          <t>전</t>
        </is>
      </c>
      <c r="F891" s="3" t="inlineStr">
        <is>
          <t>매매</t>
        </is>
      </c>
      <c r="G891" s="4" t="n">
        <v>70000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토지</t>
        </is>
      </c>
      <c r="E892" s="3" t="inlineStr">
        <is>
          <t>전</t>
        </is>
      </c>
      <c r="F892" s="3" t="inlineStr">
        <is>
          <t>매매</t>
        </is>
      </c>
      <c r="G892" s="4" t="n">
        <v>66000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토지</t>
        </is>
      </c>
      <c r="E893" s="3" t="inlineStr">
        <is>
          <t>대</t>
        </is>
      </c>
      <c r="F893" s="3" t="inlineStr">
        <is>
          <t>매매</t>
        </is>
      </c>
      <c r="G893" s="4" t="n">
        <v>50000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토지</t>
        </is>
      </c>
      <c r="E894" s="3" t="inlineStr">
        <is>
          <t>대</t>
        </is>
      </c>
      <c r="F894" s="3" t="inlineStr">
        <is>
          <t>매매</t>
        </is>
      </c>
      <c r="G894" s="4" t="n">
        <v>329000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토지</t>
        </is>
      </c>
      <c r="E895" s="3" t="inlineStr">
        <is>
          <t>대</t>
        </is>
      </c>
      <c r="F895" s="3" t="inlineStr">
        <is>
          <t>매매</t>
        </is>
      </c>
      <c r="G895" s="4" t="n">
        <v>31000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토지</t>
        </is>
      </c>
      <c r="E896" s="3" t="inlineStr">
        <is>
          <t>전</t>
        </is>
      </c>
      <c r="F896" s="3" t="inlineStr">
        <is>
          <t>매매</t>
        </is>
      </c>
      <c r="G896" s="4" t="n">
        <v>56200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토지</t>
        </is>
      </c>
      <c r="E897" s="3" t="inlineStr">
        <is>
          <t>과수원</t>
        </is>
      </c>
      <c r="F897" s="3" t="inlineStr">
        <is>
          <t>매매</t>
        </is>
      </c>
      <c r="G897" s="4" t="n">
        <v>18000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토지</t>
        </is>
      </c>
      <c r="E898" s="3" t="inlineStr">
        <is>
          <t>과수원</t>
        </is>
      </c>
      <c r="F898" s="3" t="inlineStr">
        <is>
          <t>매매</t>
        </is>
      </c>
      <c r="G898" s="4" t="n">
        <v>18000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토지</t>
        </is>
      </c>
      <c r="E899" s="3" t="inlineStr">
        <is>
          <t>답</t>
        </is>
      </c>
      <c r="F899" s="3" t="inlineStr">
        <is>
          <t>매매</t>
        </is>
      </c>
      <c r="G899" s="4" t="n">
        <v>71000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토지</t>
        </is>
      </c>
      <c r="E900" s="3" t="inlineStr">
        <is>
          <t>답</t>
        </is>
      </c>
      <c r="F900" s="3" t="inlineStr">
        <is>
          <t>매매</t>
        </is>
      </c>
      <c r="G900" s="4" t="n">
        <v>49000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토지</t>
        </is>
      </c>
      <c r="E901" s="3" t="inlineStr">
        <is>
          <t>답</t>
        </is>
      </c>
      <c r="F901" s="3" t="inlineStr">
        <is>
          <t>매매</t>
        </is>
      </c>
      <c r="G901" s="4" t="n">
        <v>75000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토지</t>
        </is>
      </c>
      <c r="E902" s="3" t="inlineStr">
        <is>
          <t>대</t>
        </is>
      </c>
      <c r="F902" s="3" t="inlineStr">
        <is>
          <t>매매</t>
        </is>
      </c>
      <c r="G902" s="4" t="n">
        <v>20000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토지</t>
        </is>
      </c>
      <c r="E903" s="3" t="inlineStr">
        <is>
          <t>전</t>
        </is>
      </c>
      <c r="F903" s="3" t="inlineStr">
        <is>
          <t>매매</t>
        </is>
      </c>
      <c r="G903" s="4" t="n">
        <v>140000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토지</t>
        </is>
      </c>
      <c r="E904" s="3" t="inlineStr">
        <is>
          <t>답</t>
        </is>
      </c>
      <c r="F904" s="3" t="inlineStr">
        <is>
          <t>매매</t>
        </is>
      </c>
      <c r="G904" s="4" t="n">
        <v>47125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토지</t>
        </is>
      </c>
      <c r="E905" s="3" t="inlineStr">
        <is>
          <t>답</t>
        </is>
      </c>
      <c r="F905" s="3" t="inlineStr">
        <is>
          <t>매매</t>
        </is>
      </c>
      <c r="G905" s="4" t="n">
        <v>60000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토지</t>
        </is>
      </c>
      <c r="E906" s="3" t="inlineStr">
        <is>
          <t>답</t>
        </is>
      </c>
      <c r="F906" s="3" t="inlineStr">
        <is>
          <t>매매</t>
        </is>
      </c>
      <c r="G906" s="4" t="n">
        <v>60000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토지</t>
        </is>
      </c>
      <c r="E907" s="3" t="inlineStr">
        <is>
          <t>답</t>
        </is>
      </c>
      <c r="F907" s="3" t="inlineStr">
        <is>
          <t>매매</t>
        </is>
      </c>
      <c r="G907" s="4" t="n">
        <v>53500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토지</t>
        </is>
      </c>
      <c r="E908" s="3" t="inlineStr">
        <is>
          <t>답</t>
        </is>
      </c>
      <c r="F908" s="3" t="inlineStr">
        <is>
          <t>매매</t>
        </is>
      </c>
      <c r="G908" s="4" t="n">
        <v>16400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토지</t>
        </is>
      </c>
      <c r="E909" s="3" t="inlineStr">
        <is>
          <t>답</t>
        </is>
      </c>
      <c r="F909" s="3" t="inlineStr">
        <is>
          <t>매매</t>
        </is>
      </c>
      <c r="G909" s="4" t="n">
        <v>52800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토지</t>
        </is>
      </c>
      <c r="E910" s="3" t="inlineStr">
        <is>
          <t>대</t>
        </is>
      </c>
      <c r="F910" s="3" t="inlineStr">
        <is>
          <t>매매</t>
        </is>
      </c>
      <c r="G910" s="4" t="n">
        <v>90000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토지</t>
        </is>
      </c>
      <c r="E911" s="3" t="inlineStr">
        <is>
          <t>대</t>
        </is>
      </c>
      <c r="F911" s="3" t="inlineStr">
        <is>
          <t>매매</t>
        </is>
      </c>
      <c r="G911" s="4" t="n">
        <v>25000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토지</t>
        </is>
      </c>
      <c r="E912" s="3" t="inlineStr">
        <is>
          <t>답</t>
        </is>
      </c>
      <c r="F912" s="3" t="inlineStr">
        <is>
          <t>매매</t>
        </is>
      </c>
      <c r="G912" s="4" t="n">
        <v>47000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토지</t>
        </is>
      </c>
      <c r="E913" s="3" t="inlineStr">
        <is>
          <t>답</t>
        </is>
      </c>
      <c r="F913" s="3" t="inlineStr">
        <is>
          <t>매매</t>
        </is>
      </c>
      <c r="G913" s="4" t="n">
        <v>22000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토지</t>
        </is>
      </c>
      <c r="E914" s="3" t="inlineStr">
        <is>
          <t>답</t>
        </is>
      </c>
      <c r="F914" s="3" t="inlineStr">
        <is>
          <t>매매</t>
        </is>
      </c>
      <c r="G914" s="4" t="n">
        <v>250000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토지</t>
        </is>
      </c>
      <c r="E915" s="3" t="inlineStr">
        <is>
          <t>전</t>
        </is>
      </c>
      <c r="F915" s="3" t="inlineStr">
        <is>
          <t>매매</t>
        </is>
      </c>
      <c r="G915" s="4" t="n">
        <v>250000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토지</t>
        </is>
      </c>
      <c r="E916" s="3" t="inlineStr">
        <is>
          <t>답</t>
        </is>
      </c>
      <c r="F916" s="3" t="inlineStr">
        <is>
          <t>매매</t>
        </is>
      </c>
      <c r="G916" s="4" t="n">
        <v>105000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토지</t>
        </is>
      </c>
      <c r="E917" s="3" t="inlineStr">
        <is>
          <t>답</t>
        </is>
      </c>
      <c r="F917" s="3" t="inlineStr">
        <is>
          <t>매매</t>
        </is>
      </c>
      <c r="G917" s="4" t="n">
        <v>30000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토지</t>
        </is>
      </c>
      <c r="E918" s="3" t="inlineStr">
        <is>
          <t>답</t>
        </is>
      </c>
      <c r="F918" s="3" t="inlineStr">
        <is>
          <t>매매</t>
        </is>
      </c>
      <c r="G918" s="4" t="n">
        <v>56800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토지</t>
        </is>
      </c>
      <c r="E919" s="3" t="inlineStr">
        <is>
          <t>전</t>
        </is>
      </c>
      <c r="F919" s="3" t="inlineStr">
        <is>
          <t>매매</t>
        </is>
      </c>
      <c r="G919" s="4" t="n">
        <v>120000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토지</t>
        </is>
      </c>
      <c r="E920" s="3" t="inlineStr">
        <is>
          <t>대</t>
        </is>
      </c>
      <c r="F920" s="3" t="inlineStr">
        <is>
          <t>매매</t>
        </is>
      </c>
      <c r="G920" s="4" t="n">
        <v>100000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연동스카이</t>
        </is>
      </c>
      <c r="P920" s="4" t="n">
        <v>1</v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토지</t>
        </is>
      </c>
      <c r="E921" s="3" t="inlineStr">
        <is>
          <t>대</t>
        </is>
      </c>
      <c r="F921" s="3" t="inlineStr">
        <is>
          <t>매매</t>
        </is>
      </c>
      <c r="G921" s="4" t="n">
        <v>105000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해밀탑</t>
        </is>
      </c>
      <c r="P921" s="4" t="n">
        <v>3</v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토지</t>
        </is>
      </c>
      <c r="E922" s="3" t="inlineStr">
        <is>
          <t>대</t>
        </is>
      </c>
      <c r="F922" s="3" t="inlineStr">
        <is>
          <t>매매</t>
        </is>
      </c>
      <c r="G922" s="4" t="n">
        <v>130000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세종로또</t>
        </is>
      </c>
      <c r="P922" s="4" t="n">
        <v>1</v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토지</t>
        </is>
      </c>
      <c r="E923" s="3" t="inlineStr">
        <is>
          <t>대</t>
        </is>
      </c>
      <c r="F923" s="3" t="inlineStr">
        <is>
          <t>매매</t>
        </is>
      </c>
      <c r="G923" s="4" t="n">
        <v>27000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토지</t>
        </is>
      </c>
      <c r="E924" s="3" t="inlineStr">
        <is>
          <t>주유소용지</t>
        </is>
      </c>
      <c r="F924" s="3" t="inlineStr">
        <is>
          <t>매매</t>
        </is>
      </c>
      <c r="G924" s="4" t="n">
        <v>370000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토지</t>
        </is>
      </c>
      <c r="E925" s="3" t="inlineStr">
        <is>
          <t>전</t>
        </is>
      </c>
      <c r="F925" s="3" t="inlineStr">
        <is>
          <t>매매</t>
        </is>
      </c>
      <c r="G925" s="4" t="n">
        <v>147000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토지</t>
        </is>
      </c>
      <c r="E926" s="3" t="inlineStr">
        <is>
          <t>잡종지</t>
        </is>
      </c>
      <c r="F926" s="3" t="inlineStr">
        <is>
          <t>매매</t>
        </is>
      </c>
      <c r="G926" s="4" t="n">
        <v>300000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토지</t>
        </is>
      </c>
      <c r="E927" s="3" t="inlineStr">
        <is>
          <t>답</t>
        </is>
      </c>
      <c r="F927" s="3" t="inlineStr">
        <is>
          <t>매매</t>
        </is>
      </c>
      <c r="G927" s="4" t="n">
        <v>48800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토지</t>
        </is>
      </c>
      <c r="E928" s="3" t="inlineStr">
        <is>
          <t>임야</t>
        </is>
      </c>
      <c r="F928" s="3" t="inlineStr">
        <is>
          <t>매매</t>
        </is>
      </c>
      <c r="G928" s="4" t="n">
        <v>220000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토지</t>
        </is>
      </c>
      <c r="E929" s="3" t="inlineStr">
        <is>
          <t>임야</t>
        </is>
      </c>
      <c r="F929" s="3" t="inlineStr">
        <is>
          <t>매매</t>
        </is>
      </c>
      <c r="G929" s="4" t="n">
        <v>280000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토지</t>
        </is>
      </c>
      <c r="E930" s="3" t="inlineStr">
        <is>
          <t>임야</t>
        </is>
      </c>
      <c r="F930" s="3" t="inlineStr">
        <is>
          <t>매매</t>
        </is>
      </c>
      <c r="G930" s="4" t="n">
        <v>73000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토지</t>
        </is>
      </c>
      <c r="E931" s="3" t="inlineStr">
        <is>
          <t>임야</t>
        </is>
      </c>
      <c r="F931" s="3" t="inlineStr">
        <is>
          <t>매매</t>
        </is>
      </c>
      <c r="G931" s="4" t="n">
        <v>110000</v>
      </c>
      <c r="H931" s="4" t="n">
        <v>3641</v>
      </c>
      <c r="I931" s="5" t="n">
        <v>30.2</v>
      </c>
      <c r="J931" s="5" t="n">
        <v>6</v>
      </c>
      <c r="K931" s="3" t="inlineStr">
        <is>
          <t>세종시 연동면 합강리 금강 인근 임야 매매</t>
        </is>
      </c>
      <c r="L931" s="6">
        <f>HYPERLINK("https://fin.land.naver.com/articles/2646831517",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뉴스카이</t>
        </is>
      </c>
      <c r="P931" s="4" t="n">
        <v>1</v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토지</t>
        </is>
      </c>
      <c r="E932" s="3" t="inlineStr">
        <is>
          <t>임야</t>
        </is>
      </c>
      <c r="F932" s="3" t="inlineStr">
        <is>
          <t>매매</t>
        </is>
      </c>
      <c r="G932" s="4" t="n">
        <v>73000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HYPERLINK("https://fin.land.naver.com/articles/2643423203",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하이엔드</t>
        </is>
      </c>
      <c r="P932" s="4" t="n">
        <v>1</v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토지</t>
        </is>
      </c>
      <c r="E933" s="3" t="inlineStr">
        <is>
          <t>임야</t>
        </is>
      </c>
      <c r="F933" s="3" t="inlineStr">
        <is>
          <t>매매</t>
        </is>
      </c>
      <c r="G933" s="4" t="n">
        <v>103000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토지</t>
        </is>
      </c>
      <c r="E934" s="3" t="inlineStr">
        <is>
          <t>전</t>
        </is>
      </c>
      <c r="F934" s="3" t="inlineStr">
        <is>
          <t>매매</t>
        </is>
      </c>
      <c r="G934" s="4" t="n">
        <v>150000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토지</t>
        </is>
      </c>
      <c r="E935" s="3" t="inlineStr">
        <is>
          <t>전</t>
        </is>
      </c>
      <c r="F935" s="3" t="inlineStr">
        <is>
          <t>매매</t>
        </is>
      </c>
      <c r="G935" s="4" t="n">
        <v>770000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토지</t>
        </is>
      </c>
      <c r="E936" s="3" t="inlineStr">
        <is>
          <t>대</t>
        </is>
      </c>
      <c r="F936" s="3" t="inlineStr">
        <is>
          <t>매매</t>
        </is>
      </c>
      <c r="G936" s="4" t="n">
        <v>98000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토지</t>
        </is>
      </c>
      <c r="E937" s="3" t="inlineStr">
        <is>
          <t>대</t>
        </is>
      </c>
      <c r="F937" s="3" t="inlineStr">
        <is>
          <t>매매</t>
        </is>
      </c>
      <c r="G937" s="4" t="n">
        <v>37500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토지</t>
        </is>
      </c>
      <c r="E938" s="3" t="inlineStr">
        <is>
          <t>답</t>
        </is>
      </c>
      <c r="F938" s="3" t="inlineStr">
        <is>
          <t>매매</t>
        </is>
      </c>
      <c r="G938" s="4" t="n">
        <v>224000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토지</t>
        </is>
      </c>
      <c r="E939" s="3" t="inlineStr">
        <is>
          <t>임야</t>
        </is>
      </c>
      <c r="F939" s="3" t="inlineStr">
        <is>
          <t>매매</t>
        </is>
      </c>
      <c r="G939" s="4" t="n">
        <v>14400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토지</t>
        </is>
      </c>
      <c r="E940" s="3" t="inlineStr">
        <is>
          <t>과수원</t>
        </is>
      </c>
      <c r="F940" s="3" t="inlineStr">
        <is>
          <t>매매</t>
        </is>
      </c>
      <c r="G940" s="4" t="n">
        <v>8370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토지</t>
        </is>
      </c>
      <c r="E941" s="3" t="inlineStr">
        <is>
          <t>답</t>
        </is>
      </c>
      <c r="F941" s="3" t="inlineStr">
        <is>
          <t>매매</t>
        </is>
      </c>
      <c r="G941" s="4" t="n">
        <v>29000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토지</t>
        </is>
      </c>
      <c r="E942" s="3" t="inlineStr">
        <is>
          <t>과수원</t>
        </is>
      </c>
      <c r="F942" s="3" t="inlineStr">
        <is>
          <t>매매</t>
        </is>
      </c>
      <c r="G942" s="4" t="n">
        <v>97000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토지</t>
        </is>
      </c>
      <c r="E943" s="3" t="inlineStr">
        <is>
          <t>과수원</t>
        </is>
      </c>
      <c r="F943" s="3" t="inlineStr">
        <is>
          <t>매매</t>
        </is>
      </c>
      <c r="G943" s="4" t="n">
        <v>80000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토지</t>
        </is>
      </c>
      <c r="E944" s="3" t="inlineStr">
        <is>
          <t>전</t>
        </is>
      </c>
      <c r="F944" s="3" t="inlineStr">
        <is>
          <t>매매</t>
        </is>
      </c>
      <c r="G944" s="4" t="n">
        <v>120000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토지</t>
        </is>
      </c>
      <c r="E945" s="3" t="inlineStr">
        <is>
          <t>전</t>
        </is>
      </c>
      <c r="F945" s="3" t="inlineStr">
        <is>
          <t>매매</t>
        </is>
      </c>
      <c r="G945" s="4" t="n">
        <v>60000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토지</t>
        </is>
      </c>
      <c r="E946" s="3" t="inlineStr">
        <is>
          <t>대</t>
        </is>
      </c>
      <c r="F946" s="3" t="inlineStr">
        <is>
          <t>매매</t>
        </is>
      </c>
      <c r="G946" s="4" t="n">
        <v>54000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토지</t>
        </is>
      </c>
      <c r="E947" s="3" t="inlineStr">
        <is>
          <t>대</t>
        </is>
      </c>
      <c r="F947" s="3" t="inlineStr">
        <is>
          <t>매매</t>
        </is>
      </c>
      <c r="G947" s="4" t="n">
        <v>404000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토지</t>
        </is>
      </c>
      <c r="E948" s="3" t="inlineStr">
        <is>
          <t>답</t>
        </is>
      </c>
      <c r="F948" s="3" t="inlineStr">
        <is>
          <t>매매</t>
        </is>
      </c>
      <c r="G948" s="4" t="n">
        <v>53340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토지</t>
        </is>
      </c>
      <c r="E949" s="3" t="inlineStr">
        <is>
          <t>답</t>
        </is>
      </c>
      <c r="F949" s="3" t="inlineStr">
        <is>
          <t>매매</t>
        </is>
      </c>
      <c r="G949" s="4" t="n">
        <v>70800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토지</t>
        </is>
      </c>
      <c r="E950" s="3" t="inlineStr">
        <is>
          <t>답</t>
        </is>
      </c>
      <c r="F950" s="3" t="inlineStr">
        <is>
          <t>매매</t>
        </is>
      </c>
      <c r="G950" s="4" t="n">
        <v>79000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토지</t>
        </is>
      </c>
      <c r="E951" s="3" t="inlineStr">
        <is>
          <t>대</t>
        </is>
      </c>
      <c r="F951" s="3" t="inlineStr">
        <is>
          <t>매매</t>
        </is>
      </c>
      <c r="G951" s="4" t="n">
        <v>120000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토지</t>
        </is>
      </c>
      <c r="E952" s="3" t="inlineStr">
        <is>
          <t>임야</t>
        </is>
      </c>
      <c r="F952" s="3" t="inlineStr">
        <is>
          <t>매매</t>
        </is>
      </c>
      <c r="G952" s="4" t="n">
        <v>37000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토지</t>
        </is>
      </c>
      <c r="E953" s="3" t="inlineStr">
        <is>
          <t>임야</t>
        </is>
      </c>
      <c r="F953" s="3" t="inlineStr">
        <is>
          <t>매매</t>
        </is>
      </c>
      <c r="G953" s="4" t="n">
        <v>90000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토지</t>
        </is>
      </c>
      <c r="E954" s="3" t="inlineStr">
        <is>
          <t>답</t>
        </is>
      </c>
      <c r="F954" s="3" t="inlineStr">
        <is>
          <t>매매</t>
        </is>
      </c>
      <c r="G954" s="4" t="n">
        <v>69000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토지</t>
        </is>
      </c>
      <c r="E955" s="3" t="inlineStr">
        <is>
          <t>대</t>
        </is>
      </c>
      <c r="F955" s="3" t="inlineStr">
        <is>
          <t>매매</t>
        </is>
      </c>
      <c r="G955" s="4" t="n">
        <v>184000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토지</t>
        </is>
      </c>
      <c r="E956" s="3" t="inlineStr">
        <is>
          <t>답</t>
        </is>
      </c>
      <c r="F956" s="3" t="inlineStr">
        <is>
          <t>매매</t>
        </is>
      </c>
      <c r="G956" s="4" t="n">
        <v>21000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토지</t>
        </is>
      </c>
      <c r="E957" s="3" t="inlineStr">
        <is>
          <t>답</t>
        </is>
      </c>
      <c r="F957" s="3" t="inlineStr">
        <is>
          <t>매매</t>
        </is>
      </c>
      <c r="G957" s="4" t="n">
        <v>24000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토지</t>
        </is>
      </c>
      <c r="E958" s="3" t="inlineStr">
        <is>
          <t>답</t>
        </is>
      </c>
      <c r="F958" s="3" t="inlineStr">
        <is>
          <t>매매</t>
        </is>
      </c>
      <c r="G958" s="4" t="n">
        <v>108000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토지</t>
        </is>
      </c>
      <c r="E959" s="3" t="inlineStr">
        <is>
          <t>답</t>
        </is>
      </c>
      <c r="F959" s="3" t="inlineStr">
        <is>
          <t>매매</t>
        </is>
      </c>
      <c r="G959" s="4" t="n">
        <v>118000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토지</t>
        </is>
      </c>
      <c r="E960" s="3" t="inlineStr">
        <is>
          <t>임야</t>
        </is>
      </c>
      <c r="F960" s="3" t="inlineStr">
        <is>
          <t>매매</t>
        </is>
      </c>
      <c r="G960" s="4" t="n">
        <v>50000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토지</t>
        </is>
      </c>
      <c r="E961" s="3" t="inlineStr">
        <is>
          <t>임야</t>
        </is>
      </c>
      <c r="F961" s="3" t="inlineStr">
        <is>
          <t>매매</t>
        </is>
      </c>
      <c r="G961" s="4" t="n">
        <v>100000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토지</t>
        </is>
      </c>
      <c r="E962" s="3" t="inlineStr">
        <is>
          <t>목장용지</t>
        </is>
      </c>
      <c r="F962" s="3" t="inlineStr">
        <is>
          <t>매매</t>
        </is>
      </c>
      <c r="G962" s="4" t="n">
        <v>362000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토지</t>
        </is>
      </c>
      <c r="E963" s="3" t="inlineStr">
        <is>
          <t>임야</t>
        </is>
      </c>
      <c r="F963" s="3" t="inlineStr">
        <is>
          <t>매매</t>
        </is>
      </c>
      <c r="G963" s="4" t="n">
        <v>222000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토지</t>
        </is>
      </c>
      <c r="E964" s="3" t="inlineStr">
        <is>
          <t>전</t>
        </is>
      </c>
      <c r="F964" s="3" t="inlineStr">
        <is>
          <t>매매</t>
        </is>
      </c>
      <c r="G964" s="4" t="n">
        <v>35000</v>
      </c>
      <c r="H964" s="4" t="n">
        <v>307</v>
      </c>
      <c r="I964" s="5" t="n">
        <v>114</v>
      </c>
      <c r="J964" s="5" t="n">
        <v>56.4</v>
      </c>
      <c r="K964" s="3" t="inlineStr">
        <is>
          <t>급매,도로접한 계획관리지역,알토란 토지,가격조정가능</t>
        </is>
      </c>
      <c r="L964" s="6">
        <f>HYPERLINK("https://fin.land.naver.com/articles/2645370986",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고운맘</t>
        </is>
      </c>
      <c r="P964" s="4" t="n">
        <v>1</v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토지</t>
        </is>
      </c>
      <c r="E965" s="3" t="inlineStr">
        <is>
          <t>전</t>
        </is>
      </c>
      <c r="F965" s="3" t="inlineStr">
        <is>
          <t>매매</t>
        </is>
      </c>
      <c r="G965" s="4" t="n">
        <v>35000</v>
      </c>
      <c r="H965" s="4" t="n">
        <v>307</v>
      </c>
      <c r="I965" s="5" t="n">
        <v>114</v>
      </c>
      <c r="J965" s="5" t="n">
        <v>56.4</v>
      </c>
      <c r="K965" s="3" t="inlineStr">
        <is>
          <t>스마트국가산업단지와 북세종IC 인근 계획관리지역 토지로 지가상승 예상.</t>
        </is>
      </c>
      <c r="L965" s="6">
        <f>HYPERLINK("https://fin.land.naver.com/articles/2644820086",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세종대장</t>
        </is>
      </c>
      <c r="P965" s="4" t="n">
        <v>2</v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토지</t>
        </is>
      </c>
      <c r="E966" s="3" t="inlineStr">
        <is>
          <t>대</t>
        </is>
      </c>
      <c r="F966" s="3" t="inlineStr">
        <is>
          <t>매매</t>
        </is>
      </c>
      <c r="G966" s="4" t="n">
        <v>26500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토지</t>
        </is>
      </c>
      <c r="E967" s="3" t="inlineStr">
        <is>
          <t>전</t>
        </is>
      </c>
      <c r="F967" s="3" t="inlineStr">
        <is>
          <t>매매</t>
        </is>
      </c>
      <c r="G967" s="4" t="n">
        <v>148200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토지</t>
        </is>
      </c>
      <c r="E968" s="3" t="inlineStr">
        <is>
          <t>답</t>
        </is>
      </c>
      <c r="F968" s="3" t="inlineStr">
        <is>
          <t>매매</t>
        </is>
      </c>
      <c r="G968" s="4" t="n">
        <v>45000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토지</t>
        </is>
      </c>
      <c r="E969" s="3" t="inlineStr">
        <is>
          <t>답</t>
        </is>
      </c>
      <c r="F969" s="3" t="inlineStr">
        <is>
          <t>매매</t>
        </is>
      </c>
      <c r="G969" s="4" t="n">
        <v>62000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토지</t>
        </is>
      </c>
      <c r="E970" s="3" t="inlineStr">
        <is>
          <t>전</t>
        </is>
      </c>
      <c r="F970" s="3" t="inlineStr">
        <is>
          <t>매매</t>
        </is>
      </c>
      <c r="G970" s="4" t="n">
        <v>95000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토지</t>
        </is>
      </c>
      <c r="E971" s="3" t="inlineStr">
        <is>
          <t>전</t>
        </is>
      </c>
      <c r="F971" s="3" t="inlineStr">
        <is>
          <t>매매</t>
        </is>
      </c>
      <c r="G971" s="4" t="n">
        <v>31000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토지</t>
        </is>
      </c>
      <c r="E972" s="3" t="inlineStr">
        <is>
          <t>전</t>
        </is>
      </c>
      <c r="F972" s="3" t="inlineStr">
        <is>
          <t>매매</t>
        </is>
      </c>
      <c r="G972" s="4" t="n">
        <v>23000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토지</t>
        </is>
      </c>
      <c r="E973" s="3" t="inlineStr">
        <is>
          <t>전</t>
        </is>
      </c>
      <c r="F973" s="3" t="inlineStr">
        <is>
          <t>매매</t>
        </is>
      </c>
      <c r="G973" s="4" t="n">
        <v>42000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토지</t>
        </is>
      </c>
      <c r="E974" s="3" t="inlineStr">
        <is>
          <t>전</t>
        </is>
      </c>
      <c r="F974" s="3" t="inlineStr">
        <is>
          <t>매매</t>
        </is>
      </c>
      <c r="G974" s="4" t="n">
        <v>40000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토지</t>
        </is>
      </c>
      <c r="E975" s="3" t="inlineStr">
        <is>
          <t>전</t>
        </is>
      </c>
      <c r="F975" s="3" t="inlineStr">
        <is>
          <t>매매</t>
        </is>
      </c>
      <c r="G975" s="4" t="n">
        <v>44200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토지</t>
        </is>
      </c>
      <c r="E976" s="3" t="inlineStr">
        <is>
          <t>답</t>
        </is>
      </c>
      <c r="F976" s="3" t="inlineStr">
        <is>
          <t>매매</t>
        </is>
      </c>
      <c r="G976" s="4" t="n">
        <v>13000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토지</t>
        </is>
      </c>
      <c r="E977" s="3" t="inlineStr">
        <is>
          <t>답</t>
        </is>
      </c>
      <c r="F977" s="3" t="inlineStr">
        <is>
          <t>매매</t>
        </is>
      </c>
      <c r="G977" s="4" t="n">
        <v>17000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토지</t>
        </is>
      </c>
      <c r="E978" s="3" t="inlineStr">
        <is>
          <t>전</t>
        </is>
      </c>
      <c r="F978" s="3" t="inlineStr">
        <is>
          <t>매매</t>
        </is>
      </c>
      <c r="G978" s="4" t="n">
        <v>63000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토지</t>
        </is>
      </c>
      <c r="E979" s="3" t="inlineStr">
        <is>
          <t>전</t>
        </is>
      </c>
      <c r="F979" s="3" t="inlineStr">
        <is>
          <t>매매</t>
        </is>
      </c>
      <c r="G979" s="4" t="n">
        <v>52000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토지</t>
        </is>
      </c>
      <c r="E980" s="3" t="inlineStr">
        <is>
          <t>답</t>
        </is>
      </c>
      <c r="F980" s="3" t="inlineStr">
        <is>
          <t>매매</t>
        </is>
      </c>
      <c r="G980" s="4" t="n">
        <v>237860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토지</t>
        </is>
      </c>
      <c r="E981" s="3" t="inlineStr">
        <is>
          <t>답</t>
        </is>
      </c>
      <c r="F981" s="3" t="inlineStr">
        <is>
          <t>매매</t>
        </is>
      </c>
      <c r="G981" s="4" t="n">
        <v>16000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토지</t>
        </is>
      </c>
      <c r="E982" s="3" t="inlineStr">
        <is>
          <t>전</t>
        </is>
      </c>
      <c r="F982" s="3" t="inlineStr">
        <is>
          <t>매매</t>
        </is>
      </c>
      <c r="G982" s="4" t="n">
        <v>62500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토지</t>
        </is>
      </c>
      <c r="E983" s="3" t="inlineStr">
        <is>
          <t>답</t>
        </is>
      </c>
      <c r="F983" s="3" t="inlineStr">
        <is>
          <t>매매</t>
        </is>
      </c>
      <c r="G983" s="4" t="n">
        <v>63000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토지</t>
        </is>
      </c>
      <c r="E984" s="3" t="inlineStr">
        <is>
          <t>답</t>
        </is>
      </c>
      <c r="F984" s="3" t="inlineStr">
        <is>
          <t>매매</t>
        </is>
      </c>
      <c r="G984" s="4" t="n">
        <v>75000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토지</t>
        </is>
      </c>
      <c r="E985" s="3" t="inlineStr">
        <is>
          <t>대</t>
        </is>
      </c>
      <c r="F985" s="3" t="inlineStr">
        <is>
          <t>매매</t>
        </is>
      </c>
      <c r="G985" s="4" t="n">
        <v>21000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토지</t>
        </is>
      </c>
      <c r="E986" s="3" t="inlineStr">
        <is>
          <t>양어장</t>
        </is>
      </c>
      <c r="F986" s="3" t="inlineStr">
        <is>
          <t>매매</t>
        </is>
      </c>
      <c r="G986" s="4" t="n">
        <v>79000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토지</t>
        </is>
      </c>
      <c r="E987" s="3" t="inlineStr">
        <is>
          <t>양어장</t>
        </is>
      </c>
      <c r="F987" s="3" t="inlineStr">
        <is>
          <t>매매</t>
        </is>
      </c>
      <c r="G987" s="4" t="n">
        <v>80000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토지</t>
        </is>
      </c>
      <c r="E988" s="3" t="inlineStr">
        <is>
          <t>양어장</t>
        </is>
      </c>
      <c r="F988" s="3" t="inlineStr">
        <is>
          <t>매매</t>
        </is>
      </c>
      <c r="G988" s="4" t="n">
        <v>39000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토지</t>
        </is>
      </c>
      <c r="E989" s="3" t="inlineStr">
        <is>
          <t>양어장</t>
        </is>
      </c>
      <c r="F989" s="3" t="inlineStr">
        <is>
          <t>매매</t>
        </is>
      </c>
      <c r="G989" s="4" t="n">
        <v>21000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토지</t>
        </is>
      </c>
      <c r="E990" s="3" t="inlineStr">
        <is>
          <t>양어장</t>
        </is>
      </c>
      <c r="F990" s="3" t="inlineStr">
        <is>
          <t>매매</t>
        </is>
      </c>
      <c r="G990" s="4" t="n">
        <v>35000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토지</t>
        </is>
      </c>
      <c r="E991" s="3" t="inlineStr">
        <is>
          <t>답</t>
        </is>
      </c>
      <c r="F991" s="3" t="inlineStr">
        <is>
          <t>매매</t>
        </is>
      </c>
      <c r="G991" s="4" t="n">
        <v>20000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토지</t>
        </is>
      </c>
      <c r="E992" s="3" t="inlineStr">
        <is>
          <t>전</t>
        </is>
      </c>
      <c r="F992" s="3" t="inlineStr">
        <is>
          <t>매매</t>
        </is>
      </c>
      <c r="G992" s="4" t="n">
        <v>30000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토지</t>
        </is>
      </c>
      <c r="E993" s="3" t="inlineStr">
        <is>
          <t>과수원</t>
        </is>
      </c>
      <c r="F993" s="3" t="inlineStr">
        <is>
          <t>매매</t>
        </is>
      </c>
      <c r="G993" s="4" t="n">
        <v>49000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토지</t>
        </is>
      </c>
      <c r="E994" s="3" t="inlineStr">
        <is>
          <t>대</t>
        </is>
      </c>
      <c r="F994" s="3" t="inlineStr">
        <is>
          <t>매매</t>
        </is>
      </c>
      <c r="G994" s="4" t="n">
        <v>19500</v>
      </c>
      <c r="H994" s="4" t="n">
        <v>146</v>
      </c>
      <c r="I994" s="5" t="n">
        <v>133.6</v>
      </c>
      <c r="J994" s="5" t="n">
        <v>66.7</v>
      </c>
      <c r="K994" s="3" t="inlineStr">
        <is>
          <t>급매매 계획관리 도로접 건축가능 세종 연서 기룡리</t>
        </is>
      </c>
      <c r="L994" s="6">
        <f>HYPERLINK("https://fin.land.naver.com/articles/2645168277",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명장</t>
        </is>
      </c>
      <c r="P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토지</t>
        </is>
      </c>
      <c r="E995" s="3" t="inlineStr">
        <is>
          <t>대</t>
        </is>
      </c>
      <c r="F995" s="3" t="inlineStr">
        <is>
          <t>매매</t>
        </is>
      </c>
      <c r="G995" s="4" t="n">
        <v>19500</v>
      </c>
      <c r="H995" s="4" t="n">
        <v>146</v>
      </c>
      <c r="I995" s="5" t="n">
        <v>133.6</v>
      </c>
      <c r="J995" s="5" t="n">
        <v>66.7</v>
      </c>
      <c r="K995" s="3" t="inlineStr">
        <is>
          <t>접근성좋아요,국유지구거및도로접</t>
        </is>
      </c>
      <c r="L995" s="6">
        <f>HYPERLINK("https://fin.land.naver.com/articles/2647219681",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싱글벙글</t>
        </is>
      </c>
      <c r="P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토지</t>
        </is>
      </c>
      <c r="E996" s="3" t="inlineStr">
        <is>
          <t>대</t>
        </is>
      </c>
      <c r="F996" s="3" t="inlineStr">
        <is>
          <t>매매</t>
        </is>
      </c>
      <c r="G996" s="4" t="n">
        <v>19500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토지</t>
        </is>
      </c>
      <c r="E997" s="3" t="inlineStr">
        <is>
          <t>대</t>
        </is>
      </c>
      <c r="F997" s="3" t="inlineStr">
        <is>
          <t>매매</t>
        </is>
      </c>
      <c r="G997" s="4" t="n">
        <v>22000</v>
      </c>
      <c r="H997" s="4" t="n">
        <v>146</v>
      </c>
      <c r="I997" s="5" t="n">
        <v>150.7</v>
      </c>
      <c r="J997" s="5" t="n">
        <v>66.7</v>
      </c>
      <c r="K997" s="3" t="inlineStr">
        <is>
          <t>급매 세종시 연서면 기룡리 토지매매 대지,전</t>
        </is>
      </c>
      <c r="L997" s="6">
        <f>HYPERLINK("https://fin.land.naver.com/articles/2647930675",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더나은</t>
        </is>
      </c>
      <c r="P997" s="4" t="n">
        <v>4</v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토지</t>
        </is>
      </c>
      <c r="E998" s="3" t="inlineStr">
        <is>
          <t>대</t>
        </is>
      </c>
      <c r="F998" s="3" t="inlineStr">
        <is>
          <t>매매</t>
        </is>
      </c>
      <c r="G998" s="4" t="n">
        <v>19500</v>
      </c>
      <c r="H998" s="4" t="n">
        <v>146</v>
      </c>
      <c r="I998" s="5" t="n">
        <v>133.6</v>
      </c>
      <c r="J998" s="5" t="n">
        <v>66.7</v>
      </c>
      <c r="K998" s="3" t="inlineStr">
        <is>
          <t>연서면 기룡리 토지 계획관리지역 전원주택등</t>
        </is>
      </c>
      <c r="L998" s="6">
        <f>HYPERLINK("https://fin.land.naver.com/articles/2645841572",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반석원무소</t>
        </is>
      </c>
      <c r="P998" s="4" t="n">
        <v>1</v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토지</t>
        </is>
      </c>
      <c r="E999" s="3" t="inlineStr">
        <is>
          <t>대</t>
        </is>
      </c>
      <c r="F999" s="3" t="inlineStr">
        <is>
          <t>매매</t>
        </is>
      </c>
      <c r="G999" s="4" t="n">
        <v>25000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문은진</t>
        </is>
      </c>
      <c r="P999" s="4" t="n">
        <v>1</v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토지</t>
        </is>
      </c>
      <c r="E1000" s="3" t="inlineStr">
        <is>
          <t>대</t>
        </is>
      </c>
      <c r="F1000" s="3" t="inlineStr">
        <is>
          <t>매매</t>
        </is>
      </c>
      <c r="G1000" s="4" t="n">
        <v>19500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토지</t>
        </is>
      </c>
      <c r="E1001" s="3" t="inlineStr">
        <is>
          <t>대</t>
        </is>
      </c>
      <c r="F1001" s="3" t="inlineStr">
        <is>
          <t>매매</t>
        </is>
      </c>
      <c r="G1001" s="4" t="n">
        <v>8000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토지</t>
        </is>
      </c>
      <c r="E1002" s="3" t="inlineStr">
        <is>
          <t>대</t>
        </is>
      </c>
      <c r="F1002" s="3" t="inlineStr">
        <is>
          <t>매매</t>
        </is>
      </c>
      <c r="G1002" s="4" t="n">
        <v>29000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토지</t>
        </is>
      </c>
      <c r="E1003" s="3" t="inlineStr">
        <is>
          <t>전</t>
        </is>
      </c>
      <c r="F1003" s="3" t="inlineStr">
        <is>
          <t>매매</t>
        </is>
      </c>
      <c r="G1003" s="4" t="n">
        <v>13000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토지</t>
        </is>
      </c>
      <c r="E1004" s="3" t="inlineStr">
        <is>
          <t>전</t>
        </is>
      </c>
      <c r="F1004" s="3" t="inlineStr">
        <is>
          <t>매매</t>
        </is>
      </c>
      <c r="G1004" s="4" t="n">
        <v>30000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토지</t>
        </is>
      </c>
      <c r="E1005" s="3" t="inlineStr">
        <is>
          <t>임야</t>
        </is>
      </c>
      <c r="F1005" s="3" t="inlineStr">
        <is>
          <t>매매</t>
        </is>
      </c>
      <c r="G1005" s="4" t="n">
        <v>674000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토지</t>
        </is>
      </c>
      <c r="E1006" s="3" t="inlineStr">
        <is>
          <t>임야</t>
        </is>
      </c>
      <c r="F1006" s="3" t="inlineStr">
        <is>
          <t>매매</t>
        </is>
      </c>
      <c r="G1006" s="4" t="n">
        <v>340000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토지</t>
        </is>
      </c>
      <c r="E1007" s="3" t="inlineStr">
        <is>
          <t>임야</t>
        </is>
      </c>
      <c r="F1007" s="3" t="inlineStr">
        <is>
          <t>매매</t>
        </is>
      </c>
      <c r="G1007" s="4" t="n">
        <v>1800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토지</t>
        </is>
      </c>
      <c r="E1008" s="3" t="inlineStr">
        <is>
          <t>답</t>
        </is>
      </c>
      <c r="F1008" s="3" t="inlineStr">
        <is>
          <t>매매</t>
        </is>
      </c>
      <c r="G1008" s="4" t="n">
        <v>70116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토지</t>
        </is>
      </c>
      <c r="E1009" s="3" t="inlineStr">
        <is>
          <t>전</t>
        </is>
      </c>
      <c r="F1009" s="3" t="inlineStr">
        <is>
          <t>매매</t>
        </is>
      </c>
      <c r="G1009" s="4" t="n">
        <v>36500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토지</t>
        </is>
      </c>
      <c r="E1010" s="3" t="inlineStr">
        <is>
          <t>대</t>
        </is>
      </c>
      <c r="F1010" s="3" t="inlineStr">
        <is>
          <t>매매</t>
        </is>
      </c>
      <c r="G1010" s="4" t="n">
        <v>25000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토지</t>
        </is>
      </c>
      <c r="E1011" s="3" t="inlineStr">
        <is>
          <t>임야</t>
        </is>
      </c>
      <c r="F1011" s="3" t="inlineStr">
        <is>
          <t>매매</t>
        </is>
      </c>
      <c r="G1011" s="4" t="n">
        <v>130000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토지</t>
        </is>
      </c>
      <c r="E1012" s="3" t="inlineStr">
        <is>
          <t>대</t>
        </is>
      </c>
      <c r="F1012" s="3" t="inlineStr">
        <is>
          <t>매매</t>
        </is>
      </c>
      <c r="G1012" s="4" t="n">
        <v>65000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토지</t>
        </is>
      </c>
      <c r="E1013" s="3" t="inlineStr">
        <is>
          <t>전</t>
        </is>
      </c>
      <c r="F1013" s="3" t="inlineStr">
        <is>
          <t>매매</t>
        </is>
      </c>
      <c r="G1013" s="4" t="n">
        <v>120000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토지</t>
        </is>
      </c>
      <c r="E1014" s="3" t="inlineStr">
        <is>
          <t>대</t>
        </is>
      </c>
      <c r="F1014" s="3" t="inlineStr">
        <is>
          <t>매매</t>
        </is>
      </c>
      <c r="G1014" s="4" t="n">
        <v>220000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토지</t>
        </is>
      </c>
      <c r="E1015" s="3" t="inlineStr">
        <is>
          <t>과수원</t>
        </is>
      </c>
      <c r="F1015" s="3" t="inlineStr">
        <is>
          <t>매매</t>
        </is>
      </c>
      <c r="G1015" s="4" t="n">
        <v>109000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토지</t>
        </is>
      </c>
      <c r="E1016" s="3" t="inlineStr">
        <is>
          <t>과수원</t>
        </is>
      </c>
      <c r="F1016" s="3" t="inlineStr">
        <is>
          <t>매매</t>
        </is>
      </c>
      <c r="G1016" s="4" t="n">
        <v>210000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토지</t>
        </is>
      </c>
      <c r="E1017" s="3" t="inlineStr">
        <is>
          <t>대</t>
        </is>
      </c>
      <c r="F1017" s="3" t="inlineStr">
        <is>
          <t>매매</t>
        </is>
      </c>
      <c r="G1017" s="4" t="n">
        <v>32000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토지</t>
        </is>
      </c>
      <c r="E1018" s="3" t="inlineStr">
        <is>
          <t>답</t>
        </is>
      </c>
      <c r="F1018" s="3" t="inlineStr">
        <is>
          <t>매매</t>
        </is>
      </c>
      <c r="G1018" s="4" t="n">
        <v>168000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토지</t>
        </is>
      </c>
      <c r="E1019" s="3" t="inlineStr">
        <is>
          <t>대</t>
        </is>
      </c>
      <c r="F1019" s="3" t="inlineStr">
        <is>
          <t>매매</t>
        </is>
      </c>
      <c r="G1019" s="4" t="n">
        <v>78000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토지</t>
        </is>
      </c>
      <c r="E1020" s="3" t="inlineStr">
        <is>
          <t>임야</t>
        </is>
      </c>
      <c r="F1020" s="3" t="inlineStr">
        <is>
          <t>매매</t>
        </is>
      </c>
      <c r="G1020" s="4" t="n">
        <v>670000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토지</t>
        </is>
      </c>
      <c r="E1021" s="3" t="inlineStr">
        <is>
          <t>과수원</t>
        </is>
      </c>
      <c r="F1021" s="3" t="inlineStr">
        <is>
          <t>매매</t>
        </is>
      </c>
      <c r="G1021" s="4" t="n">
        <v>325000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토지</t>
        </is>
      </c>
      <c r="E1022" s="3" t="inlineStr">
        <is>
          <t>답</t>
        </is>
      </c>
      <c r="F1022" s="3" t="inlineStr">
        <is>
          <t>매매</t>
        </is>
      </c>
      <c r="G1022" s="4" t="n">
        <v>197000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토지</t>
        </is>
      </c>
      <c r="E1023" s="3" t="inlineStr">
        <is>
          <t>대</t>
        </is>
      </c>
      <c r="F1023" s="3" t="inlineStr">
        <is>
          <t>매매</t>
        </is>
      </c>
      <c r="G1023" s="4" t="n">
        <v>48000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토지</t>
        </is>
      </c>
      <c r="E1024" s="3" t="inlineStr">
        <is>
          <t>전</t>
        </is>
      </c>
      <c r="F1024" s="3" t="inlineStr">
        <is>
          <t>매매</t>
        </is>
      </c>
      <c r="G1024" s="4" t="n">
        <v>84000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토지</t>
        </is>
      </c>
      <c r="E1025" s="3" t="inlineStr">
        <is>
          <t>대</t>
        </is>
      </c>
      <c r="F1025" s="3" t="inlineStr">
        <is>
          <t>매매</t>
        </is>
      </c>
      <c r="G1025" s="4" t="n">
        <v>80000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토지</t>
        </is>
      </c>
      <c r="E1026" s="3" t="inlineStr">
        <is>
          <t>답</t>
        </is>
      </c>
      <c r="F1026" s="3" t="inlineStr">
        <is>
          <t>매매</t>
        </is>
      </c>
      <c r="G1026" s="4" t="n">
        <v>80000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토지</t>
        </is>
      </c>
      <c r="E1027" s="3" t="inlineStr">
        <is>
          <t>전</t>
        </is>
      </c>
      <c r="F1027" s="3" t="inlineStr">
        <is>
          <t>매매</t>
        </is>
      </c>
      <c r="G1027" s="4" t="n">
        <v>50000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토지</t>
        </is>
      </c>
      <c r="E1028" s="3" t="inlineStr">
        <is>
          <t>대</t>
        </is>
      </c>
      <c r="F1028" s="3" t="inlineStr">
        <is>
          <t>매매</t>
        </is>
      </c>
      <c r="G1028" s="4" t="n">
        <v>400000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토지</t>
        </is>
      </c>
      <c r="E1029" s="3" t="inlineStr">
        <is>
          <t>답</t>
        </is>
      </c>
      <c r="F1029" s="3" t="inlineStr">
        <is>
          <t>매매</t>
        </is>
      </c>
      <c r="G1029" s="4" t="n">
        <v>680000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토지</t>
        </is>
      </c>
      <c r="E1030" s="3" t="inlineStr">
        <is>
          <t>전</t>
        </is>
      </c>
      <c r="F1030" s="3" t="inlineStr">
        <is>
          <t>매매</t>
        </is>
      </c>
      <c r="G1030" s="4" t="n">
        <v>74000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토지</t>
        </is>
      </c>
      <c r="E1031" s="3" t="inlineStr">
        <is>
          <t>답</t>
        </is>
      </c>
      <c r="F1031" s="3" t="inlineStr">
        <is>
          <t>매매</t>
        </is>
      </c>
      <c r="G1031" s="4" t="n">
        <v>110000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토지</t>
        </is>
      </c>
      <c r="E1032" s="3" t="inlineStr">
        <is>
          <t>전</t>
        </is>
      </c>
      <c r="F1032" s="3" t="inlineStr">
        <is>
          <t>매매</t>
        </is>
      </c>
      <c r="G1032" s="4" t="n">
        <v>36400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토지</t>
        </is>
      </c>
      <c r="E1033" s="3" t="inlineStr">
        <is>
          <t>전</t>
        </is>
      </c>
      <c r="F1033" s="3" t="inlineStr">
        <is>
          <t>매매</t>
        </is>
      </c>
      <c r="G1033" s="4" t="n">
        <v>97200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토지</t>
        </is>
      </c>
      <c r="E1034" s="3" t="inlineStr">
        <is>
          <t>전</t>
        </is>
      </c>
      <c r="F1034" s="3" t="inlineStr">
        <is>
          <t>매매</t>
        </is>
      </c>
      <c r="G1034" s="4" t="n">
        <v>200000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토지</t>
        </is>
      </c>
      <c r="E1035" s="3" t="inlineStr">
        <is>
          <t>전</t>
        </is>
      </c>
      <c r="F1035" s="3" t="inlineStr">
        <is>
          <t>매매</t>
        </is>
      </c>
      <c r="G1035" s="4" t="n">
        <v>220000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토지</t>
        </is>
      </c>
      <c r="E1036" s="3" t="inlineStr">
        <is>
          <t>임야</t>
        </is>
      </c>
      <c r="F1036" s="3" t="inlineStr">
        <is>
          <t>매매</t>
        </is>
      </c>
      <c r="G1036" s="4" t="n">
        <v>280000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토지</t>
        </is>
      </c>
      <c r="E1037" s="3" t="inlineStr">
        <is>
          <t>전</t>
        </is>
      </c>
      <c r="F1037" s="3" t="inlineStr">
        <is>
          <t>매매</t>
        </is>
      </c>
      <c r="G1037" s="4" t="n">
        <v>138000</v>
      </c>
      <c r="H1037" s="4" t="n">
        <v>309</v>
      </c>
      <c r="I1037" s="5" t="n">
        <v>446.6</v>
      </c>
      <c r="J1037" s="5" t="n">
        <v>55.8</v>
      </c>
      <c r="K1037" s="3" t="inlineStr">
        <is>
          <t>계획관리 전</t>
        </is>
      </c>
      <c r="L1037" s="6">
        <f>HYPERLINK("https://fin.land.naver.com/articles/2643579063",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세종몽땅</t>
        </is>
      </c>
      <c r="P1037" s="4" t="n">
        <v>1</v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토지</t>
        </is>
      </c>
      <c r="E1038" s="3" t="inlineStr">
        <is>
          <t>전</t>
        </is>
      </c>
      <c r="F1038" s="3" t="inlineStr">
        <is>
          <t>매매</t>
        </is>
      </c>
      <c r="G1038" s="4" t="n">
        <v>138000</v>
      </c>
      <c r="H1038" s="4" t="n">
        <v>346</v>
      </c>
      <c r="I1038" s="5" t="n">
        <v>398.8</v>
      </c>
      <c r="J1038" s="5" t="n">
        <v>55.8</v>
      </c>
      <c r="K1038" s="3" t="inlineStr">
        <is>
          <t>조율가능 국가산단인근 귀한 계획관리 매물</t>
        </is>
      </c>
      <c r="L1038" s="6">
        <f>HYPERLINK("https://fin.land.naver.com/articles/2642921978",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세종스타</t>
        </is>
      </c>
      <c r="P1038" s="4" t="n">
        <v>1</v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토지</t>
        </is>
      </c>
      <c r="E1039" s="3" t="inlineStr">
        <is>
          <t>대</t>
        </is>
      </c>
      <c r="F1039" s="3" t="inlineStr">
        <is>
          <t>매매</t>
        </is>
      </c>
      <c r="G1039" s="4" t="n">
        <v>39000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토지</t>
        </is>
      </c>
      <c r="E1040" s="3" t="inlineStr">
        <is>
          <t>답</t>
        </is>
      </c>
      <c r="F1040" s="3" t="inlineStr">
        <is>
          <t>매매</t>
        </is>
      </c>
      <c r="G1040" s="4" t="n">
        <v>76500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토지</t>
        </is>
      </c>
      <c r="E1041" s="3" t="inlineStr">
        <is>
          <t>과수원</t>
        </is>
      </c>
      <c r="F1041" s="3" t="inlineStr">
        <is>
          <t>매매</t>
        </is>
      </c>
      <c r="G1041" s="4" t="n">
        <v>205000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토지</t>
        </is>
      </c>
      <c r="E1042" s="3" t="inlineStr">
        <is>
          <t>과수원</t>
        </is>
      </c>
      <c r="F1042" s="3" t="inlineStr">
        <is>
          <t>매매</t>
        </is>
      </c>
      <c r="G1042" s="4" t="n">
        <v>205000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토지</t>
        </is>
      </c>
      <c r="E1043" s="3" t="inlineStr">
        <is>
          <t>창고용지</t>
        </is>
      </c>
      <c r="F1043" s="3" t="inlineStr">
        <is>
          <t>매매</t>
        </is>
      </c>
      <c r="G1043" s="4" t="n">
        <v>55000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토지</t>
        </is>
      </c>
      <c r="E1044" s="3" t="inlineStr">
        <is>
          <t>답</t>
        </is>
      </c>
      <c r="F1044" s="3" t="inlineStr">
        <is>
          <t>매매</t>
        </is>
      </c>
      <c r="G1044" s="4" t="n">
        <v>96600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토지</t>
        </is>
      </c>
      <c r="E1045" s="3" t="inlineStr">
        <is>
          <t>답</t>
        </is>
      </c>
      <c r="F1045" s="3" t="inlineStr">
        <is>
          <t>매매</t>
        </is>
      </c>
      <c r="G1045" s="4" t="n">
        <v>200000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토지</t>
        </is>
      </c>
      <c r="E1046" s="3" t="inlineStr">
        <is>
          <t>답</t>
        </is>
      </c>
      <c r="F1046" s="3" t="inlineStr">
        <is>
          <t>매매</t>
        </is>
      </c>
      <c r="G1046" s="4" t="n">
        <v>80500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담뜰</t>
        </is>
      </c>
      <c r="P1046" s="4" t="n">
        <v>3</v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토지</t>
        </is>
      </c>
      <c r="E1047" s="3" t="inlineStr">
        <is>
          <t>답</t>
        </is>
      </c>
      <c r="F1047" s="3" t="inlineStr">
        <is>
          <t>매매</t>
        </is>
      </c>
      <c r="G1047" s="4" t="n">
        <v>80400</v>
      </c>
      <c r="H1047" s="4" t="n">
        <v>619</v>
      </c>
      <c r="I1047" s="5" t="n">
        <v>129.9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HYPERLINK("https://fin.land.naver.com/articles/2644196684",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가치잇는</t>
        </is>
      </c>
      <c r="P1047" s="4" t="n">
        <v>4</v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토지</t>
        </is>
      </c>
      <c r="E1048" s="3" t="inlineStr">
        <is>
          <t>답</t>
        </is>
      </c>
      <c r="F1048" s="3" t="inlineStr">
        <is>
          <t>매매</t>
        </is>
      </c>
      <c r="G1048" s="4" t="n">
        <v>93000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토지</t>
        </is>
      </c>
      <c r="E1049" s="3" t="inlineStr">
        <is>
          <t>답</t>
        </is>
      </c>
      <c r="F1049" s="3" t="inlineStr">
        <is>
          <t>매매</t>
        </is>
      </c>
      <c r="G1049" s="4" t="n">
        <v>119000</v>
      </c>
      <c r="H1049" s="4" t="n">
        <v>921</v>
      </c>
      <c r="I1049" s="5" t="n">
        <v>129.2</v>
      </c>
      <c r="J1049" s="5" t="n">
        <v>27.3</v>
      </c>
      <c r="K1049" s="3" t="inlineStr">
        <is>
          <t>연서면 성제리 2차선 도로에 접한 투자용 답, 2필지 합해서 매매도 가능</t>
        </is>
      </c>
      <c r="L1049" s="6">
        <f>HYPERLINK("https://fin.land.naver.com/articles/2645658728",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스마일세종</t>
        </is>
      </c>
      <c r="P1049" s="4" t="n">
        <v>3</v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토지</t>
        </is>
      </c>
      <c r="E1050" s="3" t="inlineStr">
        <is>
          <t>답</t>
        </is>
      </c>
      <c r="F1050" s="3" t="inlineStr">
        <is>
          <t>매매</t>
        </is>
      </c>
      <c r="G1050" s="4" t="n">
        <v>119700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빛나</t>
        </is>
      </c>
      <c r="P1050" s="4" t="n">
        <v>2</v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토지</t>
        </is>
      </c>
      <c r="E1051" s="3" t="inlineStr">
        <is>
          <t>과수원</t>
        </is>
      </c>
      <c r="F1051" s="3" t="inlineStr">
        <is>
          <t>매매</t>
        </is>
      </c>
      <c r="G1051" s="4" t="n">
        <v>69000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토지</t>
        </is>
      </c>
      <c r="E1052" s="3" t="inlineStr">
        <is>
          <t>답</t>
        </is>
      </c>
      <c r="F1052" s="3" t="inlineStr">
        <is>
          <t>매매</t>
        </is>
      </c>
      <c r="G1052" s="4" t="n">
        <v>71900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토지</t>
        </is>
      </c>
      <c r="E1053" s="3" t="inlineStr">
        <is>
          <t>답</t>
        </is>
      </c>
      <c r="F1053" s="3" t="inlineStr">
        <is>
          <t>매매</t>
        </is>
      </c>
      <c r="G1053" s="4" t="n">
        <v>35000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토지</t>
        </is>
      </c>
      <c r="E1054" s="3" t="inlineStr">
        <is>
          <t>과수원</t>
        </is>
      </c>
      <c r="F1054" s="3" t="inlineStr">
        <is>
          <t>매매</t>
        </is>
      </c>
      <c r="G1054" s="4" t="n">
        <v>180000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토지</t>
        </is>
      </c>
      <c r="E1055" s="3" t="inlineStr">
        <is>
          <t>과수원</t>
        </is>
      </c>
      <c r="F1055" s="3" t="inlineStr">
        <is>
          <t>매매</t>
        </is>
      </c>
      <c r="G1055" s="4" t="n">
        <v>180000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토지</t>
        </is>
      </c>
      <c r="E1056" s="3" t="inlineStr">
        <is>
          <t>과수원</t>
        </is>
      </c>
      <c r="F1056" s="3" t="inlineStr">
        <is>
          <t>매매</t>
        </is>
      </c>
      <c r="G1056" s="4" t="n">
        <v>10000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토지</t>
        </is>
      </c>
      <c r="E1057" s="3" t="inlineStr">
        <is>
          <t>과수원</t>
        </is>
      </c>
      <c r="F1057" s="3" t="inlineStr">
        <is>
          <t>매매</t>
        </is>
      </c>
      <c r="G1057" s="4" t="n">
        <v>210000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토지</t>
        </is>
      </c>
      <c r="E1058" s="3" t="inlineStr">
        <is>
          <t>전</t>
        </is>
      </c>
      <c r="F1058" s="3" t="inlineStr">
        <is>
          <t>매매</t>
        </is>
      </c>
      <c r="G1058" s="4" t="n">
        <v>96000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토지</t>
        </is>
      </c>
      <c r="E1059" s="3" t="inlineStr">
        <is>
          <t>전</t>
        </is>
      </c>
      <c r="F1059" s="3" t="inlineStr">
        <is>
          <t>매매</t>
        </is>
      </c>
      <c r="G1059" s="4" t="n">
        <v>77300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토지</t>
        </is>
      </c>
      <c r="E1060" s="3" t="inlineStr">
        <is>
          <t>대</t>
        </is>
      </c>
      <c r="F1060" s="3" t="inlineStr">
        <is>
          <t>매매</t>
        </is>
      </c>
      <c r="G1060" s="4" t="n">
        <v>240000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토지</t>
        </is>
      </c>
      <c r="E1061" s="3" t="inlineStr">
        <is>
          <t>전</t>
        </is>
      </c>
      <c r="F1061" s="3" t="inlineStr">
        <is>
          <t>매매</t>
        </is>
      </c>
      <c r="G1061" s="4" t="n">
        <v>73000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토지</t>
        </is>
      </c>
      <c r="E1062" s="3" t="inlineStr">
        <is>
          <t>답</t>
        </is>
      </c>
      <c r="F1062" s="3" t="inlineStr">
        <is>
          <t>매매</t>
        </is>
      </c>
      <c r="G1062" s="4" t="n">
        <v>82250</v>
      </c>
      <c r="H1062" s="4" t="n">
        <v>329</v>
      </c>
      <c r="I1062" s="5" t="n">
        <v>250</v>
      </c>
      <c r="J1062" s="5" t="n">
        <v>65.90000000000001</v>
      </c>
      <c r="K1062" s="3" t="inlineStr">
        <is>
          <t>집짓기 좋은 정방형 토지 매매</t>
        </is>
      </c>
      <c r="L1062" s="6">
        <f>HYPERLINK("https://fin.land.naver.com/articles/2647111574",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토지</t>
        </is>
      </c>
      <c r="E1063" s="3" t="inlineStr">
        <is>
          <t>답</t>
        </is>
      </c>
      <c r="F1063" s="3" t="inlineStr">
        <is>
          <t>매매</t>
        </is>
      </c>
      <c r="G1063" s="4" t="n">
        <v>80000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THE행복</t>
        </is>
      </c>
      <c r="P1063" s="4" t="n">
        <v>1</v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토지</t>
        </is>
      </c>
      <c r="E1064" s="3" t="inlineStr">
        <is>
          <t>답</t>
        </is>
      </c>
      <c r="F1064" s="3" t="inlineStr">
        <is>
          <t>매매</t>
        </is>
      </c>
      <c r="G1064" s="4" t="n">
        <v>80000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지성</t>
        </is>
      </c>
      <c r="P1064" s="4" t="n">
        <v>1</v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토지</t>
        </is>
      </c>
      <c r="E1065" s="3" t="inlineStr">
        <is>
          <t>전</t>
        </is>
      </c>
      <c r="F1065" s="3" t="inlineStr">
        <is>
          <t>매매</t>
        </is>
      </c>
      <c r="G1065" s="4" t="n">
        <v>16000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토지</t>
        </is>
      </c>
      <c r="E1066" s="3" t="inlineStr">
        <is>
          <t>전</t>
        </is>
      </c>
      <c r="F1066" s="3" t="inlineStr">
        <is>
          <t>매매</t>
        </is>
      </c>
      <c r="G1066" s="4" t="n">
        <v>170000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토지</t>
        </is>
      </c>
      <c r="E1067" s="3" t="inlineStr">
        <is>
          <t>전</t>
        </is>
      </c>
      <c r="F1067" s="3" t="inlineStr">
        <is>
          <t>매매</t>
        </is>
      </c>
      <c r="G1067" s="4" t="n">
        <v>25000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토지</t>
        </is>
      </c>
      <c r="E1068" s="3" t="inlineStr">
        <is>
          <t>전</t>
        </is>
      </c>
      <c r="F1068" s="3" t="inlineStr">
        <is>
          <t>매매</t>
        </is>
      </c>
      <c r="G1068" s="4" t="n">
        <v>111700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토지</t>
        </is>
      </c>
      <c r="E1069" s="3" t="inlineStr">
        <is>
          <t>대</t>
        </is>
      </c>
      <c r="F1069" s="3" t="inlineStr">
        <is>
          <t>매매</t>
        </is>
      </c>
      <c r="G1069" s="4" t="n">
        <v>112000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토지</t>
        </is>
      </c>
      <c r="E1070" s="3" t="inlineStr">
        <is>
          <t>대</t>
        </is>
      </c>
      <c r="F1070" s="3" t="inlineStr">
        <is>
          <t>매매</t>
        </is>
      </c>
      <c r="G1070" s="4" t="n">
        <v>112000</v>
      </c>
      <c r="H1070" s="4" t="n">
        <v>364</v>
      </c>
      <c r="I1070" s="5" t="n">
        <v>307.7</v>
      </c>
      <c r="J1070" s="5" t="n">
        <v>172</v>
      </c>
      <c r="K1070" s="3" t="inlineStr">
        <is>
          <t>3필지 건물 포함 매매, 총 384.8p</t>
        </is>
      </c>
      <c r="L1070" s="6">
        <f>HYPERLINK("https://fin.land.naver.com/articles/2643326929",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세종무지개</t>
        </is>
      </c>
      <c r="P1070" s="4" t="n">
        <v>1</v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토지</t>
        </is>
      </c>
      <c r="E1071" s="3" t="inlineStr">
        <is>
          <t>대</t>
        </is>
      </c>
      <c r="F1071" s="3" t="inlineStr">
        <is>
          <t>매매</t>
        </is>
      </c>
      <c r="G1071" s="4" t="n">
        <v>112000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길음(02-983-0110)</t>
        </is>
      </c>
      <c r="P1071" s="4" t="n">
        <v>1</v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토지</t>
        </is>
      </c>
      <c r="E1072" s="3" t="inlineStr">
        <is>
          <t>대</t>
        </is>
      </c>
      <c r="F1072" s="3" t="inlineStr">
        <is>
          <t>매매</t>
        </is>
      </c>
      <c r="G1072" s="4" t="n">
        <v>112000</v>
      </c>
      <c r="H1072" s="4" t="n">
        <v>364</v>
      </c>
      <c r="I1072" s="5" t="n">
        <v>307.7</v>
      </c>
      <c r="J1072" s="5" t="n">
        <v>55.4</v>
      </c>
      <c r="K1072" s="3" t="inlineStr">
        <is>
          <t>성제네거리 코너, 기존 음식점 갖춘 계획관리 토지건물 일괄매매</t>
        </is>
      </c>
      <c r="L1072" s="6">
        <f>HYPERLINK("https://fin.land.naver.com/articles/2643348995",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세종소담황금</t>
        </is>
      </c>
      <c r="P1072" s="4" t="n">
        <v>1</v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토지</t>
        </is>
      </c>
      <c r="E1073" s="3" t="inlineStr">
        <is>
          <t>대</t>
        </is>
      </c>
      <c r="F1073" s="3" t="inlineStr">
        <is>
          <t>매매</t>
        </is>
      </c>
      <c r="G1073" s="4" t="n">
        <v>112000</v>
      </c>
      <c r="H1073" s="4" t="n">
        <v>364</v>
      </c>
      <c r="I1073" s="5" t="n">
        <v>307.7</v>
      </c>
      <c r="J1073" s="5" t="n">
        <v>55.4</v>
      </c>
      <c r="K1073" s="3" t="inlineStr">
        <is>
          <t>성제4거리 코너요지,고복저수지 진입도로 인근 상가,전,답, 3필지일괄매매</t>
        </is>
      </c>
      <c r="L1073" s="6">
        <f>HYPERLINK("https://fin.land.naver.com/articles/2643558132",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빛나</t>
        </is>
      </c>
      <c r="P1073" s="4" t="n">
        <v>1</v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토지</t>
        </is>
      </c>
      <c r="E1074" s="3" t="inlineStr">
        <is>
          <t>과수원</t>
        </is>
      </c>
      <c r="F1074" s="3" t="inlineStr">
        <is>
          <t>매매</t>
        </is>
      </c>
      <c r="G1074" s="4" t="n">
        <v>95000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토지</t>
        </is>
      </c>
      <c r="E1075" s="3" t="inlineStr">
        <is>
          <t>답</t>
        </is>
      </c>
      <c r="F1075" s="3" t="inlineStr">
        <is>
          <t>매매</t>
        </is>
      </c>
      <c r="G1075" s="4" t="n">
        <v>310000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토지</t>
        </is>
      </c>
      <c r="E1076" s="3" t="inlineStr">
        <is>
          <t>임야</t>
        </is>
      </c>
      <c r="F1076" s="3" t="inlineStr">
        <is>
          <t>매매</t>
        </is>
      </c>
      <c r="G1076" s="4" t="n">
        <v>215000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토지</t>
        </is>
      </c>
      <c r="E1077" s="3" t="inlineStr">
        <is>
          <t>임야</t>
        </is>
      </c>
      <c r="F1077" s="3" t="inlineStr">
        <is>
          <t>매매</t>
        </is>
      </c>
      <c r="G1077" s="4" t="n">
        <v>215000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토지</t>
        </is>
      </c>
      <c r="E1078" s="3" t="inlineStr">
        <is>
          <t>대</t>
        </is>
      </c>
      <c r="F1078" s="3" t="inlineStr">
        <is>
          <t>매매</t>
        </is>
      </c>
      <c r="G1078" s="4" t="n">
        <v>35000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토지</t>
        </is>
      </c>
      <c r="E1079" s="3" t="inlineStr">
        <is>
          <t>답</t>
        </is>
      </c>
      <c r="F1079" s="3" t="inlineStr">
        <is>
          <t>매매</t>
        </is>
      </c>
      <c r="G1079" s="4" t="n">
        <v>120000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토지</t>
        </is>
      </c>
      <c r="E1080" s="3" t="inlineStr">
        <is>
          <t>전</t>
        </is>
      </c>
      <c r="F1080" s="3" t="inlineStr">
        <is>
          <t>매매</t>
        </is>
      </c>
      <c r="G1080" s="4" t="n">
        <v>163000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토지</t>
        </is>
      </c>
      <c r="E1081" s="3" t="inlineStr">
        <is>
          <t>대</t>
        </is>
      </c>
      <c r="F1081" s="3" t="inlineStr">
        <is>
          <t>매매</t>
        </is>
      </c>
      <c r="G1081" s="4" t="n">
        <v>63000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토지</t>
        </is>
      </c>
      <c r="E1082" s="3" t="inlineStr">
        <is>
          <t>답</t>
        </is>
      </c>
      <c r="F1082" s="3" t="inlineStr">
        <is>
          <t>매매</t>
        </is>
      </c>
      <c r="G1082" s="4" t="n">
        <v>45800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토지</t>
        </is>
      </c>
      <c r="E1083" s="3" t="inlineStr">
        <is>
          <t>답</t>
        </is>
      </c>
      <c r="F1083" s="3" t="inlineStr">
        <is>
          <t>매매</t>
        </is>
      </c>
      <c r="G1083" s="4" t="n">
        <v>600000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토지</t>
        </is>
      </c>
      <c r="E1084" s="3" t="inlineStr">
        <is>
          <t>답</t>
        </is>
      </c>
      <c r="F1084" s="3" t="inlineStr">
        <is>
          <t>매매</t>
        </is>
      </c>
      <c r="G1084" s="4" t="n">
        <v>21000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토지</t>
        </is>
      </c>
      <c r="E1085" s="3" t="inlineStr">
        <is>
          <t>답</t>
        </is>
      </c>
      <c r="F1085" s="3" t="inlineStr">
        <is>
          <t>매매</t>
        </is>
      </c>
      <c r="G1085" s="4" t="n">
        <v>22500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토지</t>
        </is>
      </c>
      <c r="E1086" s="3" t="inlineStr">
        <is>
          <t>대</t>
        </is>
      </c>
      <c r="F1086" s="3" t="inlineStr">
        <is>
          <t>매매</t>
        </is>
      </c>
      <c r="G1086" s="4" t="n">
        <v>30000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토지</t>
        </is>
      </c>
      <c r="E1087" s="3" t="inlineStr">
        <is>
          <t>대</t>
        </is>
      </c>
      <c r="F1087" s="3" t="inlineStr">
        <is>
          <t>매매</t>
        </is>
      </c>
      <c r="G1087" s="4" t="n">
        <v>29700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HYPERLINK("https://fin.land.naver.com/articles/2642864515",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토지</t>
        </is>
      </c>
      <c r="E1088" s="3" t="inlineStr">
        <is>
          <t>대</t>
        </is>
      </c>
      <c r="F1088" s="3" t="inlineStr">
        <is>
          <t>매매</t>
        </is>
      </c>
      <c r="G1088" s="4" t="n">
        <v>57000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대한민국</t>
        </is>
      </c>
      <c r="P1088" s="4" t="n">
        <v>2</v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토지</t>
        </is>
      </c>
      <c r="E1089" s="3" t="inlineStr">
        <is>
          <t>대</t>
        </is>
      </c>
      <c r="F1089" s="3" t="inlineStr">
        <is>
          <t>매매</t>
        </is>
      </c>
      <c r="G1089" s="4" t="n">
        <v>57250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로데오상가</t>
        </is>
      </c>
      <c r="P1089" s="4" t="n">
        <v>1</v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토지</t>
        </is>
      </c>
      <c r="E1090" s="3" t="inlineStr">
        <is>
          <t>임야</t>
        </is>
      </c>
      <c r="F1090" s="3" t="inlineStr">
        <is>
          <t>매매</t>
        </is>
      </c>
      <c r="G1090" s="4" t="n">
        <v>26000</v>
      </c>
      <c r="H1090" s="4" t="n">
        <v>164</v>
      </c>
      <c r="I1090" s="5" t="n">
        <v>158.5</v>
      </c>
      <c r="J1090" s="5" t="n">
        <v>66.59999999999999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토지</t>
        </is>
      </c>
      <c r="E1091" s="3" t="inlineStr">
        <is>
          <t>대</t>
        </is>
      </c>
      <c r="F1091" s="3" t="inlineStr">
        <is>
          <t>매매</t>
        </is>
      </c>
      <c r="G1091" s="4" t="n">
        <v>24000</v>
      </c>
      <c r="H1091" s="4" t="n">
        <v>164</v>
      </c>
      <c r="I1091" s="5" t="n">
        <v>146.3</v>
      </c>
      <c r="J1091" s="5" t="n">
        <v>66.59999999999999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토지</t>
        </is>
      </c>
      <c r="E1092" s="3" t="inlineStr">
        <is>
          <t>임야</t>
        </is>
      </c>
      <c r="F1092" s="3" t="inlineStr">
        <is>
          <t>매매</t>
        </is>
      </c>
      <c r="G1092" s="4" t="n">
        <v>27016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토지</t>
        </is>
      </c>
      <c r="E1093" s="3" t="inlineStr">
        <is>
          <t>임야</t>
        </is>
      </c>
      <c r="F1093" s="3" t="inlineStr">
        <is>
          <t>매매</t>
        </is>
      </c>
      <c r="G1093" s="4" t="n">
        <v>24000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토지</t>
        </is>
      </c>
      <c r="E1094" s="3" t="inlineStr">
        <is>
          <t>임야</t>
        </is>
      </c>
      <c r="F1094" s="3" t="inlineStr">
        <is>
          <t>매매</t>
        </is>
      </c>
      <c r="G1094" s="4" t="n">
        <v>34700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토지</t>
        </is>
      </c>
      <c r="E1095" s="3" t="inlineStr">
        <is>
          <t>전</t>
        </is>
      </c>
      <c r="F1095" s="3" t="inlineStr">
        <is>
          <t>매매</t>
        </is>
      </c>
      <c r="G1095" s="4" t="n">
        <v>20000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토지</t>
        </is>
      </c>
      <c r="E1096" s="3" t="inlineStr">
        <is>
          <t>답</t>
        </is>
      </c>
      <c r="F1096" s="3" t="inlineStr">
        <is>
          <t>매매</t>
        </is>
      </c>
      <c r="G1096" s="4" t="n">
        <v>31000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토지</t>
        </is>
      </c>
      <c r="E1097" s="3" t="inlineStr">
        <is>
          <t>답</t>
        </is>
      </c>
      <c r="F1097" s="3" t="inlineStr">
        <is>
          <t>매매</t>
        </is>
      </c>
      <c r="G1097" s="4" t="n">
        <v>63000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토지</t>
        </is>
      </c>
      <c r="E1098" s="3" t="inlineStr">
        <is>
          <t>답</t>
        </is>
      </c>
      <c r="F1098" s="3" t="inlineStr">
        <is>
          <t>매매</t>
        </is>
      </c>
      <c r="G1098" s="4" t="n">
        <v>39800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토지</t>
        </is>
      </c>
      <c r="E1099" s="3" t="inlineStr">
        <is>
          <t>대</t>
        </is>
      </c>
      <c r="F1099" s="3" t="inlineStr">
        <is>
          <t>매매</t>
        </is>
      </c>
      <c r="G1099" s="4" t="n">
        <v>427000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토지</t>
        </is>
      </c>
      <c r="E1100" s="3" t="inlineStr">
        <is>
          <t>대</t>
        </is>
      </c>
      <c r="F1100" s="3" t="inlineStr">
        <is>
          <t>매매</t>
        </is>
      </c>
      <c r="G1100" s="4" t="n">
        <v>41800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토지</t>
        </is>
      </c>
      <c r="E1101" s="3" t="inlineStr">
        <is>
          <t>답</t>
        </is>
      </c>
      <c r="F1101" s="3" t="inlineStr">
        <is>
          <t>매매</t>
        </is>
      </c>
      <c r="G1101" s="4" t="n">
        <v>60000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nan</t>
        </is>
      </c>
      <c r="L1101" s="6">
        <f>HYPERLINK("https://fin.land.naver.com/articles/2643121745",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세종몽땅</t>
        </is>
      </c>
      <c r="P1101" s="4" t="n">
        <v>1</v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토지</t>
        </is>
      </c>
      <c r="E1102" s="3" t="inlineStr">
        <is>
          <t>답</t>
        </is>
      </c>
      <c r="F1102" s="3" t="inlineStr">
        <is>
          <t>매매</t>
        </is>
      </c>
      <c r="G1102" s="4" t="n">
        <v>60000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투자 위치 좋은 신대리 토지 추천</t>
        </is>
      </c>
      <c r="L1102" s="6">
        <f>HYPERLINK("https://fin.land.naver.com/articles/2645963615",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지성</t>
        </is>
      </c>
      <c r="P1102" s="4" t="n">
        <v>1</v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토지</t>
        </is>
      </c>
      <c r="E1103" s="3" t="inlineStr">
        <is>
          <t>대</t>
        </is>
      </c>
      <c r="F1103" s="3" t="inlineStr">
        <is>
          <t>매매</t>
        </is>
      </c>
      <c r="G1103" s="4" t="n">
        <v>60350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토지</t>
        </is>
      </c>
      <c r="E1104" s="3" t="inlineStr">
        <is>
          <t>답</t>
        </is>
      </c>
      <c r="F1104" s="3" t="inlineStr">
        <is>
          <t>매매</t>
        </is>
      </c>
      <c r="G1104" s="4" t="n">
        <v>43700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토지</t>
        </is>
      </c>
      <c r="E1105" s="3" t="inlineStr">
        <is>
          <t>답</t>
        </is>
      </c>
      <c r="F1105" s="3" t="inlineStr">
        <is>
          <t>매매</t>
        </is>
      </c>
      <c r="G1105" s="4" t="n">
        <v>120000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토지</t>
        </is>
      </c>
      <c r="E1106" s="3" t="inlineStr">
        <is>
          <t>답</t>
        </is>
      </c>
      <c r="F1106" s="3" t="inlineStr">
        <is>
          <t>매매</t>
        </is>
      </c>
      <c r="G1106" s="4" t="n">
        <v>83000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토지</t>
        </is>
      </c>
      <c r="E1107" s="3" t="inlineStr">
        <is>
          <t>전</t>
        </is>
      </c>
      <c r="F1107" s="3" t="inlineStr">
        <is>
          <t>매매</t>
        </is>
      </c>
      <c r="G1107" s="4" t="n">
        <v>54200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토지</t>
        </is>
      </c>
      <c r="E1108" s="3" t="inlineStr">
        <is>
          <t>임야</t>
        </is>
      </c>
      <c r="F1108" s="3" t="inlineStr">
        <is>
          <t>매매</t>
        </is>
      </c>
      <c r="G1108" s="4" t="n">
        <v>75000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토지</t>
        </is>
      </c>
      <c r="E1109" s="3" t="inlineStr">
        <is>
          <t>임야</t>
        </is>
      </c>
      <c r="F1109" s="3" t="inlineStr">
        <is>
          <t>매매</t>
        </is>
      </c>
      <c r="G1109" s="4" t="n">
        <v>185400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토지</t>
        </is>
      </c>
      <c r="E1110" s="3" t="inlineStr">
        <is>
          <t>임야</t>
        </is>
      </c>
      <c r="F1110" s="3" t="inlineStr">
        <is>
          <t>매매</t>
        </is>
      </c>
      <c r="G1110" s="4" t="n">
        <v>67000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토지</t>
        </is>
      </c>
      <c r="E1111" s="3" t="inlineStr">
        <is>
          <t>과수원</t>
        </is>
      </c>
      <c r="F1111" s="3" t="inlineStr">
        <is>
          <t>매매</t>
        </is>
      </c>
      <c r="G1111" s="4" t="n">
        <v>16000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토지</t>
        </is>
      </c>
      <c r="E1112" s="3" t="inlineStr">
        <is>
          <t>과수원</t>
        </is>
      </c>
      <c r="F1112" s="3" t="inlineStr">
        <is>
          <t>매매</t>
        </is>
      </c>
      <c r="G1112" s="4" t="n">
        <v>16000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토지</t>
        </is>
      </c>
      <c r="E1113" s="3" t="inlineStr">
        <is>
          <t>과수원</t>
        </is>
      </c>
      <c r="F1113" s="3" t="inlineStr">
        <is>
          <t>매매</t>
        </is>
      </c>
      <c r="G1113" s="4" t="n">
        <v>18000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토지</t>
        </is>
      </c>
      <c r="E1114" s="3" t="inlineStr">
        <is>
          <t>과수원</t>
        </is>
      </c>
      <c r="F1114" s="3" t="inlineStr">
        <is>
          <t>매매</t>
        </is>
      </c>
      <c r="G1114" s="4" t="n">
        <v>20000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토지</t>
        </is>
      </c>
      <c r="E1115" s="3" t="inlineStr">
        <is>
          <t>과수원</t>
        </is>
      </c>
      <c r="F1115" s="3" t="inlineStr">
        <is>
          <t>매매</t>
        </is>
      </c>
      <c r="G1115" s="4" t="n">
        <v>56000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토지</t>
        </is>
      </c>
      <c r="E1116" s="3" t="inlineStr">
        <is>
          <t>과수원</t>
        </is>
      </c>
      <c r="F1116" s="3" t="inlineStr">
        <is>
          <t>매매</t>
        </is>
      </c>
      <c r="G1116" s="4" t="n">
        <v>29000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토지</t>
        </is>
      </c>
      <c r="E1117" s="3" t="inlineStr">
        <is>
          <t>과수원</t>
        </is>
      </c>
      <c r="F1117" s="3" t="inlineStr">
        <is>
          <t>매매</t>
        </is>
      </c>
      <c r="G1117" s="4" t="n">
        <v>17800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토지</t>
        </is>
      </c>
      <c r="E1118" s="3" t="inlineStr">
        <is>
          <t>과수원</t>
        </is>
      </c>
      <c r="F1118" s="3" t="inlineStr">
        <is>
          <t>매매</t>
        </is>
      </c>
      <c r="G1118" s="4" t="n">
        <v>49500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토지</t>
        </is>
      </c>
      <c r="E1119" s="3" t="inlineStr">
        <is>
          <t>대</t>
        </is>
      </c>
      <c r="F1119" s="3" t="inlineStr">
        <is>
          <t>매매</t>
        </is>
      </c>
      <c r="G1119" s="4" t="n">
        <v>92000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토지</t>
        </is>
      </c>
      <c r="E1120" s="3" t="inlineStr">
        <is>
          <t>과수원</t>
        </is>
      </c>
      <c r="F1120" s="3" t="inlineStr">
        <is>
          <t>매매</t>
        </is>
      </c>
      <c r="G1120" s="4" t="n">
        <v>110000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토지</t>
        </is>
      </c>
      <c r="E1121" s="3" t="inlineStr">
        <is>
          <t>과수원</t>
        </is>
      </c>
      <c r="F1121" s="3" t="inlineStr">
        <is>
          <t>매매</t>
        </is>
      </c>
      <c r="G1121" s="4" t="n">
        <v>96300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토지</t>
        </is>
      </c>
      <c r="E1122" s="3" t="inlineStr">
        <is>
          <t>과수원</t>
        </is>
      </c>
      <c r="F1122" s="3" t="inlineStr">
        <is>
          <t>매매</t>
        </is>
      </c>
      <c r="G1122" s="4" t="n">
        <v>39600</v>
      </c>
      <c r="H1122" s="4" t="n">
        <v>330</v>
      </c>
      <c r="I1122" s="5" t="n">
        <v>120</v>
      </c>
      <c r="J1122" s="5" t="n">
        <v>37.7</v>
      </c>
      <c r="K1122" s="3" t="inlineStr">
        <is>
          <t>도로접함 2필지 일괄매매 현재 과수원 미래가치ok</t>
        </is>
      </c>
      <c r="L1122" s="6">
        <f>HYPERLINK("https://fin.land.naver.com/articles/2643940125",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신불당</t>
        </is>
      </c>
      <c r="P1122" s="4" t="n">
        <v>1</v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토지</t>
        </is>
      </c>
      <c r="E1123" s="3" t="inlineStr">
        <is>
          <t>과수원</t>
        </is>
      </c>
      <c r="F1123" s="3" t="inlineStr">
        <is>
          <t>매매</t>
        </is>
      </c>
      <c r="G1123" s="4" t="n">
        <v>130970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토지</t>
        </is>
      </c>
      <c r="E1124" s="3" t="inlineStr">
        <is>
          <t>과수원</t>
        </is>
      </c>
      <c r="F1124" s="3" t="inlineStr">
        <is>
          <t>매매</t>
        </is>
      </c>
      <c r="G1124" s="4" t="n">
        <v>160000</v>
      </c>
      <c r="H1124" s="4" t="n">
        <v>1068</v>
      </c>
      <c r="I1124" s="5" t="n">
        <v>149.8</v>
      </c>
      <c r="J1124" s="5" t="n">
        <v>37.7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토지</t>
        </is>
      </c>
      <c r="E1125" s="3" t="inlineStr">
        <is>
          <t>답</t>
        </is>
      </c>
      <c r="F1125" s="3" t="inlineStr">
        <is>
          <t>매매</t>
        </is>
      </c>
      <c r="G1125" s="4" t="n">
        <v>255000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토지</t>
        </is>
      </c>
      <c r="E1126" s="3" t="inlineStr">
        <is>
          <t>과수원</t>
        </is>
      </c>
      <c r="F1126" s="3" t="inlineStr">
        <is>
          <t>매매</t>
        </is>
      </c>
      <c r="G1126" s="4" t="n">
        <v>72000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토지</t>
        </is>
      </c>
      <c r="E1127" s="3" t="inlineStr">
        <is>
          <t>전</t>
        </is>
      </c>
      <c r="F1127" s="3" t="inlineStr">
        <is>
          <t>매매</t>
        </is>
      </c>
      <c r="G1127" s="4" t="n">
        <v>39300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토지</t>
        </is>
      </c>
      <c r="E1128" s="3" t="inlineStr">
        <is>
          <t>전</t>
        </is>
      </c>
      <c r="F1128" s="3" t="inlineStr">
        <is>
          <t>매매</t>
        </is>
      </c>
      <c r="G1128" s="4" t="n">
        <v>38500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토지</t>
        </is>
      </c>
      <c r="E1129" s="3" t="inlineStr">
        <is>
          <t>공장용지</t>
        </is>
      </c>
      <c r="F1129" s="3" t="inlineStr">
        <is>
          <t>매매</t>
        </is>
      </c>
      <c r="G1129" s="4" t="n">
        <v>112000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토지</t>
        </is>
      </c>
      <c r="E1130" s="3" t="inlineStr">
        <is>
          <t>과수원</t>
        </is>
      </c>
      <c r="F1130" s="3" t="inlineStr">
        <is>
          <t>매매</t>
        </is>
      </c>
      <c r="G1130" s="4" t="n">
        <v>36500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토지</t>
        </is>
      </c>
      <c r="E1131" s="3" t="inlineStr">
        <is>
          <t>과수원</t>
        </is>
      </c>
      <c r="F1131" s="3" t="inlineStr">
        <is>
          <t>매매</t>
        </is>
      </c>
      <c r="G1131" s="4" t="n">
        <v>70200</v>
      </c>
      <c r="H1131" s="4" t="n">
        <v>708</v>
      </c>
      <c r="I1131" s="5" t="n">
        <v>99.2</v>
      </c>
      <c r="J1131" s="5" t="n">
        <v>29.4</v>
      </c>
      <c r="K1131" s="3" t="inlineStr">
        <is>
          <t>연서면 쌍류리 2차선변 과수원 매매</t>
        </is>
      </c>
      <c r="L1131" s="6">
        <f>HYPERLINK("https://fin.land.naver.com/articles/2644208940",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길운</t>
        </is>
      </c>
      <c r="P1131" s="4" t="n">
        <v>1</v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토지</t>
        </is>
      </c>
      <c r="E1132" s="3" t="inlineStr">
        <is>
          <t>과수원</t>
        </is>
      </c>
      <c r="F1132" s="3" t="inlineStr">
        <is>
          <t>매매</t>
        </is>
      </c>
      <c r="G1132" s="4" t="n">
        <v>36500</v>
      </c>
      <c r="H1132" s="4" t="n">
        <v>404</v>
      </c>
      <c r="I1132" s="5" t="n">
        <v>90.3</v>
      </c>
      <c r="J1132" s="5" t="n">
        <v>29.4</v>
      </c>
      <c r="K1132" s="3" t="inlineStr">
        <is>
          <t>하천, 도로접, 포도농원</t>
        </is>
      </c>
      <c r="L1132" s="6">
        <f>HYPERLINK("https://fin.land.naver.com/articles/2642980035",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삼보</t>
        </is>
      </c>
      <c r="P1132" s="4" t="n">
        <v>1</v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토지</t>
        </is>
      </c>
      <c r="E1133" s="3" t="inlineStr">
        <is>
          <t>과수원</t>
        </is>
      </c>
      <c r="F1133" s="3" t="inlineStr">
        <is>
          <t>매매</t>
        </is>
      </c>
      <c r="G1133" s="4" t="n">
        <v>65000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토지</t>
        </is>
      </c>
      <c r="E1134" s="3" t="inlineStr">
        <is>
          <t>과수원</t>
        </is>
      </c>
      <c r="F1134" s="3" t="inlineStr">
        <is>
          <t>매매</t>
        </is>
      </c>
      <c r="G1134" s="4" t="n">
        <v>196000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토지</t>
        </is>
      </c>
      <c r="E1135" s="3" t="inlineStr">
        <is>
          <t>전</t>
        </is>
      </c>
      <c r="F1135" s="3" t="inlineStr">
        <is>
          <t>매매</t>
        </is>
      </c>
      <c r="G1135" s="4" t="n">
        <v>224640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토지</t>
        </is>
      </c>
      <c r="E1136" s="3" t="inlineStr">
        <is>
          <t>전</t>
        </is>
      </c>
      <c r="F1136" s="3" t="inlineStr">
        <is>
          <t>매매</t>
        </is>
      </c>
      <c r="G1136" s="4" t="n">
        <v>55680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토지</t>
        </is>
      </c>
      <c r="E1137" s="3" t="inlineStr">
        <is>
          <t>전</t>
        </is>
      </c>
      <c r="F1137" s="3" t="inlineStr">
        <is>
          <t>매매</t>
        </is>
      </c>
      <c r="G1137" s="4" t="n">
        <v>7000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토지</t>
        </is>
      </c>
      <c r="E1138" s="3" t="inlineStr">
        <is>
          <t>임야</t>
        </is>
      </c>
      <c r="F1138" s="3" t="inlineStr">
        <is>
          <t>매매</t>
        </is>
      </c>
      <c r="G1138" s="4" t="n">
        <v>13000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토지</t>
        </is>
      </c>
      <c r="E1139" s="3" t="inlineStr">
        <is>
          <t>과수원</t>
        </is>
      </c>
      <c r="F1139" s="3" t="inlineStr">
        <is>
          <t>매매</t>
        </is>
      </c>
      <c r="G1139" s="4" t="n">
        <v>101500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토지</t>
        </is>
      </c>
      <c r="E1140" s="3" t="inlineStr">
        <is>
          <t>전</t>
        </is>
      </c>
      <c r="F1140" s="3" t="inlineStr">
        <is>
          <t>매매</t>
        </is>
      </c>
      <c r="G1140" s="4" t="n">
        <v>57000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토지</t>
        </is>
      </c>
      <c r="E1141" s="3" t="inlineStr">
        <is>
          <t>전</t>
        </is>
      </c>
      <c r="F1141" s="3" t="inlineStr">
        <is>
          <t>매매</t>
        </is>
      </c>
      <c r="G1141" s="4" t="n">
        <v>27000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토지</t>
        </is>
      </c>
      <c r="E1142" s="3" t="inlineStr">
        <is>
          <t>전</t>
        </is>
      </c>
      <c r="F1142" s="3" t="inlineStr">
        <is>
          <t>매매</t>
        </is>
      </c>
      <c r="G1142" s="4" t="n">
        <v>31000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토지</t>
        </is>
      </c>
      <c r="E1143" s="3" t="inlineStr">
        <is>
          <t>전</t>
        </is>
      </c>
      <c r="F1143" s="3" t="inlineStr">
        <is>
          <t>매매</t>
        </is>
      </c>
      <c r="G1143" s="4" t="n">
        <v>15760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토지</t>
        </is>
      </c>
      <c r="E1144" s="3" t="inlineStr">
        <is>
          <t>과수원</t>
        </is>
      </c>
      <c r="F1144" s="3" t="inlineStr">
        <is>
          <t>매매</t>
        </is>
      </c>
      <c r="G1144" s="4" t="n">
        <v>19160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토지</t>
        </is>
      </c>
      <c r="E1145" s="3" t="inlineStr">
        <is>
          <t>과수원</t>
        </is>
      </c>
      <c r="F1145" s="3" t="inlineStr">
        <is>
          <t>매매</t>
        </is>
      </c>
      <c r="G1145" s="4" t="n">
        <v>45000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토지</t>
        </is>
      </c>
      <c r="E1146" s="3" t="inlineStr">
        <is>
          <t>임야</t>
        </is>
      </c>
      <c r="F1146" s="3" t="inlineStr">
        <is>
          <t>매매</t>
        </is>
      </c>
      <c r="G1146" s="4" t="n">
        <v>78000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토지</t>
        </is>
      </c>
      <c r="E1147" s="3" t="inlineStr">
        <is>
          <t>임야</t>
        </is>
      </c>
      <c r="F1147" s="3" t="inlineStr">
        <is>
          <t>매매</t>
        </is>
      </c>
      <c r="G1147" s="4" t="n">
        <v>46000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토지</t>
        </is>
      </c>
      <c r="E1148" s="3" t="inlineStr">
        <is>
          <t>전</t>
        </is>
      </c>
      <c r="F1148" s="3" t="inlineStr">
        <is>
          <t>매매</t>
        </is>
      </c>
      <c r="G1148" s="4" t="n">
        <v>18000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토지</t>
        </is>
      </c>
      <c r="E1149" s="3" t="inlineStr">
        <is>
          <t>답</t>
        </is>
      </c>
      <c r="F1149" s="3" t="inlineStr">
        <is>
          <t>매매</t>
        </is>
      </c>
      <c r="G1149" s="4" t="n">
        <v>17000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토지</t>
        </is>
      </c>
      <c r="E1150" s="3" t="inlineStr">
        <is>
          <t>대</t>
        </is>
      </c>
      <c r="F1150" s="3" t="inlineStr">
        <is>
          <t>매매</t>
        </is>
      </c>
      <c r="G1150" s="4" t="n">
        <v>26000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토지</t>
        </is>
      </c>
      <c r="E1151" s="3" t="inlineStr">
        <is>
          <t>전</t>
        </is>
      </c>
      <c r="F1151" s="3" t="inlineStr">
        <is>
          <t>매매</t>
        </is>
      </c>
      <c r="G1151" s="4" t="n">
        <v>26560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토지</t>
        </is>
      </c>
      <c r="E1152" s="3" t="inlineStr">
        <is>
          <t>전</t>
        </is>
      </c>
      <c r="F1152" s="3" t="inlineStr">
        <is>
          <t>매매</t>
        </is>
      </c>
      <c r="G1152" s="4" t="n">
        <v>60000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토지</t>
        </is>
      </c>
      <c r="E1153" s="3" t="inlineStr">
        <is>
          <t>대</t>
        </is>
      </c>
      <c r="F1153" s="3" t="inlineStr">
        <is>
          <t>매매</t>
        </is>
      </c>
      <c r="G1153" s="4" t="n">
        <v>90000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토지</t>
        </is>
      </c>
      <c r="E1154" s="3" t="inlineStr">
        <is>
          <t>과수원</t>
        </is>
      </c>
      <c r="F1154" s="3" t="inlineStr">
        <is>
          <t>매매</t>
        </is>
      </c>
      <c r="G1154" s="4" t="n">
        <v>34000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토지</t>
        </is>
      </c>
      <c r="E1155" s="3" t="inlineStr">
        <is>
          <t>전</t>
        </is>
      </c>
      <c r="F1155" s="3" t="inlineStr">
        <is>
          <t>매매</t>
        </is>
      </c>
      <c r="G1155" s="4" t="n">
        <v>27000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토지</t>
        </is>
      </c>
      <c r="E1156" s="3" t="inlineStr">
        <is>
          <t>과수원</t>
        </is>
      </c>
      <c r="F1156" s="3" t="inlineStr">
        <is>
          <t>매매</t>
        </is>
      </c>
      <c r="G1156" s="4" t="n">
        <v>60000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토지</t>
        </is>
      </c>
      <c r="E1157" s="3" t="inlineStr">
        <is>
          <t>답</t>
        </is>
      </c>
      <c r="F1157" s="3" t="inlineStr">
        <is>
          <t>매매</t>
        </is>
      </c>
      <c r="G1157" s="4" t="n">
        <v>67730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토지</t>
        </is>
      </c>
      <c r="E1158" s="3" t="inlineStr">
        <is>
          <t>과수원</t>
        </is>
      </c>
      <c r="F1158" s="3" t="inlineStr">
        <is>
          <t>매매</t>
        </is>
      </c>
      <c r="G1158" s="4" t="n">
        <v>20000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토지</t>
        </is>
      </c>
      <c r="E1159" s="3" t="inlineStr">
        <is>
          <t>임야</t>
        </is>
      </c>
      <c r="F1159" s="3" t="inlineStr">
        <is>
          <t>매매</t>
        </is>
      </c>
      <c r="G1159" s="4" t="n">
        <v>39200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토지</t>
        </is>
      </c>
      <c r="E1160" s="3" t="inlineStr">
        <is>
          <t>전</t>
        </is>
      </c>
      <c r="F1160" s="3" t="inlineStr">
        <is>
          <t>매매</t>
        </is>
      </c>
      <c r="G1160" s="4" t="n">
        <v>105000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토지</t>
        </is>
      </c>
      <c r="E1161" s="3" t="inlineStr">
        <is>
          <t>전</t>
        </is>
      </c>
      <c r="F1161" s="3" t="inlineStr">
        <is>
          <t>매매</t>
        </is>
      </c>
      <c r="G1161" s="4" t="n">
        <v>57000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토지</t>
        </is>
      </c>
      <c r="E1162" s="3" t="inlineStr">
        <is>
          <t>과수원</t>
        </is>
      </c>
      <c r="F1162" s="3" t="inlineStr">
        <is>
          <t>매매</t>
        </is>
      </c>
      <c r="G1162" s="4" t="n">
        <v>92500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토지</t>
        </is>
      </c>
      <c r="E1163" s="3" t="inlineStr">
        <is>
          <t>대</t>
        </is>
      </c>
      <c r="F1163" s="3" t="inlineStr">
        <is>
          <t>매매</t>
        </is>
      </c>
      <c r="G1163" s="4" t="n">
        <v>36000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토지</t>
        </is>
      </c>
      <c r="E1164" s="3" t="inlineStr">
        <is>
          <t>전</t>
        </is>
      </c>
      <c r="F1164" s="3" t="inlineStr">
        <is>
          <t>매매</t>
        </is>
      </c>
      <c r="G1164" s="4" t="n">
        <v>113000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토지</t>
        </is>
      </c>
      <c r="E1165" s="3" t="inlineStr">
        <is>
          <t>답</t>
        </is>
      </c>
      <c r="F1165" s="3" t="inlineStr">
        <is>
          <t>매매</t>
        </is>
      </c>
      <c r="G1165" s="4" t="n">
        <v>83000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토지</t>
        </is>
      </c>
      <c r="E1166" s="3" t="inlineStr">
        <is>
          <t>답</t>
        </is>
      </c>
      <c r="F1166" s="3" t="inlineStr">
        <is>
          <t>매매</t>
        </is>
      </c>
      <c r="G1166" s="4" t="n">
        <v>136000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토지</t>
        </is>
      </c>
      <c r="E1167" s="3" t="inlineStr">
        <is>
          <t>답</t>
        </is>
      </c>
      <c r="F1167" s="3" t="inlineStr">
        <is>
          <t>매매</t>
        </is>
      </c>
      <c r="G1167" s="4" t="n">
        <v>120000</v>
      </c>
      <c r="H1167" s="4" t="n">
        <v>1091</v>
      </c>
      <c r="I1167" s="5" t="n">
        <v>110</v>
      </c>
      <c r="J1167" s="5" t="n">
        <v>30.3</v>
      </c>
      <c r="K1167" s="3" t="inlineStr">
        <is>
          <t>도로 접한 코너 답 토지 접근성 우수</t>
        </is>
      </c>
      <c r="L1167" s="6">
        <f>HYPERLINK("https://fin.land.naver.com/articles/2648379661",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몬스터</t>
        </is>
      </c>
      <c r="P1167" s="4" t="n">
        <v>1</v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토지</t>
        </is>
      </c>
      <c r="E1168" s="3" t="inlineStr">
        <is>
          <t>답</t>
        </is>
      </c>
      <c r="F1168" s="3" t="inlineStr">
        <is>
          <t>매매</t>
        </is>
      </c>
      <c r="G1168" s="4" t="n">
        <v>110000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세종리츠</t>
        </is>
      </c>
      <c r="P1168" s="4" t="n">
        <v>1</v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토지</t>
        </is>
      </c>
      <c r="E1169" s="3" t="inlineStr">
        <is>
          <t>답</t>
        </is>
      </c>
      <c r="F1169" s="3" t="inlineStr">
        <is>
          <t>매매</t>
        </is>
      </c>
      <c r="G1169" s="4" t="n">
        <v>70000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토지</t>
        </is>
      </c>
      <c r="E1170" s="3" t="inlineStr">
        <is>
          <t>답</t>
        </is>
      </c>
      <c r="F1170" s="3" t="inlineStr">
        <is>
          <t>매매</t>
        </is>
      </c>
      <c r="G1170" s="4" t="n">
        <v>70000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토지</t>
        </is>
      </c>
      <c r="E1171" s="3" t="inlineStr">
        <is>
          <t>답</t>
        </is>
      </c>
      <c r="F1171" s="3" t="inlineStr">
        <is>
          <t>매매</t>
        </is>
      </c>
      <c r="G1171" s="4" t="n">
        <v>70000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토지</t>
        </is>
      </c>
      <c r="E1172" s="3" t="inlineStr">
        <is>
          <t>임야</t>
        </is>
      </c>
      <c r="F1172" s="3" t="inlineStr">
        <is>
          <t>매매</t>
        </is>
      </c>
      <c r="G1172" s="4" t="n">
        <v>196000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토지</t>
        </is>
      </c>
      <c r="E1173" s="3" t="inlineStr">
        <is>
          <t>전</t>
        </is>
      </c>
      <c r="F1173" s="3" t="inlineStr">
        <is>
          <t>매매</t>
        </is>
      </c>
      <c r="G1173" s="4" t="n">
        <v>72600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토지</t>
        </is>
      </c>
      <c r="E1174" s="3" t="inlineStr">
        <is>
          <t>전</t>
        </is>
      </c>
      <c r="F1174" s="3" t="inlineStr">
        <is>
          <t>매매</t>
        </is>
      </c>
      <c r="G1174" s="4" t="n">
        <v>150000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토지</t>
        </is>
      </c>
      <c r="E1175" s="3" t="inlineStr">
        <is>
          <t>전</t>
        </is>
      </c>
      <c r="F1175" s="3" t="inlineStr">
        <is>
          <t>매매</t>
        </is>
      </c>
      <c r="G1175" s="4" t="n">
        <v>34400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토지</t>
        </is>
      </c>
      <c r="E1176" s="3" t="inlineStr">
        <is>
          <t>전</t>
        </is>
      </c>
      <c r="F1176" s="3" t="inlineStr">
        <is>
          <t>매매</t>
        </is>
      </c>
      <c r="G1176" s="4" t="n">
        <v>87000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토지</t>
        </is>
      </c>
      <c r="E1177" s="3" t="inlineStr">
        <is>
          <t>과수원</t>
        </is>
      </c>
      <c r="F1177" s="3" t="inlineStr">
        <is>
          <t>매매</t>
        </is>
      </c>
      <c r="G1177" s="4" t="n">
        <v>18000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토지</t>
        </is>
      </c>
      <c r="E1178" s="3" t="inlineStr">
        <is>
          <t>대</t>
        </is>
      </c>
      <c r="F1178" s="3" t="inlineStr">
        <is>
          <t>매매</t>
        </is>
      </c>
      <c r="G1178" s="4" t="n">
        <v>180000</v>
      </c>
      <c r="H1178" s="4" t="n">
        <v>720</v>
      </c>
      <c r="I1178" s="5" t="n">
        <v>250</v>
      </c>
      <c r="J1178" s="5" t="n">
        <v>84.8</v>
      </c>
      <c r="K1178" s="3" t="inlineStr">
        <is>
          <t>마을 맨 윗쪽 넓은 전원주택지. 현재 전 및 일부 축사</t>
        </is>
      </c>
      <c r="L1178" s="6">
        <f>HYPERLINK("https://fin.land.naver.com/articles/2645548376",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세종소담114</t>
        </is>
      </c>
      <c r="P1178" s="4" t="n">
        <v>1</v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토지</t>
        </is>
      </c>
      <c r="E1179" s="3" t="inlineStr">
        <is>
          <t>대</t>
        </is>
      </c>
      <c r="F1179" s="3" t="inlineStr">
        <is>
          <t>매매</t>
        </is>
      </c>
      <c r="G1179" s="4" t="n">
        <v>180000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세종특별시</t>
        </is>
      </c>
      <c r="P1179" s="4" t="n">
        <v>1</v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토지</t>
        </is>
      </c>
      <c r="E1180" s="3" t="inlineStr">
        <is>
          <t>대</t>
        </is>
      </c>
      <c r="F1180" s="3" t="inlineStr">
        <is>
          <t>매매</t>
        </is>
      </c>
      <c r="G1180" s="4" t="n">
        <v>140000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토지</t>
        </is>
      </c>
      <c r="E1181" s="3" t="inlineStr">
        <is>
          <t>전</t>
        </is>
      </c>
      <c r="F1181" s="3" t="inlineStr">
        <is>
          <t>매매</t>
        </is>
      </c>
      <c r="G1181" s="4" t="n">
        <v>240000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토지</t>
        </is>
      </c>
      <c r="E1182" s="3" t="inlineStr">
        <is>
          <t>답</t>
        </is>
      </c>
      <c r="F1182" s="3" t="inlineStr">
        <is>
          <t>매매</t>
        </is>
      </c>
      <c r="G1182" s="4" t="n">
        <v>260000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토지</t>
        </is>
      </c>
      <c r="E1183" s="3" t="inlineStr">
        <is>
          <t>전</t>
        </is>
      </c>
      <c r="F1183" s="3" t="inlineStr">
        <is>
          <t>매매</t>
        </is>
      </c>
      <c r="G1183" s="4" t="n">
        <v>73000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토지</t>
        </is>
      </c>
      <c r="E1184" s="3" t="inlineStr">
        <is>
          <t>과수원</t>
        </is>
      </c>
      <c r="F1184" s="3" t="inlineStr">
        <is>
          <t>매매</t>
        </is>
      </c>
      <c r="G1184" s="4" t="n">
        <v>270000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토지</t>
        </is>
      </c>
      <c r="E1185" s="3" t="inlineStr">
        <is>
          <t>전</t>
        </is>
      </c>
      <c r="F1185" s="3" t="inlineStr">
        <is>
          <t>매매</t>
        </is>
      </c>
      <c r="G1185" s="4" t="n">
        <v>91683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토지</t>
        </is>
      </c>
      <c r="E1186" s="3" t="inlineStr">
        <is>
          <t>답</t>
        </is>
      </c>
      <c r="F1186" s="3" t="inlineStr">
        <is>
          <t>매매</t>
        </is>
      </c>
      <c r="G1186" s="4" t="n">
        <v>109500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토지</t>
        </is>
      </c>
      <c r="E1187" s="3" t="inlineStr">
        <is>
          <t>답</t>
        </is>
      </c>
      <c r="F1187" s="3" t="inlineStr">
        <is>
          <t>매매</t>
        </is>
      </c>
      <c r="G1187" s="4" t="n">
        <v>33000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토지</t>
        </is>
      </c>
      <c r="E1188" s="3" t="inlineStr">
        <is>
          <t>답</t>
        </is>
      </c>
      <c r="F1188" s="3" t="inlineStr">
        <is>
          <t>매매</t>
        </is>
      </c>
      <c r="G1188" s="4" t="n">
        <v>150000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토지</t>
        </is>
      </c>
      <c r="E1189" s="3" t="inlineStr">
        <is>
          <t>대</t>
        </is>
      </c>
      <c r="F1189" s="3" t="inlineStr">
        <is>
          <t>매매</t>
        </is>
      </c>
      <c r="G1189" s="4" t="n">
        <v>230000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토지</t>
        </is>
      </c>
      <c r="E1190" s="3" t="inlineStr">
        <is>
          <t>답</t>
        </is>
      </c>
      <c r="F1190" s="3" t="inlineStr">
        <is>
          <t>매매</t>
        </is>
      </c>
      <c r="G1190" s="4" t="n">
        <v>90000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토지</t>
        </is>
      </c>
      <c r="E1191" s="3" t="inlineStr">
        <is>
          <t>과수원</t>
        </is>
      </c>
      <c r="F1191" s="3" t="inlineStr">
        <is>
          <t>매매</t>
        </is>
      </c>
      <c r="G1191" s="4" t="n">
        <v>250000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토지</t>
        </is>
      </c>
      <c r="E1192" s="3" t="inlineStr">
        <is>
          <t>과수원</t>
        </is>
      </c>
      <c r="F1192" s="3" t="inlineStr">
        <is>
          <t>매매</t>
        </is>
      </c>
      <c r="G1192" s="4" t="n">
        <v>238100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토지</t>
        </is>
      </c>
      <c r="E1193" s="3" t="inlineStr">
        <is>
          <t>답</t>
        </is>
      </c>
      <c r="F1193" s="3" t="inlineStr">
        <is>
          <t>매매</t>
        </is>
      </c>
      <c r="G1193" s="4" t="n">
        <v>943200</v>
      </c>
      <c r="H1193" s="4" t="n">
        <v>4717</v>
      </c>
      <c r="I1193" s="5" t="n">
        <v>200</v>
      </c>
      <c r="J1193" s="5" t="n">
        <v>50.3</v>
      </c>
      <c r="K1193" s="3" t="inlineStr">
        <is>
          <t>새종 국가산업단지  길목, 수혜지역.투자용,상업용,산업용 용도 다양</t>
        </is>
      </c>
      <c r="L1193" s="6">
        <f>HYPERLINK("https://fin.land.naver.com/articles/2644487553",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세종시해냄</t>
        </is>
      </c>
      <c r="P1193" s="4" t="n">
        <v>1</v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토지</t>
        </is>
      </c>
      <c r="E1194" s="3" t="inlineStr">
        <is>
          <t>대</t>
        </is>
      </c>
      <c r="F1194" s="3" t="inlineStr">
        <is>
          <t>매매</t>
        </is>
      </c>
      <c r="G1194" s="4" t="n">
        <v>943200</v>
      </c>
      <c r="H1194" s="4" t="n">
        <v>4717</v>
      </c>
      <c r="I1194" s="5" t="n">
        <v>200</v>
      </c>
      <c r="J1194" s="5" t="n">
        <v>50.3</v>
      </c>
      <c r="K1194" s="3" t="inlineStr">
        <is>
          <t>세종국가산단 인접 토지, 산단 수혜지역</t>
        </is>
      </c>
      <c r="L1194" s="6">
        <f>HYPERLINK("https://fin.land.naver.com/articles/2643462305",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부원</t>
        </is>
      </c>
      <c r="P1194" s="4" t="n">
        <v>1</v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토지</t>
        </is>
      </c>
      <c r="E1195" s="3" t="inlineStr">
        <is>
          <t>대</t>
        </is>
      </c>
      <c r="F1195" s="3" t="inlineStr">
        <is>
          <t>매매</t>
        </is>
      </c>
      <c r="G1195" s="4" t="n">
        <v>201600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토지</t>
        </is>
      </c>
      <c r="E1196" s="3" t="inlineStr">
        <is>
          <t>임야</t>
        </is>
      </c>
      <c r="F1196" s="3" t="inlineStr">
        <is>
          <t>매매</t>
        </is>
      </c>
      <c r="G1196" s="4" t="n">
        <v>192000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토지</t>
        </is>
      </c>
      <c r="E1197" s="3" t="inlineStr">
        <is>
          <t>임야</t>
        </is>
      </c>
      <c r="F1197" s="3" t="inlineStr">
        <is>
          <t>매매</t>
        </is>
      </c>
      <c r="G1197" s="4" t="n">
        <v>140000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토지</t>
        </is>
      </c>
      <c r="E1198" s="3" t="inlineStr">
        <is>
          <t>임야</t>
        </is>
      </c>
      <c r="F1198" s="3" t="inlineStr">
        <is>
          <t>매매</t>
        </is>
      </c>
      <c r="G1198" s="4" t="n">
        <v>19500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토지</t>
        </is>
      </c>
      <c r="E1199" s="3" t="inlineStr">
        <is>
          <t>임야</t>
        </is>
      </c>
      <c r="F1199" s="3" t="inlineStr">
        <is>
          <t>매매</t>
        </is>
      </c>
      <c r="G1199" s="4" t="n">
        <v>5400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토지</t>
        </is>
      </c>
      <c r="E1200" s="3" t="inlineStr">
        <is>
          <t>임야</t>
        </is>
      </c>
      <c r="F1200" s="3" t="inlineStr">
        <is>
          <t>매매</t>
        </is>
      </c>
      <c r="G1200" s="4" t="n">
        <v>60000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토지</t>
        </is>
      </c>
      <c r="E1201" s="3" t="inlineStr">
        <is>
          <t>임야</t>
        </is>
      </c>
      <c r="F1201" s="3" t="inlineStr">
        <is>
          <t>매매</t>
        </is>
      </c>
      <c r="G1201" s="4" t="n">
        <v>178790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토지</t>
        </is>
      </c>
      <c r="E1202" s="3" t="inlineStr">
        <is>
          <t>답</t>
        </is>
      </c>
      <c r="F1202" s="3" t="inlineStr">
        <is>
          <t>매매</t>
        </is>
      </c>
      <c r="G1202" s="4" t="n">
        <v>60000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토지</t>
        </is>
      </c>
      <c r="E1203" s="3" t="inlineStr">
        <is>
          <t>대</t>
        </is>
      </c>
      <c r="F1203" s="3" t="inlineStr">
        <is>
          <t>매매</t>
        </is>
      </c>
      <c r="G1203" s="4" t="n">
        <v>304800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토지</t>
        </is>
      </c>
      <c r="E1204" s="3" t="inlineStr">
        <is>
          <t>대</t>
        </is>
      </c>
      <c r="F1204" s="3" t="inlineStr">
        <is>
          <t>매매</t>
        </is>
      </c>
      <c r="G1204" s="4" t="n">
        <v>58000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토지</t>
        </is>
      </c>
      <c r="E1205" s="3" t="inlineStr">
        <is>
          <t>과수원</t>
        </is>
      </c>
      <c r="F1205" s="3" t="inlineStr">
        <is>
          <t>매매</t>
        </is>
      </c>
      <c r="G1205" s="4" t="n">
        <v>44600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토지</t>
        </is>
      </c>
      <c r="E1206" s="3" t="inlineStr">
        <is>
          <t>과수원</t>
        </is>
      </c>
      <c r="F1206" s="3" t="inlineStr">
        <is>
          <t>매매</t>
        </is>
      </c>
      <c r="G1206" s="4" t="n">
        <v>151000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토지</t>
        </is>
      </c>
      <c r="E1207" s="3" t="inlineStr">
        <is>
          <t>목장용지</t>
        </is>
      </c>
      <c r="F1207" s="3" t="inlineStr">
        <is>
          <t>매매</t>
        </is>
      </c>
      <c r="G1207" s="4" t="n">
        <v>42000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토지</t>
        </is>
      </c>
      <c r="E1208" s="3" t="inlineStr">
        <is>
          <t>과수원</t>
        </is>
      </c>
      <c r="F1208" s="3" t="inlineStr">
        <is>
          <t>매매</t>
        </is>
      </c>
      <c r="G1208" s="4" t="n">
        <v>24000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토지</t>
        </is>
      </c>
      <c r="E1209" s="3" t="inlineStr">
        <is>
          <t>과수원</t>
        </is>
      </c>
      <c r="F1209" s="3" t="inlineStr">
        <is>
          <t>매매</t>
        </is>
      </c>
      <c r="G1209" s="4" t="n">
        <v>55000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토지</t>
        </is>
      </c>
      <c r="E1210" s="3" t="inlineStr">
        <is>
          <t>과수원</t>
        </is>
      </c>
      <c r="F1210" s="3" t="inlineStr">
        <is>
          <t>매매</t>
        </is>
      </c>
      <c r="G1210" s="4" t="n">
        <v>59000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토지</t>
        </is>
      </c>
      <c r="E1211" s="3" t="inlineStr">
        <is>
          <t>잡종지</t>
        </is>
      </c>
      <c r="F1211" s="3" t="inlineStr">
        <is>
          <t>매매</t>
        </is>
      </c>
      <c r="G1211" s="4" t="n">
        <v>323000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토지</t>
        </is>
      </c>
      <c r="E1212" s="3" t="inlineStr">
        <is>
          <t>과수원</t>
        </is>
      </c>
      <c r="F1212" s="3" t="inlineStr">
        <is>
          <t>매매</t>
        </is>
      </c>
      <c r="G1212" s="4" t="n">
        <v>45000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토지</t>
        </is>
      </c>
      <c r="E1213" s="3" t="inlineStr">
        <is>
          <t>과수원</t>
        </is>
      </c>
      <c r="F1213" s="3" t="inlineStr">
        <is>
          <t>매매</t>
        </is>
      </c>
      <c r="G1213" s="4" t="n">
        <v>16300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토지</t>
        </is>
      </c>
      <c r="E1214" s="3" t="inlineStr">
        <is>
          <t>전</t>
        </is>
      </c>
      <c r="F1214" s="3" t="inlineStr">
        <is>
          <t>매매</t>
        </is>
      </c>
      <c r="G1214" s="4" t="n">
        <v>31150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토지</t>
        </is>
      </c>
      <c r="E1215" s="3" t="inlineStr">
        <is>
          <t>전</t>
        </is>
      </c>
      <c r="F1215" s="3" t="inlineStr">
        <is>
          <t>매매</t>
        </is>
      </c>
      <c r="G1215" s="4" t="n">
        <v>41000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토지</t>
        </is>
      </c>
      <c r="E1216" s="3" t="inlineStr">
        <is>
          <t>전</t>
        </is>
      </c>
      <c r="F1216" s="3" t="inlineStr">
        <is>
          <t>매매</t>
        </is>
      </c>
      <c r="G1216" s="4" t="n">
        <v>40000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토지</t>
        </is>
      </c>
      <c r="E1217" s="3" t="inlineStr">
        <is>
          <t>임야</t>
        </is>
      </c>
      <c r="F1217" s="3" t="inlineStr">
        <is>
          <t>매매</t>
        </is>
      </c>
      <c r="G1217" s="4" t="n">
        <v>73000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토지</t>
        </is>
      </c>
      <c r="E1218" s="3" t="inlineStr">
        <is>
          <t>임야</t>
        </is>
      </c>
      <c r="F1218" s="3" t="inlineStr">
        <is>
          <t>매매</t>
        </is>
      </c>
      <c r="G1218" s="4" t="n">
        <v>73000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토지</t>
        </is>
      </c>
      <c r="E1219" s="3" t="inlineStr">
        <is>
          <t>답</t>
        </is>
      </c>
      <c r="F1219" s="3" t="inlineStr">
        <is>
          <t>매매</t>
        </is>
      </c>
      <c r="G1219" s="4" t="n">
        <v>44000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토지</t>
        </is>
      </c>
      <c r="E1220" s="3" t="inlineStr">
        <is>
          <t>과수원</t>
        </is>
      </c>
      <c r="F1220" s="3" t="inlineStr">
        <is>
          <t>매매</t>
        </is>
      </c>
      <c r="G1220" s="4" t="n">
        <v>176000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토지</t>
        </is>
      </c>
      <c r="E1221" s="3" t="inlineStr">
        <is>
          <t>답</t>
        </is>
      </c>
      <c r="F1221" s="3" t="inlineStr">
        <is>
          <t>매매</t>
        </is>
      </c>
      <c r="G1221" s="4" t="n">
        <v>200000</v>
      </c>
      <c r="H1221" s="4" t="n">
        <v>500</v>
      </c>
      <c r="I1221" s="5" t="n">
        <v>400</v>
      </c>
      <c r="J1221" s="5" t="n">
        <v>96.59999999999999</v>
      </c>
      <c r="K1221" s="3" t="inlineStr">
        <is>
          <t>nan</t>
        </is>
      </c>
      <c r="L1221" s="6">
        <f>HYPERLINK("https://fin.land.naver.com/articles/2643577838",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온뜰</t>
        </is>
      </c>
      <c r="P1221" s="4" t="n">
        <v>1</v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토지</t>
        </is>
      </c>
      <c r="E1222" s="3" t="inlineStr">
        <is>
          <t>답</t>
        </is>
      </c>
      <c r="F1222" s="3" t="inlineStr">
        <is>
          <t>매매</t>
        </is>
      </c>
      <c r="G1222" s="4" t="n">
        <v>330000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토지</t>
        </is>
      </c>
      <c r="E1223" s="3" t="inlineStr">
        <is>
          <t>답</t>
        </is>
      </c>
      <c r="F1223" s="3" t="inlineStr">
        <is>
          <t>매매</t>
        </is>
      </c>
      <c r="G1223" s="4" t="n">
        <v>330000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세종대박</t>
        </is>
      </c>
      <c r="P1223" s="4" t="n">
        <v>2</v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토지</t>
        </is>
      </c>
      <c r="E1224" s="3" t="inlineStr">
        <is>
          <t>답</t>
        </is>
      </c>
      <c r="F1224" s="3" t="inlineStr">
        <is>
          <t>매매</t>
        </is>
      </c>
      <c r="G1224" s="4" t="n">
        <v>247000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토지</t>
        </is>
      </c>
      <c r="E1225" s="3" t="inlineStr">
        <is>
          <t>과수원</t>
        </is>
      </c>
      <c r="F1225" s="3" t="inlineStr">
        <is>
          <t>매매</t>
        </is>
      </c>
      <c r="G1225" s="4" t="n">
        <v>180000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토지</t>
        </is>
      </c>
      <c r="E1226" s="3" t="inlineStr">
        <is>
          <t>대</t>
        </is>
      </c>
      <c r="F1226" s="3" t="inlineStr">
        <is>
          <t>매매</t>
        </is>
      </c>
      <c r="G1226" s="4" t="n">
        <v>190000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토지</t>
        </is>
      </c>
      <c r="E1227" s="3" t="inlineStr">
        <is>
          <t>전</t>
        </is>
      </c>
      <c r="F1227" s="3" t="inlineStr">
        <is>
          <t>매매</t>
        </is>
      </c>
      <c r="G1227" s="4" t="n">
        <v>68000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토지</t>
        </is>
      </c>
      <c r="E1228" s="3" t="inlineStr">
        <is>
          <t>전</t>
        </is>
      </c>
      <c r="F1228" s="3" t="inlineStr">
        <is>
          <t>매매</t>
        </is>
      </c>
      <c r="G1228" s="4" t="n">
        <v>27500</v>
      </c>
      <c r="H1228" s="4" t="n">
        <v>260</v>
      </c>
      <c r="I1228" s="5" t="n">
        <v>105.8</v>
      </c>
      <c r="J1228" s="5" t="n">
        <v>113.1</v>
      </c>
      <c r="K1228" s="3" t="inlineStr">
        <is>
          <t>nan</t>
        </is>
      </c>
      <c r="L1228" s="6">
        <f>HYPERLINK("https://fin.land.naver.com/articles/2648503820",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Home</t>
        </is>
      </c>
      <c r="P1228" s="4" t="n">
        <v>4</v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토지</t>
        </is>
      </c>
      <c r="E1229" s="3" t="inlineStr">
        <is>
          <t>전</t>
        </is>
      </c>
      <c r="F1229" s="3" t="inlineStr">
        <is>
          <t>매매</t>
        </is>
      </c>
      <c r="G1229" s="4" t="n">
        <v>27500</v>
      </c>
      <c r="H1229" s="4" t="n">
        <v>250</v>
      </c>
      <c r="I1229" s="5" t="n">
        <v>110</v>
      </c>
      <c r="J1229" s="5" t="n">
        <v>113.1</v>
      </c>
      <c r="K1229" s="3" t="inlineStr">
        <is>
          <t>개방감 좋고 저렴하게 나온 토지</t>
        </is>
      </c>
      <c r="L1229" s="6">
        <f>HYPERLINK("https://fin.land.naver.com/articles/2644534116",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용궁</t>
        </is>
      </c>
      <c r="P1229" s="4" t="n">
        <v>1</v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토지</t>
        </is>
      </c>
      <c r="E1230" s="3" t="inlineStr">
        <is>
          <t>답</t>
        </is>
      </c>
      <c r="F1230" s="3" t="inlineStr">
        <is>
          <t>매매</t>
        </is>
      </c>
      <c r="G1230" s="4" t="n">
        <v>50000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토지</t>
        </is>
      </c>
      <c r="E1231" s="3" t="inlineStr">
        <is>
          <t>대</t>
        </is>
      </c>
      <c r="F1231" s="3" t="inlineStr">
        <is>
          <t>매매</t>
        </is>
      </c>
      <c r="G1231" s="4" t="n">
        <v>19000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토지</t>
        </is>
      </c>
      <c r="E1232" s="3" t="inlineStr">
        <is>
          <t>전</t>
        </is>
      </c>
      <c r="F1232" s="3" t="inlineStr">
        <is>
          <t>매매</t>
        </is>
      </c>
      <c r="G1232" s="4" t="n">
        <v>130000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토지</t>
        </is>
      </c>
      <c r="E1233" s="3" t="inlineStr">
        <is>
          <t>전</t>
        </is>
      </c>
      <c r="F1233" s="3" t="inlineStr">
        <is>
          <t>매매</t>
        </is>
      </c>
      <c r="G1233" s="4" t="n">
        <v>130000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토지</t>
        </is>
      </c>
      <c r="E1234" s="3" t="inlineStr">
        <is>
          <t>답</t>
        </is>
      </c>
      <c r="F1234" s="3" t="inlineStr">
        <is>
          <t>매매</t>
        </is>
      </c>
      <c r="G1234" s="4" t="n">
        <v>132000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토지</t>
        </is>
      </c>
      <c r="E1235" s="3" t="inlineStr">
        <is>
          <t>공장용지</t>
        </is>
      </c>
      <c r="F1235" s="3" t="inlineStr">
        <is>
          <t>매매</t>
        </is>
      </c>
      <c r="G1235" s="4" t="n">
        <v>69000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토지</t>
        </is>
      </c>
      <c r="E1236" s="3" t="inlineStr">
        <is>
          <t>대</t>
        </is>
      </c>
      <c r="F1236" s="3" t="inlineStr">
        <is>
          <t>매매</t>
        </is>
      </c>
      <c r="G1236" s="4" t="n">
        <v>320000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토지</t>
        </is>
      </c>
      <c r="E1237" s="3" t="inlineStr">
        <is>
          <t>주차장</t>
        </is>
      </c>
      <c r="F1237" s="3" t="inlineStr">
        <is>
          <t>매매</t>
        </is>
      </c>
      <c r="G1237" s="4" t="n">
        <v>250000</v>
      </c>
      <c r="H1237" s="4" t="n">
        <v>726</v>
      </c>
      <c r="I1237" s="5" t="n">
        <v>344.4</v>
      </c>
      <c r="J1237" s="5" t="n">
        <v>61.5</v>
      </c>
      <c r="K1237" s="3" t="inlineStr">
        <is>
          <t>명성공인, 월하리, 1번국도 가까운 활용도 좋은 추천 매물</t>
        </is>
      </c>
      <c r="L1237" s="6">
        <f>HYPERLINK("https://fin.land.naver.com/articles/2646316879",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명성</t>
        </is>
      </c>
      <c r="P1237" s="4" t="n">
        <v>1</v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토지</t>
        </is>
      </c>
      <c r="E1238" s="3" t="inlineStr">
        <is>
          <t>주차장</t>
        </is>
      </c>
      <c r="F1238" s="3" t="inlineStr">
        <is>
          <t>매매</t>
        </is>
      </c>
      <c r="G1238" s="4" t="n">
        <v>230000</v>
      </c>
      <c r="H1238" s="4" t="n">
        <v>676</v>
      </c>
      <c r="I1238" s="5" t="n">
        <v>340.2</v>
      </c>
      <c r="J1238" s="5" t="n">
        <v>61.5</v>
      </c>
      <c r="K1238" s="3" t="inlineStr">
        <is>
          <t>상가건물건축용</t>
        </is>
      </c>
      <c r="L1238" s="6">
        <f>HYPERLINK("https://fin.land.naver.com/articles/2648552601",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세종리츠</t>
        </is>
      </c>
      <c r="P1238" s="4" t="n">
        <v>1</v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토지</t>
        </is>
      </c>
      <c r="E1239" s="3" t="inlineStr">
        <is>
          <t>전</t>
        </is>
      </c>
      <c r="F1239" s="3" t="inlineStr">
        <is>
          <t>매매</t>
        </is>
      </c>
      <c r="G1239" s="4" t="n">
        <v>98000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토지</t>
        </is>
      </c>
      <c r="E1240" s="3" t="inlineStr">
        <is>
          <t>전</t>
        </is>
      </c>
      <c r="F1240" s="3" t="inlineStr">
        <is>
          <t>매매</t>
        </is>
      </c>
      <c r="G1240" s="4" t="n">
        <v>87500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토지</t>
        </is>
      </c>
      <c r="E1241" s="3" t="inlineStr">
        <is>
          <t>전</t>
        </is>
      </c>
      <c r="F1241" s="3" t="inlineStr">
        <is>
          <t>매매</t>
        </is>
      </c>
      <c r="G1241" s="4" t="n">
        <v>474300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토지</t>
        </is>
      </c>
      <c r="E1242" s="3" t="inlineStr">
        <is>
          <t>답</t>
        </is>
      </c>
      <c r="F1242" s="3" t="inlineStr">
        <is>
          <t>매매</t>
        </is>
      </c>
      <c r="G1242" s="4" t="n">
        <v>252000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토지</t>
        </is>
      </c>
      <c r="E1243" s="3" t="inlineStr">
        <is>
          <t>답</t>
        </is>
      </c>
      <c r="F1243" s="3" t="inlineStr">
        <is>
          <t>매매</t>
        </is>
      </c>
      <c r="G1243" s="4" t="n">
        <v>196000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토지</t>
        </is>
      </c>
      <c r="E1244" s="3" t="inlineStr">
        <is>
          <t>전</t>
        </is>
      </c>
      <c r="F1244" s="3" t="inlineStr">
        <is>
          <t>매매</t>
        </is>
      </c>
      <c r="G1244" s="4" t="n">
        <v>82000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토지</t>
        </is>
      </c>
      <c r="E1245" s="3" t="inlineStr">
        <is>
          <t>대</t>
        </is>
      </c>
      <c r="F1245" s="3" t="inlineStr">
        <is>
          <t>매매</t>
        </is>
      </c>
      <c r="G1245" s="4" t="n">
        <v>48000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토지</t>
        </is>
      </c>
      <c r="E1246" s="3" t="inlineStr">
        <is>
          <t>전</t>
        </is>
      </c>
      <c r="F1246" s="3" t="inlineStr">
        <is>
          <t>매매</t>
        </is>
      </c>
      <c r="G1246" s="4" t="n">
        <v>78000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토지</t>
        </is>
      </c>
      <c r="E1247" s="3" t="inlineStr">
        <is>
          <t>과수원</t>
        </is>
      </c>
      <c r="F1247" s="3" t="inlineStr">
        <is>
          <t>매매</t>
        </is>
      </c>
      <c r="G1247" s="4" t="n">
        <v>442000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토지</t>
        </is>
      </c>
      <c r="E1248" s="3" t="inlineStr">
        <is>
          <t>과수원</t>
        </is>
      </c>
      <c r="F1248" s="3" t="inlineStr">
        <is>
          <t>매매</t>
        </is>
      </c>
      <c r="G1248" s="4" t="n">
        <v>305640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토지</t>
        </is>
      </c>
      <c r="E1249" s="3" t="inlineStr">
        <is>
          <t>답</t>
        </is>
      </c>
      <c r="F1249" s="3" t="inlineStr">
        <is>
          <t>매매</t>
        </is>
      </c>
      <c r="G1249" s="4" t="n">
        <v>200000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토지</t>
        </is>
      </c>
      <c r="E1250" s="3" t="inlineStr">
        <is>
          <t>전</t>
        </is>
      </c>
      <c r="F1250" s="3" t="inlineStr">
        <is>
          <t>매매</t>
        </is>
      </c>
      <c r="G1250" s="4" t="n">
        <v>70000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토지</t>
        </is>
      </c>
      <c r="E1251" s="3" t="inlineStr">
        <is>
          <t>대</t>
        </is>
      </c>
      <c r="F1251" s="3" t="inlineStr">
        <is>
          <t>매매</t>
        </is>
      </c>
      <c r="G1251" s="4" t="n">
        <v>110000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토지</t>
        </is>
      </c>
      <c r="E1252" s="3" t="inlineStr">
        <is>
          <t>전</t>
        </is>
      </c>
      <c r="F1252" s="3" t="inlineStr">
        <is>
          <t>매매</t>
        </is>
      </c>
      <c r="G1252" s="4" t="n">
        <v>168000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토지</t>
        </is>
      </c>
      <c r="E1253" s="3" t="inlineStr">
        <is>
          <t>임야</t>
        </is>
      </c>
      <c r="F1253" s="3" t="inlineStr">
        <is>
          <t>매매</t>
        </is>
      </c>
      <c r="G1253" s="4" t="n">
        <v>94000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토지</t>
        </is>
      </c>
      <c r="E1254" s="3" t="inlineStr">
        <is>
          <t>임야</t>
        </is>
      </c>
      <c r="F1254" s="3" t="inlineStr">
        <is>
          <t>매매</t>
        </is>
      </c>
      <c r="G1254" s="4" t="n">
        <v>860000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토지</t>
        </is>
      </c>
      <c r="E1255" s="3" t="inlineStr">
        <is>
          <t>임야</t>
        </is>
      </c>
      <c r="F1255" s="3" t="inlineStr">
        <is>
          <t>매매</t>
        </is>
      </c>
      <c r="G1255" s="4" t="n">
        <v>15800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토지</t>
        </is>
      </c>
      <c r="E1256" s="3" t="inlineStr">
        <is>
          <t>과수원</t>
        </is>
      </c>
      <c r="F1256" s="3" t="inlineStr">
        <is>
          <t>매매</t>
        </is>
      </c>
      <c r="G1256" s="4" t="n">
        <v>12000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토지</t>
        </is>
      </c>
      <c r="E1257" s="3" t="inlineStr">
        <is>
          <t>과수원</t>
        </is>
      </c>
      <c r="F1257" s="3" t="inlineStr">
        <is>
          <t>매매</t>
        </is>
      </c>
      <c r="G1257" s="4" t="n">
        <v>53000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토지</t>
        </is>
      </c>
      <c r="E1258" s="3" t="inlineStr">
        <is>
          <t>과수원</t>
        </is>
      </c>
      <c r="F1258" s="3" t="inlineStr">
        <is>
          <t>매매</t>
        </is>
      </c>
      <c r="G1258" s="4" t="n">
        <v>53000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토지</t>
        </is>
      </c>
      <c r="E1259" s="3" t="inlineStr">
        <is>
          <t>과수원</t>
        </is>
      </c>
      <c r="F1259" s="3" t="inlineStr">
        <is>
          <t>매매</t>
        </is>
      </c>
      <c r="G1259" s="4" t="n">
        <v>53000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토지</t>
        </is>
      </c>
      <c r="E1260" s="3" t="inlineStr">
        <is>
          <t>답</t>
        </is>
      </c>
      <c r="F1260" s="3" t="inlineStr">
        <is>
          <t>매매</t>
        </is>
      </c>
      <c r="G1260" s="4" t="n">
        <v>44000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토지</t>
        </is>
      </c>
      <c r="E1261" s="3" t="inlineStr">
        <is>
          <t>답</t>
        </is>
      </c>
      <c r="F1261" s="3" t="inlineStr">
        <is>
          <t>매매</t>
        </is>
      </c>
      <c r="G1261" s="4" t="n">
        <v>75000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토지</t>
        </is>
      </c>
      <c r="E1262" s="3" t="inlineStr">
        <is>
          <t>과수원</t>
        </is>
      </c>
      <c r="F1262" s="3" t="inlineStr">
        <is>
          <t>매매</t>
        </is>
      </c>
      <c r="G1262" s="4" t="n">
        <v>20000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토지</t>
        </is>
      </c>
      <c r="E1263" s="3" t="inlineStr">
        <is>
          <t>전</t>
        </is>
      </c>
      <c r="F1263" s="3" t="inlineStr">
        <is>
          <t>매매</t>
        </is>
      </c>
      <c r="G1263" s="4" t="n">
        <v>330000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토지</t>
        </is>
      </c>
      <c r="E1264" s="3" t="inlineStr">
        <is>
          <t>전</t>
        </is>
      </c>
      <c r="F1264" s="3" t="inlineStr">
        <is>
          <t>매매</t>
        </is>
      </c>
      <c r="G1264" s="4" t="n">
        <v>25000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토지</t>
        </is>
      </c>
      <c r="E1265" s="3" t="inlineStr">
        <is>
          <t>전</t>
        </is>
      </c>
      <c r="F1265" s="3" t="inlineStr">
        <is>
          <t>매매</t>
        </is>
      </c>
      <c r="G1265" s="4" t="n">
        <v>63000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토지</t>
        </is>
      </c>
      <c r="E1266" s="3" t="inlineStr">
        <is>
          <t>답</t>
        </is>
      </c>
      <c r="F1266" s="3" t="inlineStr">
        <is>
          <t>매매</t>
        </is>
      </c>
      <c r="G1266" s="4" t="n">
        <v>71800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토지</t>
        </is>
      </c>
      <c r="E1267" s="3" t="inlineStr">
        <is>
          <t>과수원</t>
        </is>
      </c>
      <c r="F1267" s="3" t="inlineStr">
        <is>
          <t>매매</t>
        </is>
      </c>
      <c r="G1267" s="4" t="n">
        <v>18180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토지</t>
        </is>
      </c>
      <c r="E1268" s="3" t="inlineStr">
        <is>
          <t>대</t>
        </is>
      </c>
      <c r="F1268" s="3" t="inlineStr">
        <is>
          <t>매매</t>
        </is>
      </c>
      <c r="G1268" s="4" t="n">
        <v>37000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토지</t>
        </is>
      </c>
      <c r="E1269" s="3" t="inlineStr">
        <is>
          <t>대</t>
        </is>
      </c>
      <c r="F1269" s="3" t="inlineStr">
        <is>
          <t>매매</t>
        </is>
      </c>
      <c r="G1269" s="4" t="n">
        <v>425400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토지</t>
        </is>
      </c>
      <c r="E1270" s="3" t="inlineStr">
        <is>
          <t>전</t>
        </is>
      </c>
      <c r="F1270" s="3" t="inlineStr">
        <is>
          <t>매매</t>
        </is>
      </c>
      <c r="G1270" s="4" t="n">
        <v>12700</v>
      </c>
      <c r="H1270" s="4" t="n">
        <v>424</v>
      </c>
      <c r="I1270" s="5" t="n">
        <v>30</v>
      </c>
      <c r="J1270" s="5" t="n">
        <v>10.8</v>
      </c>
      <c r="K1270" s="3" t="inlineStr">
        <is>
          <t>절충가능하고 대토용으로 추천드림니다</t>
        </is>
      </c>
      <c r="L1270" s="6">
        <f>HYPERLINK("https://fin.land.naver.com/articles/2643369358",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스마일세종</t>
        </is>
      </c>
      <c r="P1270" s="4" t="n">
        <v>1</v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토지</t>
        </is>
      </c>
      <c r="E1271" s="3" t="inlineStr">
        <is>
          <t>전</t>
        </is>
      </c>
      <c r="F1271" s="3" t="inlineStr">
        <is>
          <t>매매</t>
        </is>
      </c>
      <c r="G1271" s="4" t="n">
        <v>7000</v>
      </c>
      <c r="H1271" s="4" t="n">
        <v>424</v>
      </c>
      <c r="I1271" s="5" t="n">
        <v>16.5</v>
      </c>
      <c r="J1271" s="5" t="n">
        <v>10.8</v>
      </c>
      <c r="K1271" s="3" t="inlineStr">
        <is>
          <t>급매.과수원추천.보전관리.성장관리계획구역.영농여건불리농지. 대토추천.</t>
        </is>
      </c>
      <c r="L1271" s="6">
        <f>HYPERLINK("https://fin.land.naver.com/articles/2646070061",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휴튼9단지세교신도시</t>
        </is>
      </c>
      <c r="P1271" s="4" t="n">
        <v>1</v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토지</t>
        </is>
      </c>
      <c r="E1272" s="3" t="inlineStr">
        <is>
          <t>답</t>
        </is>
      </c>
      <c r="F1272" s="3" t="inlineStr">
        <is>
          <t>매매</t>
        </is>
      </c>
      <c r="G1272" s="4" t="n">
        <v>8400</v>
      </c>
      <c r="H1272" s="4" t="n">
        <v>424</v>
      </c>
      <c r="I1272" s="5" t="n">
        <v>19.8</v>
      </c>
      <c r="J1272" s="5" t="n">
        <v>10.8</v>
      </c>
      <c r="K1272" s="3" t="inlineStr">
        <is>
          <t>구거 접해 있지만 맹지입니다.</t>
        </is>
      </c>
      <c r="L1272" s="6">
        <f>HYPERLINK("https://fin.land.naver.com/articles/2645859316",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세종땅사랑</t>
        </is>
      </c>
      <c r="P1272" s="4" t="n">
        <v>1</v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토지</t>
        </is>
      </c>
      <c r="E1273" s="3" t="inlineStr">
        <is>
          <t>전</t>
        </is>
      </c>
      <c r="F1273" s="3" t="inlineStr">
        <is>
          <t>매매</t>
        </is>
      </c>
      <c r="G1273" s="4" t="n">
        <v>55200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토지</t>
        </is>
      </c>
      <c r="E1274" s="3" t="inlineStr">
        <is>
          <t>답</t>
        </is>
      </c>
      <c r="F1274" s="3" t="inlineStr">
        <is>
          <t>매매</t>
        </is>
      </c>
      <c r="G1274" s="4" t="n">
        <v>171000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토지</t>
        </is>
      </c>
      <c r="E1275" s="3" t="inlineStr">
        <is>
          <t>답</t>
        </is>
      </c>
      <c r="F1275" s="3" t="inlineStr">
        <is>
          <t>매매</t>
        </is>
      </c>
      <c r="G1275" s="4" t="n">
        <v>47000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토지</t>
        </is>
      </c>
      <c r="E1276" s="3" t="inlineStr">
        <is>
          <t>잡종지</t>
        </is>
      </c>
      <c r="F1276" s="3" t="inlineStr">
        <is>
          <t>매매</t>
        </is>
      </c>
      <c r="G1276" s="4" t="n">
        <v>120000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토지</t>
        </is>
      </c>
      <c r="E1277" s="3" t="inlineStr">
        <is>
          <t>전</t>
        </is>
      </c>
      <c r="F1277" s="3" t="inlineStr">
        <is>
          <t>매매</t>
        </is>
      </c>
      <c r="G1277" s="4" t="n">
        <v>10720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토지</t>
        </is>
      </c>
      <c r="E1278" s="3" t="inlineStr">
        <is>
          <t>전</t>
        </is>
      </c>
      <c r="F1278" s="3" t="inlineStr">
        <is>
          <t>매매</t>
        </is>
      </c>
      <c r="G1278" s="4" t="n">
        <v>108600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토지</t>
        </is>
      </c>
      <c r="E1279" s="3" t="inlineStr">
        <is>
          <t>대</t>
        </is>
      </c>
      <c r="F1279" s="3" t="inlineStr">
        <is>
          <t>매매</t>
        </is>
      </c>
      <c r="G1279" s="4" t="n">
        <v>70000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토지</t>
        </is>
      </c>
      <c r="E1280" s="3" t="inlineStr">
        <is>
          <t>전</t>
        </is>
      </c>
      <c r="F1280" s="3" t="inlineStr">
        <is>
          <t>매매</t>
        </is>
      </c>
      <c r="G1280" s="4" t="n">
        <v>54800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토지</t>
        </is>
      </c>
      <c r="E1281" s="3" t="inlineStr">
        <is>
          <t>대</t>
        </is>
      </c>
      <c r="F1281" s="3" t="inlineStr">
        <is>
          <t>매매</t>
        </is>
      </c>
      <c r="G1281" s="4" t="n">
        <v>220000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토지</t>
        </is>
      </c>
      <c r="E1282" s="3" t="inlineStr">
        <is>
          <t>대</t>
        </is>
      </c>
      <c r="F1282" s="3" t="inlineStr">
        <is>
          <t>매매</t>
        </is>
      </c>
      <c r="G1282" s="4" t="n">
        <v>220000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토지</t>
        </is>
      </c>
      <c r="E1283" s="3" t="inlineStr">
        <is>
          <t>대</t>
        </is>
      </c>
      <c r="F1283" s="3" t="inlineStr">
        <is>
          <t>매매</t>
        </is>
      </c>
      <c r="G1283" s="4" t="n">
        <v>220000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토지</t>
        </is>
      </c>
      <c r="E1284" s="3" t="inlineStr">
        <is>
          <t>답</t>
        </is>
      </c>
      <c r="F1284" s="3" t="inlineStr">
        <is>
          <t>매매</t>
        </is>
      </c>
      <c r="G1284" s="4" t="n">
        <v>20600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토지</t>
        </is>
      </c>
      <c r="E1285" s="3" t="inlineStr">
        <is>
          <t>임야</t>
        </is>
      </c>
      <c r="F1285" s="3" t="inlineStr">
        <is>
          <t>매매</t>
        </is>
      </c>
      <c r="G1285" s="4" t="n">
        <v>190000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토지</t>
        </is>
      </c>
      <c r="E1286" s="3" t="inlineStr">
        <is>
          <t>답</t>
        </is>
      </c>
      <c r="F1286" s="3" t="inlineStr">
        <is>
          <t>매매</t>
        </is>
      </c>
      <c r="G1286" s="4" t="n">
        <v>95000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토지</t>
        </is>
      </c>
      <c r="E1287" s="3" t="inlineStr">
        <is>
          <t>답</t>
        </is>
      </c>
      <c r="F1287" s="3" t="inlineStr">
        <is>
          <t>매매</t>
        </is>
      </c>
      <c r="G1287" s="4" t="n">
        <v>47500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토지</t>
        </is>
      </c>
      <c r="E1288" s="3" t="inlineStr">
        <is>
          <t>답</t>
        </is>
      </c>
      <c r="F1288" s="3" t="inlineStr">
        <is>
          <t>매매</t>
        </is>
      </c>
      <c r="G1288" s="4" t="n">
        <v>90700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토지</t>
        </is>
      </c>
      <c r="E1289" s="3" t="inlineStr">
        <is>
          <t>답</t>
        </is>
      </c>
      <c r="F1289" s="3" t="inlineStr">
        <is>
          <t>매매</t>
        </is>
      </c>
      <c r="G1289" s="4" t="n">
        <v>94752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토지</t>
        </is>
      </c>
      <c r="E1290" s="3" t="inlineStr">
        <is>
          <t>답</t>
        </is>
      </c>
      <c r="F1290" s="3" t="inlineStr">
        <is>
          <t>매매</t>
        </is>
      </c>
      <c r="G1290" s="4" t="n">
        <v>53500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토지</t>
        </is>
      </c>
      <c r="E1291" s="3" t="inlineStr">
        <is>
          <t>과수원</t>
        </is>
      </c>
      <c r="F1291" s="3" t="inlineStr">
        <is>
          <t>매매</t>
        </is>
      </c>
      <c r="G1291" s="4" t="n">
        <v>160000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토지</t>
        </is>
      </c>
      <c r="E1292" s="3" t="inlineStr">
        <is>
          <t>전</t>
        </is>
      </c>
      <c r="F1292" s="3" t="inlineStr">
        <is>
          <t>매매</t>
        </is>
      </c>
      <c r="G1292" s="4" t="n">
        <v>80000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토지</t>
        </is>
      </c>
      <c r="E1293" s="3" t="inlineStr">
        <is>
          <t>전</t>
        </is>
      </c>
      <c r="F1293" s="3" t="inlineStr">
        <is>
          <t>매매</t>
        </is>
      </c>
      <c r="G1293" s="4" t="n">
        <v>80000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토지</t>
        </is>
      </c>
      <c r="E1294" s="3" t="inlineStr">
        <is>
          <t>대</t>
        </is>
      </c>
      <c r="F1294" s="3" t="inlineStr">
        <is>
          <t>매매</t>
        </is>
      </c>
      <c r="G1294" s="4" t="n">
        <v>80000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하림</t>
        </is>
      </c>
      <c r="P1294" s="4" t="n">
        <v>1</v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토지</t>
        </is>
      </c>
      <c r="E1295" s="3" t="inlineStr">
        <is>
          <t>대</t>
        </is>
      </c>
      <c r="F1295" s="3" t="inlineStr">
        <is>
          <t>매매</t>
        </is>
      </c>
      <c r="G1295" s="4" t="n">
        <v>85000</v>
      </c>
      <c r="H1295" s="4" t="n">
        <v>173</v>
      </c>
      <c r="I1295" s="5" t="n">
        <v>491.3</v>
      </c>
      <c r="J1295" s="5" t="n">
        <v>161.2</v>
      </c>
      <c r="K1295" s="3" t="inlineStr">
        <is>
          <t>오송역에서 가까운 궁평리에 위치한 토지임</t>
        </is>
      </c>
      <c r="L1295" s="6">
        <f>HYPERLINK("https://fin.land.naver.com/articles/2644694447",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산성</t>
        </is>
      </c>
      <c r="P1295" s="4" t="n">
        <v>1</v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토지</t>
        </is>
      </c>
      <c r="E1296" s="3" t="inlineStr">
        <is>
          <t>답</t>
        </is>
      </c>
      <c r="F1296" s="3" t="inlineStr">
        <is>
          <t>매매</t>
        </is>
      </c>
      <c r="G1296" s="4" t="n">
        <v>227000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토지</t>
        </is>
      </c>
      <c r="E1297" s="3" t="inlineStr">
        <is>
          <t>답</t>
        </is>
      </c>
      <c r="F1297" s="3" t="inlineStr">
        <is>
          <t>매매</t>
        </is>
      </c>
      <c r="G1297" s="4" t="n">
        <v>150000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토지</t>
        </is>
      </c>
      <c r="E1298" s="3" t="inlineStr">
        <is>
          <t>과수원</t>
        </is>
      </c>
      <c r="F1298" s="3" t="inlineStr">
        <is>
          <t>매매</t>
        </is>
      </c>
      <c r="G1298" s="4" t="n">
        <v>105000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토지</t>
        </is>
      </c>
      <c r="E1299" s="3" t="inlineStr">
        <is>
          <t>답</t>
        </is>
      </c>
      <c r="F1299" s="3" t="inlineStr">
        <is>
          <t>매매</t>
        </is>
      </c>
      <c r="G1299" s="4" t="n">
        <v>88000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토지</t>
        </is>
      </c>
      <c r="E1300" s="3" t="inlineStr">
        <is>
          <t>대</t>
        </is>
      </c>
      <c r="F1300" s="3" t="inlineStr">
        <is>
          <t>매매</t>
        </is>
      </c>
      <c r="G1300" s="4" t="n">
        <v>40000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토지</t>
        </is>
      </c>
      <c r="E1301" s="3" t="inlineStr">
        <is>
          <t>전</t>
        </is>
      </c>
      <c r="F1301" s="3" t="inlineStr">
        <is>
          <t>매매</t>
        </is>
      </c>
      <c r="G1301" s="4" t="n">
        <v>31700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토지</t>
        </is>
      </c>
      <c r="E1302" s="3" t="inlineStr">
        <is>
          <t>대</t>
        </is>
      </c>
      <c r="F1302" s="3" t="inlineStr">
        <is>
          <t>매매</t>
        </is>
      </c>
      <c r="G1302" s="4" t="n">
        <v>23000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토지</t>
        </is>
      </c>
      <c r="E1303" s="3" t="inlineStr">
        <is>
          <t>답</t>
        </is>
      </c>
      <c r="F1303" s="3" t="inlineStr">
        <is>
          <t>매매</t>
        </is>
      </c>
      <c r="G1303" s="4" t="n">
        <v>36000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토지</t>
        </is>
      </c>
      <c r="E1304" s="3" t="inlineStr">
        <is>
          <t>답</t>
        </is>
      </c>
      <c r="F1304" s="3" t="inlineStr">
        <is>
          <t>매매</t>
        </is>
      </c>
      <c r="G1304" s="4" t="n">
        <v>25400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토지</t>
        </is>
      </c>
      <c r="E1305" s="3" t="inlineStr">
        <is>
          <t>대</t>
        </is>
      </c>
      <c r="F1305" s="3" t="inlineStr">
        <is>
          <t>매매</t>
        </is>
      </c>
      <c r="G1305" s="4" t="n">
        <v>40000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토지</t>
        </is>
      </c>
      <c r="E1306" s="3" t="inlineStr">
        <is>
          <t>답</t>
        </is>
      </c>
      <c r="F1306" s="3" t="inlineStr">
        <is>
          <t>매매</t>
        </is>
      </c>
      <c r="G1306" s="4" t="n">
        <v>36000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토지</t>
        </is>
      </c>
      <c r="E1307" s="3" t="inlineStr">
        <is>
          <t>대</t>
        </is>
      </c>
      <c r="F1307" s="3" t="inlineStr">
        <is>
          <t>매매</t>
        </is>
      </c>
      <c r="G1307" s="4" t="n">
        <v>240000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토지</t>
        </is>
      </c>
      <c r="E1308" s="3" t="inlineStr">
        <is>
          <t>대</t>
        </is>
      </c>
      <c r="F1308" s="3" t="inlineStr">
        <is>
          <t>매매</t>
        </is>
      </c>
      <c r="G1308" s="4" t="n">
        <v>70000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토지</t>
        </is>
      </c>
      <c r="E1309" s="3" t="inlineStr">
        <is>
          <t>대</t>
        </is>
      </c>
      <c r="F1309" s="3" t="inlineStr">
        <is>
          <t>매매</t>
        </is>
      </c>
      <c r="G1309" s="4" t="n">
        <v>66000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토지</t>
        </is>
      </c>
      <c r="E1310" s="3" t="inlineStr">
        <is>
          <t>대</t>
        </is>
      </c>
      <c r="F1310" s="3" t="inlineStr">
        <is>
          <t>매매</t>
        </is>
      </c>
      <c r="G1310" s="4" t="n">
        <v>45000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토지</t>
        </is>
      </c>
      <c r="E1311" s="3" t="inlineStr">
        <is>
          <t>대</t>
        </is>
      </c>
      <c r="F1311" s="3" t="inlineStr">
        <is>
          <t>매매</t>
        </is>
      </c>
      <c r="G1311" s="4" t="n">
        <v>50000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토지</t>
        </is>
      </c>
      <c r="E1312" s="3" t="inlineStr">
        <is>
          <t>대</t>
        </is>
      </c>
      <c r="F1312" s="3" t="inlineStr">
        <is>
          <t>매매</t>
        </is>
      </c>
      <c r="G1312" s="4" t="n">
        <v>124630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토지</t>
        </is>
      </c>
      <c r="E1313" s="3" t="inlineStr">
        <is>
          <t>주차장</t>
        </is>
      </c>
      <c r="F1313" s="3" t="inlineStr">
        <is>
          <t>매매</t>
        </is>
      </c>
      <c r="G1313" s="4" t="n">
        <v>165000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토지</t>
        </is>
      </c>
      <c r="E1314" s="3" t="inlineStr">
        <is>
          <t>대</t>
        </is>
      </c>
      <c r="F1314" s="3" t="inlineStr">
        <is>
          <t>매매</t>
        </is>
      </c>
      <c r="G1314" s="4" t="n">
        <v>62700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토지</t>
        </is>
      </c>
      <c r="E1315" s="3" t="inlineStr">
        <is>
          <t>대</t>
        </is>
      </c>
      <c r="F1315" s="3" t="inlineStr">
        <is>
          <t>매매</t>
        </is>
      </c>
      <c r="G1315" s="4" t="n">
        <v>169000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토지</t>
        </is>
      </c>
      <c r="E1316" s="3" t="inlineStr">
        <is>
          <t>대</t>
        </is>
      </c>
      <c r="F1316" s="3" t="inlineStr">
        <is>
          <t>매매</t>
        </is>
      </c>
      <c r="G1316" s="4" t="n">
        <v>162000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토지</t>
        </is>
      </c>
      <c r="E1317" s="3" t="inlineStr">
        <is>
          <t>대</t>
        </is>
      </c>
      <c r="F1317" s="3" t="inlineStr">
        <is>
          <t>매매</t>
        </is>
      </c>
      <c r="G1317" s="4" t="n">
        <v>190000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토지</t>
        </is>
      </c>
      <c r="E1318" s="3" t="inlineStr">
        <is>
          <t>대</t>
        </is>
      </c>
      <c r="F1318" s="3" t="inlineStr">
        <is>
          <t>매매</t>
        </is>
      </c>
      <c r="G1318" s="4" t="n">
        <v>420000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토지</t>
        </is>
      </c>
      <c r="E1319" s="3" t="inlineStr">
        <is>
          <t>대</t>
        </is>
      </c>
      <c r="F1319" s="3" t="inlineStr">
        <is>
          <t>매매</t>
        </is>
      </c>
      <c r="G1319" s="4" t="n">
        <v>390000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토지</t>
        </is>
      </c>
      <c r="E1320" s="3" t="inlineStr">
        <is>
          <t>대</t>
        </is>
      </c>
      <c r="F1320" s="3" t="inlineStr">
        <is>
          <t>매매</t>
        </is>
      </c>
      <c r="G1320" s="4" t="n">
        <v>505500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토지</t>
        </is>
      </c>
      <c r="E1321" s="3" t="inlineStr">
        <is>
          <t>대</t>
        </is>
      </c>
      <c r="F1321" s="3" t="inlineStr">
        <is>
          <t>매매</t>
        </is>
      </c>
      <c r="G1321" s="4" t="n">
        <v>466000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토지</t>
        </is>
      </c>
      <c r="E1322" s="3" t="inlineStr">
        <is>
          <t>주차장</t>
        </is>
      </c>
      <c r="F1322" s="3" t="inlineStr">
        <is>
          <t>월세</t>
        </is>
      </c>
      <c r="G1322" s="4" t="n">
        <v>10000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토지</t>
        </is>
      </c>
      <c r="E1323" s="3" t="inlineStr">
        <is>
          <t>대</t>
        </is>
      </c>
      <c r="F1323" s="3" t="inlineStr">
        <is>
          <t>매매</t>
        </is>
      </c>
      <c r="G1323" s="4" t="n">
        <v>460000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토지</t>
        </is>
      </c>
      <c r="E1324" s="3" t="inlineStr">
        <is>
          <t>대</t>
        </is>
      </c>
      <c r="F1324" s="3" t="inlineStr">
        <is>
          <t>매매</t>
        </is>
      </c>
      <c r="G1324" s="4" t="n">
        <v>500000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토지</t>
        </is>
      </c>
      <c r="E1325" s="3" t="inlineStr">
        <is>
          <t>대</t>
        </is>
      </c>
      <c r="F1325" s="3" t="inlineStr">
        <is>
          <t>매매</t>
        </is>
      </c>
      <c r="G1325" s="4" t="n">
        <v>598000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토지</t>
        </is>
      </c>
      <c r="E1326" s="3" t="inlineStr">
        <is>
          <t>대</t>
        </is>
      </c>
      <c r="F1326" s="3" t="inlineStr">
        <is>
          <t>매매</t>
        </is>
      </c>
      <c r="G1326" s="4" t="n">
        <v>136400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토지</t>
        </is>
      </c>
      <c r="E1327" s="3" t="inlineStr">
        <is>
          <t>대</t>
        </is>
      </c>
      <c r="F1327" s="3" t="inlineStr">
        <is>
          <t>매매</t>
        </is>
      </c>
      <c r="G1327" s="4" t="n">
        <v>41500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토지</t>
        </is>
      </c>
      <c r="E1328" s="3" t="inlineStr">
        <is>
          <t>대</t>
        </is>
      </c>
      <c r="F1328" s="3" t="inlineStr">
        <is>
          <t>매매</t>
        </is>
      </c>
      <c r="G1328" s="4" t="n">
        <v>30000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토지</t>
        </is>
      </c>
      <c r="E1329" s="3" t="inlineStr">
        <is>
          <t>대</t>
        </is>
      </c>
      <c r="F1329" s="3" t="inlineStr">
        <is>
          <t>매매</t>
        </is>
      </c>
      <c r="G1329" s="4" t="n">
        <v>30000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토지</t>
        </is>
      </c>
      <c r="E1330" s="3" t="inlineStr">
        <is>
          <t>대</t>
        </is>
      </c>
      <c r="F1330" s="3" t="inlineStr">
        <is>
          <t>매매</t>
        </is>
      </c>
      <c r="G1330" s="4" t="n">
        <v>32000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토지</t>
        </is>
      </c>
      <c r="E1331" s="3" t="inlineStr">
        <is>
          <t>대</t>
        </is>
      </c>
      <c r="F1331" s="3" t="inlineStr">
        <is>
          <t>매매</t>
        </is>
      </c>
      <c r="G1331" s="4" t="n">
        <v>42000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토지</t>
        </is>
      </c>
      <c r="E1332" s="3" t="inlineStr">
        <is>
          <t>대</t>
        </is>
      </c>
      <c r="F1332" s="3" t="inlineStr">
        <is>
          <t>매매</t>
        </is>
      </c>
      <c r="G1332" s="4" t="n">
        <v>39000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토지</t>
        </is>
      </c>
      <c r="E1333" s="3" t="inlineStr">
        <is>
          <t>대</t>
        </is>
      </c>
      <c r="F1333" s="3" t="inlineStr">
        <is>
          <t>매매</t>
        </is>
      </c>
      <c r="G1333" s="4" t="n">
        <v>45000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토지</t>
        </is>
      </c>
      <c r="E1334" s="3" t="inlineStr">
        <is>
          <t>주차장</t>
        </is>
      </c>
      <c r="F1334" s="3" t="inlineStr">
        <is>
          <t>매매</t>
        </is>
      </c>
      <c r="G1334" s="4" t="n">
        <v>150000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토지</t>
        </is>
      </c>
      <c r="E1335" s="3" t="inlineStr">
        <is>
          <t>대</t>
        </is>
      </c>
      <c r="F1335" s="3" t="inlineStr">
        <is>
          <t>매매</t>
        </is>
      </c>
      <c r="G1335" s="4" t="n">
        <v>38000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토지</t>
        </is>
      </c>
      <c r="E1336" s="3" t="inlineStr">
        <is>
          <t>대</t>
        </is>
      </c>
      <c r="F1336" s="3" t="inlineStr">
        <is>
          <t>매매</t>
        </is>
      </c>
      <c r="G1336" s="4" t="n">
        <v>45000</v>
      </c>
      <c r="H1336" s="4" t="n">
        <v>83</v>
      </c>
      <c r="I1336" s="5" t="n">
        <v>542.2</v>
      </c>
      <c r="J1336" s="5" t="n">
        <v>205.7</v>
      </c>
      <c r="K1336" s="3" t="inlineStr">
        <is>
          <t>솔미초 인근 다가구용 토지 매매</t>
        </is>
      </c>
      <c r="L1336" s="6">
        <f>HYPERLINK("https://fin.land.naver.com/articles/2643952372",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광장</t>
        </is>
      </c>
      <c r="P1336" s="4" t="n">
        <v>1</v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토지</t>
        </is>
      </c>
      <c r="E1337" s="3" t="inlineStr">
        <is>
          <t>대</t>
        </is>
      </c>
      <c r="F1337" s="3" t="inlineStr">
        <is>
          <t>매매</t>
        </is>
      </c>
      <c r="G1337" s="4" t="n">
        <v>45000</v>
      </c>
      <c r="H1337" s="4" t="n">
        <v>83</v>
      </c>
      <c r="I1337" s="5" t="n">
        <v>542.2</v>
      </c>
      <c r="J1337" s="5" t="n">
        <v>205.7</v>
      </c>
      <c r="K1337" s="3" t="inlineStr">
        <is>
          <t>nan</t>
        </is>
      </c>
      <c r="L1337" s="6">
        <f>HYPERLINK("https://fin.land.naver.com/articles/2645321083",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365</t>
        </is>
      </c>
      <c r="P1337" s="4" t="n">
        <v>1</v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토지</t>
        </is>
      </c>
      <c r="E1338" s="3" t="inlineStr">
        <is>
          <t>대</t>
        </is>
      </c>
      <c r="F1338" s="3" t="inlineStr">
        <is>
          <t>매매</t>
        </is>
      </c>
      <c r="G1338" s="4" t="n">
        <v>40000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토지</t>
        </is>
      </c>
      <c r="E1339" s="3" t="inlineStr">
        <is>
          <t>대</t>
        </is>
      </c>
      <c r="F1339" s="3" t="inlineStr">
        <is>
          <t>매매</t>
        </is>
      </c>
      <c r="G1339" s="4" t="n">
        <v>49000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토지</t>
        </is>
      </c>
      <c r="E1340" s="3" t="inlineStr">
        <is>
          <t>대</t>
        </is>
      </c>
      <c r="F1340" s="3" t="inlineStr">
        <is>
          <t>매매</t>
        </is>
      </c>
      <c r="G1340" s="4" t="n">
        <v>60000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토지</t>
        </is>
      </c>
      <c r="E1341" s="3" t="inlineStr">
        <is>
          <t>대</t>
        </is>
      </c>
      <c r="F1341" s="3" t="inlineStr">
        <is>
          <t>매매</t>
        </is>
      </c>
      <c r="G1341" s="4" t="n">
        <v>42000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토지</t>
        </is>
      </c>
      <c r="E1342" s="3" t="inlineStr">
        <is>
          <t>대</t>
        </is>
      </c>
      <c r="F1342" s="3" t="inlineStr">
        <is>
          <t>매매</t>
        </is>
      </c>
      <c r="G1342" s="4" t="n">
        <v>60000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토지</t>
        </is>
      </c>
      <c r="E1343" s="3" t="inlineStr">
        <is>
          <t>대</t>
        </is>
      </c>
      <c r="F1343" s="3" t="inlineStr">
        <is>
          <t>매매</t>
        </is>
      </c>
      <c r="G1343" s="4" t="n">
        <v>347900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토지</t>
        </is>
      </c>
      <c r="E1344" s="3" t="inlineStr">
        <is>
          <t>대</t>
        </is>
      </c>
      <c r="F1344" s="3" t="inlineStr">
        <is>
          <t>매매</t>
        </is>
      </c>
      <c r="G1344" s="4" t="n">
        <v>25000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토지</t>
        </is>
      </c>
      <c r="E1345" s="3" t="inlineStr">
        <is>
          <t>전</t>
        </is>
      </c>
      <c r="F1345" s="3" t="inlineStr">
        <is>
          <t>매매</t>
        </is>
      </c>
      <c r="G1345" s="4" t="n">
        <v>99000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토지</t>
        </is>
      </c>
      <c r="E1346" s="3" t="inlineStr">
        <is>
          <t>전</t>
        </is>
      </c>
      <c r="F1346" s="3" t="inlineStr">
        <is>
          <t>매매</t>
        </is>
      </c>
      <c r="G1346" s="4" t="n">
        <v>200000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토지</t>
        </is>
      </c>
      <c r="E1347" s="3" t="inlineStr">
        <is>
          <t>답</t>
        </is>
      </c>
      <c r="F1347" s="3" t="inlineStr">
        <is>
          <t>매매</t>
        </is>
      </c>
      <c r="G1347" s="4" t="n">
        <v>40000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토지</t>
        </is>
      </c>
      <c r="E1348" s="3" t="inlineStr">
        <is>
          <t>답</t>
        </is>
      </c>
      <c r="F1348" s="3" t="inlineStr">
        <is>
          <t>매매</t>
        </is>
      </c>
      <c r="G1348" s="4" t="n">
        <v>43950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토지</t>
        </is>
      </c>
      <c r="E1349" s="3" t="inlineStr">
        <is>
          <t>답</t>
        </is>
      </c>
      <c r="F1349" s="3" t="inlineStr">
        <is>
          <t>매매</t>
        </is>
      </c>
      <c r="G1349" s="4" t="n">
        <v>26000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토지</t>
        </is>
      </c>
      <c r="E1350" s="3" t="inlineStr">
        <is>
          <t>답</t>
        </is>
      </c>
      <c r="F1350" s="3" t="inlineStr">
        <is>
          <t>매매</t>
        </is>
      </c>
      <c r="G1350" s="4" t="n">
        <v>26000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토지</t>
        </is>
      </c>
      <c r="E1351" s="3" t="inlineStr">
        <is>
          <t>임야</t>
        </is>
      </c>
      <c r="F1351" s="3" t="inlineStr">
        <is>
          <t>매매</t>
        </is>
      </c>
      <c r="G1351" s="4" t="n">
        <v>20000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토지</t>
        </is>
      </c>
      <c r="E1352" s="3" t="inlineStr">
        <is>
          <t>전</t>
        </is>
      </c>
      <c r="F1352" s="3" t="inlineStr">
        <is>
          <t>매매</t>
        </is>
      </c>
      <c r="G1352" s="4" t="n">
        <v>13000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토지</t>
        </is>
      </c>
      <c r="E1353" s="3" t="inlineStr">
        <is>
          <t>답</t>
        </is>
      </c>
      <c r="F1353" s="3" t="inlineStr">
        <is>
          <t>매매</t>
        </is>
      </c>
      <c r="G1353" s="4" t="n">
        <v>35500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토지</t>
        </is>
      </c>
      <c r="E1354" s="3" t="inlineStr">
        <is>
          <t>임야</t>
        </is>
      </c>
      <c r="F1354" s="3" t="inlineStr">
        <is>
          <t>매매</t>
        </is>
      </c>
      <c r="G1354" s="4" t="n">
        <v>20000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토지</t>
        </is>
      </c>
      <c r="E1355" s="3" t="inlineStr">
        <is>
          <t>임야</t>
        </is>
      </c>
      <c r="F1355" s="3" t="inlineStr">
        <is>
          <t>매매</t>
        </is>
      </c>
      <c r="G1355" s="4" t="n">
        <v>12828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토지</t>
        </is>
      </c>
      <c r="E1356" s="3" t="inlineStr">
        <is>
          <t>답</t>
        </is>
      </c>
      <c r="F1356" s="3" t="inlineStr">
        <is>
          <t>매매</t>
        </is>
      </c>
      <c r="G1356" s="4" t="n">
        <v>90000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토지</t>
        </is>
      </c>
      <c r="E1357" s="3" t="inlineStr">
        <is>
          <t>창고용지</t>
        </is>
      </c>
      <c r="F1357" s="3" t="inlineStr">
        <is>
          <t>매매</t>
        </is>
      </c>
      <c r="G1357" s="4" t="n">
        <v>40400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자이원</t>
        </is>
      </c>
      <c r="P1357" s="4" t="n">
        <v>2</v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토지</t>
        </is>
      </c>
      <c r="E1358" s="3" t="inlineStr">
        <is>
          <t>대</t>
        </is>
      </c>
      <c r="F1358" s="3" t="inlineStr">
        <is>
          <t>매매</t>
        </is>
      </c>
      <c r="G1358" s="4" t="n">
        <v>40000</v>
      </c>
      <c r="H1358" s="4" t="n">
        <v>201</v>
      </c>
      <c r="I1358" s="5" t="n">
        <v>199</v>
      </c>
      <c r="J1358" s="5" t="n">
        <v>70.2</v>
      </c>
      <c r="K1358" s="3" t="inlineStr">
        <is>
          <t>오송화장품산업단지 개발지역 상업지역 인근에 위치하는 전원주택 부지</t>
        </is>
      </c>
      <c r="L1358" s="6">
        <f>HYPERLINK("https://fin.land.naver.com/articles/2644380710",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오송랜드</t>
        </is>
      </c>
      <c r="P1358" s="4" t="n">
        <v>1</v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토지</t>
        </is>
      </c>
      <c r="E1359" s="3" t="inlineStr">
        <is>
          <t>창고용지</t>
        </is>
      </c>
      <c r="F1359" s="3" t="inlineStr">
        <is>
          <t>매매</t>
        </is>
      </c>
      <c r="G1359" s="4" t="n">
        <v>27000</v>
      </c>
      <c r="H1359" s="4" t="n">
        <v>173</v>
      </c>
      <c r="I1359" s="5" t="n">
        <v>156.1</v>
      </c>
      <c r="J1359" s="5" t="n">
        <v>70.2</v>
      </c>
      <c r="K1359" s="3" t="inlineStr">
        <is>
          <t>전원주택 부지, 도심과 가까운 주택부지</t>
        </is>
      </c>
      <c r="L1359" s="6">
        <f>HYPERLINK("https://fin.land.naver.com/articles/2645970707",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오송2단지창조</t>
        </is>
      </c>
      <c r="P1359" s="4" t="n">
        <v>1</v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토지</t>
        </is>
      </c>
      <c r="E1360" s="3" t="inlineStr">
        <is>
          <t>전</t>
        </is>
      </c>
      <c r="F1360" s="3" t="inlineStr">
        <is>
          <t>매매</t>
        </is>
      </c>
      <c r="G1360" s="4" t="n">
        <v>80000</v>
      </c>
      <c r="H1360" s="4" t="n">
        <v>297</v>
      </c>
      <c r="I1360" s="5" t="n">
        <v>269.4</v>
      </c>
      <c r="J1360" s="5" t="n">
        <v>43.7</v>
      </c>
      <c r="K1360" s="3" t="inlineStr">
        <is>
          <t>2차선 지방도로에 접한 오송1산업단지와 인접한 계획관리 농지</t>
        </is>
      </c>
      <c r="L1360" s="6">
        <f>HYPERLINK("https://fin.land.naver.com/articles/2645397076",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오송랜드</t>
        </is>
      </c>
      <c r="P1360" s="4" t="n">
        <v>1</v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토지</t>
        </is>
      </c>
      <c r="E1361" s="3" t="inlineStr">
        <is>
          <t>전</t>
        </is>
      </c>
      <c r="F1361" s="3" t="inlineStr">
        <is>
          <t>매매</t>
        </is>
      </c>
      <c r="G1361" s="4" t="n">
        <v>80000</v>
      </c>
      <c r="H1361" s="4" t="n">
        <v>297</v>
      </c>
      <c r="I1361" s="5" t="n">
        <v>269.4</v>
      </c>
      <c r="J1361" s="5" t="n">
        <v>43.7</v>
      </c>
      <c r="K1361" s="3" t="inlineStr">
        <is>
          <t>순이네 보리밥 진입로 좌측 직사각형의 용도다양한 토지매매</t>
        </is>
      </c>
      <c r="L1361" s="6">
        <f>HYPERLINK("https://fin.land.naver.com/articles/2644567691",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오송k랜드</t>
        </is>
      </c>
      <c r="P1361" s="4" t="n">
        <v>1</v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토지</t>
        </is>
      </c>
      <c r="E1362" s="3" t="inlineStr">
        <is>
          <t>전</t>
        </is>
      </c>
      <c r="F1362" s="3" t="inlineStr">
        <is>
          <t>매매</t>
        </is>
      </c>
      <c r="G1362" s="4" t="n">
        <v>61000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토지</t>
        </is>
      </c>
      <c r="E1363" s="3" t="inlineStr">
        <is>
          <t>대</t>
        </is>
      </c>
      <c r="F1363" s="3" t="inlineStr">
        <is>
          <t>매매</t>
        </is>
      </c>
      <c r="G1363" s="4" t="n">
        <v>130000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토지</t>
        </is>
      </c>
      <c r="E1364" s="3" t="inlineStr">
        <is>
          <t>대</t>
        </is>
      </c>
      <c r="F1364" s="3" t="inlineStr">
        <is>
          <t>매매</t>
        </is>
      </c>
      <c r="G1364" s="4" t="n">
        <v>86000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토지</t>
        </is>
      </c>
      <c r="E1365" s="3" t="inlineStr">
        <is>
          <t>답</t>
        </is>
      </c>
      <c r="F1365" s="3" t="inlineStr">
        <is>
          <t>매매</t>
        </is>
      </c>
      <c r="G1365" s="4" t="n">
        <v>27000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토지</t>
        </is>
      </c>
      <c r="E1366" s="3" t="inlineStr">
        <is>
          <t>답</t>
        </is>
      </c>
      <c r="F1366" s="3" t="inlineStr">
        <is>
          <t>매매</t>
        </is>
      </c>
      <c r="G1366" s="4" t="n">
        <v>42000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토지</t>
        </is>
      </c>
      <c r="E1367" s="3" t="inlineStr">
        <is>
          <t>답</t>
        </is>
      </c>
      <c r="F1367" s="3" t="inlineStr">
        <is>
          <t>매매</t>
        </is>
      </c>
      <c r="G1367" s="4" t="n">
        <v>150000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토지</t>
        </is>
      </c>
      <c r="E1368" s="3" t="inlineStr">
        <is>
          <t>대</t>
        </is>
      </c>
      <c r="F1368" s="3" t="inlineStr">
        <is>
          <t>매매</t>
        </is>
      </c>
      <c r="G1368" s="4" t="n">
        <v>36000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토지</t>
        </is>
      </c>
      <c r="E1369" s="3" t="inlineStr">
        <is>
          <t>대</t>
        </is>
      </c>
      <c r="F1369" s="3" t="inlineStr">
        <is>
          <t>매매</t>
        </is>
      </c>
      <c r="G1369" s="4" t="n">
        <v>33000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토지</t>
        </is>
      </c>
      <c r="E1370" s="3" t="inlineStr">
        <is>
          <t>대</t>
        </is>
      </c>
      <c r="F1370" s="3" t="inlineStr">
        <is>
          <t>매매</t>
        </is>
      </c>
      <c r="G1370" s="4" t="n">
        <v>29000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토지</t>
        </is>
      </c>
      <c r="E1371" s="3" t="inlineStr">
        <is>
          <t>대</t>
        </is>
      </c>
      <c r="F1371" s="3" t="inlineStr">
        <is>
          <t>매매</t>
        </is>
      </c>
      <c r="G1371" s="4" t="n">
        <v>29000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토지</t>
        </is>
      </c>
      <c r="E1372" s="3" t="inlineStr">
        <is>
          <t>대</t>
        </is>
      </c>
      <c r="F1372" s="3" t="inlineStr">
        <is>
          <t>매매</t>
        </is>
      </c>
      <c r="G1372" s="4" t="n">
        <v>60000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토지</t>
        </is>
      </c>
      <c r="E1373" s="3" t="inlineStr">
        <is>
          <t>대</t>
        </is>
      </c>
      <c r="F1373" s="3" t="inlineStr">
        <is>
          <t>매매</t>
        </is>
      </c>
      <c r="G1373" s="4" t="n">
        <v>25000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토지</t>
        </is>
      </c>
      <c r="E1374" s="3" t="inlineStr">
        <is>
          <t>임야</t>
        </is>
      </c>
      <c r="F1374" s="3" t="inlineStr">
        <is>
          <t>매매</t>
        </is>
      </c>
      <c r="G1374" s="4" t="n">
        <v>34000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토지</t>
        </is>
      </c>
      <c r="E1375" s="3" t="inlineStr">
        <is>
          <t>임야</t>
        </is>
      </c>
      <c r="F1375" s="3" t="inlineStr">
        <is>
          <t>매매</t>
        </is>
      </c>
      <c r="G1375" s="4" t="n">
        <v>31845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토지</t>
        </is>
      </c>
      <c r="E1376" s="3" t="inlineStr">
        <is>
          <t>임야</t>
        </is>
      </c>
      <c r="F1376" s="3" t="inlineStr">
        <is>
          <t>매매</t>
        </is>
      </c>
      <c r="G1376" s="4" t="n">
        <v>30000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토지</t>
        </is>
      </c>
      <c r="E1377" s="3" t="inlineStr">
        <is>
          <t>답</t>
        </is>
      </c>
      <c r="F1377" s="3" t="inlineStr">
        <is>
          <t>매매</t>
        </is>
      </c>
      <c r="G1377" s="4" t="n">
        <v>153000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토지</t>
        </is>
      </c>
      <c r="E1378" s="3" t="inlineStr">
        <is>
          <t>답</t>
        </is>
      </c>
      <c r="F1378" s="3" t="inlineStr">
        <is>
          <t>매매</t>
        </is>
      </c>
      <c r="G1378" s="4" t="n">
        <v>132000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토지</t>
        </is>
      </c>
      <c r="E1379" s="3" t="inlineStr">
        <is>
          <t>답</t>
        </is>
      </c>
      <c r="F1379" s="3" t="inlineStr">
        <is>
          <t>매매</t>
        </is>
      </c>
      <c r="G1379" s="4" t="n">
        <v>170000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토지</t>
        </is>
      </c>
      <c r="E1380" s="3" t="inlineStr">
        <is>
          <t>답</t>
        </is>
      </c>
      <c r="F1380" s="3" t="inlineStr">
        <is>
          <t>매매</t>
        </is>
      </c>
      <c r="G1380" s="4" t="n">
        <v>170000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토지</t>
        </is>
      </c>
      <c r="E1381" s="3" t="inlineStr">
        <is>
          <t>답</t>
        </is>
      </c>
      <c r="F1381" s="3" t="inlineStr">
        <is>
          <t>매매</t>
        </is>
      </c>
      <c r="G1381" s="4" t="n">
        <v>140000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토지</t>
        </is>
      </c>
      <c r="E1382" s="3" t="inlineStr">
        <is>
          <t>답</t>
        </is>
      </c>
      <c r="F1382" s="3" t="inlineStr">
        <is>
          <t>매매</t>
        </is>
      </c>
      <c r="G1382" s="4" t="n">
        <v>360000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토지</t>
        </is>
      </c>
      <c r="E1383" s="3" t="inlineStr">
        <is>
          <t>창고용지</t>
        </is>
      </c>
      <c r="F1383" s="3" t="inlineStr">
        <is>
          <t>매매</t>
        </is>
      </c>
      <c r="G1383" s="4" t="n">
        <v>360000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토지</t>
        </is>
      </c>
      <c r="E1384" s="3" t="inlineStr">
        <is>
          <t>답</t>
        </is>
      </c>
      <c r="F1384" s="3" t="inlineStr">
        <is>
          <t>매매</t>
        </is>
      </c>
      <c r="G1384" s="4" t="n">
        <v>115000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토지</t>
        </is>
      </c>
      <c r="E1385" s="3" t="inlineStr">
        <is>
          <t>답</t>
        </is>
      </c>
      <c r="F1385" s="3" t="inlineStr">
        <is>
          <t>매매</t>
        </is>
      </c>
      <c r="G1385" s="4" t="n">
        <v>85000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토지</t>
        </is>
      </c>
      <c r="E1386" s="3" t="inlineStr">
        <is>
          <t>답</t>
        </is>
      </c>
      <c r="F1386" s="3" t="inlineStr">
        <is>
          <t>매매</t>
        </is>
      </c>
      <c r="G1386" s="4" t="n">
        <v>100000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토지</t>
        </is>
      </c>
      <c r="E1387" s="3" t="inlineStr">
        <is>
          <t>답</t>
        </is>
      </c>
      <c r="F1387" s="3" t="inlineStr">
        <is>
          <t>매매</t>
        </is>
      </c>
      <c r="G1387" s="4" t="n">
        <v>86000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토지</t>
        </is>
      </c>
      <c r="E1388" s="3" t="inlineStr">
        <is>
          <t>답</t>
        </is>
      </c>
      <c r="F1388" s="3" t="inlineStr">
        <is>
          <t>매매</t>
        </is>
      </c>
      <c r="G1388" s="4" t="n">
        <v>44700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토지</t>
        </is>
      </c>
      <c r="E1389" s="3" t="inlineStr">
        <is>
          <t>과수원</t>
        </is>
      </c>
      <c r="F1389" s="3" t="inlineStr">
        <is>
          <t>매매</t>
        </is>
      </c>
      <c r="G1389" s="4" t="n">
        <v>198720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토지</t>
        </is>
      </c>
      <c r="E1390" s="3" t="inlineStr">
        <is>
          <t>과수원</t>
        </is>
      </c>
      <c r="F1390" s="3" t="inlineStr">
        <is>
          <t>매매</t>
        </is>
      </c>
      <c r="G1390" s="4" t="n">
        <v>122000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토지</t>
        </is>
      </c>
      <c r="E1391" s="3" t="inlineStr">
        <is>
          <t>전</t>
        </is>
      </c>
      <c r="F1391" s="3" t="inlineStr">
        <is>
          <t>매매</t>
        </is>
      </c>
      <c r="G1391" s="4" t="n">
        <v>41500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토지</t>
        </is>
      </c>
      <c r="E1392" s="3" t="inlineStr">
        <is>
          <t>답</t>
        </is>
      </c>
      <c r="F1392" s="3" t="inlineStr">
        <is>
          <t>매매</t>
        </is>
      </c>
      <c r="G1392" s="4" t="n">
        <v>105000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토지</t>
        </is>
      </c>
      <c r="E1393" s="3" t="inlineStr">
        <is>
          <t>답</t>
        </is>
      </c>
      <c r="F1393" s="3" t="inlineStr">
        <is>
          <t>매매</t>
        </is>
      </c>
      <c r="G1393" s="4" t="n">
        <v>40000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오송타운</t>
        </is>
      </c>
      <c r="P1393" s="4" t="n">
        <v>1</v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토지</t>
        </is>
      </c>
      <c r="E1394" s="3" t="inlineStr">
        <is>
          <t>답</t>
        </is>
      </c>
      <c r="F1394" s="3" t="inlineStr">
        <is>
          <t>매매</t>
        </is>
      </c>
      <c r="G1394" s="4" t="n">
        <v>43000</v>
      </c>
      <c r="H1394" s="4" t="n">
        <v>708</v>
      </c>
      <c r="I1394" s="5" t="n">
        <v>60.7</v>
      </c>
      <c r="J1394" s="5" t="n">
        <v>29.5</v>
      </c>
      <c r="K1394" s="3" t="inlineStr">
        <is>
          <t>오송3산업단지 공용수용지 인근가격대비 최적의 대토 투자용 토지임</t>
        </is>
      </c>
      <c r="L1394" s="6">
        <f>HYPERLINK("https://fin.land.naver.com/articles/2645221824",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오송k랜드</t>
        </is>
      </c>
      <c r="P1394" s="4" t="n">
        <v>1</v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토지</t>
        </is>
      </c>
      <c r="E1395" s="3" t="inlineStr">
        <is>
          <t>답</t>
        </is>
      </c>
      <c r="F1395" s="3" t="inlineStr">
        <is>
          <t>매매</t>
        </is>
      </c>
      <c r="G1395" s="4" t="n">
        <v>96000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토지</t>
        </is>
      </c>
      <c r="E1396" s="3" t="inlineStr">
        <is>
          <t>답</t>
        </is>
      </c>
      <c r="F1396" s="3" t="inlineStr">
        <is>
          <t>매매</t>
        </is>
      </c>
      <c r="G1396" s="4" t="n">
        <v>110000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토지</t>
        </is>
      </c>
      <c r="E1397" s="3" t="inlineStr">
        <is>
          <t>창고용지</t>
        </is>
      </c>
      <c r="F1397" s="3" t="inlineStr">
        <is>
          <t>매매</t>
        </is>
      </c>
      <c r="G1397" s="4" t="n">
        <v>120000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토지</t>
        </is>
      </c>
      <c r="E1398" s="3" t="inlineStr">
        <is>
          <t>전</t>
        </is>
      </c>
      <c r="F1398" s="3" t="inlineStr">
        <is>
          <t>매매</t>
        </is>
      </c>
      <c r="G1398" s="4" t="n">
        <v>124000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토지</t>
        </is>
      </c>
      <c r="E1399" s="3" t="inlineStr">
        <is>
          <t>전</t>
        </is>
      </c>
      <c r="F1399" s="3" t="inlineStr">
        <is>
          <t>매매</t>
        </is>
      </c>
      <c r="G1399" s="4" t="n">
        <v>57400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토지</t>
        </is>
      </c>
      <c r="E1400" s="3" t="inlineStr">
        <is>
          <t>전</t>
        </is>
      </c>
      <c r="F1400" s="3" t="inlineStr">
        <is>
          <t>매매</t>
        </is>
      </c>
      <c r="G1400" s="4" t="n">
        <v>52000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토지</t>
        </is>
      </c>
      <c r="E1401" s="3" t="inlineStr">
        <is>
          <t>전</t>
        </is>
      </c>
      <c r="F1401" s="3" t="inlineStr">
        <is>
          <t>매매</t>
        </is>
      </c>
      <c r="G1401" s="4" t="n">
        <v>23000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토지</t>
        </is>
      </c>
      <c r="E1402" s="3" t="inlineStr">
        <is>
          <t>전</t>
        </is>
      </c>
      <c r="F1402" s="3" t="inlineStr">
        <is>
          <t>매매</t>
        </is>
      </c>
      <c r="G1402" s="4" t="n">
        <v>39000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토지</t>
        </is>
      </c>
      <c r="E1403" s="3" t="inlineStr">
        <is>
          <t>전</t>
        </is>
      </c>
      <c r="F1403" s="3" t="inlineStr">
        <is>
          <t>매매</t>
        </is>
      </c>
      <c r="G1403" s="4" t="n">
        <v>80700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토지</t>
        </is>
      </c>
      <c r="E1404" s="3" t="inlineStr">
        <is>
          <t>답</t>
        </is>
      </c>
      <c r="F1404" s="3" t="inlineStr">
        <is>
          <t>매매</t>
        </is>
      </c>
      <c r="G1404" s="4" t="n">
        <v>106600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토지</t>
        </is>
      </c>
      <c r="E1405" s="3" t="inlineStr">
        <is>
          <t>공장용지</t>
        </is>
      </c>
      <c r="F1405" s="3" t="inlineStr">
        <is>
          <t>매매</t>
        </is>
      </c>
      <c r="G1405" s="4" t="n">
        <v>145000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토지</t>
        </is>
      </c>
      <c r="E1406" s="3" t="inlineStr">
        <is>
          <t>공장용지</t>
        </is>
      </c>
      <c r="F1406" s="3" t="inlineStr">
        <is>
          <t>매매</t>
        </is>
      </c>
      <c r="G1406" s="4" t="n">
        <v>30800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토지</t>
        </is>
      </c>
      <c r="E1407" s="3" t="inlineStr">
        <is>
          <t>임야</t>
        </is>
      </c>
      <c r="F1407" s="3" t="inlineStr">
        <is>
          <t>매매</t>
        </is>
      </c>
      <c r="G1407" s="4" t="n">
        <v>65000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세종소담황금</t>
        </is>
      </c>
      <c r="P1407" s="4" t="n">
        <v>1</v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토지</t>
        </is>
      </c>
      <c r="E1408" s="3" t="inlineStr">
        <is>
          <t>임야</t>
        </is>
      </c>
      <c r="F1408" s="3" t="inlineStr">
        <is>
          <t>매매</t>
        </is>
      </c>
      <c r="G1408" s="4" t="n">
        <v>100000</v>
      </c>
      <c r="H1408" s="4" t="n">
        <v>515</v>
      </c>
      <c r="I1408" s="5" t="n">
        <v>194.2</v>
      </c>
      <c r="J1408" s="5" t="n">
        <v>59.3</v>
      </c>
      <c r="K1408" s="3" t="inlineStr">
        <is>
          <t>오송신도시의 계획관리지역으로 투자가치가 좋음</t>
        </is>
      </c>
      <c r="L1408" s="6">
        <f>HYPERLINK("https://fin.land.naver.com/articles/2647916765",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가람</t>
        </is>
      </c>
      <c r="P1408" s="4" t="n">
        <v>1</v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토지</t>
        </is>
      </c>
      <c r="E1409" s="3" t="inlineStr">
        <is>
          <t>대</t>
        </is>
      </c>
      <c r="F1409" s="3" t="inlineStr">
        <is>
          <t>매매</t>
        </is>
      </c>
      <c r="G1409" s="4" t="n">
        <v>32000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토지</t>
        </is>
      </c>
      <c r="E1410" s="3" t="inlineStr">
        <is>
          <t>전</t>
        </is>
      </c>
      <c r="F1410" s="3" t="inlineStr">
        <is>
          <t>매매</t>
        </is>
      </c>
      <c r="G1410" s="4" t="n">
        <v>23100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토지</t>
        </is>
      </c>
      <c r="E1411" s="3" t="inlineStr">
        <is>
          <t>전</t>
        </is>
      </c>
      <c r="F1411" s="3" t="inlineStr">
        <is>
          <t>매매</t>
        </is>
      </c>
      <c r="G1411" s="4" t="n">
        <v>53000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토지</t>
        </is>
      </c>
      <c r="E1412" s="3" t="inlineStr">
        <is>
          <t>답</t>
        </is>
      </c>
      <c r="F1412" s="3" t="inlineStr">
        <is>
          <t>매매</t>
        </is>
      </c>
      <c r="G1412" s="4" t="n">
        <v>53500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토지</t>
        </is>
      </c>
      <c r="E1413" s="3" t="inlineStr">
        <is>
          <t>전</t>
        </is>
      </c>
      <c r="F1413" s="3" t="inlineStr">
        <is>
          <t>매매</t>
        </is>
      </c>
      <c r="G1413" s="4" t="n">
        <v>110000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토지</t>
        </is>
      </c>
      <c r="E1414" s="3" t="inlineStr">
        <is>
          <t>전</t>
        </is>
      </c>
      <c r="F1414" s="3" t="inlineStr">
        <is>
          <t>매매</t>
        </is>
      </c>
      <c r="G1414" s="4" t="n">
        <v>118000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토지</t>
        </is>
      </c>
      <c r="E1415" s="3" t="inlineStr">
        <is>
          <t>과수원</t>
        </is>
      </c>
      <c r="F1415" s="3" t="inlineStr">
        <is>
          <t>매매</t>
        </is>
      </c>
      <c r="G1415" s="4" t="n">
        <v>73800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토지</t>
        </is>
      </c>
      <c r="E1416" s="3" t="inlineStr">
        <is>
          <t>답</t>
        </is>
      </c>
      <c r="F1416" s="3" t="inlineStr">
        <is>
          <t>매매</t>
        </is>
      </c>
      <c r="G1416" s="4" t="n">
        <v>121200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토지</t>
        </is>
      </c>
      <c r="E1417" s="3" t="inlineStr">
        <is>
          <t>과수원</t>
        </is>
      </c>
      <c r="F1417" s="3" t="inlineStr">
        <is>
          <t>매매</t>
        </is>
      </c>
      <c r="G1417" s="4" t="n">
        <v>105000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토지</t>
        </is>
      </c>
      <c r="E1418" s="3" t="inlineStr">
        <is>
          <t>답</t>
        </is>
      </c>
      <c r="F1418" s="3" t="inlineStr">
        <is>
          <t>매매</t>
        </is>
      </c>
      <c r="G1418" s="4" t="n">
        <v>180000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토지</t>
        </is>
      </c>
      <c r="E1419" s="3" t="inlineStr">
        <is>
          <t>답</t>
        </is>
      </c>
      <c r="F1419" s="3" t="inlineStr">
        <is>
          <t>매매</t>
        </is>
      </c>
      <c r="G1419" s="4" t="n">
        <v>172000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토지</t>
        </is>
      </c>
      <c r="E1420" s="3" t="inlineStr">
        <is>
          <t>답</t>
        </is>
      </c>
      <c r="F1420" s="3" t="inlineStr">
        <is>
          <t>매매</t>
        </is>
      </c>
      <c r="G1420" s="4" t="n">
        <v>30000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토지</t>
        </is>
      </c>
      <c r="E1421" s="3" t="inlineStr">
        <is>
          <t>답</t>
        </is>
      </c>
      <c r="F1421" s="3" t="inlineStr">
        <is>
          <t>매매</t>
        </is>
      </c>
      <c r="G1421" s="4" t="n">
        <v>61000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토지</t>
        </is>
      </c>
      <c r="E1422" s="3" t="inlineStr">
        <is>
          <t>전</t>
        </is>
      </c>
      <c r="F1422" s="3" t="inlineStr">
        <is>
          <t>매매</t>
        </is>
      </c>
      <c r="G1422" s="4" t="n">
        <v>88000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토지</t>
        </is>
      </c>
      <c r="E1423" s="3" t="inlineStr">
        <is>
          <t>대</t>
        </is>
      </c>
      <c r="F1423" s="3" t="inlineStr">
        <is>
          <t>매매</t>
        </is>
      </c>
      <c r="G1423" s="4" t="n">
        <v>55000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토지</t>
        </is>
      </c>
      <c r="E1424" s="3" t="inlineStr">
        <is>
          <t>대</t>
        </is>
      </c>
      <c r="F1424" s="3" t="inlineStr">
        <is>
          <t>매매</t>
        </is>
      </c>
      <c r="G1424" s="4" t="n">
        <v>300000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토지</t>
        </is>
      </c>
      <c r="E1425" s="3" t="inlineStr">
        <is>
          <t>대</t>
        </is>
      </c>
      <c r="F1425" s="3" t="inlineStr">
        <is>
          <t>매매</t>
        </is>
      </c>
      <c r="G1425" s="4" t="n">
        <v>820000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토지</t>
        </is>
      </c>
      <c r="E1426" s="3" t="inlineStr">
        <is>
          <t>대</t>
        </is>
      </c>
      <c r="F1426" s="3" t="inlineStr">
        <is>
          <t>매매</t>
        </is>
      </c>
      <c r="G1426" s="4" t="n">
        <v>135000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토지</t>
        </is>
      </c>
      <c r="E1427" s="3" t="inlineStr">
        <is>
          <t>대</t>
        </is>
      </c>
      <c r="F1427" s="3" t="inlineStr">
        <is>
          <t>매매</t>
        </is>
      </c>
      <c r="G1427" s="4" t="n">
        <v>270000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토지</t>
        </is>
      </c>
      <c r="E1428" s="3" t="inlineStr">
        <is>
          <t>대</t>
        </is>
      </c>
      <c r="F1428" s="3" t="inlineStr">
        <is>
          <t>매매</t>
        </is>
      </c>
      <c r="G1428" s="4" t="n">
        <v>35000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토지</t>
        </is>
      </c>
      <c r="E1429" s="3" t="inlineStr">
        <is>
          <t>임야</t>
        </is>
      </c>
      <c r="F1429" s="3" t="inlineStr">
        <is>
          <t>매매</t>
        </is>
      </c>
      <c r="G1429" s="4" t="n">
        <v>140000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토지</t>
        </is>
      </c>
      <c r="E1430" s="3" t="inlineStr">
        <is>
          <t>대</t>
        </is>
      </c>
      <c r="F1430" s="3" t="inlineStr">
        <is>
          <t>매매</t>
        </is>
      </c>
      <c r="G1430" s="4" t="n">
        <v>38000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토지</t>
        </is>
      </c>
      <c r="E1431" s="3" t="inlineStr">
        <is>
          <t>대</t>
        </is>
      </c>
      <c r="F1431" s="3" t="inlineStr">
        <is>
          <t>매매</t>
        </is>
      </c>
      <c r="G1431" s="4" t="n">
        <v>86000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토지</t>
        </is>
      </c>
      <c r="E1432" s="3" t="inlineStr">
        <is>
          <t>대</t>
        </is>
      </c>
      <c r="F1432" s="3" t="inlineStr">
        <is>
          <t>매매</t>
        </is>
      </c>
      <c r="G1432" s="4" t="n">
        <v>96000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토지</t>
        </is>
      </c>
      <c r="E1433" s="3" t="inlineStr">
        <is>
          <t>답</t>
        </is>
      </c>
      <c r="F1433" s="3" t="inlineStr">
        <is>
          <t>매매</t>
        </is>
      </c>
      <c r="G1433" s="4" t="n">
        <v>35000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토지</t>
        </is>
      </c>
      <c r="E1434" s="3" t="inlineStr">
        <is>
          <t>대</t>
        </is>
      </c>
      <c r="F1434" s="3" t="inlineStr">
        <is>
          <t>매매</t>
        </is>
      </c>
      <c r="G1434" s="4" t="n">
        <v>81500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토지</t>
        </is>
      </c>
      <c r="E1435" s="3" t="inlineStr">
        <is>
          <t>주유소용지</t>
        </is>
      </c>
      <c r="F1435" s="3" t="inlineStr">
        <is>
          <t>매매</t>
        </is>
      </c>
      <c r="G1435" s="4" t="n">
        <v>245000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토지</t>
        </is>
      </c>
      <c r="E1436" s="3" t="inlineStr">
        <is>
          <t>전</t>
        </is>
      </c>
      <c r="F1436" s="3" t="inlineStr">
        <is>
          <t>매매</t>
        </is>
      </c>
      <c r="G1436" s="4" t="n">
        <v>32000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토지</t>
        </is>
      </c>
      <c r="E1437" s="3" t="inlineStr">
        <is>
          <t>답</t>
        </is>
      </c>
      <c r="F1437" s="3" t="inlineStr">
        <is>
          <t>매매</t>
        </is>
      </c>
      <c r="G1437" s="4" t="n">
        <v>120000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토지</t>
        </is>
      </c>
      <c r="E1438" s="3" t="inlineStr">
        <is>
          <t>대</t>
        </is>
      </c>
      <c r="F1438" s="3" t="inlineStr">
        <is>
          <t>매매</t>
        </is>
      </c>
      <c r="G1438" s="4" t="n">
        <v>150000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토지</t>
        </is>
      </c>
      <c r="E1439" s="3" t="inlineStr">
        <is>
          <t>전</t>
        </is>
      </c>
      <c r="F1439" s="3" t="inlineStr">
        <is>
          <t>매매</t>
        </is>
      </c>
      <c r="G1439" s="4" t="n">
        <v>330000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토지</t>
        </is>
      </c>
      <c r="E1440" s="3" t="inlineStr">
        <is>
          <t>대</t>
        </is>
      </c>
      <c r="F1440" s="3" t="inlineStr">
        <is>
          <t>매매</t>
        </is>
      </c>
      <c r="G1440" s="4" t="n">
        <v>30000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토지</t>
        </is>
      </c>
      <c r="E1441" s="3" t="inlineStr">
        <is>
          <t>전</t>
        </is>
      </c>
      <c r="F1441" s="3" t="inlineStr">
        <is>
          <t>매매</t>
        </is>
      </c>
      <c r="G1441" s="4" t="n">
        <v>20500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토지</t>
        </is>
      </c>
      <c r="E1442" s="3" t="inlineStr">
        <is>
          <t>전</t>
        </is>
      </c>
      <c r="F1442" s="3" t="inlineStr">
        <is>
          <t>매매</t>
        </is>
      </c>
      <c r="G1442" s="4" t="n">
        <v>14000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토지</t>
        </is>
      </c>
      <c r="E1443" s="3" t="inlineStr">
        <is>
          <t>전</t>
        </is>
      </c>
      <c r="F1443" s="3" t="inlineStr">
        <is>
          <t>매매</t>
        </is>
      </c>
      <c r="G1443" s="4" t="n">
        <v>35280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토지</t>
        </is>
      </c>
      <c r="E1444" s="3" t="inlineStr">
        <is>
          <t>답</t>
        </is>
      </c>
      <c r="F1444" s="3" t="inlineStr">
        <is>
          <t>매매</t>
        </is>
      </c>
      <c r="G1444" s="4" t="n">
        <v>30000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토지</t>
        </is>
      </c>
      <c r="E1445" s="3" t="inlineStr">
        <is>
          <t>잡종지</t>
        </is>
      </c>
      <c r="F1445" s="3" t="inlineStr">
        <is>
          <t>매매</t>
        </is>
      </c>
      <c r="G1445" s="4" t="n">
        <v>180000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토지</t>
        </is>
      </c>
      <c r="E1446" s="3" t="inlineStr">
        <is>
          <t>대</t>
        </is>
      </c>
      <c r="F1446" s="3" t="inlineStr">
        <is>
          <t>매매</t>
        </is>
      </c>
      <c r="G1446" s="4" t="n">
        <v>25000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토지</t>
        </is>
      </c>
      <c r="E1447" s="3" t="inlineStr">
        <is>
          <t>공장용지</t>
        </is>
      </c>
      <c r="F1447" s="3" t="inlineStr">
        <is>
          <t>매매</t>
        </is>
      </c>
      <c r="G1447" s="4" t="n">
        <v>1416100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토지</t>
        </is>
      </c>
      <c r="E1448" s="3" t="inlineStr">
        <is>
          <t>대</t>
        </is>
      </c>
      <c r="F1448" s="3" t="inlineStr">
        <is>
          <t>매매</t>
        </is>
      </c>
      <c r="G1448" s="4" t="n">
        <v>237000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토지</t>
        </is>
      </c>
      <c r="E1449" s="3" t="inlineStr">
        <is>
          <t>대</t>
        </is>
      </c>
      <c r="F1449" s="3" t="inlineStr">
        <is>
          <t>매매</t>
        </is>
      </c>
      <c r="G1449" s="4" t="n">
        <v>155000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토지</t>
        </is>
      </c>
      <c r="E1450" s="3" t="inlineStr">
        <is>
          <t>대</t>
        </is>
      </c>
      <c r="F1450" s="3" t="inlineStr">
        <is>
          <t>매매</t>
        </is>
      </c>
      <c r="G1450" s="4" t="n">
        <v>220000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토지</t>
        </is>
      </c>
      <c r="E1451" s="3" t="inlineStr">
        <is>
          <t>대</t>
        </is>
      </c>
      <c r="F1451" s="3" t="inlineStr">
        <is>
          <t>매매</t>
        </is>
      </c>
      <c r="G1451" s="4" t="n">
        <v>152000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토지</t>
        </is>
      </c>
      <c r="E1452" s="3" t="inlineStr">
        <is>
          <t>대</t>
        </is>
      </c>
      <c r="F1452" s="3" t="inlineStr">
        <is>
          <t>매매</t>
        </is>
      </c>
      <c r="G1452" s="4" t="n">
        <v>150000</v>
      </c>
      <c r="H1452" s="4" t="n">
        <v>166</v>
      </c>
      <c r="I1452" s="5" t="n">
        <v>903.6</v>
      </c>
      <c r="J1452" s="5" t="n">
        <v>347.1</v>
      </c>
      <c r="K1452" s="3" t="inlineStr">
        <is>
          <t>오송 정중리 상가 신축 가능한 투자용지</t>
        </is>
      </c>
      <c r="L1452" s="6">
        <f>HYPERLINK("https://fin.land.naver.com/articles/2647850811",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성진</t>
        </is>
      </c>
      <c r="P1452" s="4" t="n">
        <v>1</v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토지</t>
        </is>
      </c>
      <c r="E1453" s="3" t="inlineStr">
        <is>
          <t>대</t>
        </is>
      </c>
      <c r="F1453" s="3" t="inlineStr">
        <is>
          <t>매매</t>
        </is>
      </c>
      <c r="G1453" s="4" t="n">
        <v>140000</v>
      </c>
      <c r="H1453" s="4" t="n">
        <v>166</v>
      </c>
      <c r="I1453" s="5" t="n">
        <v>843.4</v>
      </c>
      <c r="J1453" s="5" t="n">
        <v>347.1</v>
      </c>
      <c r="K1453" s="3" t="inlineStr">
        <is>
          <t>급매, 오송 국민체육센터 인근 토지 매매</t>
        </is>
      </c>
      <c r="L1453" s="6">
        <f>HYPERLINK("https://fin.land.naver.com/articles/2648308447",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광장</t>
        </is>
      </c>
      <c r="P1453" s="4" t="n">
        <v>1</v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토지</t>
        </is>
      </c>
      <c r="E1454" s="3" t="inlineStr">
        <is>
          <t>대</t>
        </is>
      </c>
      <c r="F1454" s="3" t="inlineStr">
        <is>
          <t>매매</t>
        </is>
      </c>
      <c r="G1454" s="4" t="n">
        <v>166000</v>
      </c>
      <c r="H1454" s="4" t="n">
        <v>166</v>
      </c>
      <c r="I1454" s="5" t="n">
        <v>1000</v>
      </c>
      <c r="J1454" s="5" t="n">
        <v>347.1</v>
      </c>
      <c r="K1454" s="3" t="inlineStr">
        <is>
          <t>오송 2산단 지원시설용지  아파트 인접한 대로변 토지 근생 건물등 가능</t>
        </is>
      </c>
      <c r="L1454" s="6">
        <f>HYPERLINK("https://fin.land.naver.com/articles/2646670136",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더원</t>
        </is>
      </c>
      <c r="P1454" s="4" t="n">
        <v>3</v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토지</t>
        </is>
      </c>
      <c r="E1455" s="3" t="inlineStr">
        <is>
          <t>대</t>
        </is>
      </c>
      <c r="F1455" s="3" t="inlineStr">
        <is>
          <t>매매</t>
        </is>
      </c>
      <c r="G1455" s="4" t="n">
        <v>380000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토지</t>
        </is>
      </c>
      <c r="E1456" s="3" t="inlineStr">
        <is>
          <t>대</t>
        </is>
      </c>
      <c r="F1456" s="3" t="inlineStr">
        <is>
          <t>매매</t>
        </is>
      </c>
      <c r="G1456" s="4" t="n">
        <v>215000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토지</t>
        </is>
      </c>
      <c r="E1457" s="3" t="inlineStr">
        <is>
          <t>대</t>
        </is>
      </c>
      <c r="F1457" s="3" t="inlineStr">
        <is>
          <t>매매</t>
        </is>
      </c>
      <c r="G1457" s="4" t="n">
        <v>240000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토지</t>
        </is>
      </c>
      <c r="E1458" s="3" t="inlineStr">
        <is>
          <t>대</t>
        </is>
      </c>
      <c r="F1458" s="3" t="inlineStr">
        <is>
          <t>매매</t>
        </is>
      </c>
      <c r="G1458" s="4" t="n">
        <v>225000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토지</t>
        </is>
      </c>
      <c r="E1459" s="3" t="inlineStr">
        <is>
          <t>대</t>
        </is>
      </c>
      <c r="F1459" s="3" t="inlineStr">
        <is>
          <t>매매</t>
        </is>
      </c>
      <c r="G1459" s="4" t="n">
        <v>230000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토지</t>
        </is>
      </c>
      <c r="E1460" s="3" t="inlineStr">
        <is>
          <t>대</t>
        </is>
      </c>
      <c r="F1460" s="3" t="inlineStr">
        <is>
          <t>매매</t>
        </is>
      </c>
      <c r="G1460" s="4" t="n">
        <v>125020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토지</t>
        </is>
      </c>
      <c r="E1461" s="3" t="inlineStr">
        <is>
          <t>대</t>
        </is>
      </c>
      <c r="F1461" s="3" t="inlineStr">
        <is>
          <t>매매</t>
        </is>
      </c>
      <c r="G1461" s="4" t="n">
        <v>105000</v>
      </c>
      <c r="H1461" s="4" t="n">
        <v>178</v>
      </c>
      <c r="I1461" s="5" t="n">
        <v>589.9</v>
      </c>
      <c r="J1461" s="5" t="n">
        <v>256.4</v>
      </c>
      <c r="K1461" s="3" t="inlineStr">
        <is>
          <t>지원시설용지급매,식당등 임대활성화,대단위아파트단지</t>
        </is>
      </c>
      <c r="L1461" s="6">
        <f>HYPERLINK("https://fin.land.naver.com/articles/2644432760",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오송올래</t>
        </is>
      </c>
      <c r="P1461" s="4" t="n">
        <v>1</v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토지</t>
        </is>
      </c>
      <c r="E1462" s="3" t="inlineStr">
        <is>
          <t>대</t>
        </is>
      </c>
      <c r="F1462" s="3" t="inlineStr">
        <is>
          <t>매매</t>
        </is>
      </c>
      <c r="G1462" s="4" t="n">
        <v>105000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토지</t>
        </is>
      </c>
      <c r="E1463" s="3" t="inlineStr">
        <is>
          <t>대</t>
        </is>
      </c>
      <c r="F1463" s="3" t="inlineStr">
        <is>
          <t>매매</t>
        </is>
      </c>
      <c r="G1463" s="4" t="n">
        <v>105000</v>
      </c>
      <c r="H1463" s="4" t="n">
        <v>178</v>
      </c>
      <c r="I1463" s="5" t="n">
        <v>589.9</v>
      </c>
      <c r="J1463" s="5" t="n">
        <v>256.4</v>
      </c>
      <c r="K1463" s="3" t="inlineStr">
        <is>
          <t>nan</t>
        </is>
      </c>
      <c r="L1463" s="6">
        <f>HYPERLINK("https://fin.land.naver.com/articles/2646195570",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동행사무소</t>
        </is>
      </c>
      <c r="P1463" s="4" t="n">
        <v>1</v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토지</t>
        </is>
      </c>
      <c r="E1464" s="3" t="inlineStr">
        <is>
          <t>대</t>
        </is>
      </c>
      <c r="F1464" s="3" t="inlineStr">
        <is>
          <t>매매</t>
        </is>
      </c>
      <c r="G1464" s="4" t="n">
        <v>143000</v>
      </c>
      <c r="H1464" s="4" t="n">
        <v>178</v>
      </c>
      <c r="I1464" s="5" t="n">
        <v>803.4</v>
      </c>
      <c r="J1464" s="5" t="n">
        <v>256.4</v>
      </c>
      <c r="K1464" s="3" t="inlineStr">
        <is>
          <t>신도시 대단지아파트인접  지원시설용지</t>
        </is>
      </c>
      <c r="L1464" s="6">
        <f>HYPERLINK("https://fin.land.naver.com/articles/2644380529",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오송원</t>
        </is>
      </c>
      <c r="P1464" s="4" t="n">
        <v>1</v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토지</t>
        </is>
      </c>
      <c r="E1465" s="3" t="inlineStr">
        <is>
          <t>대</t>
        </is>
      </c>
      <c r="F1465" s="3" t="inlineStr">
        <is>
          <t>매매</t>
        </is>
      </c>
      <c r="G1465" s="4" t="n">
        <v>105000</v>
      </c>
      <c r="H1465" s="4" t="n">
        <v>178</v>
      </c>
      <c r="I1465" s="5" t="n">
        <v>589.9</v>
      </c>
      <c r="J1465" s="5" t="n">
        <v>256.4</v>
      </c>
      <c r="K1465" s="3" t="inlineStr">
        <is>
          <t>오송파라곤아파트 인근 토지</t>
        </is>
      </c>
      <c r="L1465" s="6">
        <f>HYPERLINK("https://fin.land.naver.com/articles/2647758220",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홍길동</t>
        </is>
      </c>
      <c r="P1465" s="4" t="n">
        <v>6</v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토지</t>
        </is>
      </c>
      <c r="E1466" s="3" t="inlineStr">
        <is>
          <t>대</t>
        </is>
      </c>
      <c r="F1466" s="3" t="inlineStr">
        <is>
          <t>매매</t>
        </is>
      </c>
      <c r="G1466" s="4" t="n">
        <v>202020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토지</t>
        </is>
      </c>
      <c r="E1467" s="3" t="inlineStr">
        <is>
          <t>대</t>
        </is>
      </c>
      <c r="F1467" s="3" t="inlineStr">
        <is>
          <t>매매</t>
        </is>
      </c>
      <c r="G1467" s="4" t="n">
        <v>95000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토지</t>
        </is>
      </c>
      <c r="E1468" s="3" t="inlineStr">
        <is>
          <t>대</t>
        </is>
      </c>
      <c r="F1468" s="3" t="inlineStr">
        <is>
          <t>매매</t>
        </is>
      </c>
      <c r="G1468" s="4" t="n">
        <v>125020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토지</t>
        </is>
      </c>
      <c r="E1469" s="3" t="inlineStr">
        <is>
          <t>임야</t>
        </is>
      </c>
      <c r="F1469" s="3" t="inlineStr">
        <is>
          <t>매매</t>
        </is>
      </c>
      <c r="G1469" s="4" t="n">
        <v>120000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토지</t>
        </is>
      </c>
      <c r="E1470" s="3" t="inlineStr">
        <is>
          <t>대</t>
        </is>
      </c>
      <c r="F1470" s="3" t="inlineStr">
        <is>
          <t>매매</t>
        </is>
      </c>
      <c r="G1470" s="4" t="n">
        <v>44280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토지</t>
        </is>
      </c>
      <c r="E1471" s="3" t="inlineStr">
        <is>
          <t>대</t>
        </is>
      </c>
      <c r="F1471" s="3" t="inlineStr">
        <is>
          <t>매매</t>
        </is>
      </c>
      <c r="G1471" s="4" t="n">
        <v>36036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토지</t>
        </is>
      </c>
      <c r="E1472" s="3" t="inlineStr">
        <is>
          <t>답</t>
        </is>
      </c>
      <c r="F1472" s="3" t="inlineStr">
        <is>
          <t>매매</t>
        </is>
      </c>
      <c r="G1472" s="4" t="n">
        <v>33000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토지</t>
        </is>
      </c>
      <c r="E1473" s="3" t="inlineStr">
        <is>
          <t>답</t>
        </is>
      </c>
      <c r="F1473" s="3" t="inlineStr">
        <is>
          <t>매매</t>
        </is>
      </c>
      <c r="G1473" s="4" t="n">
        <v>39845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토지</t>
        </is>
      </c>
      <c r="E1474" s="3" t="inlineStr">
        <is>
          <t>답</t>
        </is>
      </c>
      <c r="F1474" s="3" t="inlineStr">
        <is>
          <t>매매</t>
        </is>
      </c>
      <c r="G1474" s="4" t="n">
        <v>53500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토지</t>
        </is>
      </c>
      <c r="E1475" s="3" t="inlineStr">
        <is>
          <t>답</t>
        </is>
      </c>
      <c r="F1475" s="3" t="inlineStr">
        <is>
          <t>매매</t>
        </is>
      </c>
      <c r="G1475" s="4" t="n">
        <v>195800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토지</t>
        </is>
      </c>
      <c r="E1476" s="3" t="inlineStr">
        <is>
          <t>답</t>
        </is>
      </c>
      <c r="F1476" s="3" t="inlineStr">
        <is>
          <t>매매</t>
        </is>
      </c>
      <c r="G1476" s="4" t="n">
        <v>49000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토지</t>
        </is>
      </c>
      <c r="E1477" s="3" t="inlineStr">
        <is>
          <t>답</t>
        </is>
      </c>
      <c r="F1477" s="3" t="inlineStr">
        <is>
          <t>매매</t>
        </is>
      </c>
      <c r="G1477" s="4" t="n">
        <v>29000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토지</t>
        </is>
      </c>
      <c r="E1478" s="3" t="inlineStr">
        <is>
          <t>전</t>
        </is>
      </c>
      <c r="F1478" s="3" t="inlineStr">
        <is>
          <t>매매</t>
        </is>
      </c>
      <c r="G1478" s="4" t="n">
        <v>90000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토지</t>
        </is>
      </c>
      <c r="E1479" s="3" t="inlineStr">
        <is>
          <t>전</t>
        </is>
      </c>
      <c r="F1479" s="3" t="inlineStr">
        <is>
          <t>매매</t>
        </is>
      </c>
      <c r="G1479" s="4" t="n">
        <v>28500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토지</t>
        </is>
      </c>
      <c r="E1480" s="3" t="inlineStr">
        <is>
          <t>답</t>
        </is>
      </c>
      <c r="F1480" s="3" t="inlineStr">
        <is>
          <t>매매</t>
        </is>
      </c>
      <c r="G1480" s="4" t="n">
        <v>83200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토지</t>
        </is>
      </c>
      <c r="E1481" s="3" t="inlineStr">
        <is>
          <t>대</t>
        </is>
      </c>
      <c r="F1481" s="3" t="inlineStr">
        <is>
          <t>매매</t>
        </is>
      </c>
      <c r="G1481" s="4" t="n">
        <v>40000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토지</t>
        </is>
      </c>
      <c r="E1482" s="3" t="inlineStr">
        <is>
          <t>대</t>
        </is>
      </c>
      <c r="F1482" s="3" t="inlineStr">
        <is>
          <t>매매</t>
        </is>
      </c>
      <c r="G1482" s="4" t="n">
        <v>42000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토지</t>
        </is>
      </c>
      <c r="E1483" s="3" t="inlineStr">
        <is>
          <t>대</t>
        </is>
      </c>
      <c r="F1483" s="3" t="inlineStr">
        <is>
          <t>매매</t>
        </is>
      </c>
      <c r="G1483" s="4" t="n">
        <v>100000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토지</t>
        </is>
      </c>
      <c r="E1484" s="3" t="inlineStr">
        <is>
          <t>대</t>
        </is>
      </c>
      <c r="F1484" s="3" t="inlineStr">
        <is>
          <t>매매</t>
        </is>
      </c>
      <c r="G1484" s="4" t="n">
        <v>49000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토지</t>
        </is>
      </c>
      <c r="E1485" s="3" t="inlineStr">
        <is>
          <t>대</t>
        </is>
      </c>
      <c r="F1485" s="3" t="inlineStr">
        <is>
          <t>매매</t>
        </is>
      </c>
      <c r="G1485" s="4" t="n">
        <v>250000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토지</t>
        </is>
      </c>
      <c r="E1486" s="3" t="inlineStr">
        <is>
          <t>대</t>
        </is>
      </c>
      <c r="F1486" s="3" t="inlineStr">
        <is>
          <t>매매</t>
        </is>
      </c>
      <c r="G1486" s="4" t="n">
        <v>33250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토지</t>
        </is>
      </c>
      <c r="E1487" s="3" t="inlineStr">
        <is>
          <t>대</t>
        </is>
      </c>
      <c r="F1487" s="3" t="inlineStr">
        <is>
          <t>매매</t>
        </is>
      </c>
      <c r="G1487" s="4" t="n">
        <v>39000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토지</t>
        </is>
      </c>
      <c r="E1488" s="3" t="inlineStr">
        <is>
          <t>대</t>
        </is>
      </c>
      <c r="F1488" s="3" t="inlineStr">
        <is>
          <t>매매</t>
        </is>
      </c>
      <c r="G1488" s="4" t="n">
        <v>23800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토지</t>
        </is>
      </c>
      <c r="E1489" s="3" t="inlineStr">
        <is>
          <t>대</t>
        </is>
      </c>
      <c r="F1489" s="3" t="inlineStr">
        <is>
          <t>매매</t>
        </is>
      </c>
      <c r="G1489" s="4" t="n">
        <v>25000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토지</t>
        </is>
      </c>
      <c r="E1490" s="3" t="inlineStr">
        <is>
          <t>잡종지</t>
        </is>
      </c>
      <c r="F1490" s="3" t="inlineStr">
        <is>
          <t>매매</t>
        </is>
      </c>
      <c r="G1490" s="4" t="n">
        <v>280000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토지</t>
        </is>
      </c>
      <c r="E1491" s="3" t="inlineStr">
        <is>
          <t>주유소용지</t>
        </is>
      </c>
      <c r="F1491" s="3" t="inlineStr">
        <is>
          <t>매매</t>
        </is>
      </c>
      <c r="G1491" s="4" t="n">
        <v>170000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토지</t>
        </is>
      </c>
      <c r="E1492" s="3" t="inlineStr">
        <is>
          <t>과수원</t>
        </is>
      </c>
      <c r="F1492" s="3" t="inlineStr">
        <is>
          <t>매매</t>
        </is>
      </c>
      <c r="G1492" s="4" t="n">
        <v>121800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토지</t>
        </is>
      </c>
      <c r="E1493" s="3" t="inlineStr">
        <is>
          <t>과수원</t>
        </is>
      </c>
      <c r="F1493" s="3" t="inlineStr">
        <is>
          <t>매매</t>
        </is>
      </c>
      <c r="G1493" s="4" t="n">
        <v>158400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토지</t>
        </is>
      </c>
      <c r="E1494" s="3" t="inlineStr">
        <is>
          <t>과수원</t>
        </is>
      </c>
      <c r="F1494" s="3" t="inlineStr">
        <is>
          <t>매매</t>
        </is>
      </c>
      <c r="G1494" s="4" t="n">
        <v>178880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토지</t>
        </is>
      </c>
      <c r="E1495" s="3" t="inlineStr">
        <is>
          <t>임야</t>
        </is>
      </c>
      <c r="F1495" s="3" t="inlineStr">
        <is>
          <t>매매</t>
        </is>
      </c>
      <c r="G1495" s="4" t="n">
        <v>186000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토지</t>
        </is>
      </c>
      <c r="E1496" s="3" t="inlineStr">
        <is>
          <t>임야</t>
        </is>
      </c>
      <c r="F1496" s="3" t="inlineStr">
        <is>
          <t>매매</t>
        </is>
      </c>
      <c r="G1496" s="4" t="n">
        <v>186400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토지</t>
        </is>
      </c>
      <c r="E1497" s="3" t="inlineStr">
        <is>
          <t>전</t>
        </is>
      </c>
      <c r="F1497" s="3" t="inlineStr">
        <is>
          <t>매매</t>
        </is>
      </c>
      <c r="G1497" s="4" t="n">
        <v>120000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토지</t>
        </is>
      </c>
      <c r="E1498" s="3" t="inlineStr">
        <is>
          <t>전</t>
        </is>
      </c>
      <c r="F1498" s="3" t="inlineStr">
        <is>
          <t>매매</t>
        </is>
      </c>
      <c r="G1498" s="4" t="n">
        <v>60000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토지</t>
        </is>
      </c>
      <c r="E1499" s="3" t="inlineStr">
        <is>
          <t>대</t>
        </is>
      </c>
      <c r="F1499" s="3" t="inlineStr">
        <is>
          <t>매매</t>
        </is>
      </c>
      <c r="G1499" s="4" t="n">
        <v>50000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토지</t>
        </is>
      </c>
      <c r="E1500" s="3" t="inlineStr">
        <is>
          <t>전</t>
        </is>
      </c>
      <c r="F1500" s="3" t="inlineStr">
        <is>
          <t>매매</t>
        </is>
      </c>
      <c r="G1500" s="4" t="n">
        <v>180000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토지</t>
        </is>
      </c>
      <c r="E1501" s="3" t="inlineStr">
        <is>
          <t>전</t>
        </is>
      </c>
      <c r="F1501" s="3" t="inlineStr">
        <is>
          <t>매매</t>
        </is>
      </c>
      <c r="G1501" s="4" t="n">
        <v>245000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토지</t>
        </is>
      </c>
      <c r="E1502" s="3" t="inlineStr">
        <is>
          <t>답</t>
        </is>
      </c>
      <c r="F1502" s="3" t="inlineStr">
        <is>
          <t>매매</t>
        </is>
      </c>
      <c r="G1502" s="4" t="n">
        <v>210000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토지</t>
        </is>
      </c>
      <c r="E1503" s="3" t="inlineStr">
        <is>
          <t>전</t>
        </is>
      </c>
      <c r="F1503" s="3" t="inlineStr">
        <is>
          <t>매매</t>
        </is>
      </c>
      <c r="G1503" s="4" t="n">
        <v>65000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토지</t>
        </is>
      </c>
      <c r="E1504" s="3" t="inlineStr">
        <is>
          <t>답</t>
        </is>
      </c>
      <c r="F1504" s="3" t="inlineStr">
        <is>
          <t>매매</t>
        </is>
      </c>
      <c r="G1504" s="4" t="n">
        <v>75000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토지</t>
        </is>
      </c>
      <c r="E1505" s="3" t="inlineStr">
        <is>
          <t>답</t>
        </is>
      </c>
      <c r="F1505" s="3" t="inlineStr">
        <is>
          <t>매매</t>
        </is>
      </c>
      <c r="G1505" s="4" t="n">
        <v>50000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토지</t>
        </is>
      </c>
      <c r="E1506" s="3" t="inlineStr">
        <is>
          <t>대</t>
        </is>
      </c>
      <c r="F1506" s="3" t="inlineStr">
        <is>
          <t>매매</t>
        </is>
      </c>
      <c r="G1506" s="4" t="n">
        <v>110000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토지</t>
        </is>
      </c>
      <c r="E1507" s="3" t="inlineStr">
        <is>
          <t>전</t>
        </is>
      </c>
      <c r="F1507" s="3" t="inlineStr">
        <is>
          <t>매매</t>
        </is>
      </c>
      <c r="G1507" s="4" t="n">
        <v>76000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토지</t>
        </is>
      </c>
      <c r="E1508" s="3" t="inlineStr">
        <is>
          <t>답</t>
        </is>
      </c>
      <c r="F1508" s="3" t="inlineStr">
        <is>
          <t>매매</t>
        </is>
      </c>
      <c r="G1508" s="4" t="n">
        <v>180000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토지</t>
        </is>
      </c>
      <c r="E1509" s="3" t="inlineStr">
        <is>
          <t>답</t>
        </is>
      </c>
      <c r="F1509" s="3" t="inlineStr">
        <is>
          <t>매매</t>
        </is>
      </c>
      <c r="G1509" s="4" t="n">
        <v>140700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토지</t>
        </is>
      </c>
      <c r="E1510" s="3" t="inlineStr">
        <is>
          <t>전</t>
        </is>
      </c>
      <c r="F1510" s="3" t="inlineStr">
        <is>
          <t>매매</t>
        </is>
      </c>
      <c r="G1510" s="4" t="n">
        <v>329200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토지</t>
        </is>
      </c>
      <c r="E1511" s="3" t="inlineStr">
        <is>
          <t>전</t>
        </is>
      </c>
      <c r="F1511" s="3" t="inlineStr">
        <is>
          <t>매매</t>
        </is>
      </c>
      <c r="G1511" s="4" t="n">
        <v>151580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토지</t>
        </is>
      </c>
      <c r="E1512" s="3" t="inlineStr">
        <is>
          <t>과수원</t>
        </is>
      </c>
      <c r="F1512" s="3" t="inlineStr">
        <is>
          <t>매매</t>
        </is>
      </c>
      <c r="G1512" s="4" t="n">
        <v>120000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토지</t>
        </is>
      </c>
      <c r="E1513" s="3" t="inlineStr">
        <is>
          <t>대</t>
        </is>
      </c>
      <c r="F1513" s="3" t="inlineStr">
        <is>
          <t>매매</t>
        </is>
      </c>
      <c r="G1513" s="4" t="n">
        <v>1300000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토지</t>
        </is>
      </c>
      <c r="E1514" s="3" t="inlineStr">
        <is>
          <t>대</t>
        </is>
      </c>
      <c r="F1514" s="3" t="inlineStr">
        <is>
          <t>매매</t>
        </is>
      </c>
      <c r="G1514" s="4" t="n">
        <v>450000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토지</t>
        </is>
      </c>
      <c r="E1515" s="3" t="inlineStr">
        <is>
          <t>임야</t>
        </is>
      </c>
      <c r="F1515" s="3" t="inlineStr">
        <is>
          <t>매매</t>
        </is>
      </c>
      <c r="G1515" s="4" t="n">
        <v>380000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토지</t>
        </is>
      </c>
      <c r="E1516" s="3" t="inlineStr">
        <is>
          <t>임야</t>
        </is>
      </c>
      <c r="F1516" s="3" t="inlineStr">
        <is>
          <t>매매</t>
        </is>
      </c>
      <c r="G1516" s="4" t="n">
        <v>16084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토지</t>
        </is>
      </c>
      <c r="E1517" s="3" t="inlineStr">
        <is>
          <t>대</t>
        </is>
      </c>
      <c r="F1517" s="3" t="inlineStr">
        <is>
          <t>매매</t>
        </is>
      </c>
      <c r="G1517" s="4" t="n">
        <v>90000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토지</t>
        </is>
      </c>
      <c r="E1518" s="3" t="inlineStr">
        <is>
          <t>대</t>
        </is>
      </c>
      <c r="F1518" s="3" t="inlineStr">
        <is>
          <t>매매</t>
        </is>
      </c>
      <c r="G1518" s="4" t="n">
        <v>90000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인접 도로접 일반상업지역 9억대 나대지</t>
        </is>
      </c>
      <c r="L1518" s="6">
        <f>HYPERLINK("https://fin.land.naver.com/articles/2643587367",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세종소담황금</t>
        </is>
      </c>
      <c r="P1518" s="4" t="n">
        <v>1</v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토지</t>
        </is>
      </c>
      <c r="E1519" s="3" t="inlineStr">
        <is>
          <t>대</t>
        </is>
      </c>
      <c r="F1519" s="3" t="inlineStr">
        <is>
          <t>매매</t>
        </is>
      </c>
      <c r="G1519" s="4" t="n">
        <v>90000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바로 옆 일반상업지역 위치 최고 대지 매매</t>
        </is>
      </c>
      <c r="L1519" s="6">
        <f>HYPERLINK("https://fin.land.naver.com/articles/2644749159",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나침반</t>
        </is>
      </c>
      <c r="P1519" s="4" t="n">
        <v>3</v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토지</t>
        </is>
      </c>
      <c r="E1520" s="3" t="inlineStr">
        <is>
          <t>전</t>
        </is>
      </c>
      <c r="F1520" s="3" t="inlineStr">
        <is>
          <t>매매</t>
        </is>
      </c>
      <c r="G1520" s="4" t="n">
        <v>185000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토지</t>
        </is>
      </c>
      <c r="E1521" s="3" t="inlineStr">
        <is>
          <t>대</t>
        </is>
      </c>
      <c r="F1521" s="3" t="inlineStr">
        <is>
          <t>매매</t>
        </is>
      </c>
      <c r="G1521" s="4" t="n">
        <v>60000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토지</t>
        </is>
      </c>
      <c r="E1522" s="3" t="inlineStr">
        <is>
          <t>답</t>
        </is>
      </c>
      <c r="F1522" s="3" t="inlineStr">
        <is>
          <t>매매</t>
        </is>
      </c>
      <c r="G1522" s="4" t="n">
        <v>98700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토지</t>
        </is>
      </c>
      <c r="E1523" s="3" t="inlineStr">
        <is>
          <t>대</t>
        </is>
      </c>
      <c r="F1523" s="3" t="inlineStr">
        <is>
          <t>매매</t>
        </is>
      </c>
      <c r="G1523" s="4" t="n">
        <v>63000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토지</t>
        </is>
      </c>
      <c r="E1524" s="3" t="inlineStr">
        <is>
          <t>전</t>
        </is>
      </c>
      <c r="F1524" s="3" t="inlineStr">
        <is>
          <t>매매</t>
        </is>
      </c>
      <c r="G1524" s="4" t="n">
        <v>85800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토지</t>
        </is>
      </c>
      <c r="E1525" s="3" t="inlineStr">
        <is>
          <t>대</t>
        </is>
      </c>
      <c r="F1525" s="3" t="inlineStr">
        <is>
          <t>매매</t>
        </is>
      </c>
      <c r="G1525" s="4" t="n">
        <v>120000</v>
      </c>
      <c r="H1525" s="4" t="n">
        <v>221</v>
      </c>
      <c r="I1525" s="5" t="n">
        <v>543</v>
      </c>
      <c r="J1525" s="5" t="n">
        <v>320.9</v>
      </c>
      <c r="K1525" s="3" t="inlineStr">
        <is>
          <t>근생부지로 좋은 고려대학교 인근 3거리 코너 각지에 있는 준주거지역 대지</t>
        </is>
      </c>
      <c r="L1525" s="6">
        <f>HYPERLINK("https://fin.land.naver.com/articles/2645811664",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스마일세종</t>
        </is>
      </c>
      <c r="P1525" s="4" t="n">
        <v>1</v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토지</t>
        </is>
      </c>
      <c r="E1526" s="3" t="inlineStr">
        <is>
          <t>대</t>
        </is>
      </c>
      <c r="F1526" s="3" t="inlineStr">
        <is>
          <t>매매</t>
        </is>
      </c>
      <c r="G1526" s="4" t="n">
        <v>120000</v>
      </c>
      <c r="H1526" s="4" t="n">
        <v>221</v>
      </c>
      <c r="I1526" s="5" t="n">
        <v>543</v>
      </c>
      <c r="J1526" s="5" t="n">
        <v>320.9</v>
      </c>
      <c r="K1526" s="3" t="inlineStr">
        <is>
          <t>준주거지역 추천매물 고대 정문근처</t>
        </is>
      </c>
      <c r="L1526" s="6">
        <f>HYPERLINK("https://fin.land.naver.com/articles/2648069706",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김준희</t>
        </is>
      </c>
      <c r="P1526" s="4" t="n">
        <v>1</v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토지</t>
        </is>
      </c>
      <c r="E1527" s="3" t="inlineStr">
        <is>
          <t>대</t>
        </is>
      </c>
      <c r="F1527" s="3" t="inlineStr">
        <is>
          <t>매매</t>
        </is>
      </c>
      <c r="G1527" s="4" t="n">
        <v>30000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토지</t>
        </is>
      </c>
      <c r="E1528" s="3" t="inlineStr">
        <is>
          <t>과수원</t>
        </is>
      </c>
      <c r="F1528" s="3" t="inlineStr">
        <is>
          <t>매매</t>
        </is>
      </c>
      <c r="G1528" s="4" t="n">
        <v>58000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토지</t>
        </is>
      </c>
      <c r="E1529" s="3" t="inlineStr">
        <is>
          <t>전</t>
        </is>
      </c>
      <c r="F1529" s="3" t="inlineStr">
        <is>
          <t>매매</t>
        </is>
      </c>
      <c r="G1529" s="4" t="n">
        <v>90000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토지</t>
        </is>
      </c>
      <c r="E1530" s="3" t="inlineStr">
        <is>
          <t>대</t>
        </is>
      </c>
      <c r="F1530" s="3" t="inlineStr">
        <is>
          <t>매매</t>
        </is>
      </c>
      <c r="G1530" s="4" t="n">
        <v>76650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토지</t>
        </is>
      </c>
      <c r="E1531" s="3" t="inlineStr">
        <is>
          <t>잡종지</t>
        </is>
      </c>
      <c r="F1531" s="3" t="inlineStr">
        <is>
          <t>매매</t>
        </is>
      </c>
      <c r="G1531" s="4" t="n">
        <v>150000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토지</t>
        </is>
      </c>
      <c r="E1532" s="3" t="inlineStr">
        <is>
          <t>대</t>
        </is>
      </c>
      <c r="F1532" s="3" t="inlineStr">
        <is>
          <t>매매</t>
        </is>
      </c>
      <c r="G1532" s="4" t="n">
        <v>55000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토지</t>
        </is>
      </c>
      <c r="E1533" s="3" t="inlineStr">
        <is>
          <t>대</t>
        </is>
      </c>
      <c r="F1533" s="3" t="inlineStr">
        <is>
          <t>매매</t>
        </is>
      </c>
      <c r="G1533" s="4" t="n">
        <v>24638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토지</t>
        </is>
      </c>
      <c r="E1534" s="3" t="inlineStr">
        <is>
          <t>대</t>
        </is>
      </c>
      <c r="F1534" s="3" t="inlineStr">
        <is>
          <t>매매</t>
        </is>
      </c>
      <c r="G1534" s="4" t="n">
        <v>221000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토지</t>
        </is>
      </c>
      <c r="E1535" s="3" t="inlineStr">
        <is>
          <t>답</t>
        </is>
      </c>
      <c r="F1535" s="3" t="inlineStr">
        <is>
          <t>매매</t>
        </is>
      </c>
      <c r="G1535" s="4" t="n">
        <v>170000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토지</t>
        </is>
      </c>
      <c r="E1536" s="3" t="inlineStr">
        <is>
          <t>답</t>
        </is>
      </c>
      <c r="F1536" s="3" t="inlineStr">
        <is>
          <t>매매</t>
        </is>
      </c>
      <c r="G1536" s="4" t="n">
        <v>150000</v>
      </c>
      <c r="H1536" s="4" t="n">
        <v>884</v>
      </c>
      <c r="I1536" s="5" t="n">
        <v>169.7</v>
      </c>
      <c r="J1536" s="5" t="n">
        <v>59.7</v>
      </c>
      <c r="K1536" s="3" t="inlineStr">
        <is>
          <t>조치원 생활권 평탄 대형부지 소형창고 차량보관시설 검토</t>
        </is>
      </c>
      <c r="L1536" s="6">
        <f>HYPERLINK("https://fin.land.naver.com/articles/2644124377",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세종소담황금</t>
        </is>
      </c>
      <c r="P1536" s="4" t="n">
        <v>1</v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토지</t>
        </is>
      </c>
      <c r="E1537" s="3" t="inlineStr">
        <is>
          <t>답</t>
        </is>
      </c>
      <c r="F1537" s="3" t="inlineStr">
        <is>
          <t>매매</t>
        </is>
      </c>
      <c r="G1537" s="4" t="n">
        <v>150000</v>
      </c>
      <c r="H1537" s="4" t="n">
        <v>884</v>
      </c>
      <c r="I1537" s="5" t="n">
        <v>169.7</v>
      </c>
      <c r="J1537" s="5" t="n">
        <v>59.7</v>
      </c>
      <c r="K1537" s="3" t="inlineStr">
        <is>
          <t>토지급매 조치원역 인근 대규모 부지 정비소, 세차장, 요양원 추천</t>
        </is>
      </c>
      <c r="L1537" s="6">
        <f>HYPERLINK("https://fin.land.naver.com/articles/2646235676",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다모아</t>
        </is>
      </c>
      <c r="P1537" s="4" t="n">
        <v>1</v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토지</t>
        </is>
      </c>
      <c r="E1538" s="3" t="inlineStr">
        <is>
          <t>답</t>
        </is>
      </c>
      <c r="F1538" s="3" t="inlineStr">
        <is>
          <t>매매</t>
        </is>
      </c>
      <c r="G1538" s="4" t="n">
        <v>150000</v>
      </c>
      <c r="H1538" s="4" t="n">
        <v>883</v>
      </c>
      <c r="I1538" s="5" t="n">
        <v>169.9</v>
      </c>
      <c r="J1538" s="5" t="n">
        <v>59.7</v>
      </c>
      <c r="K1538" s="3" t="inlineStr">
        <is>
          <t>nan</t>
        </is>
      </c>
      <c r="L1538" s="6">
        <f>HYPERLINK("https://fin.land.naver.com/articles/2644060761",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현대</t>
        </is>
      </c>
      <c r="P1538" s="4" t="n">
        <v>1</v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토지</t>
        </is>
      </c>
      <c r="E1539" s="3" t="inlineStr">
        <is>
          <t>답</t>
        </is>
      </c>
      <c r="F1539" s="3" t="inlineStr">
        <is>
          <t>매매</t>
        </is>
      </c>
      <c r="G1539" s="4" t="n">
        <v>150000</v>
      </c>
      <c r="H1539" s="4" t="n">
        <v>884</v>
      </c>
      <c r="I1539" s="5" t="n">
        <v>169.7</v>
      </c>
      <c r="J1539" s="5" t="n">
        <v>59.7</v>
      </c>
      <c r="K1539" s="3" t="inlineStr">
        <is>
          <t>nan</t>
        </is>
      </c>
      <c r="L1539" s="6">
        <f>HYPERLINK("https://fin.land.naver.com/articles/2643665744",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세종</t>
        </is>
      </c>
      <c r="P1539" s="4" t="n">
        <v>1</v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토지</t>
        </is>
      </c>
      <c r="E1540" s="3" t="inlineStr">
        <is>
          <t>답</t>
        </is>
      </c>
      <c r="F1540" s="3" t="inlineStr">
        <is>
          <t>매매</t>
        </is>
      </c>
      <c r="G1540" s="4" t="n">
        <v>150000</v>
      </c>
      <c r="H1540" s="4" t="n">
        <v>884</v>
      </c>
      <c r="I1540" s="5" t="n">
        <v>169.7</v>
      </c>
      <c r="J1540" s="5" t="n">
        <v>59.7</v>
      </c>
      <c r="K1540" s="3" t="inlineStr">
        <is>
          <t>서창리 자연녹지 883P,근생 및 고물상 자동차관련 부지 추천,조율가능</t>
        </is>
      </c>
      <c r="L1540" s="6">
        <f>HYPERLINK("https://fin.land.naver.com/articles/2648296088",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광장</t>
        </is>
      </c>
      <c r="P1540" s="4" t="n">
        <v>5</v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토지</t>
        </is>
      </c>
      <c r="E1541" s="3" t="inlineStr">
        <is>
          <t>답</t>
        </is>
      </c>
      <c r="F1541" s="3" t="inlineStr">
        <is>
          <t>매매</t>
        </is>
      </c>
      <c r="G1541" s="4" t="n">
        <v>180000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토지</t>
        </is>
      </c>
      <c r="E1542" s="3" t="inlineStr">
        <is>
          <t>전</t>
        </is>
      </c>
      <c r="F1542" s="3" t="inlineStr">
        <is>
          <t>매매</t>
        </is>
      </c>
      <c r="G1542" s="4" t="n">
        <v>132940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토지</t>
        </is>
      </c>
      <c r="E1543" s="3" t="inlineStr">
        <is>
          <t>답</t>
        </is>
      </c>
      <c r="F1543" s="3" t="inlineStr">
        <is>
          <t>매매</t>
        </is>
      </c>
      <c r="G1543" s="4" t="n">
        <v>120000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토지</t>
        </is>
      </c>
      <c r="E1544" s="3" t="inlineStr">
        <is>
          <t>대</t>
        </is>
      </c>
      <c r="F1544" s="3" t="inlineStr">
        <is>
          <t>매매</t>
        </is>
      </c>
      <c r="G1544" s="4" t="n">
        <v>40000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토지</t>
        </is>
      </c>
      <c r="E1545" s="3" t="inlineStr">
        <is>
          <t>대</t>
        </is>
      </c>
      <c r="F1545" s="3" t="inlineStr">
        <is>
          <t>매매</t>
        </is>
      </c>
      <c r="G1545" s="4" t="n">
        <v>46000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토지</t>
        </is>
      </c>
      <c r="E1546" s="3" t="inlineStr">
        <is>
          <t>전</t>
        </is>
      </c>
      <c r="F1546" s="3" t="inlineStr">
        <is>
          <t>매매</t>
        </is>
      </c>
      <c r="G1546" s="4" t="n">
        <v>177000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토지</t>
        </is>
      </c>
      <c r="E1547" s="3" t="inlineStr">
        <is>
          <t>대</t>
        </is>
      </c>
      <c r="F1547" s="3" t="inlineStr">
        <is>
          <t>매매</t>
        </is>
      </c>
      <c r="G1547" s="4" t="n">
        <v>190000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토지</t>
        </is>
      </c>
      <c r="E1548" s="3" t="inlineStr">
        <is>
          <t>과수원</t>
        </is>
      </c>
      <c r="F1548" s="3" t="inlineStr">
        <is>
          <t>매매</t>
        </is>
      </c>
      <c r="G1548" s="4" t="n">
        <v>98000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토지</t>
        </is>
      </c>
      <c r="E1549" s="3" t="inlineStr">
        <is>
          <t>대</t>
        </is>
      </c>
      <c r="F1549" s="3" t="inlineStr">
        <is>
          <t>월세</t>
        </is>
      </c>
      <c r="G1549" s="4" t="n">
        <v>3000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토지</t>
        </is>
      </c>
      <c r="E1550" s="3" t="inlineStr">
        <is>
          <t>전</t>
        </is>
      </c>
      <c r="F1550" s="3" t="inlineStr">
        <is>
          <t>매매</t>
        </is>
      </c>
      <c r="G1550" s="4" t="n">
        <v>65000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토지</t>
        </is>
      </c>
      <c r="E1551" s="3" t="inlineStr">
        <is>
          <t>답</t>
        </is>
      </c>
      <c r="F1551" s="3" t="inlineStr">
        <is>
          <t>매매</t>
        </is>
      </c>
      <c r="G1551" s="4" t="n">
        <v>285000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토지</t>
        </is>
      </c>
      <c r="E1552" s="3" t="inlineStr">
        <is>
          <t>대</t>
        </is>
      </c>
      <c r="F1552" s="3" t="inlineStr">
        <is>
          <t>매매</t>
        </is>
      </c>
      <c r="G1552" s="4" t="n">
        <v>30000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토지</t>
        </is>
      </c>
      <c r="E1553" s="3" t="inlineStr">
        <is>
          <t>대</t>
        </is>
      </c>
      <c r="F1553" s="3" t="inlineStr">
        <is>
          <t>매매</t>
        </is>
      </c>
      <c r="G1553" s="4" t="n">
        <v>120000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토지</t>
        </is>
      </c>
      <c r="E1554" s="3" t="inlineStr">
        <is>
          <t>대</t>
        </is>
      </c>
      <c r="F1554" s="3" t="inlineStr">
        <is>
          <t>매매</t>
        </is>
      </c>
      <c r="G1554" s="4" t="n">
        <v>100000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토지</t>
        </is>
      </c>
      <c r="E1555" s="3" t="inlineStr">
        <is>
          <t>답</t>
        </is>
      </c>
      <c r="F1555" s="3" t="inlineStr">
        <is>
          <t>매매</t>
        </is>
      </c>
      <c r="G1555" s="4" t="n">
        <v>45000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토지</t>
        </is>
      </c>
      <c r="E1556" s="3" t="inlineStr">
        <is>
          <t>답</t>
        </is>
      </c>
      <c r="F1556" s="3" t="inlineStr">
        <is>
          <t>매매</t>
        </is>
      </c>
      <c r="G1556" s="4" t="n">
        <v>45000</v>
      </c>
      <c r="H1556" s="4" t="n">
        <v>200</v>
      </c>
      <c r="I1556" s="5" t="n">
        <v>225</v>
      </c>
      <c r="J1556" s="5" t="n">
        <v>67.8</v>
      </c>
      <c r="K1556" s="3" t="inlineStr">
        <is>
          <t>이편한세상아파트초근접,신안지구공동주택예정지인근</t>
        </is>
      </c>
      <c r="L1556" s="6">
        <f>HYPERLINK("https://fin.land.naver.com/articles/2645498726",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담뜰</t>
        </is>
      </c>
      <c r="P1556" s="4" t="n">
        <v>2</v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토지</t>
        </is>
      </c>
      <c r="E1557" s="3" t="inlineStr">
        <is>
          <t>답</t>
        </is>
      </c>
      <c r="F1557" s="3" t="inlineStr">
        <is>
          <t>매매</t>
        </is>
      </c>
      <c r="G1557" s="4" t="n">
        <v>46000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HYPERLINK("https://fin.land.naver.com/articles/2645819987",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스카이</t>
        </is>
      </c>
      <c r="P1557" s="4" t="n">
        <v>1</v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토지</t>
        </is>
      </c>
      <c r="E1558" s="3" t="inlineStr">
        <is>
          <t>답</t>
        </is>
      </c>
      <c r="F1558" s="3" t="inlineStr">
        <is>
          <t>매매</t>
        </is>
      </c>
      <c r="G1558" s="4" t="n">
        <v>120000</v>
      </c>
      <c r="H1558" s="4" t="n">
        <v>282</v>
      </c>
      <c r="I1558" s="5" t="n">
        <v>425.5</v>
      </c>
      <c r="J1558" s="5" t="n">
        <v>72.2</v>
      </c>
      <c r="K1558" s="3" t="inlineStr">
        <is>
          <t>3면 포장도로 접함 이편한세상 984세대 인접 공영주차장이용가능</t>
        </is>
      </c>
      <c r="L1558" s="6">
        <f>HYPERLINK("https://fin.land.naver.com/articles/2643132425",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그래그</t>
        </is>
      </c>
      <c r="P1558" s="4" t="n">
        <v>1</v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토지</t>
        </is>
      </c>
      <c r="E1559" s="3" t="inlineStr">
        <is>
          <t>답</t>
        </is>
      </c>
      <c r="F1559" s="3" t="inlineStr">
        <is>
          <t>매매</t>
        </is>
      </c>
      <c r="G1559" s="4" t="n">
        <v>120000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토지</t>
        </is>
      </c>
      <c r="E1560" s="3" t="inlineStr">
        <is>
          <t>답</t>
        </is>
      </c>
      <c r="F1560" s="3" t="inlineStr">
        <is>
          <t>매매</t>
        </is>
      </c>
      <c r="G1560" s="4" t="n">
        <v>120000</v>
      </c>
      <c r="H1560" s="4" t="n">
        <v>380</v>
      </c>
      <c r="I1560" s="5" t="n">
        <v>315.8</v>
      </c>
      <c r="J1560" s="5" t="n">
        <v>72.2</v>
      </c>
      <c r="K1560" s="3" t="inlineStr">
        <is>
          <t>신안리 이편한세상 아파트 초인접, 3면 포장도로 접한 음식점,커피숍</t>
        </is>
      </c>
      <c r="L1560" s="6">
        <f>HYPERLINK("https://fin.land.naver.com/articles/2645198043",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세종나라</t>
        </is>
      </c>
      <c r="P1560" s="4" t="n">
        <v>1</v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토지</t>
        </is>
      </c>
      <c r="E1561" s="3" t="inlineStr">
        <is>
          <t>답</t>
        </is>
      </c>
      <c r="F1561" s="3" t="inlineStr">
        <is>
          <t>매매</t>
        </is>
      </c>
      <c r="G1561" s="4" t="n">
        <v>50000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토지</t>
        </is>
      </c>
      <c r="E1562" s="3" t="inlineStr">
        <is>
          <t>임야</t>
        </is>
      </c>
      <c r="F1562" s="3" t="inlineStr">
        <is>
          <t>매매</t>
        </is>
      </c>
      <c r="G1562" s="4" t="n">
        <v>300000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토지</t>
        </is>
      </c>
      <c r="E1563" s="3" t="inlineStr">
        <is>
          <t>임야</t>
        </is>
      </c>
      <c r="F1563" s="3" t="inlineStr">
        <is>
          <t>매매</t>
        </is>
      </c>
      <c r="G1563" s="4" t="n">
        <v>150000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토지</t>
        </is>
      </c>
      <c r="E1564" s="3" t="inlineStr">
        <is>
          <t>대</t>
        </is>
      </c>
      <c r="F1564" s="3" t="inlineStr">
        <is>
          <t>매매</t>
        </is>
      </c>
      <c r="G1564" s="4" t="n">
        <v>77000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토지</t>
        </is>
      </c>
      <c r="E1565" s="3" t="inlineStr">
        <is>
          <t>전</t>
        </is>
      </c>
      <c r="F1565" s="3" t="inlineStr">
        <is>
          <t>매매</t>
        </is>
      </c>
      <c r="G1565" s="4" t="n">
        <v>17000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토지</t>
        </is>
      </c>
      <c r="E1566" s="3" t="inlineStr">
        <is>
          <t>잡종지</t>
        </is>
      </c>
      <c r="F1566" s="3" t="inlineStr">
        <is>
          <t>매매</t>
        </is>
      </c>
      <c r="G1566" s="4" t="n">
        <v>600000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토지</t>
        </is>
      </c>
      <c r="E1567" s="3" t="inlineStr">
        <is>
          <t>대</t>
        </is>
      </c>
      <c r="F1567" s="3" t="inlineStr">
        <is>
          <t>매매</t>
        </is>
      </c>
      <c r="G1567" s="4" t="n">
        <v>31000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토지</t>
        </is>
      </c>
      <c r="E1568" s="3" t="inlineStr">
        <is>
          <t>대</t>
        </is>
      </c>
      <c r="F1568" s="3" t="inlineStr">
        <is>
          <t>매매</t>
        </is>
      </c>
      <c r="G1568" s="4" t="n">
        <v>31000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토지</t>
        </is>
      </c>
      <c r="E1569" s="3" t="inlineStr">
        <is>
          <t>대</t>
        </is>
      </c>
      <c r="F1569" s="3" t="inlineStr">
        <is>
          <t>매매</t>
        </is>
      </c>
      <c r="G1569" s="4" t="n">
        <v>45000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토지</t>
        </is>
      </c>
      <c r="E1570" s="3" t="inlineStr">
        <is>
          <t>대</t>
        </is>
      </c>
      <c r="F1570" s="3" t="inlineStr">
        <is>
          <t>매매</t>
        </is>
      </c>
      <c r="G1570" s="4" t="n">
        <v>36000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토지</t>
        </is>
      </c>
      <c r="E1571" s="3" t="inlineStr">
        <is>
          <t>대</t>
        </is>
      </c>
      <c r="F1571" s="3" t="inlineStr">
        <is>
          <t>매매</t>
        </is>
      </c>
      <c r="G1571" s="4" t="n">
        <v>22000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토지</t>
        </is>
      </c>
      <c r="E1572" s="3" t="inlineStr">
        <is>
          <t>대</t>
        </is>
      </c>
      <c r="F1572" s="3" t="inlineStr">
        <is>
          <t>매매</t>
        </is>
      </c>
      <c r="G1572" s="4" t="n">
        <v>63900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토지</t>
        </is>
      </c>
      <c r="E1573" s="3" t="inlineStr">
        <is>
          <t>대</t>
        </is>
      </c>
      <c r="F1573" s="3" t="inlineStr">
        <is>
          <t>매매</t>
        </is>
      </c>
      <c r="G1573" s="4" t="n">
        <v>260000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토지</t>
        </is>
      </c>
      <c r="E1574" s="3" t="inlineStr">
        <is>
          <t>대</t>
        </is>
      </c>
      <c r="F1574" s="3" t="inlineStr">
        <is>
          <t>매매</t>
        </is>
      </c>
      <c r="G1574" s="4" t="n">
        <v>260000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토지</t>
        </is>
      </c>
      <c r="E1575" s="3" t="inlineStr">
        <is>
          <t>전</t>
        </is>
      </c>
      <c r="F1575" s="3" t="inlineStr">
        <is>
          <t>매매</t>
        </is>
      </c>
      <c r="G1575" s="4" t="n">
        <v>245000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토지</t>
        </is>
      </c>
      <c r="E1576" s="3" t="inlineStr">
        <is>
          <t>전</t>
        </is>
      </c>
      <c r="F1576" s="3" t="inlineStr">
        <is>
          <t>매매</t>
        </is>
      </c>
      <c r="G1576" s="4" t="n">
        <v>48500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토지</t>
        </is>
      </c>
      <c r="E1577" s="3" t="inlineStr">
        <is>
          <t>답</t>
        </is>
      </c>
      <c r="F1577" s="3" t="inlineStr">
        <is>
          <t>매매</t>
        </is>
      </c>
      <c r="G1577" s="4" t="n">
        <v>700000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토지</t>
        </is>
      </c>
      <c r="E1578" s="3" t="inlineStr">
        <is>
          <t>전</t>
        </is>
      </c>
      <c r="F1578" s="3" t="inlineStr">
        <is>
          <t>매매</t>
        </is>
      </c>
      <c r="G1578" s="4" t="n">
        <v>695000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토지</t>
        </is>
      </c>
      <c r="E1579" s="3" t="inlineStr">
        <is>
          <t>과수원</t>
        </is>
      </c>
      <c r="F1579" s="3" t="inlineStr">
        <is>
          <t>매매</t>
        </is>
      </c>
      <c r="G1579" s="4" t="n">
        <v>110000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토지</t>
        </is>
      </c>
      <c r="E1580" s="3" t="inlineStr">
        <is>
          <t>대</t>
        </is>
      </c>
      <c r="F1580" s="3" t="inlineStr">
        <is>
          <t>매매</t>
        </is>
      </c>
      <c r="G1580" s="4" t="n">
        <v>11400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토지</t>
        </is>
      </c>
      <c r="E1581" s="3" t="inlineStr">
        <is>
          <t>대</t>
        </is>
      </c>
      <c r="F1581" s="3" t="inlineStr">
        <is>
          <t>매매</t>
        </is>
      </c>
      <c r="G1581" s="4" t="n">
        <v>27000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토지</t>
        </is>
      </c>
      <c r="E1582" s="3" t="inlineStr">
        <is>
          <t>대</t>
        </is>
      </c>
      <c r="F1582" s="3" t="inlineStr">
        <is>
          <t>매매</t>
        </is>
      </c>
      <c r="G1582" s="4" t="n">
        <v>52000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토지</t>
        </is>
      </c>
      <c r="E1583" s="3" t="inlineStr">
        <is>
          <t>대</t>
        </is>
      </c>
      <c r="F1583" s="3" t="inlineStr">
        <is>
          <t>매매</t>
        </is>
      </c>
      <c r="G1583" s="4" t="n">
        <v>95000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토지</t>
        </is>
      </c>
      <c r="E1584" s="3" t="inlineStr">
        <is>
          <t>임야</t>
        </is>
      </c>
      <c r="F1584" s="3" t="inlineStr">
        <is>
          <t>매매</t>
        </is>
      </c>
      <c r="G1584" s="4" t="n">
        <v>33000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토지</t>
        </is>
      </c>
      <c r="E1585" s="3" t="inlineStr">
        <is>
          <t>전</t>
        </is>
      </c>
      <c r="F1585" s="3" t="inlineStr">
        <is>
          <t>매매</t>
        </is>
      </c>
      <c r="G1585" s="4" t="n">
        <v>80400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토지</t>
        </is>
      </c>
      <c r="E1586" s="3" t="inlineStr">
        <is>
          <t>전</t>
        </is>
      </c>
      <c r="F1586" s="3" t="inlineStr">
        <is>
          <t>매매</t>
        </is>
      </c>
      <c r="G1586" s="4" t="n">
        <v>193000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토지</t>
        </is>
      </c>
      <c r="E1587" s="3" t="inlineStr">
        <is>
          <t>전</t>
        </is>
      </c>
      <c r="F1587" s="3" t="inlineStr">
        <is>
          <t>매매</t>
        </is>
      </c>
      <c r="G1587" s="4" t="n">
        <v>268000</v>
      </c>
      <c r="H1587" s="4" t="n">
        <v>596</v>
      </c>
      <c r="I1587" s="5" t="n">
        <v>449.7</v>
      </c>
      <c r="J1587" s="5" t="n">
        <v>183.4</v>
      </c>
      <c r="K1587" s="3" t="inlineStr">
        <is>
          <t>도도리파크, 문화예술회관 맞은편 토지</t>
        </is>
      </c>
      <c r="L1587" s="6">
        <f>HYPERLINK("https://fin.land.naver.com/articles/2648317472",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KB세종</t>
        </is>
      </c>
      <c r="P1587" s="4" t="n">
        <v>1</v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토지</t>
        </is>
      </c>
      <c r="E1588" s="3" t="inlineStr">
        <is>
          <t>전</t>
        </is>
      </c>
      <c r="F1588" s="3" t="inlineStr">
        <is>
          <t>매매</t>
        </is>
      </c>
      <c r="G1588" s="4" t="n">
        <v>268000</v>
      </c>
      <c r="H1588" s="4" t="n">
        <v>596</v>
      </c>
      <c r="I1588" s="5" t="n">
        <v>449.7</v>
      </c>
      <c r="J1588" s="5" t="n">
        <v>183.4</v>
      </c>
      <c r="K1588" s="3" t="inlineStr">
        <is>
          <t>제1종일반주거지역, 코너토지,조치원하이마트,예술회관,조치원복컴등 인근위치</t>
        </is>
      </c>
      <c r="L1588" s="6">
        <f>HYPERLINK("https://fin.land.naver.com/articles/2643989277",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세종일조</t>
        </is>
      </c>
      <c r="P1588" s="4" t="n">
        <v>1</v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토지</t>
        </is>
      </c>
      <c r="E1589" s="3" t="inlineStr">
        <is>
          <t>답</t>
        </is>
      </c>
      <c r="F1589" s="3" t="inlineStr">
        <is>
          <t>매매</t>
        </is>
      </c>
      <c r="G1589" s="4" t="n">
        <v>136000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토지</t>
        </is>
      </c>
      <c r="E1590" s="3" t="inlineStr">
        <is>
          <t>대</t>
        </is>
      </c>
      <c r="F1590" s="3" t="inlineStr">
        <is>
          <t>매매</t>
        </is>
      </c>
      <c r="G1590" s="4" t="n">
        <v>38000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토지</t>
        </is>
      </c>
      <c r="E1591" s="3" t="inlineStr">
        <is>
          <t>대</t>
        </is>
      </c>
      <c r="F1591" s="3" t="inlineStr">
        <is>
          <t>매매</t>
        </is>
      </c>
      <c r="G1591" s="4" t="n">
        <v>40000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토지</t>
        </is>
      </c>
      <c r="E1592" s="3" t="inlineStr">
        <is>
          <t>대</t>
        </is>
      </c>
      <c r="F1592" s="3" t="inlineStr">
        <is>
          <t>매매</t>
        </is>
      </c>
      <c r="G1592" s="4" t="n">
        <v>81900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토지</t>
        </is>
      </c>
      <c r="E1593" s="3" t="inlineStr">
        <is>
          <t>대</t>
        </is>
      </c>
      <c r="F1593" s="3" t="inlineStr">
        <is>
          <t>매매</t>
        </is>
      </c>
      <c r="G1593" s="4" t="n">
        <v>100000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토지</t>
        </is>
      </c>
      <c r="E1594" s="3" t="inlineStr">
        <is>
          <t>대</t>
        </is>
      </c>
      <c r="F1594" s="3" t="inlineStr">
        <is>
          <t>매매</t>
        </is>
      </c>
      <c r="G1594" s="4" t="n">
        <v>55000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토지</t>
        </is>
      </c>
      <c r="E1595" s="3" t="inlineStr">
        <is>
          <t>대</t>
        </is>
      </c>
      <c r="F1595" s="3" t="inlineStr">
        <is>
          <t>매매</t>
        </is>
      </c>
      <c r="G1595" s="4" t="n">
        <v>60000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토지</t>
        </is>
      </c>
      <c r="E1596" s="3" t="inlineStr">
        <is>
          <t>대</t>
        </is>
      </c>
      <c r="F1596" s="3" t="inlineStr">
        <is>
          <t>매매</t>
        </is>
      </c>
      <c r="G1596" s="4" t="n">
        <v>38630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토지</t>
        </is>
      </c>
      <c r="E1597" s="3" t="inlineStr">
        <is>
          <t>전</t>
        </is>
      </c>
      <c r="F1597" s="3" t="inlineStr">
        <is>
          <t>매매</t>
        </is>
      </c>
      <c r="G1597" s="4" t="n">
        <v>256000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토지</t>
        </is>
      </c>
      <c r="E1598" s="3" t="inlineStr">
        <is>
          <t>대</t>
        </is>
      </c>
      <c r="F1598" s="3" t="inlineStr">
        <is>
          <t>매매</t>
        </is>
      </c>
      <c r="G1598" s="4" t="n">
        <v>60000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토지</t>
        </is>
      </c>
      <c r="E1599" s="3" t="inlineStr">
        <is>
          <t>대</t>
        </is>
      </c>
      <c r="F1599" s="3" t="inlineStr">
        <is>
          <t>매매</t>
        </is>
      </c>
      <c r="G1599" s="4" t="n">
        <v>60000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토지</t>
        </is>
      </c>
      <c r="E1600" s="3" t="inlineStr">
        <is>
          <t>대</t>
        </is>
      </c>
      <c r="F1600" s="3" t="inlineStr">
        <is>
          <t>매매</t>
        </is>
      </c>
      <c r="G1600" s="4" t="n">
        <v>215000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토지</t>
        </is>
      </c>
      <c r="E1601" s="3" t="inlineStr">
        <is>
          <t>대</t>
        </is>
      </c>
      <c r="F1601" s="3" t="inlineStr">
        <is>
          <t>매매</t>
        </is>
      </c>
      <c r="G1601" s="4" t="n">
        <v>45000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토지</t>
        </is>
      </c>
      <c r="E1602" s="3" t="inlineStr">
        <is>
          <t>대</t>
        </is>
      </c>
      <c r="F1602" s="3" t="inlineStr">
        <is>
          <t>매매</t>
        </is>
      </c>
      <c r="G1602" s="4" t="n">
        <v>42000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토지</t>
        </is>
      </c>
      <c r="E1603" s="3" t="inlineStr">
        <is>
          <t>대</t>
        </is>
      </c>
      <c r="F1603" s="3" t="inlineStr">
        <is>
          <t>매매</t>
        </is>
      </c>
      <c r="G1603" s="4" t="n">
        <v>47000</v>
      </c>
      <c r="H1603" s="4" t="n">
        <v>96</v>
      </c>
      <c r="I1603" s="5" t="n">
        <v>489.6</v>
      </c>
      <c r="J1603" s="5" t="n">
        <v>277.7</v>
      </c>
      <c r="K1603" s="3" t="inlineStr">
        <is>
          <t>급매 집현동 택지</t>
        </is>
      </c>
      <c r="L1603" s="6">
        <f>HYPERLINK("https://fin.land.naver.com/articles/2646823668",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강아지풀</t>
        </is>
      </c>
      <c r="P1603" s="4" t="n">
        <v>1</v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토지</t>
        </is>
      </c>
      <c r="E1604" s="3" t="inlineStr">
        <is>
          <t>대</t>
        </is>
      </c>
      <c r="F1604" s="3" t="inlineStr">
        <is>
          <t>매매</t>
        </is>
      </c>
      <c r="G1604" s="4" t="n">
        <v>47000</v>
      </c>
      <c r="H1604" s="4" t="n">
        <v>96</v>
      </c>
      <c r="I1604" s="5" t="n">
        <v>489.6</v>
      </c>
      <c r="J1604" s="5" t="n">
        <v>277.7</v>
      </c>
      <c r="K1604" s="3" t="inlineStr">
        <is>
          <t>급매, 가격 좋은 집현동 단독주택 토지매매</t>
        </is>
      </c>
      <c r="L1604" s="6">
        <f>HYPERLINK("https://fin.land.naver.com/articles/2643455130",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세종무지개</t>
        </is>
      </c>
      <c r="P1604" s="4" t="n">
        <v>1</v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토지</t>
        </is>
      </c>
      <c r="E1605" s="3" t="inlineStr">
        <is>
          <t>대</t>
        </is>
      </c>
      <c r="F1605" s="3" t="inlineStr">
        <is>
          <t>매매</t>
        </is>
      </c>
      <c r="G1605" s="4" t="n">
        <v>54000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HYPERLINK("https://fin.land.naver.com/articles/2646691295",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세종무지개</t>
        </is>
      </c>
      <c r="P1605" s="4" t="n">
        <v>1</v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토지</t>
        </is>
      </c>
      <c r="E1606" s="3" t="inlineStr">
        <is>
          <t>대</t>
        </is>
      </c>
      <c r="F1606" s="3" t="inlineStr">
        <is>
          <t>매매</t>
        </is>
      </c>
      <c r="G1606" s="4" t="n">
        <v>54000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토지</t>
        </is>
      </c>
      <c r="E1607" s="3" t="inlineStr">
        <is>
          <t>대</t>
        </is>
      </c>
      <c r="F1607" s="3" t="inlineStr">
        <is>
          <t>매매</t>
        </is>
      </c>
      <c r="G1607" s="4" t="n">
        <v>54000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HYPERLINK("https://fin.land.naver.com/articles/2648137252",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명진</t>
        </is>
      </c>
      <c r="P1607" s="4" t="n">
        <v>1</v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토지</t>
        </is>
      </c>
      <c r="E1608" s="3" t="inlineStr">
        <is>
          <t>대</t>
        </is>
      </c>
      <c r="F1608" s="3" t="inlineStr">
        <is>
          <t>매매</t>
        </is>
      </c>
      <c r="G1608" s="4" t="n">
        <v>60000</v>
      </c>
      <c r="H1608" s="4" t="n">
        <v>98</v>
      </c>
      <c r="I1608" s="5" t="n">
        <v>612.2</v>
      </c>
      <c r="J1608" s="5" t="n">
        <v>275</v>
      </c>
      <c r="K1608" s="3" t="inlineStr">
        <is>
          <t>최고위치 코너각지 공원뷰 삼성천뷰</t>
        </is>
      </c>
      <c r="L1608" s="6">
        <f>HYPERLINK("https://fin.land.naver.com/articles/2643970254",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세종스타</t>
        </is>
      </c>
      <c r="P1608" s="4" t="n">
        <v>2</v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토지</t>
        </is>
      </c>
      <c r="E1609" s="3" t="inlineStr">
        <is>
          <t>대</t>
        </is>
      </c>
      <c r="F1609" s="3" t="inlineStr">
        <is>
          <t>매매</t>
        </is>
      </c>
      <c r="G1609" s="4" t="n">
        <v>60000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HYPERLINK("https://fin.land.naver.com/articles/2643458869",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세종무지개</t>
        </is>
      </c>
      <c r="P1609" s="4" t="n">
        <v>1</v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토지</t>
        </is>
      </c>
      <c r="E1610" s="3" t="inlineStr">
        <is>
          <t>대</t>
        </is>
      </c>
      <c r="F1610" s="3" t="inlineStr">
        <is>
          <t>매매</t>
        </is>
      </c>
      <c r="G1610" s="4" t="n">
        <v>45000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토지</t>
        </is>
      </c>
      <c r="E1611" s="3" t="inlineStr">
        <is>
          <t>대</t>
        </is>
      </c>
      <c r="F1611" s="3" t="inlineStr">
        <is>
          <t>매매</t>
        </is>
      </c>
      <c r="G1611" s="4" t="n">
        <v>42000</v>
      </c>
      <c r="H1611" s="4" t="n">
        <v>84</v>
      </c>
      <c r="I1611" s="5" t="n">
        <v>500</v>
      </c>
      <c r="J1611" s="5" t="n">
        <v>275</v>
      </c>
      <c r="K1611" s="3" t="inlineStr">
        <is>
          <t>코너각지 위치, 집현동 토지매매</t>
        </is>
      </c>
      <c r="L1611" s="6">
        <f>HYPERLINK("https://fin.land.naver.com/articles/2644181576",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세종무지개</t>
        </is>
      </c>
      <c r="P1611" s="4" t="n">
        <v>1</v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토지</t>
        </is>
      </c>
      <c r="E1612" s="3" t="inlineStr">
        <is>
          <t>대</t>
        </is>
      </c>
      <c r="F1612" s="3" t="inlineStr">
        <is>
          <t>매매</t>
        </is>
      </c>
      <c r="G1612" s="4" t="n">
        <v>42000</v>
      </c>
      <c r="H1612" s="4" t="n">
        <v>84</v>
      </c>
      <c r="I1612" s="5" t="n">
        <v>500</v>
      </c>
      <c r="J1612" s="5" t="n">
        <v>275</v>
      </c>
      <c r="K1612" s="3" t="inlineStr">
        <is>
          <t>추천. 집현동 코너 택지</t>
        </is>
      </c>
      <c r="L1612" s="6">
        <f>HYPERLINK("https://fin.land.naver.com/articles/2645463798",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강아지풀</t>
        </is>
      </c>
      <c r="P1612" s="4" t="n">
        <v>1</v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토지</t>
        </is>
      </c>
      <c r="E1613" s="3" t="inlineStr">
        <is>
          <t>대</t>
        </is>
      </c>
      <c r="F1613" s="3" t="inlineStr">
        <is>
          <t>매매</t>
        </is>
      </c>
      <c r="G1613" s="4" t="n">
        <v>160000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토지</t>
        </is>
      </c>
      <c r="E1614" s="3" t="inlineStr">
        <is>
          <t>대</t>
        </is>
      </c>
      <c r="F1614" s="3" t="inlineStr">
        <is>
          <t>매매</t>
        </is>
      </c>
      <c r="G1614" s="4" t="n">
        <v>45000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토지</t>
        </is>
      </c>
      <c r="E1615" s="3" t="inlineStr">
        <is>
          <t>대</t>
        </is>
      </c>
      <c r="F1615" s="3" t="inlineStr">
        <is>
          <t>매매</t>
        </is>
      </c>
      <c r="G1615" s="4" t="n">
        <v>45000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토지</t>
        </is>
      </c>
      <c r="E1616" s="3" t="inlineStr">
        <is>
          <t>대</t>
        </is>
      </c>
      <c r="F1616" s="3" t="inlineStr">
        <is>
          <t>매매</t>
        </is>
      </c>
      <c r="G1616" s="4" t="n">
        <v>47000</v>
      </c>
      <c r="H1616" s="4" t="n">
        <v>93</v>
      </c>
      <c r="I1616" s="5" t="n">
        <v>505.4</v>
      </c>
      <c r="J1616" s="5" t="n">
        <v>268.2</v>
      </c>
      <c r="K1616" s="3" t="inlineStr">
        <is>
          <t>집현동 단독주택지 토지매매</t>
        </is>
      </c>
      <c r="L1616" s="6">
        <f>HYPERLINK("https://fin.land.naver.com/articles/2644181693",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세종무지개</t>
        </is>
      </c>
      <c r="P1616" s="4" t="n">
        <v>1</v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토지</t>
        </is>
      </c>
      <c r="E1617" s="3" t="inlineStr">
        <is>
          <t>대</t>
        </is>
      </c>
      <c r="F1617" s="3" t="inlineStr">
        <is>
          <t>매매</t>
        </is>
      </c>
      <c r="G1617" s="4" t="n">
        <v>47000</v>
      </c>
      <c r="H1617" s="4" t="n">
        <v>93</v>
      </c>
      <c r="I1617" s="5" t="n">
        <v>505.4</v>
      </c>
      <c r="J1617" s="5" t="n">
        <v>268.2</v>
      </c>
      <c r="K1617" s="3" t="inlineStr">
        <is>
          <t>명성공인, 전용93, 집현동 택지 추천 매물</t>
        </is>
      </c>
      <c r="L1617" s="6">
        <f>HYPERLINK("https://fin.land.naver.com/articles/2648044957",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명성</t>
        </is>
      </c>
      <c r="P1617" s="4" t="n">
        <v>1</v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토지</t>
        </is>
      </c>
      <c r="E1618" s="3" t="inlineStr">
        <is>
          <t>대</t>
        </is>
      </c>
      <c r="F1618" s="3" t="inlineStr">
        <is>
          <t>매매</t>
        </is>
      </c>
      <c r="G1618" s="4" t="n">
        <v>45000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토지</t>
        </is>
      </c>
      <c r="E1619" s="3" t="inlineStr">
        <is>
          <t>대</t>
        </is>
      </c>
      <c r="F1619" s="3" t="inlineStr">
        <is>
          <t>매매</t>
        </is>
      </c>
      <c r="G1619" s="4" t="n">
        <v>37000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토지</t>
        </is>
      </c>
      <c r="E1620" s="3" t="inlineStr">
        <is>
          <t>대</t>
        </is>
      </c>
      <c r="F1620" s="3" t="inlineStr">
        <is>
          <t>매매</t>
        </is>
      </c>
      <c r="G1620" s="4" t="n">
        <v>45000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토지</t>
        </is>
      </c>
      <c r="E1621" s="3" t="inlineStr">
        <is>
          <t>대</t>
        </is>
      </c>
      <c r="F1621" s="3" t="inlineStr">
        <is>
          <t>매매</t>
        </is>
      </c>
      <c r="G1621" s="4" t="n">
        <v>55000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토지</t>
        </is>
      </c>
      <c r="E1622" s="3" t="inlineStr">
        <is>
          <t>대</t>
        </is>
      </c>
      <c r="F1622" s="3" t="inlineStr">
        <is>
          <t>매매</t>
        </is>
      </c>
      <c r="G1622" s="4" t="n">
        <v>60000</v>
      </c>
      <c r="H1622" s="4" t="n">
        <v>118</v>
      </c>
      <c r="I1622" s="5" t="n">
        <v>508.5</v>
      </c>
      <c r="J1622" s="5" t="n">
        <v>278.9</v>
      </c>
      <c r="K1622" s="3" t="inlineStr">
        <is>
          <t>탁트인 공원조망 위치최상 왼쪽시유지접 지대높음</t>
        </is>
      </c>
      <c r="L1622" s="6">
        <f>HYPERLINK("https://fin.land.naver.com/articles/2643970449",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세종스타</t>
        </is>
      </c>
      <c r="P1622" s="4" t="n">
        <v>1</v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토지</t>
        </is>
      </c>
      <c r="E1623" s="3" t="inlineStr">
        <is>
          <t>대</t>
        </is>
      </c>
      <c r="F1623" s="3" t="inlineStr">
        <is>
          <t>매매</t>
        </is>
      </c>
      <c r="G1623" s="4" t="n">
        <v>60000</v>
      </c>
      <c r="H1623" s="4" t="n">
        <v>118</v>
      </c>
      <c r="I1623" s="5" t="n">
        <v>508.5</v>
      </c>
      <c r="J1623" s="5" t="n">
        <v>278.9</v>
      </c>
      <c r="K1623" s="3" t="inlineStr">
        <is>
          <t>집현동 넓은 단독주택지 토지매매</t>
        </is>
      </c>
      <c r="L1623" s="6">
        <f>HYPERLINK("https://fin.land.naver.com/articles/2643451459",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세종무지개</t>
        </is>
      </c>
      <c r="P1623" s="4" t="n">
        <v>1</v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토지</t>
        </is>
      </c>
      <c r="E1624" s="3" t="inlineStr">
        <is>
          <t>대</t>
        </is>
      </c>
      <c r="F1624" s="3" t="inlineStr">
        <is>
          <t>매매</t>
        </is>
      </c>
      <c r="G1624" s="4" t="n">
        <v>55000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토지</t>
        </is>
      </c>
      <c r="E1625" s="3" t="inlineStr">
        <is>
          <t>대</t>
        </is>
      </c>
      <c r="F1625" s="3" t="inlineStr">
        <is>
          <t>매매</t>
        </is>
      </c>
      <c r="G1625" s="4" t="n">
        <v>55000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토지</t>
        </is>
      </c>
      <c r="E1626" s="3" t="inlineStr">
        <is>
          <t>대</t>
        </is>
      </c>
      <c r="F1626" s="3" t="inlineStr">
        <is>
          <t>매매</t>
        </is>
      </c>
      <c r="G1626" s="4" t="n">
        <v>41500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토지</t>
        </is>
      </c>
      <c r="E1627" s="3" t="inlineStr">
        <is>
          <t>대</t>
        </is>
      </c>
      <c r="F1627" s="3" t="inlineStr">
        <is>
          <t>매매</t>
        </is>
      </c>
      <c r="G1627" s="4" t="n">
        <v>41500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토지</t>
        </is>
      </c>
      <c r="E1628" s="3" t="inlineStr">
        <is>
          <t>대</t>
        </is>
      </c>
      <c r="F1628" s="3" t="inlineStr">
        <is>
          <t>매매</t>
        </is>
      </c>
      <c r="G1628" s="4" t="n">
        <v>52000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토지</t>
        </is>
      </c>
      <c r="E1629" s="3" t="inlineStr">
        <is>
          <t>대</t>
        </is>
      </c>
      <c r="F1629" s="3" t="inlineStr">
        <is>
          <t>매매</t>
        </is>
      </c>
      <c r="G1629" s="4" t="n">
        <v>62000</v>
      </c>
      <c r="H1629" s="4" t="n">
        <v>119</v>
      </c>
      <c r="I1629" s="5" t="n">
        <v>521</v>
      </c>
      <c r="J1629" s="5" t="n">
        <v>314.9</v>
      </c>
      <c r="K1629" s="3" t="inlineStr">
        <is>
          <t>단독주택 토지, 학군인접</t>
        </is>
      </c>
      <c r="L1629" s="6">
        <f>HYPERLINK("https://fin.land.naver.com/articles/2646690148",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세종무지개</t>
        </is>
      </c>
      <c r="P1629" s="4" t="n">
        <v>1</v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토지</t>
        </is>
      </c>
      <c r="E1630" s="3" t="inlineStr">
        <is>
          <t>대</t>
        </is>
      </c>
      <c r="F1630" s="3" t="inlineStr">
        <is>
          <t>매매</t>
        </is>
      </c>
      <c r="G1630" s="4" t="n">
        <v>59500</v>
      </c>
      <c r="H1630" s="4" t="n">
        <v>119</v>
      </c>
      <c r="I1630" s="5" t="n">
        <v>500</v>
      </c>
      <c r="J1630" s="5" t="n">
        <v>314.9</v>
      </c>
      <c r="K1630" s="3" t="inlineStr">
        <is>
          <t>넓은평형 평단가 저렴한택지 추가조율가능</t>
        </is>
      </c>
      <c r="L1630" s="6">
        <f>HYPERLINK("https://fin.land.naver.com/articles/2645487020",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세종스타</t>
        </is>
      </c>
      <c r="P1630" s="4" t="n">
        <v>2</v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토지</t>
        </is>
      </c>
      <c r="E1631" s="3" t="inlineStr">
        <is>
          <t>대</t>
        </is>
      </c>
      <c r="F1631" s="3" t="inlineStr">
        <is>
          <t>매매</t>
        </is>
      </c>
      <c r="G1631" s="4" t="n">
        <v>62000</v>
      </c>
      <c r="H1631" s="4" t="n">
        <v>119</v>
      </c>
      <c r="I1631" s="5" t="n">
        <v>521</v>
      </c>
      <c r="J1631" s="5" t="n">
        <v>314.9</v>
      </c>
      <c r="K1631" s="3" t="inlineStr">
        <is>
          <t>총 119.7p, 대형면적 단독주택토지, 한솔초.중.고 인접</t>
        </is>
      </c>
      <c r="L1631" s="6">
        <f>HYPERLINK("https://fin.land.naver.com/articles/2648349379",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명진</t>
        </is>
      </c>
      <c r="P1631" s="4" t="n">
        <v>1</v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토지</t>
        </is>
      </c>
      <c r="E1632" s="3" t="inlineStr">
        <is>
          <t>대</t>
        </is>
      </c>
      <c r="F1632" s="3" t="inlineStr">
        <is>
          <t>매매</t>
        </is>
      </c>
      <c r="G1632" s="4" t="n">
        <v>62000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토지</t>
        </is>
      </c>
      <c r="E1633" s="3" t="inlineStr">
        <is>
          <t>대</t>
        </is>
      </c>
      <c r="F1633" s="3" t="inlineStr">
        <is>
          <t>매매</t>
        </is>
      </c>
      <c r="G1633" s="4" t="n">
        <v>50000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토지</t>
        </is>
      </c>
      <c r="E1634" s="3" t="inlineStr">
        <is>
          <t>대</t>
        </is>
      </c>
      <c r="F1634" s="3" t="inlineStr">
        <is>
          <t>매매</t>
        </is>
      </c>
      <c r="G1634" s="4" t="n">
        <v>55000</v>
      </c>
      <c r="H1634" s="4" t="n">
        <v>122</v>
      </c>
      <c r="I1634" s="5" t="n">
        <v>450.8</v>
      </c>
      <c r="J1634" s="5" t="n">
        <v>290.7</v>
      </c>
      <c r="K1634" s="3" t="inlineStr">
        <is>
          <t>가격 좋은 넓은 평형 토지매매, 조율도 가능</t>
        </is>
      </c>
      <c r="L1634" s="6">
        <f>HYPERLINK("https://fin.land.naver.com/articles/2644185684",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세종무지개</t>
        </is>
      </c>
      <c r="P1634" s="4" t="n">
        <v>1</v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토지</t>
        </is>
      </c>
      <c r="E1635" s="3" t="inlineStr">
        <is>
          <t>대</t>
        </is>
      </c>
      <c r="F1635" s="3" t="inlineStr">
        <is>
          <t>매매</t>
        </is>
      </c>
      <c r="G1635" s="4" t="n">
        <v>55000</v>
      </c>
      <c r="H1635" s="4" t="n">
        <v>123</v>
      </c>
      <c r="I1635" s="5" t="n">
        <v>447.2</v>
      </c>
      <c r="J1635" s="5" t="n">
        <v>290.7</v>
      </c>
      <c r="K1635" s="3" t="inlineStr">
        <is>
          <t>제일 넓은 면적,  채광 좋음, 가격 조율 가능, 급매</t>
        </is>
      </c>
      <c r="L1635" s="6">
        <f>HYPERLINK("https://fin.land.naver.com/articles/2643912673",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세종삼촌</t>
        </is>
      </c>
      <c r="P1635" s="4" t="n">
        <v>1</v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토지</t>
        </is>
      </c>
      <c r="E1636" s="3" t="inlineStr">
        <is>
          <t>대</t>
        </is>
      </c>
      <c r="F1636" s="3" t="inlineStr">
        <is>
          <t>매매</t>
        </is>
      </c>
      <c r="G1636" s="4" t="n">
        <v>45000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토지</t>
        </is>
      </c>
      <c r="E1637" s="3" t="inlineStr">
        <is>
          <t>대</t>
        </is>
      </c>
      <c r="F1637" s="3" t="inlineStr">
        <is>
          <t>매매</t>
        </is>
      </c>
      <c r="G1637" s="4" t="n">
        <v>50000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토지</t>
        </is>
      </c>
      <c r="E1638" s="3" t="inlineStr">
        <is>
          <t>대</t>
        </is>
      </c>
      <c r="F1638" s="3" t="inlineStr">
        <is>
          <t>매매</t>
        </is>
      </c>
      <c r="G1638" s="4" t="n">
        <v>59000</v>
      </c>
      <c r="H1638" s="4" t="n">
        <v>91</v>
      </c>
      <c r="I1638" s="5" t="n">
        <v>648.4</v>
      </c>
      <c r="J1638" s="5" t="n">
        <v>369.3</v>
      </c>
      <c r="K1638" s="3" t="inlineStr">
        <is>
          <t>막힘없는 택지,아침뜰근린공원,학군 및 상권 생활권 편리한 위치,가격조정가</t>
        </is>
      </c>
      <c r="L1638" s="6">
        <f>HYPERLINK("https://fin.land.naver.com/articles/2644745241",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고운맘</t>
        </is>
      </c>
      <c r="P1638" s="4" t="n">
        <v>1</v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토지</t>
        </is>
      </c>
      <c r="E1639" s="3" t="inlineStr">
        <is>
          <t>대</t>
        </is>
      </c>
      <c r="F1639" s="3" t="inlineStr">
        <is>
          <t>매매</t>
        </is>
      </c>
      <c r="G1639" s="4" t="n">
        <v>59000</v>
      </c>
      <c r="H1639" s="4" t="n">
        <v>91</v>
      </c>
      <c r="I1639" s="5" t="n">
        <v>648.4</v>
      </c>
      <c r="J1639" s="5" t="n">
        <v>369.3</v>
      </c>
      <c r="K1639" s="3" t="inlineStr">
        <is>
          <t>총 91.2p, 근린공원인근, 조율가능</t>
        </is>
      </c>
      <c r="L1639" s="6">
        <f>HYPERLINK("https://fin.land.naver.com/articles/2646690642",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세종무지개</t>
        </is>
      </c>
      <c r="P1639" s="4" t="n">
        <v>1</v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토지</t>
        </is>
      </c>
      <c r="E1640" s="3" t="inlineStr">
        <is>
          <t>대</t>
        </is>
      </c>
      <c r="F1640" s="3" t="inlineStr">
        <is>
          <t>매매</t>
        </is>
      </c>
      <c r="G1640" s="4" t="n">
        <v>59000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토지</t>
        </is>
      </c>
      <c r="E1641" s="3" t="inlineStr">
        <is>
          <t>대</t>
        </is>
      </c>
      <c r="F1641" s="3" t="inlineStr">
        <is>
          <t>매매</t>
        </is>
      </c>
      <c r="G1641" s="4" t="n">
        <v>60000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토지</t>
        </is>
      </c>
      <c r="E1642" s="3" t="inlineStr">
        <is>
          <t>대</t>
        </is>
      </c>
      <c r="F1642" s="3" t="inlineStr">
        <is>
          <t>매매</t>
        </is>
      </c>
      <c r="G1642" s="4" t="n">
        <v>85000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토지</t>
        </is>
      </c>
      <c r="E1643" s="3" t="inlineStr">
        <is>
          <t>대</t>
        </is>
      </c>
      <c r="F1643" s="3" t="inlineStr">
        <is>
          <t>매매</t>
        </is>
      </c>
      <c r="G1643" s="4" t="n">
        <v>85000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토지</t>
        </is>
      </c>
      <c r="E1644" s="3" t="inlineStr">
        <is>
          <t>대</t>
        </is>
      </c>
      <c r="F1644" s="3" t="inlineStr">
        <is>
          <t>매매</t>
        </is>
      </c>
      <c r="G1644" s="4" t="n">
        <v>80000</v>
      </c>
      <c r="H1644" s="4" t="n">
        <v>95</v>
      </c>
      <c r="I1644" s="5" t="n">
        <v>842.1</v>
      </c>
      <c r="J1644" s="5" t="n">
        <v>373.6</v>
      </c>
      <c r="K1644" s="3" t="inlineStr">
        <is>
          <t>조건 파격조율가능 도심속전원 시내 시외 진출입편리 이곳은 엘도라도입니다</t>
        </is>
      </c>
      <c r="L1644" s="6">
        <f>HYPERLINK("https://fin.land.naver.com/articles/2648082909",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세종시삼성래미안</t>
        </is>
      </c>
      <c r="P1644" s="4" t="n">
        <v>1</v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토지</t>
        </is>
      </c>
      <c r="E1645" s="3" t="inlineStr">
        <is>
          <t>대</t>
        </is>
      </c>
      <c r="F1645" s="3" t="inlineStr">
        <is>
          <t>매매</t>
        </is>
      </c>
      <c r="G1645" s="4" t="n">
        <v>80000</v>
      </c>
      <c r="H1645" s="4" t="n">
        <v>95</v>
      </c>
      <c r="I1645" s="5" t="n">
        <v>842.1</v>
      </c>
      <c r="J1645" s="5" t="n">
        <v>373.6</v>
      </c>
      <c r="K1645" s="3" t="inlineStr">
        <is>
          <t>삼거리 코너입지, 한솔동 단독주택지</t>
        </is>
      </c>
      <c r="L1645" s="6">
        <f>HYPERLINK("https://fin.land.naver.com/articles/2644183076",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세종무지개</t>
        </is>
      </c>
      <c r="P1645" s="4" t="n">
        <v>1</v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토지</t>
        </is>
      </c>
      <c r="E1646" s="3" t="inlineStr">
        <is>
          <t>대</t>
        </is>
      </c>
      <c r="F1646" s="3" t="inlineStr">
        <is>
          <t>매매</t>
        </is>
      </c>
      <c r="G1646" s="4" t="n">
        <v>80000</v>
      </c>
      <c r="H1646" s="4" t="n">
        <v>95</v>
      </c>
      <c r="I1646" s="5" t="n">
        <v>842.1</v>
      </c>
      <c r="J1646" s="5" t="n">
        <v>373.6</v>
      </c>
      <c r="K1646" s="3" t="inlineStr">
        <is>
          <t>95.4p, 삼거리코너 맞은편, 새뜸1단지 앞 단독주택 토지</t>
        </is>
      </c>
      <c r="L1646" s="6">
        <f>HYPERLINK("https://fin.land.naver.com/articles/2642873829",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명진</t>
        </is>
      </c>
      <c r="P1646" s="4" t="n">
        <v>1</v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토지</t>
        </is>
      </c>
      <c r="E1647" s="3" t="inlineStr">
        <is>
          <t>대</t>
        </is>
      </c>
      <c r="F1647" s="3" t="inlineStr">
        <is>
          <t>매매</t>
        </is>
      </c>
      <c r="G1647" s="4" t="n">
        <v>60000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토지</t>
        </is>
      </c>
      <c r="E1648" s="3" t="inlineStr">
        <is>
          <t>대</t>
        </is>
      </c>
      <c r="F1648" s="3" t="inlineStr">
        <is>
          <t>매매</t>
        </is>
      </c>
      <c r="G1648" s="4" t="n">
        <v>80000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토지</t>
        </is>
      </c>
      <c r="E1649" s="3" t="inlineStr">
        <is>
          <t>대</t>
        </is>
      </c>
      <c r="F1649" s="3" t="inlineStr">
        <is>
          <t>매매</t>
        </is>
      </c>
      <c r="G1649" s="4" t="n">
        <v>80000</v>
      </c>
      <c r="H1649" s="4" t="n">
        <v>94</v>
      </c>
      <c r="I1649" s="5" t="n">
        <v>851.1</v>
      </c>
      <c r="J1649" s="5" t="n">
        <v>376.9</v>
      </c>
      <c r="K1649" s="3" t="inlineStr">
        <is>
          <t>한솔동 단독주택 토지매매</t>
        </is>
      </c>
      <c r="L1649" s="6">
        <f>HYPERLINK("https://fin.land.naver.com/articles/2644189125",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세종무지개</t>
        </is>
      </c>
      <c r="P1649" s="4" t="n">
        <v>1</v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토지</t>
        </is>
      </c>
      <c r="E1650" s="3" t="inlineStr">
        <is>
          <t>대</t>
        </is>
      </c>
      <c r="F1650" s="3" t="inlineStr">
        <is>
          <t>매매</t>
        </is>
      </c>
      <c r="G1650" s="4" t="n">
        <v>78790</v>
      </c>
      <c r="H1650" s="4" t="n">
        <v>94</v>
      </c>
      <c r="I1650" s="5" t="n">
        <v>838.2</v>
      </c>
      <c r="J1650" s="5" t="n">
        <v>376.9</v>
      </c>
      <c r="K1650" s="3" t="inlineStr">
        <is>
          <t>세종시 인기주택단지, 조율가</t>
        </is>
      </c>
      <c r="L1650" s="6">
        <f>HYPERLINK("https://fin.land.naver.com/articles/2645211525",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바로그</t>
        </is>
      </c>
      <c r="P1650" s="4" t="n">
        <v>1</v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토지</t>
        </is>
      </c>
      <c r="E1651" s="3" t="inlineStr">
        <is>
          <t>대</t>
        </is>
      </c>
      <c r="F1651" s="3" t="inlineStr">
        <is>
          <t>매매</t>
        </is>
      </c>
      <c r="G1651" s="4" t="n">
        <v>47000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토지</t>
        </is>
      </c>
      <c r="E1652" s="3" t="inlineStr">
        <is>
          <t>대</t>
        </is>
      </c>
      <c r="F1652" s="3" t="inlineStr">
        <is>
          <t>매매</t>
        </is>
      </c>
      <c r="G1652" s="4" t="n">
        <v>52000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토지</t>
        </is>
      </c>
      <c r="E1653" s="3" t="inlineStr">
        <is>
          <t>대</t>
        </is>
      </c>
      <c r="F1653" s="3" t="inlineStr">
        <is>
          <t>매매</t>
        </is>
      </c>
      <c r="G1653" s="4" t="n">
        <v>55000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토지</t>
        </is>
      </c>
      <c r="E1654" s="3" t="inlineStr">
        <is>
          <t>대</t>
        </is>
      </c>
      <c r="F1654" s="3" t="inlineStr">
        <is>
          <t>매매</t>
        </is>
      </c>
      <c r="G1654" s="4" t="n">
        <v>90000</v>
      </c>
      <c r="H1654" s="4" t="n">
        <v>123</v>
      </c>
      <c r="I1654" s="5" t="n">
        <v>731.7</v>
      </c>
      <c r="J1654" s="5" t="n">
        <v>389.8</v>
      </c>
      <c r="K1654" s="3" t="inlineStr">
        <is>
          <t>넓은 평형 토지매매, 한솔동</t>
        </is>
      </c>
      <c r="L1654" s="6">
        <f>HYPERLINK("https://fin.land.naver.com/articles/2644186059",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세종무지개</t>
        </is>
      </c>
      <c r="P1654" s="4" t="n">
        <v>1</v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토지</t>
        </is>
      </c>
      <c r="E1655" s="3" t="inlineStr">
        <is>
          <t>대</t>
        </is>
      </c>
      <c r="F1655" s="3" t="inlineStr">
        <is>
          <t>매매</t>
        </is>
      </c>
      <c r="G1655" s="4" t="n">
        <v>90000</v>
      </c>
      <c r="H1655" s="4" t="n">
        <v>123</v>
      </c>
      <c r="I1655" s="5" t="n">
        <v>731.7</v>
      </c>
      <c r="J1655" s="5" t="n">
        <v>389.8</v>
      </c>
      <c r="K1655" s="3" t="inlineStr">
        <is>
          <t>총 123.4p, 새뜸1단지 맞은편</t>
        </is>
      </c>
      <c r="L1655" s="6">
        <f>HYPERLINK("https://fin.land.naver.com/articles/2648127460",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명진</t>
        </is>
      </c>
      <c r="P1655" s="4" t="n">
        <v>1</v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토지</t>
        </is>
      </c>
      <c r="E1656" s="3" t="inlineStr">
        <is>
          <t>대</t>
        </is>
      </c>
      <c r="F1656" s="3" t="inlineStr">
        <is>
          <t>매매</t>
        </is>
      </c>
      <c r="G1656" s="4" t="n">
        <v>60000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토지</t>
        </is>
      </c>
      <c r="E1657" s="3" t="inlineStr">
        <is>
          <t>대</t>
        </is>
      </c>
      <c r="F1657" s="3" t="inlineStr">
        <is>
          <t>매매</t>
        </is>
      </c>
      <c r="G1657" s="4" t="n">
        <v>65000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토지</t>
        </is>
      </c>
      <c r="E1658" s="3" t="inlineStr">
        <is>
          <t>대</t>
        </is>
      </c>
      <c r="F1658" s="3" t="inlineStr">
        <is>
          <t>매매</t>
        </is>
      </c>
      <c r="G1658" s="4" t="n">
        <v>49000</v>
      </c>
      <c r="H1658" s="4" t="n">
        <v>101</v>
      </c>
      <c r="I1658" s="5" t="n">
        <v>485.1</v>
      </c>
      <c r="J1658" s="5" t="n">
        <v>376.9</v>
      </c>
      <c r="K1658" s="3" t="inlineStr">
        <is>
          <t>급매 한솔동단독택지매매 가격조정가능</t>
        </is>
      </c>
      <c r="L1658" s="6">
        <f>HYPERLINK("https://fin.land.naver.com/articles/2646115759",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고운동리치세종</t>
        </is>
      </c>
      <c r="P1658" s="4" t="n">
        <v>2</v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토지</t>
        </is>
      </c>
      <c r="E1659" s="3" t="inlineStr">
        <is>
          <t>대</t>
        </is>
      </c>
      <c r="F1659" s="3" t="inlineStr">
        <is>
          <t>매매</t>
        </is>
      </c>
      <c r="G1659" s="4" t="n">
        <v>49000</v>
      </c>
      <c r="H1659" s="4" t="n">
        <v>101</v>
      </c>
      <c r="I1659" s="5" t="n">
        <v>485.1</v>
      </c>
      <c r="J1659" s="5" t="n">
        <v>376.9</v>
      </c>
      <c r="K1659" s="3" t="inlineStr">
        <is>
          <t>101p.단독택지.1분거리.학원.마트.초중고.5분.단독주택.전원주택.추천</t>
        </is>
      </c>
      <c r="L1659" s="6">
        <f>HYPERLINK("https://fin.land.naver.com/articles/2644828138",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원</t>
        </is>
      </c>
      <c r="P1659" s="4" t="n">
        <v>1</v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토지</t>
        </is>
      </c>
      <c r="E1660" s="3" t="inlineStr">
        <is>
          <t>대</t>
        </is>
      </c>
      <c r="F1660" s="3" t="inlineStr">
        <is>
          <t>매매</t>
        </is>
      </c>
      <c r="G1660" s="4" t="n">
        <v>75000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토지</t>
        </is>
      </c>
      <c r="E1661" s="3" t="inlineStr">
        <is>
          <t>대</t>
        </is>
      </c>
      <c r="F1661" s="3" t="inlineStr">
        <is>
          <t>매매</t>
        </is>
      </c>
      <c r="G1661" s="4" t="n">
        <v>60000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토지</t>
        </is>
      </c>
      <c r="E1662" s="3" t="inlineStr">
        <is>
          <t>대</t>
        </is>
      </c>
      <c r="F1662" s="3" t="inlineStr">
        <is>
          <t>매매</t>
        </is>
      </c>
      <c r="G1662" s="4" t="n">
        <v>50000</v>
      </c>
      <c r="H1662" s="4" t="n">
        <v>100</v>
      </c>
      <c r="I1662" s="5" t="n">
        <v>500</v>
      </c>
      <c r="J1662" s="5" t="n">
        <v>376.9</v>
      </c>
      <c r="K1662" s="3" t="inlineStr">
        <is>
          <t>총 99.8p, 조율가능, 네모반듯한 남향 예쁜 토지</t>
        </is>
      </c>
      <c r="L1662" s="6">
        <f>HYPERLINK("https://fin.land.naver.com/articles/2645542409",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명진</t>
        </is>
      </c>
      <c r="P1662" s="4" t="n">
        <v>1</v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토지</t>
        </is>
      </c>
      <c r="E1663" s="3" t="inlineStr">
        <is>
          <t>대</t>
        </is>
      </c>
      <c r="F1663" s="3" t="inlineStr">
        <is>
          <t>매매</t>
        </is>
      </c>
      <c r="G1663" s="4" t="n">
        <v>50000</v>
      </c>
      <c r="H1663" s="4" t="n">
        <v>100</v>
      </c>
      <c r="I1663" s="5" t="n">
        <v>500</v>
      </c>
      <c r="J1663" s="5" t="n">
        <v>376.9</v>
      </c>
      <c r="K1663" s="3" t="inlineStr">
        <is>
          <t>인기지역 D2 땅모양좋음 조율가능</t>
        </is>
      </c>
      <c r="L1663" s="6">
        <f>HYPERLINK("https://fin.land.naver.com/articles/2644000959",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세종스타</t>
        </is>
      </c>
      <c r="P1663" s="4" t="n">
        <v>1</v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토지</t>
        </is>
      </c>
      <c r="E1664" s="3" t="inlineStr">
        <is>
          <t>대</t>
        </is>
      </c>
      <c r="F1664" s="3" t="inlineStr">
        <is>
          <t>매매</t>
        </is>
      </c>
      <c r="G1664" s="4" t="n">
        <v>50000</v>
      </c>
      <c r="H1664" s="4" t="n">
        <v>100</v>
      </c>
      <c r="I1664" s="5" t="n">
        <v>500</v>
      </c>
      <c r="J1664" s="5" t="n">
        <v>376.9</v>
      </c>
      <c r="K1664" s="3" t="inlineStr">
        <is>
          <t>네모 반듯한 예쁜 토지 매매, 입지 굿</t>
        </is>
      </c>
      <c r="L1664" s="6">
        <f>HYPERLINK("https://fin.land.naver.com/articles/2644483128",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세종무지개</t>
        </is>
      </c>
      <c r="P1664" s="4" t="n">
        <v>1</v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토지</t>
        </is>
      </c>
      <c r="E1665" s="3" t="inlineStr">
        <is>
          <t>대</t>
        </is>
      </c>
      <c r="F1665" s="3" t="inlineStr">
        <is>
          <t>매매</t>
        </is>
      </c>
      <c r="G1665" s="4" t="n">
        <v>45000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토지</t>
        </is>
      </c>
      <c r="E1666" s="3" t="inlineStr">
        <is>
          <t>대</t>
        </is>
      </c>
      <c r="F1666" s="3" t="inlineStr">
        <is>
          <t>매매</t>
        </is>
      </c>
      <c r="G1666" s="4" t="n">
        <v>38000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토지</t>
        </is>
      </c>
      <c r="E1667" s="3" t="inlineStr">
        <is>
          <t>대</t>
        </is>
      </c>
      <c r="F1667" s="3" t="inlineStr">
        <is>
          <t>매매</t>
        </is>
      </c>
      <c r="G1667" s="4" t="n">
        <v>38000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토지</t>
        </is>
      </c>
      <c r="E1668" s="3" t="inlineStr">
        <is>
          <t>대</t>
        </is>
      </c>
      <c r="F1668" s="3" t="inlineStr">
        <is>
          <t>매매</t>
        </is>
      </c>
      <c r="G1668" s="4" t="n">
        <v>38000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토지</t>
        </is>
      </c>
      <c r="E1669" s="3" t="inlineStr">
        <is>
          <t>대</t>
        </is>
      </c>
      <c r="F1669" s="3" t="inlineStr">
        <is>
          <t>매매</t>
        </is>
      </c>
      <c r="G1669" s="4" t="n">
        <v>75000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토지</t>
        </is>
      </c>
      <c r="E1670" s="3" t="inlineStr">
        <is>
          <t>대</t>
        </is>
      </c>
      <c r="F1670" s="3" t="inlineStr">
        <is>
          <t>매매</t>
        </is>
      </c>
      <c r="G1670" s="4" t="n">
        <v>80000</v>
      </c>
      <c r="H1670" s="4" t="n">
        <v>107</v>
      </c>
      <c r="I1670" s="5" t="n">
        <v>747.7</v>
      </c>
      <c r="J1670" s="5" t="n">
        <v>403</v>
      </c>
      <c r="K1670" s="3" t="inlineStr">
        <is>
          <t>총 107.1p, 한솔동 단독주택지</t>
        </is>
      </c>
      <c r="L1670" s="6">
        <f>HYPERLINK("https://fin.land.naver.com/articles/2647421737",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명진</t>
        </is>
      </c>
      <c r="P1670" s="4" t="n">
        <v>1</v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토지</t>
        </is>
      </c>
      <c r="E1671" s="3" t="inlineStr">
        <is>
          <t>대</t>
        </is>
      </c>
      <c r="F1671" s="3" t="inlineStr">
        <is>
          <t>매매</t>
        </is>
      </c>
      <c r="G1671" s="4" t="n">
        <v>80000</v>
      </c>
      <c r="H1671" s="4" t="n">
        <v>107</v>
      </c>
      <c r="I1671" s="5" t="n">
        <v>747.7</v>
      </c>
      <c r="J1671" s="5" t="n">
        <v>403</v>
      </c>
      <c r="K1671" s="3" t="inlineStr">
        <is>
          <t>세종시 한솔동 도심속 전원주택부지 매매</t>
        </is>
      </c>
      <c r="L1671" s="6">
        <f>HYPERLINK("https://fin.land.naver.com/articles/2646189999",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전원</t>
        </is>
      </c>
      <c r="P1671" s="4" t="n">
        <v>2</v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토지</t>
        </is>
      </c>
      <c r="E1672" s="3" t="inlineStr">
        <is>
          <t>대</t>
        </is>
      </c>
      <c r="F1672" s="3" t="inlineStr">
        <is>
          <t>매매</t>
        </is>
      </c>
      <c r="G1672" s="4" t="n">
        <v>80000</v>
      </c>
      <c r="H1672" s="4" t="n">
        <v>107</v>
      </c>
      <c r="I1672" s="5" t="n">
        <v>747.7</v>
      </c>
      <c r="J1672" s="5" t="n">
        <v>403</v>
      </c>
      <c r="K1672" s="3" t="inlineStr">
        <is>
          <t>nan</t>
        </is>
      </c>
      <c r="L1672" s="6">
        <f>HYPERLINK("https://fin.land.naver.com/articles/2642864840",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디아트성심</t>
        </is>
      </c>
      <c r="P1672" s="4" t="n">
        <v>1</v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토지</t>
        </is>
      </c>
      <c r="E1673" s="3" t="inlineStr">
        <is>
          <t>대</t>
        </is>
      </c>
      <c r="F1673" s="3" t="inlineStr">
        <is>
          <t>매매</t>
        </is>
      </c>
      <c r="G1673" s="4" t="n">
        <v>80000</v>
      </c>
      <c r="H1673" s="4" t="n">
        <v>106</v>
      </c>
      <c r="I1673" s="5" t="n">
        <v>754.7</v>
      </c>
      <c r="J1673" s="5" t="n">
        <v>403</v>
      </c>
      <c r="K1673" s="3" t="inlineStr">
        <is>
          <t>공원 인근, 조용한고 편리한 단독주택지 토지매매</t>
        </is>
      </c>
      <c r="L1673" s="6">
        <f>HYPERLINK("https://fin.land.naver.com/articles/2644070631",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세종무지개</t>
        </is>
      </c>
      <c r="P1673" s="4" t="n">
        <v>1</v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토지</t>
        </is>
      </c>
      <c r="E1674" s="3" t="inlineStr">
        <is>
          <t>대</t>
        </is>
      </c>
      <c r="F1674" s="3" t="inlineStr">
        <is>
          <t>매매</t>
        </is>
      </c>
      <c r="G1674" s="4" t="n">
        <v>52000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토지</t>
        </is>
      </c>
      <c r="E1675" s="3" t="inlineStr">
        <is>
          <t>대</t>
        </is>
      </c>
      <c r="F1675" s="3" t="inlineStr">
        <is>
          <t>매매</t>
        </is>
      </c>
      <c r="G1675" s="4" t="n">
        <v>58000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토지</t>
        </is>
      </c>
      <c r="E1676" s="3" t="inlineStr">
        <is>
          <t>대</t>
        </is>
      </c>
      <c r="F1676" s="3" t="inlineStr">
        <is>
          <t>매매</t>
        </is>
      </c>
      <c r="G1676" s="4" t="n">
        <v>57000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토지</t>
        </is>
      </c>
      <c r="E1677" s="3" t="inlineStr">
        <is>
          <t>주차장</t>
        </is>
      </c>
      <c r="F1677" s="3" t="inlineStr">
        <is>
          <t>매매</t>
        </is>
      </c>
      <c r="G1677" s="4" t="n">
        <v>580000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토지</t>
        </is>
      </c>
      <c r="E1678" s="3" t="inlineStr">
        <is>
          <t>대</t>
        </is>
      </c>
      <c r="F1678" s="3" t="inlineStr">
        <is>
          <t>매매</t>
        </is>
      </c>
      <c r="G1678" s="4" t="n">
        <v>55000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토지</t>
        </is>
      </c>
      <c r="E1679" s="3" t="inlineStr">
        <is>
          <t>대</t>
        </is>
      </c>
      <c r="F1679" s="3" t="inlineStr">
        <is>
          <t>매매</t>
        </is>
      </c>
      <c r="G1679" s="4" t="n">
        <v>55000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토지</t>
        </is>
      </c>
      <c r="E1680" s="3" t="inlineStr">
        <is>
          <t>대</t>
        </is>
      </c>
      <c r="F1680" s="3" t="inlineStr">
        <is>
          <t>매매</t>
        </is>
      </c>
      <c r="G1680" s="4" t="n">
        <v>55000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토지</t>
        </is>
      </c>
      <c r="E1681" s="3" t="inlineStr">
        <is>
          <t>대</t>
        </is>
      </c>
      <c r="F1681" s="3" t="inlineStr">
        <is>
          <t>매매</t>
        </is>
      </c>
      <c r="G1681" s="4" t="n">
        <v>360000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토지</t>
        </is>
      </c>
      <c r="E1682" s="3" t="inlineStr">
        <is>
          <t>대</t>
        </is>
      </c>
      <c r="F1682" s="3" t="inlineStr">
        <is>
          <t>매매</t>
        </is>
      </c>
      <c r="G1682" s="4" t="n">
        <v>180000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토지</t>
        </is>
      </c>
      <c r="E1683" s="3" t="inlineStr">
        <is>
          <t>대</t>
        </is>
      </c>
      <c r="F1683" s="3" t="inlineStr">
        <is>
          <t>매매</t>
        </is>
      </c>
      <c r="G1683" s="4" t="n">
        <v>155000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토지</t>
        </is>
      </c>
      <c r="E1684" s="3" t="inlineStr">
        <is>
          <t>대</t>
        </is>
      </c>
      <c r="F1684" s="3" t="inlineStr">
        <is>
          <t>매매</t>
        </is>
      </c>
      <c r="G1684" s="4" t="n">
        <v>145000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토지</t>
        </is>
      </c>
      <c r="E1685" s="3" t="inlineStr">
        <is>
          <t>대</t>
        </is>
      </c>
      <c r="F1685" s="3" t="inlineStr">
        <is>
          <t>매매</t>
        </is>
      </c>
      <c r="G1685" s="4" t="n">
        <v>401300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토지</t>
        </is>
      </c>
      <c r="E1686" s="3" t="inlineStr">
        <is>
          <t>대</t>
        </is>
      </c>
      <c r="F1686" s="3" t="inlineStr">
        <is>
          <t>매매</t>
        </is>
      </c>
      <c r="G1686" s="4" t="n">
        <v>60000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토지</t>
        </is>
      </c>
      <c r="E1687" s="3" t="inlineStr">
        <is>
          <t>대</t>
        </is>
      </c>
      <c r="F1687" s="3" t="inlineStr">
        <is>
          <t>매매</t>
        </is>
      </c>
      <c r="G1687" s="4" t="n">
        <v>58000</v>
      </c>
      <c r="H1687" s="4" t="n">
        <v>98</v>
      </c>
      <c r="I1687" s="5" t="n">
        <v>591.8</v>
      </c>
      <c r="J1687" s="5" t="n">
        <v>241.1</v>
      </c>
      <c r="K1687" s="3" t="inlineStr">
        <is>
          <t>조율가능 남동향 트인위치 땅모양 좋음</t>
        </is>
      </c>
      <c r="L1687" s="6">
        <f>HYPERLINK("https://fin.land.naver.com/articles/2643971746",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세종스타</t>
        </is>
      </c>
      <c r="P1687" s="4" t="n">
        <v>1</v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토지</t>
        </is>
      </c>
      <c r="E1688" s="3" t="inlineStr">
        <is>
          <t>대</t>
        </is>
      </c>
      <c r="F1688" s="3" t="inlineStr">
        <is>
          <t>매매</t>
        </is>
      </c>
      <c r="G1688" s="4" t="n">
        <v>58000</v>
      </c>
      <c r="H1688" s="4" t="n">
        <v>98</v>
      </c>
      <c r="I1688" s="5" t="n">
        <v>591.8</v>
      </c>
      <c r="J1688" s="5" t="n">
        <v>241.1</v>
      </c>
      <c r="K1688" s="3" t="inlineStr">
        <is>
          <t>98.18p, 해밀동 네모 반듯한 단독주택 토지매매</t>
        </is>
      </c>
      <c r="L1688" s="6">
        <f>HYPERLINK("https://fin.land.naver.com/articles/2642883997",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명진</t>
        </is>
      </c>
      <c r="P1688" s="4" t="n">
        <v>1</v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토지</t>
        </is>
      </c>
      <c r="E1689" s="3" t="inlineStr">
        <is>
          <t>대</t>
        </is>
      </c>
      <c r="F1689" s="3" t="inlineStr">
        <is>
          <t>매매</t>
        </is>
      </c>
      <c r="G1689" s="4" t="n">
        <v>60000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토지</t>
        </is>
      </c>
      <c r="E1690" s="3" t="inlineStr">
        <is>
          <t>대</t>
        </is>
      </c>
      <c r="F1690" s="3" t="inlineStr">
        <is>
          <t>매매</t>
        </is>
      </c>
      <c r="G1690" s="4" t="n">
        <v>57000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토지</t>
        </is>
      </c>
      <c r="E1691" s="3" t="inlineStr">
        <is>
          <t>대</t>
        </is>
      </c>
      <c r="F1691" s="3" t="inlineStr">
        <is>
          <t>매매</t>
        </is>
      </c>
      <c r="G1691" s="4" t="n">
        <v>55000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토지</t>
        </is>
      </c>
      <c r="E1692" s="3" t="inlineStr">
        <is>
          <t>대</t>
        </is>
      </c>
      <c r="F1692" s="3" t="inlineStr">
        <is>
          <t>매매</t>
        </is>
      </c>
      <c r="G1692" s="4" t="n">
        <v>56500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토지</t>
        </is>
      </c>
      <c r="E1693" s="3" t="inlineStr">
        <is>
          <t>대</t>
        </is>
      </c>
      <c r="F1693" s="3" t="inlineStr">
        <is>
          <t>매매</t>
        </is>
      </c>
      <c r="G1693" s="4" t="n">
        <v>56500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토지</t>
        </is>
      </c>
      <c r="E1694" s="3" t="inlineStr">
        <is>
          <t>대</t>
        </is>
      </c>
      <c r="F1694" s="3" t="inlineStr">
        <is>
          <t>매매</t>
        </is>
      </c>
      <c r="G1694" s="4" t="n">
        <v>70000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</row>
  </sheetData>
  <autoFilter ref="A1:P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해당층</t>
        </is>
      </c>
      <c r="N1" s="2" t="inlineStr">
        <is>
          <t>총층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공장/창고</t>
        </is>
      </c>
      <c r="E2" s="3" t="inlineStr">
        <is>
          <t>공장</t>
        </is>
      </c>
      <c r="F2" s="3" t="inlineStr">
        <is>
          <t>월세</t>
        </is>
      </c>
      <c r="G2" s="4" t="n">
        <v>10000</v>
      </c>
      <c r="H2" s="4" t="n">
        <v>950</v>
      </c>
      <c r="I2" s="4" t="n">
        <v>1032</v>
      </c>
      <c r="J2" s="5" t="n">
        <v>0.9</v>
      </c>
      <c r="K2" s="4" t="n">
        <v>411</v>
      </c>
      <c r="L2" s="5" t="n">
        <v>2.3</v>
      </c>
      <c r="M2" s="3" t="inlineStr">
        <is>
          <t>1</t>
        </is>
      </c>
      <c r="N2" s="3" t="inlineStr">
        <is>
          <t>-</t>
        </is>
      </c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6">
        <f>HYPERLINK("http://www.eum.go.kr/web/ar/lu/luLandDet.jsp?pnu=4311331022102530000&amp;mode=search", "토지이음")</f>
        <v/>
      </c>
      <c r="S2" s="3" t="inlineStr">
        <is>
          <t>위더스</t>
        </is>
      </c>
      <c r="T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공장/창고</t>
        </is>
      </c>
      <c r="E3" s="3" t="inlineStr">
        <is>
          <t>창고</t>
        </is>
      </c>
      <c r="F3" s="3" t="inlineStr">
        <is>
          <t>월세</t>
        </is>
      </c>
      <c r="G3" s="4" t="n">
        <v>10000</v>
      </c>
      <c r="H3" s="4" t="n">
        <v>950</v>
      </c>
      <c r="I3" s="4" t="n">
        <v>1000</v>
      </c>
      <c r="J3" s="5" t="n">
        <v>0.9</v>
      </c>
      <c r="K3" s="4" t="n">
        <v>411</v>
      </c>
      <c r="L3" s="5" t="n">
        <v>2.3</v>
      </c>
      <c r="M3" s="3" t="inlineStr">
        <is>
          <t>1</t>
        </is>
      </c>
      <c r="N3" s="3" t="inlineStr">
        <is>
          <t>-</t>
        </is>
      </c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6">
        <f>HYPERLINK("http://www.eum.go.kr/web/ar/lu/luLandDet.jsp?pnu=4311331022102530000&amp;mode=search", "토지이음")</f>
        <v/>
      </c>
      <c r="S3" s="3" t="inlineStr">
        <is>
          <t>태광</t>
        </is>
      </c>
      <c r="T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공장/창고</t>
        </is>
      </c>
      <c r="E4" s="3" t="inlineStr">
        <is>
          <t>공장</t>
        </is>
      </c>
      <c r="F4" s="3" t="inlineStr">
        <is>
          <t>월세</t>
        </is>
      </c>
      <c r="G4" s="4" t="n">
        <v>10000</v>
      </c>
      <c r="H4" s="4" t="n">
        <v>950</v>
      </c>
      <c r="I4" s="4" t="n">
        <v>1032</v>
      </c>
      <c r="J4" s="5" t="n">
        <v>0.9</v>
      </c>
      <c r="K4" s="4" t="n">
        <v>411</v>
      </c>
      <c r="L4" s="5" t="n">
        <v>2.3</v>
      </c>
      <c r="M4" s="3" t="inlineStr">
        <is>
          <t>1</t>
        </is>
      </c>
      <c r="N4" s="3" t="inlineStr">
        <is>
          <t>-</t>
        </is>
      </c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6">
        <f>HYPERLINK("http://www.eum.go.kr/web/ar/lu/luLandDet.jsp?pnu=4311331022102530000&amp;mode=search", "토지이음")</f>
        <v/>
      </c>
      <c r="S4" s="3" t="inlineStr">
        <is>
          <t>더원</t>
        </is>
      </c>
      <c r="T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공장/창고</t>
        </is>
      </c>
      <c r="E5" s="3" t="inlineStr">
        <is>
          <t>공장</t>
        </is>
      </c>
      <c r="F5" s="3" t="inlineStr">
        <is>
          <t>월세</t>
        </is>
      </c>
      <c r="G5" s="4" t="n">
        <v>5000</v>
      </c>
      <c r="H5" s="4" t="n">
        <v>510</v>
      </c>
      <c r="I5" s="4" t="n">
        <v>620</v>
      </c>
      <c r="J5" s="5" t="n">
        <v>0.8</v>
      </c>
      <c r="K5" s="4" t="n">
        <v>219</v>
      </c>
      <c r="L5" s="5" t="n">
        <v>2.3</v>
      </c>
      <c r="M5" s="3" t="inlineStr">
        <is>
          <t>1</t>
        </is>
      </c>
      <c r="N5" s="3" t="inlineStr">
        <is>
          <t>-</t>
        </is>
      </c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6">
        <f>HYPERLINK("http://www.eum.go.kr/web/ar/lu/luLandDet.jsp?pnu=4311331022102720001&amp;mode=search", "토지이음")</f>
        <v/>
      </c>
      <c r="S5" s="3" t="inlineStr">
        <is>
          <t>태광</t>
        </is>
      </c>
      <c r="T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공장/창고</t>
        </is>
      </c>
      <c r="E6" s="3" t="inlineStr">
        <is>
          <t>공장</t>
        </is>
      </c>
      <c r="F6" s="3" t="inlineStr">
        <is>
          <t>월세</t>
        </is>
      </c>
      <c r="G6" s="4" t="n">
        <v>5000</v>
      </c>
      <c r="H6" s="4" t="n">
        <v>510</v>
      </c>
      <c r="I6" s="4" t="n">
        <v>620</v>
      </c>
      <c r="J6" s="5" t="n">
        <v>0.8</v>
      </c>
      <c r="K6" s="4" t="n">
        <v>219</v>
      </c>
      <c r="L6" s="5" t="n">
        <v>2.3</v>
      </c>
      <c r="M6" s="3" t="inlineStr">
        <is>
          <t>1</t>
        </is>
      </c>
      <c r="N6" s="3" t="inlineStr">
        <is>
          <t>-</t>
        </is>
      </c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6">
        <f>HYPERLINK("http://www.eum.go.kr/web/ar/lu/luLandDet.jsp?pnu=4311331022102720001&amp;mode=search", "토지이음")</f>
        <v/>
      </c>
      <c r="S6" s="3" t="inlineStr">
        <is>
          <t>위더스</t>
        </is>
      </c>
      <c r="T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공장/창고</t>
        </is>
      </c>
      <c r="E7" s="3" t="inlineStr">
        <is>
          <t>공장</t>
        </is>
      </c>
      <c r="F7" s="3" t="inlineStr">
        <is>
          <t>월세</t>
        </is>
      </c>
      <c r="G7" s="4" t="n">
        <v>5000</v>
      </c>
      <c r="H7" s="4" t="n">
        <v>510</v>
      </c>
      <c r="I7" s="4" t="n">
        <v>620</v>
      </c>
      <c r="J7" s="5" t="n">
        <v>0.8</v>
      </c>
      <c r="K7" s="4" t="n">
        <v>219</v>
      </c>
      <c r="L7" s="5" t="n">
        <v>2.3</v>
      </c>
      <c r="M7" s="3" t="inlineStr">
        <is>
          <t>1</t>
        </is>
      </c>
      <c r="N7" s="3" t="inlineStr">
        <is>
          <t>-</t>
        </is>
      </c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6">
        <f>HYPERLINK("http://www.eum.go.kr/web/ar/lu/luLandDet.jsp?pnu=4311331022102720001&amp;mode=search", "토지이음")</f>
        <v/>
      </c>
      <c r="S7" s="3" t="inlineStr">
        <is>
          <t>태성</t>
        </is>
      </c>
      <c r="T7" s="4" t="n">
        <v>1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공장/창고</t>
        </is>
      </c>
      <c r="E8" s="3" t="inlineStr">
        <is>
          <t>공장</t>
        </is>
      </c>
      <c r="F8" s="3" t="inlineStr">
        <is>
          <t>매매</t>
        </is>
      </c>
      <c r="G8" s="4" t="n">
        <v>360000</v>
      </c>
      <c r="H8" s="4" t="n">
        <v>0</v>
      </c>
      <c r="I8" s="4" t="n">
        <v>1096</v>
      </c>
      <c r="J8" s="5" t="n">
        <v>328.5</v>
      </c>
      <c r="K8" s="4" t="n">
        <v>502</v>
      </c>
      <c r="L8" s="5" t="n">
        <v>717.1</v>
      </c>
      <c r="M8" s="3" t="inlineStr">
        <is>
          <t>2</t>
        </is>
      </c>
      <c r="N8" s="3" t="inlineStr">
        <is>
          <t>-</t>
        </is>
      </c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6">
        <f>HYPERLINK("http://www.eum.go.kr/web/ar/lu/luLandDet.jsp?pnu=4311331022100310001&amp;mode=search", "토지이음")</f>
        <v/>
      </c>
      <c r="S8" s="3" t="inlineStr">
        <is>
          <t>(주)미르</t>
        </is>
      </c>
      <c r="T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공장/창고</t>
        </is>
      </c>
      <c r="E9" s="3" t="inlineStr">
        <is>
          <t>공장</t>
        </is>
      </c>
      <c r="F9" s="3" t="inlineStr">
        <is>
          <t>매매</t>
        </is>
      </c>
      <c r="G9" s="4" t="n">
        <v>600000</v>
      </c>
      <c r="H9" s="4" t="n">
        <v>0</v>
      </c>
      <c r="I9" s="4" t="n">
        <v>2864</v>
      </c>
      <c r="J9" s="5" t="n">
        <v>209.5</v>
      </c>
      <c r="K9" s="4" t="n">
        <v>1218</v>
      </c>
      <c r="L9" s="5" t="n">
        <v>492.6</v>
      </c>
      <c r="M9" s="3" t="inlineStr">
        <is>
          <t>1</t>
        </is>
      </c>
      <c r="N9" s="3" t="inlineStr">
        <is>
          <t>-</t>
        </is>
      </c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6">
        <f>HYPERLINK("http://www.eum.go.kr/web/ar/lu/luLandDet.jsp?pnu=4311331026101100037&amp;mode=search", "토지이음")</f>
        <v/>
      </c>
      <c r="S9" s="3" t="inlineStr">
        <is>
          <t>금화랜드</t>
        </is>
      </c>
      <c r="T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공장/창고</t>
        </is>
      </c>
      <c r="E10" s="3" t="inlineStr">
        <is>
          <t>공장</t>
        </is>
      </c>
      <c r="F10" s="3" t="inlineStr">
        <is>
          <t>월세</t>
        </is>
      </c>
      <c r="G10" s="4" t="n">
        <v>3000</v>
      </c>
      <c r="H10" s="4" t="n">
        <v>250</v>
      </c>
      <c r="I10" s="4" t="n">
        <v>1776</v>
      </c>
      <c r="J10" s="5" t="n">
        <v>0.1</v>
      </c>
      <c r="K10" s="4" t="n">
        <v>145</v>
      </c>
      <c r="L10" s="5" t="n">
        <v>1.7</v>
      </c>
      <c r="M10" s="3" t="inlineStr">
        <is>
          <t>1</t>
        </is>
      </c>
      <c r="N10" s="3" t="inlineStr">
        <is>
          <t>-</t>
        </is>
      </c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6">
        <f>HYPERLINK("http://www.eum.go.kr/web/ar/lu/luLandDet.jsp?pnu=4311331026101100004&amp;mode=search", "토지이음")</f>
        <v/>
      </c>
      <c r="S10" s="3" t="inlineStr">
        <is>
          <t>오송올래</t>
        </is>
      </c>
      <c r="T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공장/창고</t>
        </is>
      </c>
      <c r="E11" s="3" t="inlineStr">
        <is>
          <t>공장</t>
        </is>
      </c>
      <c r="F11" s="3" t="inlineStr">
        <is>
          <t>월세</t>
        </is>
      </c>
      <c r="G11" s="4" t="n">
        <v>3000</v>
      </c>
      <c r="H11" s="4" t="n">
        <v>200</v>
      </c>
      <c r="I11" s="4" t="n">
        <v>1776</v>
      </c>
      <c r="J11" s="5" t="n">
        <v>0.1</v>
      </c>
      <c r="K11" s="4" t="n">
        <v>145</v>
      </c>
      <c r="L11" s="5" t="n">
        <v>1.4</v>
      </c>
      <c r="M11" s="3" t="inlineStr">
        <is>
          <t>3</t>
        </is>
      </c>
      <c r="N11" s="3" t="inlineStr">
        <is>
          <t>-</t>
        </is>
      </c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6">
        <f>HYPERLINK("http://www.eum.go.kr/web/ar/lu/luLandDet.jsp?pnu=4311331026101100009&amp;mode=search", "토지이음")</f>
        <v/>
      </c>
      <c r="S11" s="3" t="inlineStr">
        <is>
          <t>골든타임</t>
        </is>
      </c>
      <c r="T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공장/창고</t>
        </is>
      </c>
      <c r="E12" s="3" t="inlineStr">
        <is>
          <t>공장</t>
        </is>
      </c>
      <c r="F12" s="3" t="inlineStr">
        <is>
          <t>월세</t>
        </is>
      </c>
      <c r="G12" s="4" t="n">
        <v>3000</v>
      </c>
      <c r="H12" s="4" t="n">
        <v>200</v>
      </c>
      <c r="I12" s="4" t="n">
        <v>1776</v>
      </c>
      <c r="J12" s="5" t="n">
        <v>0.1</v>
      </c>
      <c r="K12" s="4" t="n">
        <v>296</v>
      </c>
      <c r="L12" s="5" t="n">
        <v>0.7</v>
      </c>
      <c r="M12" s="3" t="inlineStr">
        <is>
          <t>2</t>
        </is>
      </c>
      <c r="N12" s="3" t="inlineStr">
        <is>
          <t>-</t>
        </is>
      </c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6">
        <f>HYPERLINK("http://www.eum.go.kr/web/ar/lu/luLandDet.jsp?pnu=4311331026101100009&amp;mode=search", "토지이음")</f>
        <v/>
      </c>
      <c r="S12" s="3" t="inlineStr">
        <is>
          <t>제이</t>
        </is>
      </c>
      <c r="T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공장/창고</t>
        </is>
      </c>
      <c r="E13" s="3" t="inlineStr">
        <is>
          <t>공장</t>
        </is>
      </c>
      <c r="F13" s="3" t="inlineStr">
        <is>
          <t>매매</t>
        </is>
      </c>
      <c r="G13" s="4" t="n">
        <v>600000</v>
      </c>
      <c r="H13" s="4" t="n">
        <v>0</v>
      </c>
      <c r="I13" s="4" t="n">
        <v>2873</v>
      </c>
      <c r="J13" s="5" t="n">
        <v>208.8</v>
      </c>
      <c r="K13" s="4" t="n">
        <v>1218</v>
      </c>
      <c r="L13" s="5" t="n">
        <v>492.6</v>
      </c>
      <c r="M13" s="3" t="inlineStr">
        <is>
          <t>1</t>
        </is>
      </c>
      <c r="N13" s="3" t="inlineStr">
        <is>
          <t>B3</t>
        </is>
      </c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6">
        <f>HYPERLINK("http://www.eum.go.kr/web/ar/lu/luLandDet.jsp?pnu=4311331026101100009&amp;mode=search", "토지이음")</f>
        <v/>
      </c>
      <c r="S13" s="3" t="inlineStr">
        <is>
          <t>오송파라곤리치</t>
        </is>
      </c>
      <c r="T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공장/창고</t>
        </is>
      </c>
      <c r="E14" s="3" t="inlineStr">
        <is>
          <t>공장</t>
        </is>
      </c>
      <c r="F14" s="3" t="inlineStr">
        <is>
          <t>월세</t>
        </is>
      </c>
      <c r="G14" s="4" t="n">
        <v>3000</v>
      </c>
      <c r="H14" s="4" t="n">
        <v>250</v>
      </c>
      <c r="I14" s="4" t="n">
        <v>1776</v>
      </c>
      <c r="J14" s="5" t="n">
        <v>0.1</v>
      </c>
      <c r="K14" s="4" t="n">
        <v>145</v>
      </c>
      <c r="L14" s="5" t="n">
        <v>1.7</v>
      </c>
      <c r="M14" s="3" t="inlineStr">
        <is>
          <t>1</t>
        </is>
      </c>
      <c r="N14" s="3" t="inlineStr">
        <is>
          <t>-</t>
        </is>
      </c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6">
        <f>HYPERLINK("http://www.eum.go.kr/web/ar/lu/luLandDet.jsp?pnu=4311331026101100009&amp;mode=search", "토지이음")</f>
        <v/>
      </c>
      <c r="S14" s="3" t="inlineStr">
        <is>
          <t>제이</t>
        </is>
      </c>
      <c r="T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공장/창고</t>
        </is>
      </c>
      <c r="E15" s="3" t="inlineStr">
        <is>
          <t>공장</t>
        </is>
      </c>
      <c r="F15" s="3" t="inlineStr">
        <is>
          <t>매매</t>
        </is>
      </c>
      <c r="G15" s="4" t="n">
        <v>600000</v>
      </c>
      <c r="H15" s="4" t="n">
        <v>0</v>
      </c>
      <c r="I15" s="4" t="n">
        <v>2864</v>
      </c>
      <c r="J15" s="5" t="n">
        <v>209.5</v>
      </c>
      <c r="K15" s="4" t="n">
        <v>1218</v>
      </c>
      <c r="L15" s="5" t="n">
        <v>492.6</v>
      </c>
      <c r="M15" s="3" t="inlineStr">
        <is>
          <t>3</t>
        </is>
      </c>
      <c r="N15" s="3" t="inlineStr">
        <is>
          <t>-</t>
        </is>
      </c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6">
        <f>HYPERLINK("http://www.eum.go.kr/web/ar/lu/luLandDet.jsp?pnu=4311331026101100009&amp;mode=search", "토지이음")</f>
        <v/>
      </c>
      <c r="S15" s="3" t="inlineStr">
        <is>
          <t>(주)미르</t>
        </is>
      </c>
      <c r="T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공장/창고</t>
        </is>
      </c>
      <c r="E16" s="3" t="inlineStr">
        <is>
          <t>공장</t>
        </is>
      </c>
      <c r="F16" s="3" t="inlineStr">
        <is>
          <t>월세</t>
        </is>
      </c>
      <c r="G16" s="4" t="n">
        <v>3000</v>
      </c>
      <c r="H16" s="4" t="n">
        <v>200</v>
      </c>
      <c r="I16" s="4" t="n">
        <v>1776</v>
      </c>
      <c r="J16" s="5" t="n">
        <v>0.1</v>
      </c>
      <c r="K16" s="4" t="n">
        <v>148</v>
      </c>
      <c r="L16" s="5" t="n">
        <v>1.4</v>
      </c>
      <c r="M16" s="3" t="inlineStr">
        <is>
          <t>2</t>
        </is>
      </c>
      <c r="N16" s="3" t="inlineStr">
        <is>
          <t>-</t>
        </is>
      </c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6">
        <f>HYPERLINK("http://www.eum.go.kr/web/ar/lu/luLandDet.jsp?pnu=4311331026101100009&amp;mode=search", "토지이음")</f>
        <v/>
      </c>
      <c r="S16" s="3" t="inlineStr">
        <is>
          <t>더오름</t>
        </is>
      </c>
      <c r="T16" s="4" t="n">
        <v>2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공장/창고</t>
        </is>
      </c>
      <c r="E17" s="3" t="inlineStr">
        <is>
          <t>공장</t>
        </is>
      </c>
      <c r="F17" s="3" t="inlineStr">
        <is>
          <t>매매</t>
        </is>
      </c>
      <c r="G17" s="4" t="n">
        <v>600000</v>
      </c>
      <c r="H17" s="4" t="n">
        <v>0</v>
      </c>
      <c r="I17" s="4" t="n">
        <v>1776</v>
      </c>
      <c r="J17" s="5" t="n">
        <v>337.8</v>
      </c>
      <c r="K17" s="4" t="n">
        <v>821</v>
      </c>
      <c r="L17" s="5" t="n">
        <v>730.8</v>
      </c>
      <c r="M17" s="3" t="inlineStr">
        <is>
          <t>3</t>
        </is>
      </c>
      <c r="N17" s="3" t="inlineStr">
        <is>
          <t>-</t>
        </is>
      </c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6">
        <f>HYPERLINK("http://www.eum.go.kr/web/ar/lu/luLandDet.jsp?pnu=4311331026101100009&amp;mode=search", "토지이음")</f>
        <v/>
      </c>
      <c r="S17" s="3" t="inlineStr">
        <is>
          <t>골든타임</t>
        </is>
      </c>
      <c r="T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공장/창고</t>
        </is>
      </c>
      <c r="E18" s="3" t="inlineStr">
        <is>
          <t>공장</t>
        </is>
      </c>
      <c r="F18" s="3" t="inlineStr">
        <is>
          <t>월세</t>
        </is>
      </c>
      <c r="G18" s="4" t="n">
        <v>5000</v>
      </c>
      <c r="H18" s="4" t="n">
        <v>400</v>
      </c>
      <c r="I18" s="4" t="n">
        <v>1776</v>
      </c>
      <c r="J18" s="5" t="n">
        <v>0.2</v>
      </c>
      <c r="K18" s="4" t="n">
        <v>821</v>
      </c>
      <c r="L18" s="5" t="n">
        <v>0.5</v>
      </c>
      <c r="M18" s="3" t="inlineStr">
        <is>
          <t>3</t>
        </is>
      </c>
      <c r="N18" s="3" t="inlineStr">
        <is>
          <t>-</t>
        </is>
      </c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6">
        <f>HYPERLINK("http://www.eum.go.kr/web/ar/lu/luLandDet.jsp?pnu=4311331026101100009&amp;mode=search", "토지이음")</f>
        <v/>
      </c>
      <c r="S18" s="3" t="inlineStr">
        <is>
          <t>골든타임</t>
        </is>
      </c>
      <c r="T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공장/창고</t>
        </is>
      </c>
      <c r="E19" s="3" t="inlineStr">
        <is>
          <t>공장</t>
        </is>
      </c>
      <c r="F19" s="3" t="inlineStr">
        <is>
          <t>매매</t>
        </is>
      </c>
      <c r="G19" s="4" t="n">
        <v>600000</v>
      </c>
      <c r="H19" s="4" t="n">
        <v>0</v>
      </c>
      <c r="I19" s="4" t="n">
        <v>2864</v>
      </c>
      <c r="J19" s="5" t="n">
        <v>209.5</v>
      </c>
      <c r="K19" s="4" t="n">
        <v>1218</v>
      </c>
      <c r="L19" s="5" t="n">
        <v>492.6</v>
      </c>
      <c r="M19" s="3" t="inlineStr">
        <is>
          <t>3</t>
        </is>
      </c>
      <c r="N19" s="3" t="inlineStr">
        <is>
          <t>-</t>
        </is>
      </c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6">
        <f>HYPERLINK("http://www.eum.go.kr/web/ar/lu/luLandDet.jsp?pnu=4311331026101100009&amp;mode=search", "토지이음")</f>
        <v/>
      </c>
      <c r="S19" s="3" t="inlineStr">
        <is>
          <t>더원</t>
        </is>
      </c>
      <c r="T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공장/창고</t>
        </is>
      </c>
      <c r="E20" s="3" t="inlineStr">
        <is>
          <t>공장</t>
        </is>
      </c>
      <c r="F20" s="3" t="inlineStr">
        <is>
          <t>월세</t>
        </is>
      </c>
      <c r="G20" s="4" t="n">
        <v>3000</v>
      </c>
      <c r="H20" s="4" t="n">
        <v>300</v>
      </c>
      <c r="I20" s="4" t="n">
        <v>498</v>
      </c>
      <c r="J20" s="5" t="n">
        <v>0.6</v>
      </c>
      <c r="K20" s="4" t="n">
        <v>149</v>
      </c>
      <c r="L20" s="5" t="n">
        <v>2</v>
      </c>
      <c r="M20" s="3" t="inlineStr">
        <is>
          <t>1</t>
        </is>
      </c>
      <c r="N20" s="3" t="inlineStr">
        <is>
          <t>-</t>
        </is>
      </c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6">
        <f>HYPERLINK("http://www.eum.go.kr/web/ar/lu/luLandDet.jsp?pnu=4311331026101450013&amp;mode=search", "토지이음")</f>
        <v/>
      </c>
      <c r="S20" s="3" t="inlineStr">
        <is>
          <t>제이</t>
        </is>
      </c>
      <c r="T20" s="4" t="n">
        <v>1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공장/창고</t>
        </is>
      </c>
      <c r="E21" s="3" t="inlineStr">
        <is>
          <t>공장</t>
        </is>
      </c>
      <c r="F21" s="3" t="inlineStr">
        <is>
          <t>월세</t>
        </is>
      </c>
      <c r="G21" s="4" t="n">
        <v>3000</v>
      </c>
      <c r="H21" s="4" t="n">
        <v>300</v>
      </c>
      <c r="I21" s="4" t="n">
        <v>498</v>
      </c>
      <c r="J21" s="5" t="n">
        <v>0.6</v>
      </c>
      <c r="K21" s="4" t="n">
        <v>149</v>
      </c>
      <c r="L21" s="5" t="n">
        <v>2</v>
      </c>
      <c r="M21" s="3" t="inlineStr">
        <is>
          <t>1</t>
        </is>
      </c>
      <c r="N21" s="3" t="inlineStr">
        <is>
          <t>-</t>
        </is>
      </c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6">
        <f>HYPERLINK("http://www.eum.go.kr/web/ar/lu/luLandDet.jsp?pnu=4311331026101450013&amp;mode=search", "토지이음")</f>
        <v/>
      </c>
      <c r="S21" s="3" t="inlineStr">
        <is>
          <t>청담</t>
        </is>
      </c>
      <c r="T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공장/창고</t>
        </is>
      </c>
      <c r="E22" s="3" t="inlineStr">
        <is>
          <t>공장</t>
        </is>
      </c>
      <c r="F22" s="3" t="inlineStr">
        <is>
          <t>월세</t>
        </is>
      </c>
      <c r="G22" s="4" t="n">
        <v>3000</v>
      </c>
      <c r="H22" s="4" t="n">
        <v>300</v>
      </c>
      <c r="I22" s="4" t="n">
        <v>498</v>
      </c>
      <c r="J22" s="5" t="n">
        <v>0.6</v>
      </c>
      <c r="K22" s="4" t="n">
        <v>149</v>
      </c>
      <c r="L22" s="5" t="n">
        <v>2</v>
      </c>
      <c r="M22" s="3" t="inlineStr">
        <is>
          <t>1</t>
        </is>
      </c>
      <c r="N22" s="3" t="inlineStr">
        <is>
          <t>-</t>
        </is>
      </c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6">
        <f>HYPERLINK("http://www.eum.go.kr/web/ar/lu/luLandDet.jsp?pnu=4311331026101450013&amp;mode=search", "토지이음")</f>
        <v/>
      </c>
      <c r="S22" s="3" t="inlineStr">
        <is>
          <t>창고의여왕</t>
        </is>
      </c>
      <c r="T22" s="4" t="n">
        <v>2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공장/창고</t>
        </is>
      </c>
      <c r="E23" s="3" t="inlineStr">
        <is>
          <t>창고</t>
        </is>
      </c>
      <c r="F23" s="3" t="inlineStr">
        <is>
          <t>월세</t>
        </is>
      </c>
      <c r="G23" s="4" t="n">
        <v>3000</v>
      </c>
      <c r="H23" s="4" t="n">
        <v>350</v>
      </c>
      <c r="I23" s="4" t="n">
        <v>631</v>
      </c>
      <c r="J23" s="5" t="n">
        <v>0.6</v>
      </c>
      <c r="K23" s="4" t="n">
        <v>173</v>
      </c>
      <c r="L23" s="5" t="n">
        <v>2</v>
      </c>
      <c r="M23" s="3" t="inlineStr">
        <is>
          <t>1</t>
        </is>
      </c>
      <c r="N23" s="3" t="inlineStr">
        <is>
          <t>-</t>
        </is>
      </c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6">
        <f>HYPERLINK("http://www.eum.go.kr/web/ar/lu/luLandDet.jsp?pnu=4311331024101530000&amp;mode=search", "토지이음")</f>
        <v/>
      </c>
      <c r="S23" s="3" t="inlineStr">
        <is>
          <t>더원</t>
        </is>
      </c>
      <c r="T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공장/창고</t>
        </is>
      </c>
      <c r="E24" s="3" t="inlineStr">
        <is>
          <t>공장</t>
        </is>
      </c>
      <c r="F24" s="3" t="inlineStr">
        <is>
          <t>월세</t>
        </is>
      </c>
      <c r="G24" s="4" t="n">
        <v>3000</v>
      </c>
      <c r="H24" s="4" t="n">
        <v>300</v>
      </c>
      <c r="I24" s="4" t="n">
        <v>605</v>
      </c>
      <c r="J24" s="5" t="n">
        <v>0.5</v>
      </c>
      <c r="K24" s="4" t="n">
        <v>143</v>
      </c>
      <c r="L24" s="5" t="n">
        <v>2.1</v>
      </c>
      <c r="M24" s="3" t="inlineStr">
        <is>
          <t>1</t>
        </is>
      </c>
      <c r="N24" s="3" t="inlineStr">
        <is>
          <t>-</t>
        </is>
      </c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6">
        <f>HYPERLINK("http://www.eum.go.kr/web/ar/lu/luLandDet.jsp?pnu=4311331024101540000&amp;mode=search", "토지이음")</f>
        <v/>
      </c>
      <c r="S24" s="3" t="inlineStr">
        <is>
          <t>더원</t>
        </is>
      </c>
      <c r="T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공장/창고</t>
        </is>
      </c>
      <c r="E25" s="3" t="inlineStr">
        <is>
          <t>창고</t>
        </is>
      </c>
      <c r="F25" s="3" t="inlineStr">
        <is>
          <t>월세</t>
        </is>
      </c>
      <c r="G25" s="4" t="n">
        <v>3000</v>
      </c>
      <c r="H25" s="4" t="n">
        <v>300</v>
      </c>
      <c r="I25" s="4" t="n">
        <v>143</v>
      </c>
      <c r="J25" s="5" t="n">
        <v>2.1</v>
      </c>
      <c r="K25" s="4" t="n">
        <v>143</v>
      </c>
      <c r="L25" s="5" t="n">
        <v>2.1</v>
      </c>
      <c r="M25" s="3" t="inlineStr">
        <is>
          <t>1</t>
        </is>
      </c>
      <c r="N25" s="3" t="inlineStr">
        <is>
          <t>B1</t>
        </is>
      </c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6">
        <f>HYPERLINK("http://www.eum.go.kr/web/ar/lu/luLandDet.jsp?pnu=4311331024101540000&amp;mode=search", "토지이음")</f>
        <v/>
      </c>
      <c r="S25" s="3" t="inlineStr">
        <is>
          <t>프로</t>
        </is>
      </c>
      <c r="T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공장/창고</t>
        </is>
      </c>
      <c r="E26" s="3" t="inlineStr">
        <is>
          <t>공장</t>
        </is>
      </c>
      <c r="F26" s="3" t="inlineStr">
        <is>
          <t>월세</t>
        </is>
      </c>
      <c r="G26" s="4" t="n">
        <v>3000</v>
      </c>
      <c r="H26" s="4" t="n">
        <v>290</v>
      </c>
      <c r="I26" s="4" t="n">
        <v>1410</v>
      </c>
      <c r="J26" s="5" t="n">
        <v>0.2</v>
      </c>
      <c r="K26" s="4" t="n">
        <v>143</v>
      </c>
      <c r="L26" s="5" t="n">
        <v>2</v>
      </c>
      <c r="M26" s="3" t="inlineStr">
        <is>
          <t>1</t>
        </is>
      </c>
      <c r="N26" s="3" t="inlineStr">
        <is>
          <t>-</t>
        </is>
      </c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6">
        <f>HYPERLINK("http://www.eum.go.kr/web/ar/lu/luLandDet.jsp?pnu=4311331024101540000&amp;mode=search", "토지이음")</f>
        <v/>
      </c>
      <c r="S26" s="3" t="inlineStr">
        <is>
          <t>대박</t>
        </is>
      </c>
      <c r="T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공장/창고</t>
        </is>
      </c>
      <c r="E27" s="3" t="inlineStr">
        <is>
          <t>공장</t>
        </is>
      </c>
      <c r="F27" s="3" t="inlineStr">
        <is>
          <t>월세</t>
        </is>
      </c>
      <c r="G27" s="4" t="n">
        <v>3000</v>
      </c>
      <c r="H27" s="4" t="n">
        <v>350</v>
      </c>
      <c r="I27" s="4" t="n">
        <v>183</v>
      </c>
      <c r="J27" s="5" t="n">
        <v>1.9</v>
      </c>
      <c r="K27" s="4" t="n">
        <v>183</v>
      </c>
      <c r="L27" s="5" t="n">
        <v>1.9</v>
      </c>
      <c r="M27" s="3" t="inlineStr">
        <is>
          <t>1</t>
        </is>
      </c>
      <c r="N27" s="3" t="inlineStr">
        <is>
          <t>B1</t>
        </is>
      </c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6">
        <f>HYPERLINK("http://www.eum.go.kr/web/ar/lu/luLandDet.jsp?pnu=4311331024101540000&amp;mode=search", "토지이음")</f>
        <v/>
      </c>
      <c r="S27" s="3" t="inlineStr">
        <is>
          <t>프로</t>
        </is>
      </c>
      <c r="T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공장/창고</t>
        </is>
      </c>
      <c r="E28" s="3" t="inlineStr">
        <is>
          <t>공장</t>
        </is>
      </c>
      <c r="F28" s="3" t="inlineStr">
        <is>
          <t>월세</t>
        </is>
      </c>
      <c r="G28" s="4" t="n">
        <v>4000</v>
      </c>
      <c r="H28" s="4" t="n">
        <v>340</v>
      </c>
      <c r="I28" s="4" t="n">
        <v>1653</v>
      </c>
      <c r="J28" s="5" t="n">
        <v>0.2</v>
      </c>
      <c r="K28" s="4" t="n">
        <v>170</v>
      </c>
      <c r="L28" s="5" t="n">
        <v>2</v>
      </c>
      <c r="M28" s="3" t="inlineStr">
        <is>
          <t>1</t>
        </is>
      </c>
      <c r="N28" s="3" t="inlineStr">
        <is>
          <t>-</t>
        </is>
      </c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6">
        <f>HYPERLINK("http://www.eum.go.kr/web/ar/lu/luLandDet.jsp?pnu=4311331028103590000&amp;mode=search", "토지이음")</f>
        <v/>
      </c>
      <c r="S28" s="3" t="inlineStr">
        <is>
          <t>(주)미르</t>
        </is>
      </c>
      <c r="T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공장/창고</t>
        </is>
      </c>
      <c r="E29" s="3" t="inlineStr">
        <is>
          <t>공장</t>
        </is>
      </c>
      <c r="F29" s="3" t="inlineStr">
        <is>
          <t>월세</t>
        </is>
      </c>
      <c r="G29" s="4" t="n">
        <v>4000</v>
      </c>
      <c r="H29" s="4" t="n">
        <v>340</v>
      </c>
      <c r="I29" s="4" t="n">
        <v>1630</v>
      </c>
      <c r="J29" s="5" t="n">
        <v>0.2</v>
      </c>
      <c r="K29" s="4" t="n">
        <v>170</v>
      </c>
      <c r="L29" s="5" t="n">
        <v>2</v>
      </c>
      <c r="M29" s="3" t="inlineStr">
        <is>
          <t>1</t>
        </is>
      </c>
      <c r="N29" s="3" t="inlineStr">
        <is>
          <t>-</t>
        </is>
      </c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6">
        <f>HYPERLINK("http://www.eum.go.kr/web/ar/lu/luLandDet.jsp?pnu=4311331028103590000&amp;mode=search", "토지이음")</f>
        <v/>
      </c>
      <c r="S29" s="3" t="inlineStr">
        <is>
          <t>더원</t>
        </is>
      </c>
      <c r="T29" s="4" t="n">
        <v>2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공장/창고</t>
        </is>
      </c>
      <c r="E30" s="3" t="inlineStr">
        <is>
          <t>공장</t>
        </is>
      </c>
      <c r="F30" s="3" t="inlineStr">
        <is>
          <t>월세</t>
        </is>
      </c>
      <c r="G30" s="4" t="n">
        <v>4000</v>
      </c>
      <c r="H30" s="4" t="n">
        <v>360</v>
      </c>
      <c r="I30" s="4" t="n">
        <v>1630</v>
      </c>
      <c r="J30" s="5" t="n">
        <v>0.2</v>
      </c>
      <c r="K30" s="4" t="n">
        <v>170</v>
      </c>
      <c r="L30" s="5" t="n">
        <v>2.1</v>
      </c>
      <c r="M30" s="3" t="inlineStr">
        <is>
          <t>1</t>
        </is>
      </c>
      <c r="N30" s="3" t="inlineStr">
        <is>
          <t>-</t>
        </is>
      </c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6">
        <f>HYPERLINK("http://www.eum.go.kr/web/ar/lu/luLandDet.jsp?pnu=4311331028103590000&amp;mode=search", "토지이음")</f>
        <v/>
      </c>
      <c r="S30" s="3" t="inlineStr">
        <is>
          <t>태광</t>
        </is>
      </c>
      <c r="T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공장/창고</t>
        </is>
      </c>
      <c r="E31" s="3" t="inlineStr">
        <is>
          <t>창고</t>
        </is>
      </c>
      <c r="F31" s="3" t="inlineStr">
        <is>
          <t>월세</t>
        </is>
      </c>
      <c r="G31" s="4" t="n">
        <v>6000</v>
      </c>
      <c r="H31" s="4" t="n">
        <v>560</v>
      </c>
      <c r="I31" s="4" t="n">
        <v>1653</v>
      </c>
      <c r="J31" s="5" t="n">
        <v>0.3</v>
      </c>
      <c r="K31" s="4" t="n">
        <v>278</v>
      </c>
      <c r="L31" s="5" t="n">
        <v>2</v>
      </c>
      <c r="M31" s="3" t="inlineStr">
        <is>
          <t>1</t>
        </is>
      </c>
      <c r="N31" s="3" t="inlineStr">
        <is>
          <t>-</t>
        </is>
      </c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6">
        <f>HYPERLINK("http://www.eum.go.kr/web/ar/lu/luLandDet.jsp?pnu=4311331028103590000&amp;mode=search", "토지이음")</f>
        <v/>
      </c>
      <c r="S31" s="3" t="inlineStr">
        <is>
          <t>태광</t>
        </is>
      </c>
      <c r="T31" s="4" t="n">
        <v>4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공장/창고</t>
        </is>
      </c>
      <c r="E32" s="3" t="inlineStr">
        <is>
          <t>공장</t>
        </is>
      </c>
      <c r="F32" s="3" t="inlineStr">
        <is>
          <t>매매</t>
        </is>
      </c>
      <c r="G32" s="4" t="n">
        <v>416000</v>
      </c>
      <c r="H32" s="4" t="n">
        <v>0</v>
      </c>
      <c r="I32" s="4" t="n">
        <v>1653</v>
      </c>
      <c r="J32" s="5" t="n">
        <v>251.7</v>
      </c>
      <c r="K32" s="4" t="n">
        <v>658</v>
      </c>
      <c r="L32" s="5" t="n">
        <v>632.2</v>
      </c>
      <c r="M32" s="3" t="inlineStr">
        <is>
          <t>1</t>
        </is>
      </c>
      <c r="N32" s="3" t="inlineStr">
        <is>
          <t>-</t>
        </is>
      </c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6">
        <f>HYPERLINK("http://www.eum.go.kr/web/ar/lu/luLandDet.jsp?pnu=4311331028103590000&amp;mode=search", "토지이음")</f>
        <v/>
      </c>
      <c r="S32" s="3" t="inlineStr">
        <is>
          <t>복댕이</t>
        </is>
      </c>
      <c r="T32" s="4" t="n">
        <v>1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공장/창고</t>
        </is>
      </c>
      <c r="E33" s="3" t="inlineStr">
        <is>
          <t>창고</t>
        </is>
      </c>
      <c r="F33" s="3" t="inlineStr">
        <is>
          <t>매매</t>
        </is>
      </c>
      <c r="G33" s="4" t="n">
        <v>352250</v>
      </c>
      <c r="H33" s="4" t="n">
        <v>0</v>
      </c>
      <c r="I33" s="4" t="n">
        <v>1409</v>
      </c>
      <c r="J33" s="5" t="n">
        <v>250</v>
      </c>
      <c r="K33" s="4" t="n">
        <v>132</v>
      </c>
      <c r="L33" s="5" t="n">
        <v>2668.6</v>
      </c>
      <c r="M33" s="3" t="inlineStr">
        <is>
          <t>2</t>
        </is>
      </c>
      <c r="N33" s="3" t="inlineStr">
        <is>
          <t>-</t>
        </is>
      </c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6">
        <f>HYPERLINK("http://www.eum.go.kr/web/ar/lu/luLandDet.jsp?pnu=4311331033103120002&amp;mode=search", "토지이음")</f>
        <v/>
      </c>
      <c r="S33" s="3" t="inlineStr">
        <is>
          <t>플러스태양</t>
        </is>
      </c>
      <c r="T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공장/창고</t>
        </is>
      </c>
      <c r="E34" s="3" t="inlineStr">
        <is>
          <t>공장</t>
        </is>
      </c>
      <c r="F34" s="3" t="inlineStr">
        <is>
          <t>매매</t>
        </is>
      </c>
      <c r="G34" s="4" t="n">
        <v>250000</v>
      </c>
      <c r="H34" s="4" t="n">
        <v>0</v>
      </c>
      <c r="I34" s="4" t="n">
        <v>1603</v>
      </c>
      <c r="J34" s="5" t="n">
        <v>156</v>
      </c>
      <c r="K34" s="4" t="n">
        <v>650</v>
      </c>
      <c r="L34" s="5" t="n">
        <v>384.6</v>
      </c>
      <c r="M34" s="3" t="inlineStr">
        <is>
          <t>1</t>
        </is>
      </c>
      <c r="N34" s="3" t="inlineStr">
        <is>
          <t>-</t>
        </is>
      </c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6">
        <f>HYPERLINK("http://www.eum.go.kr/web/ar/lu/luLandDet.jsp?pnu=4311331025101090000&amp;mode=search", "토지이음")</f>
        <v/>
      </c>
      <c r="S34" s="3" t="inlineStr">
        <is>
          <t>산남태강</t>
        </is>
      </c>
      <c r="T34" s="4" t="n">
        <v>1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공장/창고</t>
        </is>
      </c>
      <c r="E35" s="3" t="inlineStr">
        <is>
          <t>공장</t>
        </is>
      </c>
      <c r="F35" s="3" t="inlineStr">
        <is>
          <t>매매</t>
        </is>
      </c>
      <c r="G35" s="4" t="n">
        <v>250000</v>
      </c>
      <c r="H35" s="4" t="n">
        <v>0</v>
      </c>
      <c r="I35" s="4" t="n">
        <v>1603</v>
      </c>
      <c r="J35" s="5" t="n">
        <v>156</v>
      </c>
      <c r="K35" s="4" t="n">
        <v>650</v>
      </c>
      <c r="L35" s="5" t="n">
        <v>384.6</v>
      </c>
      <c r="M35" s="3" t="inlineStr">
        <is>
          <t>2</t>
        </is>
      </c>
      <c r="N35" s="3" t="inlineStr">
        <is>
          <t>-</t>
        </is>
      </c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6">
        <f>HYPERLINK("http://www.eum.go.kr/web/ar/lu/luLandDet.jsp?pnu=4311331025101090000&amp;mode=search", "토지이음")</f>
        <v/>
      </c>
      <c r="S35" s="3" t="inlineStr">
        <is>
          <t>(주)미르</t>
        </is>
      </c>
      <c r="T35" s="4" t="n">
        <v>2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공장/창고</t>
        </is>
      </c>
      <c r="E36" s="3" t="inlineStr">
        <is>
          <t>공장</t>
        </is>
      </c>
      <c r="F36" s="3" t="inlineStr">
        <is>
          <t>매매</t>
        </is>
      </c>
      <c r="G36" s="4" t="n">
        <v>250000</v>
      </c>
      <c r="H36" s="4" t="n">
        <v>0</v>
      </c>
      <c r="I36" s="4" t="n">
        <v>1603</v>
      </c>
      <c r="J36" s="5" t="n">
        <v>156</v>
      </c>
      <c r="K36" s="4" t="n">
        <v>650</v>
      </c>
      <c r="L36" s="5" t="n">
        <v>384.6</v>
      </c>
      <c r="M36" s="3" t="inlineStr">
        <is>
          <t>2</t>
        </is>
      </c>
      <c r="N36" s="3" t="inlineStr">
        <is>
          <t>-</t>
        </is>
      </c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6">
        <f>HYPERLINK("http://www.eum.go.kr/web/ar/lu/luLandDet.jsp?pnu=4311331025101090000&amp;mode=search", "토지이음")</f>
        <v/>
      </c>
      <c r="S36" s="3" t="inlineStr">
        <is>
          <t>복댕이</t>
        </is>
      </c>
      <c r="T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공장/창고</t>
        </is>
      </c>
      <c r="E37" s="3" t="inlineStr">
        <is>
          <t>공장</t>
        </is>
      </c>
      <c r="F37" s="3" t="inlineStr">
        <is>
          <t>매매</t>
        </is>
      </c>
      <c r="G37" s="4" t="n">
        <v>250000</v>
      </c>
      <c r="H37" s="4" t="n">
        <v>0</v>
      </c>
      <c r="I37" s="4" t="n">
        <v>1603</v>
      </c>
      <c r="J37" s="5" t="n">
        <v>156</v>
      </c>
      <c r="K37" s="4" t="n">
        <v>650</v>
      </c>
      <c r="L37" s="5" t="n">
        <v>384.6</v>
      </c>
      <c r="M37" s="3" t="inlineStr">
        <is>
          <t>2</t>
        </is>
      </c>
      <c r="N37" s="3" t="inlineStr">
        <is>
          <t>-</t>
        </is>
      </c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6">
        <f>HYPERLINK("http://www.eum.go.kr/web/ar/lu/luLandDet.jsp?pnu=4311331025101090000&amp;mode=search", "토지이음")</f>
        <v/>
      </c>
      <c r="S37" s="3" t="inlineStr">
        <is>
          <t>더원</t>
        </is>
      </c>
      <c r="T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공장/창고</t>
        </is>
      </c>
      <c r="E38" s="3" t="inlineStr">
        <is>
          <t>공장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521</v>
      </c>
      <c r="J38" s="5" t="n">
        <v>230.3</v>
      </c>
      <c r="K38" s="4" t="n">
        <v>370</v>
      </c>
      <c r="L38" s="5" t="n">
        <v>324.3</v>
      </c>
      <c r="M38" s="3" t="inlineStr">
        <is>
          <t>3</t>
        </is>
      </c>
      <c r="N38" s="3" t="inlineStr">
        <is>
          <t>-</t>
        </is>
      </c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6">
        <f>HYPERLINK("http://www.eum.go.kr/web/ar/lu/luLandDet.jsp?pnu=4311331025101160002&amp;mode=search", "토지이음")</f>
        <v/>
      </c>
      <c r="S38" s="3" t="inlineStr">
        <is>
          <t>한아름</t>
        </is>
      </c>
      <c r="T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공장/창고</t>
        </is>
      </c>
      <c r="E39" s="3" t="inlineStr">
        <is>
          <t>공장</t>
        </is>
      </c>
      <c r="F39" s="3" t="inlineStr">
        <is>
          <t>매매</t>
        </is>
      </c>
      <c r="G39" s="4" t="n">
        <v>250000</v>
      </c>
      <c r="H39" s="4" t="n">
        <v>0</v>
      </c>
      <c r="I39" s="4" t="n">
        <v>677</v>
      </c>
      <c r="J39" s="5" t="n">
        <v>369.3</v>
      </c>
      <c r="K39" s="4" t="n">
        <v>240</v>
      </c>
      <c r="L39" s="5" t="n">
        <v>1041.7</v>
      </c>
      <c r="M39" s="3" t="inlineStr">
        <is>
          <t>2</t>
        </is>
      </c>
      <c r="N39" s="3" t="inlineStr">
        <is>
          <t>-</t>
        </is>
      </c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6">
        <f>HYPERLINK("http://www.eum.go.kr/web/ar/lu/luLandDet.jsp?pnu=4311331025101350006&amp;mode=search", "토지이음")</f>
        <v/>
      </c>
      <c r="S39" s="3" t="inlineStr">
        <is>
          <t>새로이</t>
        </is>
      </c>
      <c r="T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공장/창고</t>
        </is>
      </c>
      <c r="E40" s="3" t="inlineStr">
        <is>
          <t>공장</t>
        </is>
      </c>
      <c r="F40" s="3" t="inlineStr">
        <is>
          <t>매매</t>
        </is>
      </c>
      <c r="G40" s="4" t="n">
        <v>2000000</v>
      </c>
      <c r="H40" s="4" t="n">
        <v>0</v>
      </c>
      <c r="I40" s="4" t="n">
        <v>13638</v>
      </c>
      <c r="J40" s="5" t="n">
        <v>146.6</v>
      </c>
      <c r="K40" s="4" t="n">
        <v>501</v>
      </c>
      <c r="L40" s="5" t="n">
        <v>3992</v>
      </c>
      <c r="M40" s="3" t="inlineStr">
        <is>
          <t>3</t>
        </is>
      </c>
      <c r="N40" s="3" t="inlineStr">
        <is>
          <t>B3</t>
        </is>
      </c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6">
        <f>HYPERLINK("http://www.eum.go.kr/web/ar/lu/luLandDet.jsp?pnu=4311331025102260001&amp;mode=search", "토지이음")</f>
        <v/>
      </c>
      <c r="S40" s="3" t="inlineStr">
        <is>
          <t>주식회사정우</t>
        </is>
      </c>
      <c r="T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공장/창고</t>
        </is>
      </c>
      <c r="E41" s="3" t="inlineStr">
        <is>
          <t>공장</t>
        </is>
      </c>
      <c r="F41" s="3" t="inlineStr">
        <is>
          <t>월세</t>
        </is>
      </c>
      <c r="G41" s="4" t="n">
        <v>150000</v>
      </c>
      <c r="H41" s="4" t="n">
        <v>0</v>
      </c>
      <c r="I41" s="4" t="n">
        <v>14545</v>
      </c>
      <c r="J41" s="5" t="n">
        <v>0</v>
      </c>
      <c r="K41" s="4" t="n">
        <v>5985</v>
      </c>
      <c r="L41" s="5" t="n">
        <v>0</v>
      </c>
      <c r="M41" s="3" t="inlineStr">
        <is>
          <t>3</t>
        </is>
      </c>
      <c r="N41" s="3" t="inlineStr">
        <is>
          <t>-</t>
        </is>
      </c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6">
        <f>HYPERLINK("http://www.eum.go.kr/web/ar/lu/luLandDet.jsp?pnu=4311331025102260001&amp;mode=search", "토지이음")</f>
        <v/>
      </c>
      <c r="S41" s="3" t="inlineStr">
        <is>
          <t>(주)미르</t>
        </is>
      </c>
      <c r="T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공장/창고</t>
        </is>
      </c>
      <c r="E42" s="3" t="inlineStr">
        <is>
          <t>공장</t>
        </is>
      </c>
      <c r="F42" s="3" t="inlineStr">
        <is>
          <t>매매</t>
        </is>
      </c>
      <c r="G42" s="4" t="n">
        <v>2000000</v>
      </c>
      <c r="H42" s="4" t="n">
        <v>0</v>
      </c>
      <c r="I42" s="4" t="n">
        <v>14545</v>
      </c>
      <c r="J42" s="5" t="n">
        <v>137.5</v>
      </c>
      <c r="K42" s="4" t="n">
        <v>5985</v>
      </c>
      <c r="L42" s="5" t="n">
        <v>334.2</v>
      </c>
      <c r="M42" s="3" t="inlineStr">
        <is>
          <t>3</t>
        </is>
      </c>
      <c r="N42" s="3" t="inlineStr">
        <is>
          <t>-</t>
        </is>
      </c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6">
        <f>HYPERLINK("http://www.eum.go.kr/web/ar/lu/luLandDet.jsp?pnu=4311331025102260001&amp;mode=search", "토지이음")</f>
        <v/>
      </c>
      <c r="S42" s="3" t="inlineStr">
        <is>
          <t>(주)미르</t>
        </is>
      </c>
      <c r="T42" s="4" t="n">
        <v>2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공장/창고</t>
        </is>
      </c>
      <c r="E43" s="3" t="inlineStr">
        <is>
          <t>공장</t>
        </is>
      </c>
      <c r="F43" s="3" t="inlineStr">
        <is>
          <t>월세</t>
        </is>
      </c>
      <c r="G43" s="4" t="n">
        <v>150000</v>
      </c>
      <c r="H43" s="4" t="n">
        <v>0</v>
      </c>
      <c r="I43" s="4" t="n">
        <v>14546</v>
      </c>
      <c r="J43" s="5" t="n">
        <v>0</v>
      </c>
      <c r="K43" s="4" t="n">
        <v>5985</v>
      </c>
      <c r="L43" s="5" t="n">
        <v>0</v>
      </c>
      <c r="M43" s="3" t="inlineStr">
        <is>
          <t>3</t>
        </is>
      </c>
      <c r="N43" s="3" t="inlineStr">
        <is>
          <t>-</t>
        </is>
      </c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6">
        <f>HYPERLINK("http://www.eum.go.kr/web/ar/lu/luLandDet.jsp?pnu=4311331025102260001&amp;mode=search", "토지이음")</f>
        <v/>
      </c>
      <c r="S43" s="3" t="inlineStr">
        <is>
          <t>세종로또</t>
        </is>
      </c>
      <c r="T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공장/창고</t>
        </is>
      </c>
      <c r="E44" s="3" t="inlineStr">
        <is>
          <t>공장</t>
        </is>
      </c>
      <c r="F44" s="3" t="inlineStr">
        <is>
          <t>매매</t>
        </is>
      </c>
      <c r="G44" s="4" t="n">
        <v>2200000</v>
      </c>
      <c r="H44" s="4" t="n">
        <v>0</v>
      </c>
      <c r="I44" s="4" t="n">
        <v>14546</v>
      </c>
      <c r="J44" s="5" t="n">
        <v>151.2</v>
      </c>
      <c r="K44" s="4" t="n">
        <v>5985</v>
      </c>
      <c r="L44" s="5" t="n">
        <v>367.6</v>
      </c>
      <c r="M44" s="3" t="inlineStr">
        <is>
          <t>3</t>
        </is>
      </c>
      <c r="N44" s="3" t="inlineStr">
        <is>
          <t>-</t>
        </is>
      </c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6">
        <f>HYPERLINK("http://www.eum.go.kr/web/ar/lu/luLandDet.jsp?pnu=4311331025102260001&amp;mode=search", "토지이음")</f>
        <v/>
      </c>
      <c r="S44" s="3" t="inlineStr">
        <is>
          <t>더원</t>
        </is>
      </c>
      <c r="T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공장/창고</t>
        </is>
      </c>
      <c r="E45" s="3" t="inlineStr">
        <is>
          <t>공장</t>
        </is>
      </c>
      <c r="F45" s="3" t="inlineStr">
        <is>
          <t>매매</t>
        </is>
      </c>
      <c r="G45" s="4" t="n">
        <v>2000000</v>
      </c>
      <c r="H45" s="4" t="n">
        <v>0</v>
      </c>
      <c r="I45" s="4" t="n">
        <v>13638</v>
      </c>
      <c r="J45" s="5" t="n">
        <v>146.6</v>
      </c>
      <c r="K45" s="4" t="n">
        <v>1783</v>
      </c>
      <c r="L45" s="5" t="n">
        <v>1121.7</v>
      </c>
      <c r="M45" s="3" t="inlineStr">
        <is>
          <t>3</t>
        </is>
      </c>
      <c r="N45" s="3" t="inlineStr">
        <is>
          <t>-</t>
        </is>
      </c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6">
        <f>HYPERLINK("http://www.eum.go.kr/web/ar/lu/luLandDet.jsp?pnu=4311331025102260001&amp;mode=search", "토지이음")</f>
        <v/>
      </c>
      <c r="S45" s="3" t="inlineStr">
        <is>
          <t>세종로또</t>
        </is>
      </c>
      <c r="T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공장/창고</t>
        </is>
      </c>
      <c r="E46" s="3" t="inlineStr">
        <is>
          <t>공장</t>
        </is>
      </c>
      <c r="F46" s="3" t="inlineStr">
        <is>
          <t>월세</t>
        </is>
      </c>
      <c r="G46" s="4" t="n">
        <v>150000</v>
      </c>
      <c r="H46" s="4" t="n">
        <v>0</v>
      </c>
      <c r="I46" s="4" t="n">
        <v>14545</v>
      </c>
      <c r="J46" s="5" t="n">
        <v>0</v>
      </c>
      <c r="K46" s="4" t="n">
        <v>5985</v>
      </c>
      <c r="L46" s="5" t="n">
        <v>0</v>
      </c>
      <c r="M46" s="3" t="inlineStr">
        <is>
          <t>3</t>
        </is>
      </c>
      <c r="N46" s="3" t="inlineStr">
        <is>
          <t>-</t>
        </is>
      </c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6">
        <f>HYPERLINK("http://www.eum.go.kr/web/ar/lu/luLandDet.jsp?pnu=4311331025102260001&amp;mode=search", "토지이음")</f>
        <v/>
      </c>
      <c r="S46" s="3" t="inlineStr">
        <is>
          <t>더원</t>
        </is>
      </c>
      <c r="T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공장/창고</t>
        </is>
      </c>
      <c r="E47" s="3" t="inlineStr">
        <is>
          <t>공장</t>
        </is>
      </c>
      <c r="F47" s="3" t="inlineStr">
        <is>
          <t>매매</t>
        </is>
      </c>
      <c r="G47" s="4" t="n">
        <v>2200000</v>
      </c>
      <c r="H47" s="4" t="n">
        <v>0</v>
      </c>
      <c r="I47" s="4" t="n">
        <v>14546</v>
      </c>
      <c r="J47" s="5" t="n">
        <v>151.2</v>
      </c>
      <c r="K47" s="4" t="n">
        <v>5985</v>
      </c>
      <c r="L47" s="5" t="n">
        <v>367.6</v>
      </c>
      <c r="M47" s="3" t="inlineStr">
        <is>
          <t>3</t>
        </is>
      </c>
      <c r="N47" s="3" t="inlineStr">
        <is>
          <t>-</t>
        </is>
      </c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6">
        <f>HYPERLINK("http://www.eum.go.kr/web/ar/lu/luLandDet.jsp?pnu=4311331025102260001&amp;mode=search", "토지이음")</f>
        <v/>
      </c>
      <c r="S47" s="3" t="inlineStr">
        <is>
          <t>금화랜드</t>
        </is>
      </c>
      <c r="T47" s="4" t="n">
        <v>1</v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공장/창고</t>
        </is>
      </c>
      <c r="E48" s="3" t="inlineStr">
        <is>
          <t>공장</t>
        </is>
      </c>
      <c r="F48" s="3" t="inlineStr">
        <is>
          <t>매매</t>
        </is>
      </c>
      <c r="G48" s="4" t="n">
        <v>2000000</v>
      </c>
      <c r="H48" s="4" t="n">
        <v>0</v>
      </c>
      <c r="I48" s="4" t="n">
        <v>14546</v>
      </c>
      <c r="J48" s="5" t="n">
        <v>137.5</v>
      </c>
      <c r="K48" s="4" t="n">
        <v>5985</v>
      </c>
      <c r="L48" s="5" t="n">
        <v>334.2</v>
      </c>
      <c r="M48" s="3" t="inlineStr">
        <is>
          <t>1</t>
        </is>
      </c>
      <c r="N48" s="3" t="inlineStr">
        <is>
          <t>B2</t>
        </is>
      </c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6">
        <f>HYPERLINK("http://www.eum.go.kr/web/ar/lu/luLandDet.jsp?pnu=4311331025102260001&amp;mode=search", "토지이음")</f>
        <v/>
      </c>
      <c r="S48" s="3" t="inlineStr">
        <is>
          <t>벤처</t>
        </is>
      </c>
      <c r="T48" s="4" t="n">
        <v>1</v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공장/창고</t>
        </is>
      </c>
      <c r="E49" s="3" t="inlineStr">
        <is>
          <t>창고</t>
        </is>
      </c>
      <c r="F49" s="3" t="inlineStr">
        <is>
          <t>월세</t>
        </is>
      </c>
      <c r="G49" s="4" t="n">
        <v>3000</v>
      </c>
      <c r="H49" s="4" t="n">
        <v>150</v>
      </c>
      <c r="I49" s="4" t="n">
        <v>691</v>
      </c>
      <c r="J49" s="5" t="n">
        <v>0.2</v>
      </c>
      <c r="K49" s="4" t="n">
        <v>60</v>
      </c>
      <c r="L49" s="5" t="n">
        <v>2.5</v>
      </c>
      <c r="M49" s="3" t="inlineStr">
        <is>
          <t>1</t>
        </is>
      </c>
      <c r="N49" s="3" t="inlineStr">
        <is>
          <t>-</t>
        </is>
      </c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6">
        <f>HYPERLINK("http://www.eum.go.kr/web/ar/lu/luLandDet.jsp?pnu=4311331025100940000&amp;mode=search", "토지이음")</f>
        <v/>
      </c>
      <c r="S49" s="3" t="inlineStr">
        <is>
          <t>일등무소</t>
        </is>
      </c>
      <c r="T49" s="4" t="n">
        <v>1</v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공장/창고</t>
        </is>
      </c>
      <c r="E50" s="3" t="inlineStr">
        <is>
          <t>창고</t>
        </is>
      </c>
      <c r="F50" s="3" t="inlineStr">
        <is>
          <t>월세</t>
        </is>
      </c>
      <c r="G50" s="4" t="n">
        <v>10000</v>
      </c>
      <c r="H50" s="4" t="n">
        <v>550</v>
      </c>
      <c r="I50" s="4" t="n">
        <v>691</v>
      </c>
      <c r="J50" s="5" t="n">
        <v>0.8</v>
      </c>
      <c r="K50" s="4" t="n">
        <v>221</v>
      </c>
      <c r="L50" s="5" t="n">
        <v>2.5</v>
      </c>
      <c r="M50" s="3" t="inlineStr">
        <is>
          <t>1</t>
        </is>
      </c>
      <c r="N50" s="3" t="inlineStr">
        <is>
          <t>-</t>
        </is>
      </c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6">
        <f>HYPERLINK("http://www.eum.go.kr/web/ar/lu/luLandDet.jsp?pnu=4311331025100940000&amp;mode=search", "토지이음")</f>
        <v/>
      </c>
      <c r="S50" s="3" t="inlineStr">
        <is>
          <t>타임합동사무소</t>
        </is>
      </c>
      <c r="T50" s="4" t="n">
        <v>1</v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공장/창고</t>
        </is>
      </c>
      <c r="E51" s="3" t="inlineStr">
        <is>
          <t>공장</t>
        </is>
      </c>
      <c r="F51" s="3" t="inlineStr">
        <is>
          <t>월세</t>
        </is>
      </c>
      <c r="G51" s="4" t="n">
        <v>3000</v>
      </c>
      <c r="H51" s="4" t="n">
        <v>200</v>
      </c>
      <c r="I51" s="4" t="n">
        <v>303</v>
      </c>
      <c r="J51" s="5" t="n">
        <v>0.7</v>
      </c>
      <c r="K51" s="4" t="n">
        <v>75</v>
      </c>
      <c r="L51" s="5" t="n">
        <v>2.7</v>
      </c>
      <c r="M51" s="3" t="inlineStr">
        <is>
          <t>1</t>
        </is>
      </c>
      <c r="N51" s="3" t="inlineStr">
        <is>
          <t>-</t>
        </is>
      </c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6">
        <f>HYPERLINK("http://www.eum.go.kr/web/ar/lu/luLandDet.jsp?pnu=4311331032101540001&amp;mode=search", "토지이음")</f>
        <v/>
      </c>
      <c r="S51" s="3" t="inlineStr">
        <is>
          <t>제이</t>
        </is>
      </c>
      <c r="T51" s="4" t="n">
        <v>2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공장/창고</t>
        </is>
      </c>
      <c r="E52" s="3" t="inlineStr">
        <is>
          <t>기타</t>
        </is>
      </c>
      <c r="F52" s="3" t="inlineStr">
        <is>
          <t>매매</t>
        </is>
      </c>
      <c r="G52" s="4" t="n">
        <v>209600</v>
      </c>
      <c r="H52" s="4" t="n">
        <v>0</v>
      </c>
      <c r="I52" s="4" t="n">
        <v>1048</v>
      </c>
      <c r="J52" s="5" t="n">
        <v>200</v>
      </c>
      <c r="K52" s="4" t="n">
        <v>149</v>
      </c>
      <c r="L52" s="5" t="n">
        <v>1406.7</v>
      </c>
      <c r="M52" s="3" t="inlineStr">
        <is>
          <t>2</t>
        </is>
      </c>
      <c r="N52" s="3" t="inlineStr">
        <is>
          <t>-</t>
        </is>
      </c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6">
        <f>HYPERLINK("http://www.eum.go.kr/web/ar/lu/luLandDet.jsp?pnu=4311331032100230000&amp;mode=search", "토지이음")</f>
        <v/>
      </c>
      <c r="S52" s="3" t="inlineStr">
        <is>
          <t>(주)정민근</t>
        </is>
      </c>
      <c r="T52" s="4" t="n">
        <v>1</v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공장/창고</t>
        </is>
      </c>
      <c r="E53" s="3" t="inlineStr">
        <is>
          <t>공장</t>
        </is>
      </c>
      <c r="F53" s="3" t="inlineStr">
        <is>
          <t>매매</t>
        </is>
      </c>
      <c r="G53" s="4" t="n">
        <v>209600</v>
      </c>
      <c r="H53" s="4" t="n">
        <v>0</v>
      </c>
      <c r="I53" s="4" t="n">
        <v>1048</v>
      </c>
      <c r="J53" s="5" t="n">
        <v>200</v>
      </c>
      <c r="K53" s="4" t="n">
        <v>149</v>
      </c>
      <c r="L53" s="5" t="n">
        <v>1406.7</v>
      </c>
      <c r="M53" s="3" t="inlineStr">
        <is>
          <t>2</t>
        </is>
      </c>
      <c r="N53" s="3" t="inlineStr">
        <is>
          <t>-</t>
        </is>
      </c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6">
        <f>HYPERLINK("http://www.eum.go.kr/web/ar/lu/luLandDet.jsp?pnu=4311331032100230000&amp;mode=search", "토지이음")</f>
        <v/>
      </c>
      <c r="S53" s="3" t="inlineStr">
        <is>
          <t>토담</t>
        </is>
      </c>
      <c r="T53" s="4" t="n">
        <v>1</v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공장/창고</t>
        </is>
      </c>
      <c r="E54" s="3" t="inlineStr">
        <is>
          <t>공장</t>
        </is>
      </c>
      <c r="F54" s="3" t="inlineStr">
        <is>
          <t>매매</t>
        </is>
      </c>
      <c r="G54" s="4" t="n">
        <v>209600</v>
      </c>
      <c r="H54" s="4" t="n">
        <v>0</v>
      </c>
      <c r="I54" s="4" t="n">
        <v>1048</v>
      </c>
      <c r="J54" s="5" t="n">
        <v>200</v>
      </c>
      <c r="K54" s="4" t="n">
        <v>149</v>
      </c>
      <c r="L54" s="5" t="n">
        <v>1406.7</v>
      </c>
      <c r="M54" s="3" t="inlineStr">
        <is>
          <t>2</t>
        </is>
      </c>
      <c r="N54" s="3" t="inlineStr">
        <is>
          <t>-</t>
        </is>
      </c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6">
        <f>HYPERLINK("http://www.eum.go.kr/web/ar/lu/luLandDet.jsp?pnu=4311331032100230000&amp;mode=search", "토지이음")</f>
        <v/>
      </c>
      <c r="S54" s="3" t="inlineStr">
        <is>
          <t>대지</t>
        </is>
      </c>
      <c r="T54" s="4" t="n">
        <v>1</v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공장/창고</t>
        </is>
      </c>
      <c r="E55" s="3" t="inlineStr">
        <is>
          <t>공장</t>
        </is>
      </c>
      <c r="F55" s="3" t="inlineStr">
        <is>
          <t>월세</t>
        </is>
      </c>
      <c r="G55" s="4" t="n">
        <v>23000</v>
      </c>
      <c r="H55" s="4" t="n">
        <v>0</v>
      </c>
      <c r="I55" s="4" t="n">
        <v>2530</v>
      </c>
      <c r="J55" s="5" t="n">
        <v>0</v>
      </c>
      <c r="K55" s="4" t="n">
        <v>1008</v>
      </c>
      <c r="L55" s="5" t="n">
        <v>0</v>
      </c>
      <c r="M55" s="3" t="inlineStr">
        <is>
          <t>1</t>
        </is>
      </c>
      <c r="N55" s="3" t="inlineStr">
        <is>
          <t>-</t>
        </is>
      </c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6">
        <f>HYPERLINK("http://www.eum.go.kr/web/ar/lu/luLandDet.jsp?pnu=4311331021101920001&amp;mode=search", "토지이음")</f>
        <v/>
      </c>
      <c r="S55" s="3" t="inlineStr">
        <is>
          <t>(주)미르</t>
        </is>
      </c>
      <c r="T55" s="4" t="n">
        <v>2</v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공장/창고</t>
        </is>
      </c>
      <c r="E56" s="3" t="inlineStr">
        <is>
          <t>공장</t>
        </is>
      </c>
      <c r="F56" s="3" t="inlineStr">
        <is>
          <t>월세</t>
        </is>
      </c>
      <c r="G56" s="4" t="n">
        <v>23000</v>
      </c>
      <c r="H56" s="4" t="n">
        <v>0</v>
      </c>
      <c r="I56" s="4" t="n">
        <v>2536</v>
      </c>
      <c r="J56" s="5" t="n">
        <v>0</v>
      </c>
      <c r="K56" s="4" t="n">
        <v>1008</v>
      </c>
      <c r="L56" s="5" t="n">
        <v>0</v>
      </c>
      <c r="M56" s="3" t="inlineStr">
        <is>
          <t>1</t>
        </is>
      </c>
      <c r="N56" s="3" t="inlineStr">
        <is>
          <t>-</t>
        </is>
      </c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6">
        <f>HYPERLINK("http://www.eum.go.kr/web/ar/lu/luLandDet.jsp?pnu=4311331021101920001&amp;mode=search", "토지이음")</f>
        <v/>
      </c>
      <c r="S56" s="3" t="inlineStr">
        <is>
          <t>태광</t>
        </is>
      </c>
      <c r="T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공장/창고</t>
        </is>
      </c>
      <c r="E57" s="3" t="inlineStr">
        <is>
          <t>공장</t>
        </is>
      </c>
      <c r="F57" s="3" t="inlineStr">
        <is>
          <t>월세</t>
        </is>
      </c>
      <c r="G57" s="4" t="n">
        <v>23000</v>
      </c>
      <c r="H57" s="4" t="n">
        <v>0</v>
      </c>
      <c r="I57" s="4" t="n">
        <v>2536</v>
      </c>
      <c r="J57" s="5" t="n">
        <v>0</v>
      </c>
      <c r="K57" s="4" t="n">
        <v>1008</v>
      </c>
      <c r="L57" s="5" t="n">
        <v>0</v>
      </c>
      <c r="M57" s="3" t="inlineStr">
        <is>
          <t>1</t>
        </is>
      </c>
      <c r="N57" s="3" t="inlineStr">
        <is>
          <t>-</t>
        </is>
      </c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6">
        <f>HYPERLINK("http://www.eum.go.kr/web/ar/lu/luLandDet.jsp?pnu=4311331021100540003&amp;mode=search", "토지이음")</f>
        <v/>
      </c>
      <c r="S57" s="3" t="inlineStr">
        <is>
          <t>플러스자이합동</t>
        </is>
      </c>
      <c r="T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공장/창고</t>
        </is>
      </c>
      <c r="E58" s="3" t="inlineStr">
        <is>
          <t>공장</t>
        </is>
      </c>
      <c r="F58" s="3" t="inlineStr">
        <is>
          <t>매매</t>
        </is>
      </c>
      <c r="G58" s="4" t="n">
        <v>590000</v>
      </c>
      <c r="H58" s="4" t="n">
        <v>0</v>
      </c>
      <c r="I58" s="4" t="n">
        <v>2536</v>
      </c>
      <c r="J58" s="5" t="n">
        <v>232.6</v>
      </c>
      <c r="K58" s="4" t="n">
        <v>1008</v>
      </c>
      <c r="L58" s="5" t="n">
        <v>585.3</v>
      </c>
      <c r="M58" s="3" t="inlineStr">
        <is>
          <t>1</t>
        </is>
      </c>
      <c r="N58" s="3" t="inlineStr">
        <is>
          <t>-</t>
        </is>
      </c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6">
        <f>HYPERLINK("http://www.eum.go.kr/web/ar/lu/luLandDet.jsp?pnu=4311331021100540003&amp;mode=search", "토지이음")</f>
        <v/>
      </c>
      <c r="S58" s="3" t="inlineStr">
        <is>
          <t>복댕이</t>
        </is>
      </c>
      <c r="T58" s="4" t="n">
        <v>1</v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공장/창고</t>
        </is>
      </c>
      <c r="E59" s="3" t="inlineStr">
        <is>
          <t>공장</t>
        </is>
      </c>
      <c r="F59" s="3" t="inlineStr">
        <is>
          <t>월세</t>
        </is>
      </c>
      <c r="G59" s="4" t="n">
        <v>23000</v>
      </c>
      <c r="H59" s="4" t="n">
        <v>0</v>
      </c>
      <c r="I59" s="4" t="n">
        <v>2536</v>
      </c>
      <c r="J59" s="5" t="n">
        <v>0</v>
      </c>
      <c r="K59" s="4" t="n">
        <v>1008</v>
      </c>
      <c r="L59" s="5" t="n">
        <v>0</v>
      </c>
      <c r="M59" s="3" t="inlineStr">
        <is>
          <t>1</t>
        </is>
      </c>
      <c r="N59" s="3" t="inlineStr">
        <is>
          <t>-</t>
        </is>
      </c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6">
        <f>HYPERLINK("http://www.eum.go.kr/web/ar/lu/luLandDet.jsp?pnu=4311331021100540003&amp;mode=search", "토지이음")</f>
        <v/>
      </c>
      <c r="S59" s="3" t="inlineStr">
        <is>
          <t>태성</t>
        </is>
      </c>
      <c r="T59" s="4" t="n">
        <v>1</v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공장/창고</t>
        </is>
      </c>
      <c r="E60" s="3" t="inlineStr">
        <is>
          <t>공장</t>
        </is>
      </c>
      <c r="F60" s="3" t="inlineStr">
        <is>
          <t>월세</t>
        </is>
      </c>
      <c r="G60" s="4" t="n">
        <v>23000</v>
      </c>
      <c r="H60" s="4" t="n">
        <v>0</v>
      </c>
      <c r="I60" s="4" t="n">
        <v>2536</v>
      </c>
      <c r="J60" s="5" t="n">
        <v>0</v>
      </c>
      <c r="K60" s="4" t="n">
        <v>1008</v>
      </c>
      <c r="L60" s="5" t="n">
        <v>0</v>
      </c>
      <c r="M60" s="3" t="inlineStr">
        <is>
          <t>1</t>
        </is>
      </c>
      <c r="N60" s="3" t="inlineStr">
        <is>
          <t>-</t>
        </is>
      </c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6">
        <f>HYPERLINK("http://www.eum.go.kr/web/ar/lu/luLandDet.jsp?pnu=4311331021100540003&amp;mode=search", "토지이음")</f>
        <v/>
      </c>
      <c r="S60" s="3" t="inlineStr">
        <is>
          <t>복댕이</t>
        </is>
      </c>
      <c r="T60" s="4" t="n">
        <v>1</v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공장/창고</t>
        </is>
      </c>
      <c r="E61" s="3" t="inlineStr">
        <is>
          <t>창고</t>
        </is>
      </c>
      <c r="F61" s="3" t="inlineStr">
        <is>
          <t>월세</t>
        </is>
      </c>
      <c r="G61" s="4" t="n">
        <v>2500</v>
      </c>
      <c r="H61" s="4" t="n">
        <v>220</v>
      </c>
      <c r="I61" s="4" t="n">
        <v>537</v>
      </c>
      <c r="J61" s="5" t="n">
        <v>0.4</v>
      </c>
      <c r="K61" s="4" t="n">
        <v>88</v>
      </c>
      <c r="L61" s="5" t="n">
        <v>2.5</v>
      </c>
      <c r="M61" s="3" t="inlineStr">
        <is>
          <t>2</t>
        </is>
      </c>
      <c r="N61" s="3" t="inlineStr">
        <is>
          <t>-</t>
        </is>
      </c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6">
        <f>HYPERLINK("http://www.eum.go.kr/web/ar/lu/luLandDet.jsp?pnu=4311331021100730009&amp;mode=search", "토지이음")</f>
        <v/>
      </c>
      <c r="S61" s="3" t="inlineStr">
        <is>
          <t>태성</t>
        </is>
      </c>
      <c r="T61" s="4" t="n">
        <v>1</v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공장/창고</t>
        </is>
      </c>
      <c r="E62" s="3" t="inlineStr">
        <is>
          <t>창고</t>
        </is>
      </c>
      <c r="F62" s="3" t="inlineStr">
        <is>
          <t>월세</t>
        </is>
      </c>
      <c r="G62" s="4" t="n">
        <v>10000</v>
      </c>
      <c r="H62" s="4" t="n">
        <v>800</v>
      </c>
      <c r="I62" s="4" t="n">
        <v>227</v>
      </c>
      <c r="J62" s="5" t="n">
        <v>3.5</v>
      </c>
      <c r="K62" s="4" t="n">
        <v>150</v>
      </c>
      <c r="L62" s="5" t="n">
        <v>5.3</v>
      </c>
      <c r="M62" s="3" t="inlineStr">
        <is>
          <t>1</t>
        </is>
      </c>
      <c r="N62" s="3" t="inlineStr">
        <is>
          <t>-</t>
        </is>
      </c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6">
        <f>HYPERLINK("http://www.eum.go.kr/web/ar/lu/luLandDet.jsp?pnu=4311331034101810000&amp;mode=search", "토지이음")</f>
        <v/>
      </c>
      <c r="S62" s="3" t="inlineStr">
        <is>
          <t>하나로</t>
        </is>
      </c>
      <c r="T62" s="4" t="n">
        <v>1</v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공장/창고</t>
        </is>
      </c>
      <c r="E63" s="3" t="inlineStr">
        <is>
          <t>창고</t>
        </is>
      </c>
      <c r="F63" s="3" t="inlineStr">
        <is>
          <t>월세</t>
        </is>
      </c>
      <c r="G63" s="4" t="n">
        <v>3000</v>
      </c>
      <c r="H63" s="4" t="n">
        <v>250</v>
      </c>
      <c r="I63" s="4" t="n">
        <v>526</v>
      </c>
      <c r="J63" s="5" t="n">
        <v>0.5</v>
      </c>
      <c r="K63" s="4" t="n">
        <v>146</v>
      </c>
      <c r="L63" s="5" t="n">
        <v>1.7</v>
      </c>
      <c r="M63" s="3" t="inlineStr">
        <is>
          <t>2</t>
        </is>
      </c>
      <c r="N63" s="3" t="inlineStr">
        <is>
          <t>-</t>
        </is>
      </c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6">
        <f>HYPERLINK("http://www.eum.go.kr/web/ar/lu/luLandDet.jsp?pnu=4311331023101070002&amp;mode=search", "토지이음")</f>
        <v/>
      </c>
      <c r="S63" s="3" t="inlineStr">
        <is>
          <t>탄탄</t>
        </is>
      </c>
      <c r="T63" s="4" t="n">
        <v>1</v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공장/창고</t>
        </is>
      </c>
      <c r="E64" s="3" t="inlineStr">
        <is>
          <t>공장</t>
        </is>
      </c>
      <c r="F64" s="3" t="inlineStr">
        <is>
          <t>월세</t>
        </is>
      </c>
      <c r="G64" s="4" t="n">
        <v>3000</v>
      </c>
      <c r="H64" s="4" t="n">
        <v>250</v>
      </c>
      <c r="I64" s="4" t="n">
        <v>286</v>
      </c>
      <c r="J64" s="5" t="n">
        <v>0.9</v>
      </c>
      <c r="K64" s="4" t="n">
        <v>114</v>
      </c>
      <c r="L64" s="5" t="n">
        <v>2.2</v>
      </c>
      <c r="M64" s="3" t="inlineStr">
        <is>
          <t>1</t>
        </is>
      </c>
      <c r="N64" s="3" t="inlineStr">
        <is>
          <t>-</t>
        </is>
      </c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6">
        <f>HYPERLINK("http://www.eum.go.kr/web/ar/lu/luLandDet.jsp?pnu=4311331023101860000&amp;mode=search", "토지이음")</f>
        <v/>
      </c>
      <c r="S64" s="3" t="inlineStr">
        <is>
          <t>더원</t>
        </is>
      </c>
      <c r="T64" s="4" t="n">
        <v>1</v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공장/창고</t>
        </is>
      </c>
      <c r="E65" s="3" t="inlineStr">
        <is>
          <t>공장</t>
        </is>
      </c>
      <c r="F65" s="3" t="inlineStr">
        <is>
          <t>월세</t>
        </is>
      </c>
      <c r="G65" s="4" t="n">
        <v>3000</v>
      </c>
      <c r="H65" s="4" t="n">
        <v>300</v>
      </c>
      <c r="I65" s="4" t="n">
        <v>150</v>
      </c>
      <c r="J65" s="5" t="n">
        <v>2</v>
      </c>
      <c r="K65" s="4" t="n">
        <v>100</v>
      </c>
      <c r="L65" s="5" t="n">
        <v>3</v>
      </c>
      <c r="M65" s="3" t="inlineStr">
        <is>
          <t>1</t>
        </is>
      </c>
      <c r="N65" s="3" t="inlineStr">
        <is>
          <t>-</t>
        </is>
      </c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6">
        <f>HYPERLINK("http://www.eum.go.kr/web/ar/lu/luLandDet.jsp?pnu=4311331023102340001&amp;mode=search", "토지이음")</f>
        <v/>
      </c>
      <c r="S65" s="3" t="inlineStr">
        <is>
          <t>태광</t>
        </is>
      </c>
      <c r="T65" s="4" t="n">
        <v>1</v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공장/창고</t>
        </is>
      </c>
      <c r="E66" s="3" t="inlineStr">
        <is>
          <t>창고</t>
        </is>
      </c>
      <c r="F66" s="3" t="inlineStr">
        <is>
          <t>월세</t>
        </is>
      </c>
      <c r="G66" s="4" t="n">
        <v>1000</v>
      </c>
      <c r="H66" s="4" t="n">
        <v>80</v>
      </c>
      <c r="I66" s="4" t="n">
        <v>338</v>
      </c>
      <c r="J66" s="5" t="n">
        <v>0.2</v>
      </c>
      <c r="K66" s="4" t="n">
        <v>84</v>
      </c>
      <c r="L66" s="5" t="n">
        <v>1</v>
      </c>
      <c r="M66" s="3" t="inlineStr">
        <is>
          <t>1</t>
        </is>
      </c>
      <c r="N66" s="3" t="inlineStr">
        <is>
          <t>-</t>
        </is>
      </c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6">
        <f>HYPERLINK("http://www.eum.go.kr/web/ar/lu/luLandDet.jsp?pnu=4311331031102950005&amp;mode=search", "토지이음")</f>
        <v/>
      </c>
      <c r="S66" s="3" t="inlineStr">
        <is>
          <t>오너스</t>
        </is>
      </c>
      <c r="T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공장/창고</t>
        </is>
      </c>
      <c r="E67" s="3" t="inlineStr">
        <is>
          <t>공장</t>
        </is>
      </c>
      <c r="F67" s="3" t="inlineStr">
        <is>
          <t>매매</t>
        </is>
      </c>
      <c r="G67" s="4" t="n">
        <v>1200000</v>
      </c>
      <c r="H67" s="4" t="n">
        <v>0</v>
      </c>
      <c r="I67" s="4" t="n">
        <v>2893</v>
      </c>
      <c r="J67" s="5" t="n">
        <v>414.8</v>
      </c>
      <c r="K67" s="4" t="n">
        <v>455</v>
      </c>
      <c r="L67" s="5" t="n">
        <v>2637.4</v>
      </c>
      <c r="M67" s="3" t="inlineStr">
        <is>
          <t>3</t>
        </is>
      </c>
      <c r="N67" s="3" t="inlineStr">
        <is>
          <t>-</t>
        </is>
      </c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6">
        <f>HYPERLINK("http://www.eum.go.kr/web/ar/lu/luLandDet.jsp?pnu=4311331031103300009&amp;mode=search", "토지이음")</f>
        <v/>
      </c>
      <c r="S67" s="3" t="inlineStr">
        <is>
          <t>청담</t>
        </is>
      </c>
      <c r="T67" s="4" t="n">
        <v>1</v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공장/창고</t>
        </is>
      </c>
      <c r="E68" s="3" t="inlineStr">
        <is>
          <t>공장</t>
        </is>
      </c>
      <c r="F68" s="3" t="inlineStr">
        <is>
          <t>매매</t>
        </is>
      </c>
      <c r="G68" s="4" t="n">
        <v>1500000</v>
      </c>
      <c r="H68" s="4" t="n">
        <v>0</v>
      </c>
      <c r="I68" s="4" t="n">
        <v>481</v>
      </c>
      <c r="J68" s="5" t="n">
        <v>3118.5</v>
      </c>
      <c r="K68" s="4" t="n">
        <v>284</v>
      </c>
      <c r="L68" s="5" t="n">
        <v>5281.7</v>
      </c>
      <c r="M68" s="3" t="inlineStr">
        <is>
          <t>3</t>
        </is>
      </c>
      <c r="N68" s="3" t="inlineStr">
        <is>
          <t>-</t>
        </is>
      </c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6">
        <f>HYPERLINK("http://www.eum.go.kr/web/ar/lu/luLandDet.jsp?pnu=4311331031103300009&amp;mode=search", "토지이음")</f>
        <v/>
      </c>
      <c r="S68" s="3" t="inlineStr">
        <is>
          <t>고덕태양</t>
        </is>
      </c>
      <c r="T68" s="4" t="n">
        <v>1</v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공장/창고</t>
        </is>
      </c>
      <c r="E69" s="3" t="inlineStr">
        <is>
          <t>공장</t>
        </is>
      </c>
      <c r="F69" s="3" t="inlineStr">
        <is>
          <t>매매</t>
        </is>
      </c>
      <c r="G69" s="4" t="n">
        <v>1200000</v>
      </c>
      <c r="H69" s="4" t="n">
        <v>0</v>
      </c>
      <c r="I69" s="4" t="n">
        <v>2893</v>
      </c>
      <c r="J69" s="5" t="n">
        <v>414.8</v>
      </c>
      <c r="K69" s="4" t="n">
        <v>364</v>
      </c>
      <c r="L69" s="5" t="n">
        <v>3296.7</v>
      </c>
      <c r="M69" s="3" t="inlineStr">
        <is>
          <t>4</t>
        </is>
      </c>
      <c r="N69" s="3" t="inlineStr">
        <is>
          <t>-</t>
        </is>
      </c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6">
        <f>HYPERLINK("http://www.eum.go.kr/web/ar/lu/luLandDet.jsp?pnu=4311331031103300009&amp;mode=search", "토지이음")</f>
        <v/>
      </c>
      <c r="S69" s="3" t="inlineStr">
        <is>
          <t>더원</t>
        </is>
      </c>
      <c r="T69" s="4" t="n">
        <v>1</v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공장/창고</t>
        </is>
      </c>
      <c r="E70" s="3" t="inlineStr">
        <is>
          <t>공장</t>
        </is>
      </c>
      <c r="F70" s="3" t="inlineStr">
        <is>
          <t>매매</t>
        </is>
      </c>
      <c r="G70" s="4" t="n">
        <v>1200000</v>
      </c>
      <c r="H70" s="4" t="n">
        <v>0</v>
      </c>
      <c r="I70" s="4" t="n">
        <v>2893</v>
      </c>
      <c r="J70" s="5" t="n">
        <v>414.8</v>
      </c>
      <c r="K70" s="4" t="n">
        <v>364</v>
      </c>
      <c r="L70" s="5" t="n">
        <v>3296.7</v>
      </c>
      <c r="M70" s="3" t="inlineStr">
        <is>
          <t>3</t>
        </is>
      </c>
      <c r="N70" s="3" t="inlineStr">
        <is>
          <t>-</t>
        </is>
      </c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6">
        <f>HYPERLINK("http://www.eum.go.kr/web/ar/lu/luLandDet.jsp?pnu=4311331031103300009&amp;mode=search", "토지이음")</f>
        <v/>
      </c>
      <c r="S70" s="3" t="inlineStr">
        <is>
          <t>주식회사 골든제이파트너스</t>
        </is>
      </c>
      <c r="T70" s="4" t="n">
        <v>3</v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공장/창고</t>
        </is>
      </c>
      <c r="E71" s="3" t="inlineStr">
        <is>
          <t>공장</t>
        </is>
      </c>
      <c r="F71" s="3" t="inlineStr">
        <is>
          <t>매매</t>
        </is>
      </c>
      <c r="G71" s="4" t="n">
        <v>620000</v>
      </c>
      <c r="H71" s="4" t="n">
        <v>0</v>
      </c>
      <c r="I71" s="4" t="n">
        <v>42360</v>
      </c>
      <c r="J71" s="5" t="n">
        <v>14.6</v>
      </c>
      <c r="K71" s="4" t="n">
        <v>12814</v>
      </c>
      <c r="L71" s="5" t="n">
        <v>48.4</v>
      </c>
      <c r="M71" s="3" t="inlineStr">
        <is>
          <t>2</t>
        </is>
      </c>
      <c r="N71" s="3" t="inlineStr">
        <is>
          <t>-</t>
        </is>
      </c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6">
        <f>HYPERLINK("http://www.eum.go.kr/web/ar/lu/luLandDet.jsp?pnu=4311331027101170011&amp;mode=search", "토지이음")</f>
        <v/>
      </c>
      <c r="S71" s="3" t="inlineStr">
        <is>
          <t>(주)미르</t>
        </is>
      </c>
      <c r="T71" s="4" t="n">
        <v>2</v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공장/창고</t>
        </is>
      </c>
      <c r="E72" s="3" t="inlineStr">
        <is>
          <t>공장</t>
        </is>
      </c>
      <c r="F72" s="3" t="inlineStr">
        <is>
          <t>매매</t>
        </is>
      </c>
      <c r="G72" s="4" t="n">
        <v>80000</v>
      </c>
      <c r="H72" s="4" t="n">
        <v>0</v>
      </c>
      <c r="I72" s="4" t="n">
        <v>401</v>
      </c>
      <c r="J72" s="5" t="n">
        <v>199.5</v>
      </c>
      <c r="K72" s="4" t="n">
        <v>214</v>
      </c>
      <c r="L72" s="5" t="n">
        <v>373.8</v>
      </c>
      <c r="M72" s="3" t="inlineStr">
        <is>
          <t>1</t>
        </is>
      </c>
      <c r="N72" s="3" t="inlineStr">
        <is>
          <t>-</t>
        </is>
      </c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6">
        <f>HYPERLINK("http://www.eum.go.kr/web/ar/lu/luLandDet.jsp?pnu=4311331027101420002&amp;mode=search", "토지이음")</f>
        <v/>
      </c>
      <c r="S72" s="3" t="inlineStr">
        <is>
          <t>제이</t>
        </is>
      </c>
      <c r="T72" s="4" t="n">
        <v>3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공장/창고</t>
        </is>
      </c>
      <c r="E73" s="3" t="inlineStr">
        <is>
          <t>공장</t>
        </is>
      </c>
      <c r="F73" s="3" t="inlineStr">
        <is>
          <t>월세</t>
        </is>
      </c>
      <c r="G73" s="4" t="n">
        <v>5000</v>
      </c>
      <c r="H73" s="4" t="n">
        <v>500</v>
      </c>
      <c r="I73" s="4" t="n">
        <v>889</v>
      </c>
      <c r="J73" s="5" t="n">
        <v>0.6</v>
      </c>
      <c r="K73" s="4" t="n">
        <v>181</v>
      </c>
      <c r="L73" s="5" t="n">
        <v>2.8</v>
      </c>
      <c r="M73" s="3" t="inlineStr">
        <is>
          <t>1</t>
        </is>
      </c>
      <c r="N73" s="3" t="inlineStr">
        <is>
          <t>-</t>
        </is>
      </c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6">
        <f>HYPERLINK("http://www.eum.go.kr/web/ar/lu/luLandDet.jsp?pnu=4311331027101440001&amp;mode=search", "토지이음")</f>
        <v/>
      </c>
      <c r="S73" s="3" t="inlineStr">
        <is>
          <t>더오름</t>
        </is>
      </c>
      <c r="T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공장/창고</t>
        </is>
      </c>
      <c r="E74" s="3" t="inlineStr">
        <is>
          <t>공장</t>
        </is>
      </c>
      <c r="F74" s="3" t="inlineStr">
        <is>
          <t>매매</t>
        </is>
      </c>
      <c r="G74" s="4" t="n">
        <v>280000</v>
      </c>
      <c r="H74" s="4" t="n">
        <v>0</v>
      </c>
      <c r="I74" s="4" t="n">
        <v>889</v>
      </c>
      <c r="J74" s="5" t="n">
        <v>315</v>
      </c>
      <c r="K74" s="4" t="n">
        <v>181</v>
      </c>
      <c r="L74" s="5" t="n">
        <v>1547</v>
      </c>
      <c r="M74" s="3" t="inlineStr">
        <is>
          <t>1</t>
        </is>
      </c>
      <c r="N74" s="3" t="inlineStr">
        <is>
          <t>-</t>
        </is>
      </c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6">
        <f>HYPERLINK("http://www.eum.go.kr/web/ar/lu/luLandDet.jsp?pnu=4311331027101440001&amp;mode=search", "토지이음")</f>
        <v/>
      </c>
      <c r="S74" s="3" t="inlineStr">
        <is>
          <t>청주1등</t>
        </is>
      </c>
      <c r="T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공장/창고</t>
        </is>
      </c>
      <c r="E75" s="3" t="inlineStr">
        <is>
          <t>공장</t>
        </is>
      </c>
      <c r="F75" s="3" t="inlineStr">
        <is>
          <t>매매</t>
        </is>
      </c>
      <c r="G75" s="4" t="n">
        <v>280000</v>
      </c>
      <c r="H75" s="4" t="n">
        <v>0</v>
      </c>
      <c r="I75" s="4" t="n">
        <v>889</v>
      </c>
      <c r="J75" s="5" t="n">
        <v>315</v>
      </c>
      <c r="K75" s="4" t="n">
        <v>181</v>
      </c>
      <c r="L75" s="5" t="n">
        <v>1547</v>
      </c>
      <c r="M75" s="3" t="inlineStr">
        <is>
          <t>1</t>
        </is>
      </c>
      <c r="N75" s="3" t="inlineStr">
        <is>
          <t>-</t>
        </is>
      </c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6">
        <f>HYPERLINK("http://www.eum.go.kr/web/ar/lu/luLandDet.jsp?pnu=4311331027101440001&amp;mode=search", "토지이음")</f>
        <v/>
      </c>
      <c r="S75" s="3" t="inlineStr">
        <is>
          <t>테크노비타사사무소</t>
        </is>
      </c>
      <c r="T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공장/창고</t>
        </is>
      </c>
      <c r="E76" s="3" t="inlineStr">
        <is>
          <t>공장</t>
        </is>
      </c>
      <c r="F76" s="3" t="inlineStr">
        <is>
          <t>매매</t>
        </is>
      </c>
      <c r="G76" s="4" t="n">
        <v>280000</v>
      </c>
      <c r="H76" s="4" t="n">
        <v>0</v>
      </c>
      <c r="I76" s="4" t="n">
        <v>889</v>
      </c>
      <c r="J76" s="5" t="n">
        <v>315</v>
      </c>
      <c r="K76" s="4" t="n">
        <v>181</v>
      </c>
      <c r="L76" s="5" t="n">
        <v>1547</v>
      </c>
      <c r="M76" s="3" t="inlineStr">
        <is>
          <t>1</t>
        </is>
      </c>
      <c r="N76" s="3" t="inlineStr">
        <is>
          <t>-</t>
        </is>
      </c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6">
        <f>HYPERLINK("http://www.eum.go.kr/web/ar/lu/luLandDet.jsp?pnu=4311331027101440001&amp;mode=search", "토지이음")</f>
        <v/>
      </c>
      <c r="S76" s="3" t="inlineStr">
        <is>
          <t>수풀림</t>
        </is>
      </c>
      <c r="T76" s="4" t="n">
        <v>3</v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공장/창고</t>
        </is>
      </c>
      <c r="E77" s="3" t="inlineStr">
        <is>
          <t>공장</t>
        </is>
      </c>
      <c r="F77" s="3" t="inlineStr">
        <is>
          <t>매매</t>
        </is>
      </c>
      <c r="G77" s="4" t="n">
        <v>280000</v>
      </c>
      <c r="H77" s="4" t="n">
        <v>0</v>
      </c>
      <c r="I77" s="4" t="n">
        <v>889</v>
      </c>
      <c r="J77" s="5" t="n">
        <v>315</v>
      </c>
      <c r="K77" s="4" t="n">
        <v>180</v>
      </c>
      <c r="L77" s="5" t="n">
        <v>1555.6</v>
      </c>
      <c r="M77" s="3" t="inlineStr">
        <is>
          <t>1</t>
        </is>
      </c>
      <c r="N77" s="3" t="inlineStr">
        <is>
          <t>-</t>
        </is>
      </c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6">
        <f>HYPERLINK("http://www.eum.go.kr/web/ar/lu/luLandDet.jsp?pnu=4311331027101440001&amp;mode=search", "토지이음")</f>
        <v/>
      </c>
      <c r="S77" s="3" t="inlineStr">
        <is>
          <t>오송k랜드</t>
        </is>
      </c>
      <c r="T77" s="4" t="n">
        <v>1</v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공장/창고</t>
        </is>
      </c>
      <c r="E78" s="3" t="inlineStr">
        <is>
          <t>공장</t>
        </is>
      </c>
      <c r="F78" s="3" t="inlineStr">
        <is>
          <t>매매</t>
        </is>
      </c>
      <c r="G78" s="4" t="n">
        <v>280000</v>
      </c>
      <c r="H78" s="4" t="n">
        <v>0</v>
      </c>
      <c r="I78" s="4" t="n">
        <v>889</v>
      </c>
      <c r="J78" s="5" t="n">
        <v>315</v>
      </c>
      <c r="K78" s="4" t="n">
        <v>181</v>
      </c>
      <c r="L78" s="5" t="n">
        <v>1547</v>
      </c>
      <c r="M78" s="3" t="inlineStr">
        <is>
          <t>1</t>
        </is>
      </c>
      <c r="N78" s="3" t="inlineStr">
        <is>
          <t>-</t>
        </is>
      </c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6">
        <f>HYPERLINK("http://www.eum.go.kr/web/ar/lu/luLandDet.jsp?pnu=4311331027101440001&amp;mode=search", "토지이음")</f>
        <v/>
      </c>
      <c r="S78" s="3" t="inlineStr">
        <is>
          <t>(주)미르</t>
        </is>
      </c>
      <c r="T78" s="4" t="n">
        <v>1</v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공장/창고</t>
        </is>
      </c>
      <c r="E79" s="3" t="inlineStr">
        <is>
          <t>공장</t>
        </is>
      </c>
      <c r="F79" s="3" t="inlineStr">
        <is>
          <t>월세</t>
        </is>
      </c>
      <c r="G79" s="4" t="n">
        <v>5000</v>
      </c>
      <c r="H79" s="4" t="n">
        <v>500</v>
      </c>
      <c r="I79" s="4" t="n">
        <v>889</v>
      </c>
      <c r="J79" s="5" t="n">
        <v>0.6</v>
      </c>
      <c r="K79" s="4" t="n">
        <v>181</v>
      </c>
      <c r="L79" s="5" t="n">
        <v>2.8</v>
      </c>
      <c r="M79" s="3" t="inlineStr">
        <is>
          <t>1</t>
        </is>
      </c>
      <c r="N79" s="3" t="inlineStr">
        <is>
          <t>-</t>
        </is>
      </c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6">
        <f>HYPERLINK("http://www.eum.go.kr/web/ar/lu/luLandDet.jsp?pnu=4311331027101440001&amp;mode=search", "토지이음")</f>
        <v/>
      </c>
      <c r="S79" s="3" t="inlineStr">
        <is>
          <t>더원</t>
        </is>
      </c>
      <c r="T79" s="4" t="n">
        <v>1</v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공장/창고</t>
        </is>
      </c>
      <c r="E80" s="3" t="inlineStr">
        <is>
          <t>창고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600</v>
      </c>
      <c r="J80" s="5" t="n">
        <v>383.3</v>
      </c>
      <c r="K80" s="4" t="n">
        <v>242</v>
      </c>
      <c r="L80" s="5" t="n">
        <v>950.4</v>
      </c>
      <c r="M80" s="3" t="inlineStr">
        <is>
          <t>2</t>
        </is>
      </c>
      <c r="N80" s="3" t="inlineStr">
        <is>
          <t>-</t>
        </is>
      </c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6">
        <f>HYPERLINK("http://www.eum.go.kr/web/ar/lu/luLandDet.jsp?pnu=4311331027101470001&amp;mode=search", "토지이음")</f>
        <v/>
      </c>
      <c r="S80" s="3" t="inlineStr">
        <is>
          <t>대지</t>
        </is>
      </c>
      <c r="T80" s="4" t="n">
        <v>1</v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공장/창고</t>
        </is>
      </c>
      <c r="E81" s="3" t="inlineStr">
        <is>
          <t>공장</t>
        </is>
      </c>
      <c r="F81" s="3" t="inlineStr">
        <is>
          <t>월세</t>
        </is>
      </c>
      <c r="G81" s="4" t="n">
        <v>4000</v>
      </c>
      <c r="H81" s="4" t="n">
        <v>400</v>
      </c>
      <c r="I81" s="4" t="n">
        <v>544</v>
      </c>
      <c r="J81" s="5" t="n">
        <v>0.7</v>
      </c>
      <c r="K81" s="4" t="n">
        <v>260</v>
      </c>
      <c r="L81" s="5" t="n">
        <v>1.5</v>
      </c>
      <c r="M81" s="3" t="inlineStr">
        <is>
          <t>2</t>
        </is>
      </c>
      <c r="N81" s="3" t="inlineStr">
        <is>
          <t>-</t>
        </is>
      </c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6">
        <f>HYPERLINK("http://www.eum.go.kr/web/ar/lu/luLandDet.jsp?pnu=4311331027101470003&amp;mode=search", "토지이음")</f>
        <v/>
      </c>
      <c r="S81" s="3" t="inlineStr">
        <is>
          <t>김창수</t>
        </is>
      </c>
      <c r="T81" s="4" t="n">
        <v>1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공장/창고</t>
        </is>
      </c>
      <c r="E82" s="3" t="inlineStr">
        <is>
          <t>공장</t>
        </is>
      </c>
      <c r="F82" s="3" t="inlineStr">
        <is>
          <t>매매</t>
        </is>
      </c>
      <c r="G82" s="4" t="n">
        <v>600000</v>
      </c>
      <c r="H82" s="4" t="n">
        <v>0</v>
      </c>
      <c r="I82" s="4" t="n">
        <v>3823</v>
      </c>
      <c r="J82" s="5" t="n">
        <v>156.9</v>
      </c>
      <c r="K82" s="4" t="n">
        <v>1465</v>
      </c>
      <c r="L82" s="5" t="n">
        <v>409.6</v>
      </c>
      <c r="M82" s="3" t="inlineStr">
        <is>
          <t>1</t>
        </is>
      </c>
      <c r="N82" s="3" t="inlineStr">
        <is>
          <t>-</t>
        </is>
      </c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6">
        <f>HYPERLINK("http://www.eum.go.kr/web/ar/lu/luLandDet.jsp?pnu=4311331027102300000&amp;mode=search", "토지이음")</f>
        <v/>
      </c>
      <c r="S82" s="3" t="inlineStr">
        <is>
          <t>더원</t>
        </is>
      </c>
      <c r="T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공장/창고</t>
        </is>
      </c>
      <c r="E83" s="3" t="inlineStr">
        <is>
          <t>공장</t>
        </is>
      </c>
      <c r="F83" s="3" t="inlineStr">
        <is>
          <t>월세</t>
        </is>
      </c>
      <c r="G83" s="4" t="n">
        <v>20000</v>
      </c>
      <c r="H83" s="4" t="n">
        <v>0</v>
      </c>
      <c r="I83" s="4" t="n">
        <v>3736</v>
      </c>
      <c r="J83" s="5" t="n">
        <v>0</v>
      </c>
      <c r="K83" s="4" t="n">
        <v>1406</v>
      </c>
      <c r="L83" s="5" t="n">
        <v>0</v>
      </c>
      <c r="M83" s="3" t="inlineStr">
        <is>
          <t>1</t>
        </is>
      </c>
      <c r="N83" s="3" t="inlineStr">
        <is>
          <t>-</t>
        </is>
      </c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6">
        <f>HYPERLINK("http://www.eum.go.kr/web/ar/lu/luLandDet.jsp?pnu=4311331027102300000&amp;mode=search", "토지이음")</f>
        <v/>
      </c>
      <c r="S83" s="3" t="inlineStr">
        <is>
          <t>더원</t>
        </is>
      </c>
      <c r="T83" s="4" t="n">
        <v>1</v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공장/창고</t>
        </is>
      </c>
      <c r="E84" s="3" t="inlineStr">
        <is>
          <t>공장</t>
        </is>
      </c>
      <c r="F84" s="3" t="inlineStr">
        <is>
          <t>매매</t>
        </is>
      </c>
      <c r="G84" s="4" t="n">
        <v>600000</v>
      </c>
      <c r="H84" s="4" t="n">
        <v>0</v>
      </c>
      <c r="I84" s="4" t="n">
        <v>3736</v>
      </c>
      <c r="J84" s="5" t="n">
        <v>160.6</v>
      </c>
      <c r="K84" s="4" t="n">
        <v>1406</v>
      </c>
      <c r="L84" s="5" t="n">
        <v>426.7</v>
      </c>
      <c r="M84" s="3" t="inlineStr">
        <is>
          <t>1</t>
        </is>
      </c>
      <c r="N84" s="3" t="inlineStr">
        <is>
          <t>-</t>
        </is>
      </c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6">
        <f>HYPERLINK("http://www.eum.go.kr/web/ar/lu/luLandDet.jsp?pnu=4311331027102300000&amp;mode=search", "토지이음")</f>
        <v/>
      </c>
      <c r="S84" s="3" t="inlineStr">
        <is>
          <t>세종로또</t>
        </is>
      </c>
      <c r="T84" s="4" t="n">
        <v>1</v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공장/창고</t>
        </is>
      </c>
      <c r="E85" s="3" t="inlineStr">
        <is>
          <t>공장</t>
        </is>
      </c>
      <c r="F85" s="3" t="inlineStr">
        <is>
          <t>매매</t>
        </is>
      </c>
      <c r="G85" s="4" t="n">
        <v>600000</v>
      </c>
      <c r="H85" s="4" t="n">
        <v>0</v>
      </c>
      <c r="I85" s="4" t="n">
        <v>3736</v>
      </c>
      <c r="J85" s="5" t="n">
        <v>160.6</v>
      </c>
      <c r="K85" s="4" t="n">
        <v>1406</v>
      </c>
      <c r="L85" s="5" t="n">
        <v>426.7</v>
      </c>
      <c r="M85" s="3" t="inlineStr">
        <is>
          <t>3</t>
        </is>
      </c>
      <c r="N85" s="3" t="inlineStr">
        <is>
          <t>-</t>
        </is>
      </c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6">
        <f>HYPERLINK("http://www.eum.go.kr/web/ar/lu/luLandDet.jsp?pnu=4311331027102300000&amp;mode=search", "토지이음")</f>
        <v/>
      </c>
      <c r="S85" s="3" t="inlineStr">
        <is>
          <t>금화랜드</t>
        </is>
      </c>
      <c r="T85" s="4" t="n">
        <v>2</v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공장/창고</t>
        </is>
      </c>
      <c r="E86" s="3" t="inlineStr">
        <is>
          <t>공장</t>
        </is>
      </c>
      <c r="F86" s="3" t="inlineStr">
        <is>
          <t>월세</t>
        </is>
      </c>
      <c r="G86" s="4" t="n">
        <v>20000</v>
      </c>
      <c r="H86" s="4" t="n">
        <v>0</v>
      </c>
      <c r="I86" s="4" t="n">
        <v>3736</v>
      </c>
      <c r="J86" s="5" t="n">
        <v>0</v>
      </c>
      <c r="K86" s="4" t="n">
        <v>1406</v>
      </c>
      <c r="L86" s="5" t="n">
        <v>0</v>
      </c>
      <c r="M86" s="3" t="inlineStr">
        <is>
          <t>3</t>
        </is>
      </c>
      <c r="N86" s="3" t="inlineStr">
        <is>
          <t>-</t>
        </is>
      </c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6">
        <f>HYPERLINK("http://www.eum.go.kr/web/ar/lu/luLandDet.jsp?pnu=4311331027102300000&amp;mode=search", "토지이음")</f>
        <v/>
      </c>
      <c r="S86" s="3" t="inlineStr">
        <is>
          <t>금화랜드</t>
        </is>
      </c>
      <c r="T86" s="4" t="n">
        <v>3</v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공장/창고</t>
        </is>
      </c>
      <c r="E87" s="3" t="inlineStr">
        <is>
          <t>공장</t>
        </is>
      </c>
      <c r="F87" s="3" t="inlineStr">
        <is>
          <t>월세</t>
        </is>
      </c>
      <c r="G87" s="4" t="n">
        <v>20000</v>
      </c>
      <c r="H87" s="4" t="n">
        <v>0</v>
      </c>
      <c r="I87" s="4" t="n">
        <v>3736</v>
      </c>
      <c r="J87" s="5" t="n">
        <v>0</v>
      </c>
      <c r="K87" s="4" t="n">
        <v>1406</v>
      </c>
      <c r="L87" s="5" t="n">
        <v>0</v>
      </c>
      <c r="M87" s="3" t="inlineStr">
        <is>
          <t>2</t>
        </is>
      </c>
      <c r="N87" s="3" t="inlineStr">
        <is>
          <t>B2</t>
        </is>
      </c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6">
        <f>HYPERLINK("http://www.eum.go.kr/web/ar/lu/luLandDet.jsp?pnu=4311331027102300000&amp;mode=search", "토지이음")</f>
        <v/>
      </c>
      <c r="S87" s="3" t="inlineStr">
        <is>
          <t>세종로또</t>
        </is>
      </c>
      <c r="T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공장/창고</t>
        </is>
      </c>
      <c r="E88" s="3" t="inlineStr">
        <is>
          <t>공장</t>
        </is>
      </c>
      <c r="F88" s="3" t="inlineStr">
        <is>
          <t>월세</t>
        </is>
      </c>
      <c r="G88" s="4" t="n">
        <v>20000</v>
      </c>
      <c r="H88" s="4" t="n">
        <v>0</v>
      </c>
      <c r="I88" s="4" t="n">
        <v>3000</v>
      </c>
      <c r="J88" s="5" t="n">
        <v>0</v>
      </c>
      <c r="K88" s="4" t="n">
        <v>693</v>
      </c>
      <c r="L88" s="5" t="n">
        <v>0</v>
      </c>
      <c r="M88" s="3" t="inlineStr">
        <is>
          <t>1</t>
        </is>
      </c>
      <c r="N88" s="3" t="inlineStr">
        <is>
          <t>-</t>
        </is>
      </c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6">
        <f>HYPERLINK("http://www.eum.go.kr/web/ar/lu/luLandDet.jsp?pnu=4311331027102330000&amp;mode=search", "토지이음")</f>
        <v/>
      </c>
      <c r="S88" s="3" t="inlineStr">
        <is>
          <t>더원</t>
        </is>
      </c>
      <c r="T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공장/창고</t>
        </is>
      </c>
      <c r="E89" s="3" t="inlineStr">
        <is>
          <t>공장</t>
        </is>
      </c>
      <c r="F89" s="3" t="inlineStr">
        <is>
          <t>월세</t>
        </is>
      </c>
      <c r="G89" s="4" t="n">
        <v>24000</v>
      </c>
      <c r="H89" s="4" t="n">
        <v>0</v>
      </c>
      <c r="I89" s="4" t="n">
        <v>1150</v>
      </c>
      <c r="J89" s="5" t="n">
        <v>0</v>
      </c>
      <c r="K89" s="4" t="n">
        <v>1150</v>
      </c>
      <c r="L89" s="5" t="n">
        <v>0</v>
      </c>
      <c r="M89" s="3" t="inlineStr">
        <is>
          <t>1</t>
        </is>
      </c>
      <c r="N89" s="3" t="inlineStr">
        <is>
          <t>-</t>
        </is>
      </c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6">
        <f>HYPERLINK("http://www.eum.go.kr/web/ar/lu/luLandDet.jsp?pnu=4311331027102330000&amp;mode=search", "토지이음")</f>
        <v/>
      </c>
      <c r="S89" s="3" t="inlineStr">
        <is>
          <t>태광</t>
        </is>
      </c>
      <c r="T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공장/창고</t>
        </is>
      </c>
      <c r="E90" s="3" t="inlineStr">
        <is>
          <t>공장</t>
        </is>
      </c>
      <c r="F90" s="3" t="inlineStr">
        <is>
          <t>월세</t>
        </is>
      </c>
      <c r="G90" s="4" t="n">
        <v>15000</v>
      </c>
      <c r="H90" s="4" t="n">
        <v>0</v>
      </c>
      <c r="I90" s="4" t="n">
        <v>3000</v>
      </c>
      <c r="J90" s="5" t="n">
        <v>0</v>
      </c>
      <c r="K90" s="4" t="n">
        <v>599</v>
      </c>
      <c r="L90" s="5" t="n">
        <v>0</v>
      </c>
      <c r="M90" s="3" t="inlineStr">
        <is>
          <t>1</t>
        </is>
      </c>
      <c r="N90" s="3" t="inlineStr">
        <is>
          <t>-</t>
        </is>
      </c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6">
        <f>HYPERLINK("http://www.eum.go.kr/web/ar/lu/luLandDet.jsp?pnu=4311331027102330000&amp;mode=search", "토지이음")</f>
        <v/>
      </c>
      <c r="S90" s="3" t="inlineStr">
        <is>
          <t>더원</t>
        </is>
      </c>
      <c r="T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공장/창고</t>
        </is>
      </c>
      <c r="E91" s="3" t="inlineStr">
        <is>
          <t>공장</t>
        </is>
      </c>
      <c r="F91" s="3" t="inlineStr">
        <is>
          <t>월세</t>
        </is>
      </c>
      <c r="G91" s="4" t="n">
        <v>18000</v>
      </c>
      <c r="H91" s="4" t="n">
        <v>0</v>
      </c>
      <c r="I91" s="4" t="n">
        <v>2783</v>
      </c>
      <c r="J91" s="5" t="n">
        <v>0</v>
      </c>
      <c r="K91" s="4" t="n">
        <v>671</v>
      </c>
      <c r="L91" s="5" t="n">
        <v>0</v>
      </c>
      <c r="M91" s="3" t="inlineStr">
        <is>
          <t>1</t>
        </is>
      </c>
      <c r="N91" s="3" t="inlineStr">
        <is>
          <t>-</t>
        </is>
      </c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6">
        <f>HYPERLINK("http://www.eum.go.kr/web/ar/lu/luLandDet.jsp?pnu=4311331027102330000&amp;mode=search", "토지이음")</f>
        <v/>
      </c>
      <c r="S91" s="3" t="inlineStr">
        <is>
          <t>더원</t>
        </is>
      </c>
      <c r="T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공장/창고</t>
        </is>
      </c>
      <c r="E92" s="3" t="inlineStr">
        <is>
          <t>공장</t>
        </is>
      </c>
      <c r="F92" s="3" t="inlineStr">
        <is>
          <t>월세</t>
        </is>
      </c>
      <c r="G92" s="4" t="n">
        <v>73500</v>
      </c>
      <c r="H92" s="4" t="n">
        <v>0</v>
      </c>
      <c r="I92" s="4" t="n">
        <v>63252</v>
      </c>
      <c r="J92" s="5" t="n">
        <v>0</v>
      </c>
      <c r="K92" s="4" t="n">
        <v>2944</v>
      </c>
      <c r="L92" s="5" t="n">
        <v>0</v>
      </c>
      <c r="M92" s="3" t="inlineStr">
        <is>
          <t>1</t>
        </is>
      </c>
      <c r="N92" s="3" t="inlineStr">
        <is>
          <t>-</t>
        </is>
      </c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6">
        <f>HYPERLINK("http://www.eum.go.kr/web/ar/lu/luLandDet.jsp?pnu=4311331027102330000&amp;mode=search", "토지이음")</f>
        <v/>
      </c>
      <c r="S92" s="3" t="inlineStr">
        <is>
          <t>더원</t>
        </is>
      </c>
      <c r="T92" s="4" t="n">
        <v>1</v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공장/창고</t>
        </is>
      </c>
      <c r="E93" s="3" t="inlineStr">
        <is>
          <t>창고</t>
        </is>
      </c>
      <c r="F93" s="3" t="inlineStr">
        <is>
          <t>월세</t>
        </is>
      </c>
      <c r="G93" s="4" t="n">
        <v>39000</v>
      </c>
      <c r="H93" s="4" t="n">
        <v>0</v>
      </c>
      <c r="I93" s="4" t="n">
        <v>2898</v>
      </c>
      <c r="J93" s="5" t="n">
        <v>0</v>
      </c>
      <c r="K93" s="4" t="n">
        <v>1580</v>
      </c>
      <c r="L93" s="5" t="n">
        <v>0</v>
      </c>
      <c r="M93" s="3" t="inlineStr">
        <is>
          <t>1</t>
        </is>
      </c>
      <c r="N93" s="3" t="inlineStr">
        <is>
          <t>-</t>
        </is>
      </c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6">
        <f>HYPERLINK("http://www.eum.go.kr/web/ar/lu/luLandDet.jsp?pnu=4311331027102330000&amp;mode=search", "토지이음")</f>
        <v/>
      </c>
      <c r="S93" s="3" t="inlineStr">
        <is>
          <t>태광</t>
        </is>
      </c>
      <c r="T93" s="4" t="n">
        <v>1</v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공장/창고</t>
        </is>
      </c>
      <c r="E94" s="3" t="inlineStr">
        <is>
          <t>공장</t>
        </is>
      </c>
      <c r="F94" s="3" t="inlineStr">
        <is>
          <t>월세</t>
        </is>
      </c>
      <c r="G94" s="4" t="n">
        <v>39000</v>
      </c>
      <c r="H94" s="4" t="n">
        <v>0</v>
      </c>
      <c r="I94" s="4" t="n">
        <v>9763</v>
      </c>
      <c r="J94" s="5" t="n">
        <v>0</v>
      </c>
      <c r="K94" s="4" t="n">
        <v>1580</v>
      </c>
      <c r="L94" s="5" t="n">
        <v>0</v>
      </c>
      <c r="M94" s="3" t="inlineStr">
        <is>
          <t>1</t>
        </is>
      </c>
      <c r="N94" s="3" t="inlineStr">
        <is>
          <t>-</t>
        </is>
      </c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6">
        <f>HYPERLINK("http://www.eum.go.kr/web/ar/lu/luLandDet.jsp?pnu=4311331027102330000&amp;mode=search", "토지이음")</f>
        <v/>
      </c>
      <c r="S94" s="3" t="inlineStr">
        <is>
          <t>더원</t>
        </is>
      </c>
      <c r="T94" s="4" t="n">
        <v>1</v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공장/창고</t>
        </is>
      </c>
      <c r="E95" s="3" t="inlineStr">
        <is>
          <t>공장</t>
        </is>
      </c>
      <c r="F95" s="3" t="inlineStr">
        <is>
          <t>월세</t>
        </is>
      </c>
      <c r="G95" s="4" t="n">
        <v>24000</v>
      </c>
      <c r="H95" s="4" t="n">
        <v>0</v>
      </c>
      <c r="I95" s="4" t="n">
        <v>3000</v>
      </c>
      <c r="J95" s="5" t="n">
        <v>0</v>
      </c>
      <c r="K95" s="4" t="n">
        <v>1139</v>
      </c>
      <c r="L95" s="5" t="n">
        <v>0</v>
      </c>
      <c r="M95" s="3" t="inlineStr">
        <is>
          <t>1</t>
        </is>
      </c>
      <c r="N95" s="3" t="inlineStr">
        <is>
          <t>-</t>
        </is>
      </c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6">
        <f>HYPERLINK("http://www.eum.go.kr/web/ar/lu/luLandDet.jsp?pnu=4311331027102330000&amp;mode=search", "토지이음")</f>
        <v/>
      </c>
      <c r="S95" s="3" t="inlineStr">
        <is>
          <t>더원</t>
        </is>
      </c>
      <c r="T95" s="4" t="n">
        <v>1</v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공장/창고</t>
        </is>
      </c>
      <c r="E96" s="3" t="inlineStr">
        <is>
          <t>공장</t>
        </is>
      </c>
      <c r="F96" s="3" t="inlineStr">
        <is>
          <t>월세</t>
        </is>
      </c>
      <c r="G96" s="4" t="n">
        <v>73500</v>
      </c>
      <c r="H96" s="4" t="n">
        <v>0</v>
      </c>
      <c r="I96" s="4" t="n">
        <v>63252</v>
      </c>
      <c r="J96" s="5" t="n">
        <v>0</v>
      </c>
      <c r="K96" s="4" t="n">
        <v>2944</v>
      </c>
      <c r="L96" s="5" t="n">
        <v>0</v>
      </c>
      <c r="M96" s="3" t="inlineStr">
        <is>
          <t>1</t>
        </is>
      </c>
      <c r="N96" s="3" t="inlineStr">
        <is>
          <t>-</t>
        </is>
      </c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6">
        <f>HYPERLINK("http://www.eum.go.kr/web/ar/lu/luLandDet.jsp?pnu=4311331027102330000&amp;mode=search", "토지이음")</f>
        <v/>
      </c>
      <c r="S96" s="3" t="inlineStr">
        <is>
          <t>(주)미르</t>
        </is>
      </c>
      <c r="T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공장/창고</t>
        </is>
      </c>
      <c r="E97" s="3" t="inlineStr">
        <is>
          <t>창고</t>
        </is>
      </c>
      <c r="F97" s="3" t="inlineStr">
        <is>
          <t>월세</t>
        </is>
      </c>
      <c r="G97" s="4" t="n">
        <v>3000</v>
      </c>
      <c r="H97" s="4" t="n">
        <v>230</v>
      </c>
      <c r="I97" s="4" t="n">
        <v>253</v>
      </c>
      <c r="J97" s="5" t="n">
        <v>0.9</v>
      </c>
      <c r="K97" s="4" t="n">
        <v>99</v>
      </c>
      <c r="L97" s="5" t="n">
        <v>2.3</v>
      </c>
      <c r="M97" s="3" t="inlineStr">
        <is>
          <t>1</t>
        </is>
      </c>
      <c r="N97" s="3" t="inlineStr">
        <is>
          <t>B1</t>
        </is>
      </c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6">
        <f>HYPERLINK("http://www.eum.go.kr/web/ar/lu/luLandDet.jsp?pnu=4311331027102570016&amp;mode=search", "토지이음")</f>
        <v/>
      </c>
      <c r="S97" s="3" t="inlineStr">
        <is>
          <t>제이</t>
        </is>
      </c>
      <c r="T97" s="4" t="n">
        <v>1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공장/창고</t>
        </is>
      </c>
      <c r="E98" s="3" t="inlineStr">
        <is>
          <t>공장</t>
        </is>
      </c>
      <c r="F98" s="3" t="inlineStr">
        <is>
          <t>매매</t>
        </is>
      </c>
      <c r="G98" s="4" t="n">
        <v>85000</v>
      </c>
      <c r="H98" s="4" t="n">
        <v>0</v>
      </c>
      <c r="I98" s="4" t="n">
        <v>253</v>
      </c>
      <c r="J98" s="5" t="n">
        <v>336</v>
      </c>
      <c r="K98" s="4" t="n">
        <v>99</v>
      </c>
      <c r="L98" s="5" t="n">
        <v>858.6</v>
      </c>
      <c r="M98" s="3" t="inlineStr">
        <is>
          <t>1</t>
        </is>
      </c>
      <c r="N98" s="3" t="inlineStr">
        <is>
          <t>-</t>
        </is>
      </c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6">
        <f>HYPERLINK("http://www.eum.go.kr/web/ar/lu/luLandDet.jsp?pnu=4311331027102570016&amp;mode=search", "토지이음")</f>
        <v/>
      </c>
      <c r="S98" s="3" t="inlineStr">
        <is>
          <t>창고의여왕</t>
        </is>
      </c>
      <c r="T98" s="4" t="n">
        <v>1</v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공장/창고</t>
        </is>
      </c>
      <c r="E99" s="3" t="inlineStr">
        <is>
          <t>공장</t>
        </is>
      </c>
      <c r="F99" s="3" t="inlineStr">
        <is>
          <t>월세</t>
        </is>
      </c>
      <c r="G99" s="4" t="n">
        <v>3000</v>
      </c>
      <c r="H99" s="4" t="n">
        <v>230</v>
      </c>
      <c r="I99" s="4" t="n">
        <v>253</v>
      </c>
      <c r="J99" s="5" t="n">
        <v>0.9</v>
      </c>
      <c r="K99" s="4" t="n">
        <v>99</v>
      </c>
      <c r="L99" s="5" t="n">
        <v>2.3</v>
      </c>
      <c r="M99" s="3" t="inlineStr">
        <is>
          <t>1</t>
        </is>
      </c>
      <c r="N99" s="3" t="inlineStr">
        <is>
          <t>-</t>
        </is>
      </c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6">
        <f>HYPERLINK("http://www.eum.go.kr/web/ar/lu/luLandDet.jsp?pnu=4311331027102570016&amp;mode=search", "토지이음")</f>
        <v/>
      </c>
      <c r="S99" s="3" t="inlineStr">
        <is>
          <t>나는</t>
        </is>
      </c>
      <c r="T99" s="4" t="n">
        <v>5</v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공장/창고</t>
        </is>
      </c>
      <c r="E100" s="3" t="inlineStr">
        <is>
          <t>공장</t>
        </is>
      </c>
      <c r="F100" s="3" t="inlineStr">
        <is>
          <t>매매</t>
        </is>
      </c>
      <c r="G100" s="4" t="n">
        <v>87000</v>
      </c>
      <c r="H100" s="4" t="n">
        <v>0</v>
      </c>
      <c r="I100" s="4" t="n">
        <v>254</v>
      </c>
      <c r="J100" s="5" t="n">
        <v>342.5</v>
      </c>
      <c r="K100" s="4" t="n">
        <v>99</v>
      </c>
      <c r="L100" s="5" t="n">
        <v>878.8</v>
      </c>
      <c r="M100" s="3" t="inlineStr">
        <is>
          <t>1</t>
        </is>
      </c>
      <c r="N100" s="3" t="inlineStr">
        <is>
          <t>-</t>
        </is>
      </c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6">
        <f>HYPERLINK("http://www.eum.go.kr/web/ar/lu/luLandDet.jsp?pnu=4311331027102570016&amp;mode=search", "토지이음")</f>
        <v/>
      </c>
      <c r="S100" s="3" t="inlineStr">
        <is>
          <t>청주합동</t>
        </is>
      </c>
      <c r="T100" s="4" t="n">
        <v>1</v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공장/창고</t>
        </is>
      </c>
      <c r="E101" s="3" t="inlineStr">
        <is>
          <t>공장</t>
        </is>
      </c>
      <c r="F101" s="3" t="inlineStr">
        <is>
          <t>월세</t>
        </is>
      </c>
      <c r="G101" s="4" t="n">
        <v>3000</v>
      </c>
      <c r="H101" s="4" t="n">
        <v>250</v>
      </c>
      <c r="I101" s="4" t="n">
        <v>253</v>
      </c>
      <c r="J101" s="5" t="n">
        <v>1</v>
      </c>
      <c r="K101" s="4" t="n">
        <v>99</v>
      </c>
      <c r="L101" s="5" t="n">
        <v>2.5</v>
      </c>
      <c r="M101" s="3" t="inlineStr">
        <is>
          <t>1</t>
        </is>
      </c>
      <c r="N101" s="3" t="inlineStr">
        <is>
          <t>-</t>
        </is>
      </c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6">
        <f>HYPERLINK("http://www.eum.go.kr/web/ar/lu/luLandDet.jsp?pnu=4311331027102570016&amp;mode=search", "토지이음")</f>
        <v/>
      </c>
      <c r="S101" s="3" t="inlineStr">
        <is>
          <t>청주합동</t>
        </is>
      </c>
      <c r="T101" s="4" t="n">
        <v>1</v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공장/창고</t>
        </is>
      </c>
      <c r="E102" s="3" t="inlineStr">
        <is>
          <t>공장</t>
        </is>
      </c>
      <c r="F102" s="3" t="inlineStr">
        <is>
          <t>매매</t>
        </is>
      </c>
      <c r="G102" s="4" t="n">
        <v>85000</v>
      </c>
      <c r="H102" s="4" t="n">
        <v>0</v>
      </c>
      <c r="I102" s="4" t="n">
        <v>254</v>
      </c>
      <c r="J102" s="5" t="n">
        <v>334.6</v>
      </c>
      <c r="K102" s="4" t="n">
        <v>99</v>
      </c>
      <c r="L102" s="5" t="n">
        <v>858.6</v>
      </c>
      <c r="M102" s="3" t="inlineStr">
        <is>
          <t>1</t>
        </is>
      </c>
      <c r="N102" s="3" t="inlineStr">
        <is>
          <t>-</t>
        </is>
      </c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6">
        <f>HYPERLINK("http://www.eum.go.kr/web/ar/lu/luLandDet.jsp?pnu=4311331027102570016&amp;mode=search", "토지이음")</f>
        <v/>
      </c>
      <c r="S102" s="3" t="inlineStr">
        <is>
          <t>더원</t>
        </is>
      </c>
      <c r="T102" s="4" t="n">
        <v>1</v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공장/창고</t>
        </is>
      </c>
      <c r="E103" s="3" t="inlineStr">
        <is>
          <t>공장</t>
        </is>
      </c>
      <c r="F103" s="3" t="inlineStr">
        <is>
          <t>매매</t>
        </is>
      </c>
      <c r="G103" s="4" t="n">
        <v>200000</v>
      </c>
      <c r="H103" s="4" t="n">
        <v>0</v>
      </c>
      <c r="I103" s="4" t="n">
        <v>656</v>
      </c>
      <c r="J103" s="5" t="n">
        <v>304.9</v>
      </c>
      <c r="K103" s="4" t="n">
        <v>214</v>
      </c>
      <c r="L103" s="5" t="n">
        <v>934.6</v>
      </c>
      <c r="M103" s="3" t="inlineStr">
        <is>
          <t>1</t>
        </is>
      </c>
      <c r="N103" s="3" t="inlineStr">
        <is>
          <t>-</t>
        </is>
      </c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6">
        <f>HYPERLINK("http://www.eum.go.kr/web/ar/lu/luLandDet.jsp?pnu=4311331027102620000&amp;mode=search", "토지이음")</f>
        <v/>
      </c>
      <c r="S103" s="3" t="inlineStr">
        <is>
          <t>청주모충주공사모1·2재개발명성</t>
        </is>
      </c>
      <c r="T103" s="4" t="n">
        <v>1</v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공장/창고</t>
        </is>
      </c>
      <c r="E104" s="3" t="inlineStr">
        <is>
          <t>공장</t>
        </is>
      </c>
      <c r="F104" s="3" t="inlineStr">
        <is>
          <t>월세</t>
        </is>
      </c>
      <c r="G104" s="4" t="n">
        <v>12000</v>
      </c>
      <c r="H104" s="4" t="n">
        <v>0</v>
      </c>
      <c r="I104" s="4" t="n">
        <v>3179</v>
      </c>
      <c r="J104" s="5" t="n">
        <v>0</v>
      </c>
      <c r="K104" s="4" t="n">
        <v>437</v>
      </c>
      <c r="L104" s="5" t="n">
        <v>0</v>
      </c>
      <c r="M104" s="3" t="inlineStr">
        <is>
          <t>2</t>
        </is>
      </c>
      <c r="N104" s="3" t="inlineStr">
        <is>
          <t>-</t>
        </is>
      </c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6">
        <f>HYPERLINK("http://www.eum.go.kr/web/ar/lu/luLandDet.jsp?pnu=4311331027103100004&amp;mode=search", "토지이음")</f>
        <v/>
      </c>
      <c r="S104" s="3" t="inlineStr">
        <is>
          <t>더원</t>
        </is>
      </c>
      <c r="T104" s="4" t="n">
        <v>1</v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공장/창고</t>
        </is>
      </c>
      <c r="E105" s="3" t="inlineStr">
        <is>
          <t>공장</t>
        </is>
      </c>
      <c r="F105" s="3" t="inlineStr">
        <is>
          <t>월세</t>
        </is>
      </c>
      <c r="G105" s="4" t="n">
        <v>12000</v>
      </c>
      <c r="H105" s="4" t="n">
        <v>0</v>
      </c>
      <c r="I105" s="4" t="n">
        <v>3179</v>
      </c>
      <c r="J105" s="5" t="n">
        <v>0</v>
      </c>
      <c r="K105" s="4" t="n">
        <v>437</v>
      </c>
      <c r="L105" s="5" t="n">
        <v>0</v>
      </c>
      <c r="M105" s="3" t="inlineStr">
        <is>
          <t>2</t>
        </is>
      </c>
      <c r="N105" s="3" t="inlineStr">
        <is>
          <t>-</t>
        </is>
      </c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6">
        <f>HYPERLINK("http://www.eum.go.kr/web/ar/lu/luLandDet.jsp?pnu=4311331027103100004&amp;mode=search", "토지이음")</f>
        <v/>
      </c>
      <c r="S105" s="3" t="inlineStr">
        <is>
          <t>창고의여왕</t>
        </is>
      </c>
      <c r="T105" s="4" t="n">
        <v>1</v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공장/창고</t>
        </is>
      </c>
      <c r="E106" s="3" t="inlineStr">
        <is>
          <t>공장</t>
        </is>
      </c>
      <c r="F106" s="3" t="inlineStr">
        <is>
          <t>월세</t>
        </is>
      </c>
      <c r="G106" s="4" t="n">
        <v>12000</v>
      </c>
      <c r="H106" s="4" t="n">
        <v>0</v>
      </c>
      <c r="I106" s="4" t="n">
        <v>3179</v>
      </c>
      <c r="J106" s="5" t="n">
        <v>0</v>
      </c>
      <c r="K106" s="4" t="n">
        <v>437</v>
      </c>
      <c r="L106" s="5" t="n">
        <v>0</v>
      </c>
      <c r="M106" s="3" t="inlineStr">
        <is>
          <t>2</t>
        </is>
      </c>
      <c r="N106" s="3" t="inlineStr">
        <is>
          <t>-</t>
        </is>
      </c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6">
        <f>HYPERLINK("http://www.eum.go.kr/web/ar/lu/luLandDet.jsp?pnu=4311331027103100004&amp;mode=search", "토지이음")</f>
        <v/>
      </c>
      <c r="S106" s="3" t="inlineStr">
        <is>
          <t>태광</t>
        </is>
      </c>
      <c r="T106" s="4" t="n">
        <v>1</v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공장/창고</t>
        </is>
      </c>
      <c r="E107" s="3" t="inlineStr">
        <is>
          <t>공장</t>
        </is>
      </c>
      <c r="F107" s="3" t="inlineStr">
        <is>
          <t>월세</t>
        </is>
      </c>
      <c r="G107" s="4" t="n">
        <v>6000</v>
      </c>
      <c r="H107" s="4" t="n">
        <v>590</v>
      </c>
      <c r="I107" s="4" t="n">
        <v>744</v>
      </c>
      <c r="J107" s="5" t="n">
        <v>0.8</v>
      </c>
      <c r="K107" s="4" t="n">
        <v>293</v>
      </c>
      <c r="L107" s="5" t="n">
        <v>2</v>
      </c>
      <c r="M107" s="3" t="inlineStr">
        <is>
          <t>1</t>
        </is>
      </c>
      <c r="N107" s="3" t="inlineStr">
        <is>
          <t>-</t>
        </is>
      </c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6">
        <f>HYPERLINK("http://www.eum.go.kr/web/ar/lu/luLandDet.jsp?pnu=4311331027103350003&amp;mode=search", "토지이음")</f>
        <v/>
      </c>
      <c r="S107" s="3" t="inlineStr">
        <is>
          <t>더원</t>
        </is>
      </c>
      <c r="T107" s="4" t="n">
        <v>1</v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공장/창고</t>
        </is>
      </c>
      <c r="E108" s="3" t="inlineStr">
        <is>
          <t>공장</t>
        </is>
      </c>
      <c r="F108" s="3" t="inlineStr">
        <is>
          <t>월세</t>
        </is>
      </c>
      <c r="G108" s="4" t="n">
        <v>6000</v>
      </c>
      <c r="H108" s="4" t="n">
        <v>590</v>
      </c>
      <c r="I108" s="4" t="n">
        <v>744</v>
      </c>
      <c r="J108" s="5" t="n">
        <v>0.8</v>
      </c>
      <c r="K108" s="4" t="n">
        <v>293</v>
      </c>
      <c r="L108" s="5" t="n">
        <v>2</v>
      </c>
      <c r="M108" s="3" t="inlineStr">
        <is>
          <t>1</t>
        </is>
      </c>
      <c r="N108" s="3" t="inlineStr">
        <is>
          <t>-</t>
        </is>
      </c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6">
        <f>HYPERLINK("http://www.eum.go.kr/web/ar/lu/luLandDet.jsp?pnu=4311331027103350003&amp;mode=search", "토지이음")</f>
        <v/>
      </c>
      <c r="S108" s="3" t="inlineStr">
        <is>
          <t>태광</t>
        </is>
      </c>
      <c r="T108" s="4" t="n">
        <v>2</v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공장/창고</t>
        </is>
      </c>
      <c r="E109" s="3" t="inlineStr">
        <is>
          <t>공장</t>
        </is>
      </c>
      <c r="F109" s="3" t="inlineStr">
        <is>
          <t>월세</t>
        </is>
      </c>
      <c r="G109" s="4" t="n">
        <v>6000</v>
      </c>
      <c r="H109" s="4" t="n">
        <v>590</v>
      </c>
      <c r="I109" s="4" t="n">
        <v>744</v>
      </c>
      <c r="J109" s="5" t="n">
        <v>0.8</v>
      </c>
      <c r="K109" s="4" t="n">
        <v>293</v>
      </c>
      <c r="L109" s="5" t="n">
        <v>2</v>
      </c>
      <c r="M109" s="3" t="inlineStr">
        <is>
          <t>1</t>
        </is>
      </c>
      <c r="N109" s="3" t="inlineStr">
        <is>
          <t>-</t>
        </is>
      </c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6">
        <f>HYPERLINK("http://www.eum.go.kr/web/ar/lu/luLandDet.jsp?pnu=4311331027103350003&amp;mode=search", "토지이음")</f>
        <v/>
      </c>
      <c r="S109" s="3" t="inlineStr">
        <is>
          <t>태성</t>
        </is>
      </c>
      <c r="T109" s="4" t="n">
        <v>2</v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공장/창고</t>
        </is>
      </c>
      <c r="E110" s="3" t="inlineStr">
        <is>
          <t>공장</t>
        </is>
      </c>
      <c r="F110" s="3" t="inlineStr">
        <is>
          <t>월세</t>
        </is>
      </c>
      <c r="G110" s="4" t="n">
        <v>6000</v>
      </c>
      <c r="H110" s="4" t="n">
        <v>590</v>
      </c>
      <c r="I110" s="4" t="n">
        <v>755</v>
      </c>
      <c r="J110" s="5" t="n">
        <v>0.8</v>
      </c>
      <c r="K110" s="4" t="n">
        <v>295</v>
      </c>
      <c r="L110" s="5" t="n">
        <v>2</v>
      </c>
      <c r="M110" s="3" t="inlineStr">
        <is>
          <t>1</t>
        </is>
      </c>
      <c r="N110" s="3" t="inlineStr">
        <is>
          <t>-</t>
        </is>
      </c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6">
        <f>HYPERLINK("http://www.eum.go.kr/web/ar/lu/luLandDet.jsp?pnu=4311331027103350004&amp;mode=search", "토지이음")</f>
        <v/>
      </c>
      <c r="S110" s="3" t="inlineStr">
        <is>
          <t>나는</t>
        </is>
      </c>
      <c r="T110" s="4" t="n">
        <v>2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공장/창고</t>
        </is>
      </c>
      <c r="E111" s="3" t="inlineStr">
        <is>
          <t>공장</t>
        </is>
      </c>
      <c r="F111" s="3" t="inlineStr">
        <is>
          <t>월세</t>
        </is>
      </c>
      <c r="G111" s="4" t="n">
        <v>9000</v>
      </c>
      <c r="H111" s="4" t="n">
        <v>850</v>
      </c>
      <c r="I111" s="4" t="n">
        <v>1059</v>
      </c>
      <c r="J111" s="5" t="n">
        <v>0.8</v>
      </c>
      <c r="K111" s="4" t="n">
        <v>421</v>
      </c>
      <c r="L111" s="5" t="n">
        <v>2</v>
      </c>
      <c r="M111" s="3" t="inlineStr">
        <is>
          <t>1</t>
        </is>
      </c>
      <c r="N111" s="3" t="inlineStr">
        <is>
          <t>-</t>
        </is>
      </c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6">
        <f>HYPERLINK("http://www.eum.go.kr/web/ar/lu/luLandDet.jsp?pnu=4311331027103510000&amp;mode=search", "토지이음")</f>
        <v/>
      </c>
      <c r="S111" s="3" t="inlineStr">
        <is>
          <t>태광</t>
        </is>
      </c>
      <c r="T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공장/창고</t>
        </is>
      </c>
      <c r="E112" s="3" t="inlineStr">
        <is>
          <t>공장</t>
        </is>
      </c>
      <c r="F112" s="3" t="inlineStr">
        <is>
          <t>월세</t>
        </is>
      </c>
      <c r="G112" s="4" t="n">
        <v>4500</v>
      </c>
      <c r="H112" s="4" t="n">
        <v>440</v>
      </c>
      <c r="I112" s="4" t="n">
        <v>1059</v>
      </c>
      <c r="J112" s="5" t="n">
        <v>0.4</v>
      </c>
      <c r="K112" s="4" t="n">
        <v>218</v>
      </c>
      <c r="L112" s="5" t="n">
        <v>2</v>
      </c>
      <c r="M112" s="3" t="inlineStr">
        <is>
          <t>1</t>
        </is>
      </c>
      <c r="N112" s="3" t="inlineStr">
        <is>
          <t>-</t>
        </is>
      </c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6">
        <f>HYPERLINK("http://www.eum.go.kr/web/ar/lu/luLandDet.jsp?pnu=4311331027103510000&amp;mode=search", "토지이음")</f>
        <v/>
      </c>
      <c r="S112" s="3" t="inlineStr">
        <is>
          <t>태성</t>
        </is>
      </c>
      <c r="T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공장/창고</t>
        </is>
      </c>
      <c r="E113" s="3" t="inlineStr">
        <is>
          <t>공장</t>
        </is>
      </c>
      <c r="F113" s="3" t="inlineStr">
        <is>
          <t>월세</t>
        </is>
      </c>
      <c r="G113" s="4" t="n">
        <v>4500</v>
      </c>
      <c r="H113" s="4" t="n">
        <v>410</v>
      </c>
      <c r="I113" s="4" t="n">
        <v>1059</v>
      </c>
      <c r="J113" s="5" t="n">
        <v>0.4</v>
      </c>
      <c r="K113" s="4" t="n">
        <v>203</v>
      </c>
      <c r="L113" s="5" t="n">
        <v>2</v>
      </c>
      <c r="M113" s="3" t="inlineStr">
        <is>
          <t>1</t>
        </is>
      </c>
      <c r="N113" s="3" t="inlineStr">
        <is>
          <t>-</t>
        </is>
      </c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6">
        <f>HYPERLINK("http://www.eum.go.kr/web/ar/lu/luLandDet.jsp?pnu=4311331027103510000&amp;mode=search", "토지이음")</f>
        <v/>
      </c>
      <c r="S113" s="3" t="inlineStr">
        <is>
          <t>나는</t>
        </is>
      </c>
      <c r="T113" s="4" t="n">
        <v>1</v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공장/창고</t>
        </is>
      </c>
      <c r="E114" s="3" t="inlineStr">
        <is>
          <t>공장</t>
        </is>
      </c>
      <c r="F114" s="3" t="inlineStr">
        <is>
          <t>월세</t>
        </is>
      </c>
      <c r="G114" s="4" t="n">
        <v>4500</v>
      </c>
      <c r="H114" s="4" t="n">
        <v>440</v>
      </c>
      <c r="I114" s="4" t="n">
        <v>1059</v>
      </c>
      <c r="J114" s="5" t="n">
        <v>0.4</v>
      </c>
      <c r="K114" s="4" t="n">
        <v>218</v>
      </c>
      <c r="L114" s="5" t="n">
        <v>2</v>
      </c>
      <c r="M114" s="3" t="inlineStr">
        <is>
          <t>1</t>
        </is>
      </c>
      <c r="N114" s="3" t="inlineStr">
        <is>
          <t>-</t>
        </is>
      </c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6">
        <f>HYPERLINK("http://www.eum.go.kr/web/ar/lu/luLandDet.jsp?pnu=4311331027103510000&amp;mode=search", "토지이음")</f>
        <v/>
      </c>
      <c r="S114" s="3" t="inlineStr">
        <is>
          <t>더원</t>
        </is>
      </c>
      <c r="T114" s="4" t="n">
        <v>1</v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공장/창고</t>
        </is>
      </c>
      <c r="E115" s="3" t="inlineStr">
        <is>
          <t>공장</t>
        </is>
      </c>
      <c r="F115" s="3" t="inlineStr">
        <is>
          <t>월세</t>
        </is>
      </c>
      <c r="G115" s="4" t="n">
        <v>9000</v>
      </c>
      <c r="H115" s="4" t="n">
        <v>850</v>
      </c>
      <c r="I115" s="4" t="n">
        <v>1059</v>
      </c>
      <c r="J115" s="5" t="n">
        <v>0.8</v>
      </c>
      <c r="K115" s="4" t="n">
        <v>421</v>
      </c>
      <c r="L115" s="5" t="n">
        <v>2</v>
      </c>
      <c r="M115" s="3" t="inlineStr">
        <is>
          <t>1</t>
        </is>
      </c>
      <c r="N115" s="3" t="inlineStr">
        <is>
          <t>-</t>
        </is>
      </c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6">
        <f>HYPERLINK("http://www.eum.go.kr/web/ar/lu/luLandDet.jsp?pnu=4311331027103510000&amp;mode=search", "토지이음")</f>
        <v/>
      </c>
      <c r="S115" s="3" t="inlineStr">
        <is>
          <t>태성</t>
        </is>
      </c>
      <c r="T115" s="4" t="n">
        <v>1</v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공장/창고</t>
        </is>
      </c>
      <c r="E116" s="3" t="inlineStr">
        <is>
          <t>공장</t>
        </is>
      </c>
      <c r="F116" s="3" t="inlineStr">
        <is>
          <t>월세</t>
        </is>
      </c>
      <c r="G116" s="4" t="n">
        <v>4500</v>
      </c>
      <c r="H116" s="4" t="n">
        <v>410</v>
      </c>
      <c r="I116" s="4" t="n">
        <v>1059</v>
      </c>
      <c r="J116" s="5" t="n">
        <v>0.4</v>
      </c>
      <c r="K116" s="4" t="n">
        <v>203</v>
      </c>
      <c r="L116" s="5" t="n">
        <v>2</v>
      </c>
      <c r="M116" s="3" t="inlineStr">
        <is>
          <t>1</t>
        </is>
      </c>
      <c r="N116" s="3" t="inlineStr">
        <is>
          <t>-</t>
        </is>
      </c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6">
        <f>HYPERLINK("http://www.eum.go.kr/web/ar/lu/luLandDet.jsp?pnu=4311331027103510000&amp;mode=search", "토지이음")</f>
        <v/>
      </c>
      <c r="S116" s="3" t="inlineStr">
        <is>
          <t>더원</t>
        </is>
      </c>
      <c r="T116" s="4" t="n">
        <v>1</v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공장/창고</t>
        </is>
      </c>
      <c r="E117" s="3" t="inlineStr">
        <is>
          <t>공장</t>
        </is>
      </c>
      <c r="F117" s="3" t="inlineStr">
        <is>
          <t>월세</t>
        </is>
      </c>
      <c r="G117" s="4" t="n">
        <v>9000</v>
      </c>
      <c r="H117" s="4" t="n">
        <v>900</v>
      </c>
      <c r="I117" s="4" t="n">
        <v>1059</v>
      </c>
      <c r="J117" s="5" t="n">
        <v>0.8</v>
      </c>
      <c r="K117" s="4" t="n">
        <v>421</v>
      </c>
      <c r="L117" s="5" t="n">
        <v>2.1</v>
      </c>
      <c r="M117" s="3" t="inlineStr">
        <is>
          <t>1</t>
        </is>
      </c>
      <c r="N117" s="3" t="inlineStr">
        <is>
          <t>-</t>
        </is>
      </c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6">
        <f>HYPERLINK("http://www.eum.go.kr/web/ar/lu/luLandDet.jsp?pnu=4311331027103510000&amp;mode=search", "토지이음")</f>
        <v/>
      </c>
      <c r="S117" s="3" t="inlineStr">
        <is>
          <t>청담</t>
        </is>
      </c>
      <c r="T117" s="4" t="n">
        <v>4</v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공장/창고</t>
        </is>
      </c>
      <c r="E118" s="3" t="inlineStr">
        <is>
          <t>공장</t>
        </is>
      </c>
      <c r="F118" s="3" t="inlineStr">
        <is>
          <t>월세</t>
        </is>
      </c>
      <c r="G118" s="4" t="n">
        <v>3000</v>
      </c>
      <c r="H118" s="4" t="n">
        <v>230</v>
      </c>
      <c r="I118" s="4" t="n">
        <v>434</v>
      </c>
      <c r="J118" s="5" t="n">
        <v>0.5</v>
      </c>
      <c r="K118" s="4" t="n">
        <v>91</v>
      </c>
      <c r="L118" s="5" t="n">
        <v>2.5</v>
      </c>
      <c r="M118" s="3" t="inlineStr">
        <is>
          <t>1</t>
        </is>
      </c>
      <c r="N118" s="3" t="inlineStr">
        <is>
          <t>-</t>
        </is>
      </c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6">
        <f>HYPERLINK("http://www.eum.go.kr/web/ar/lu/luLandDet.jsp?pnu=4311331027103920000&amp;mode=search", "토지이음")</f>
        <v/>
      </c>
      <c r="S118" s="3" t="inlineStr">
        <is>
          <t>제이</t>
        </is>
      </c>
      <c r="T118" s="4" t="n">
        <v>2</v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공장/창고</t>
        </is>
      </c>
      <c r="E119" s="3" t="inlineStr">
        <is>
          <t>공장</t>
        </is>
      </c>
      <c r="F119" s="3" t="inlineStr">
        <is>
          <t>월세</t>
        </is>
      </c>
      <c r="G119" s="4" t="n">
        <v>2000</v>
      </c>
      <c r="H119" s="4" t="n">
        <v>130</v>
      </c>
      <c r="I119" s="4" t="n">
        <v>434</v>
      </c>
      <c r="J119" s="5" t="n">
        <v>0.3</v>
      </c>
      <c r="K119" s="4" t="n">
        <v>58</v>
      </c>
      <c r="L119" s="5" t="n">
        <v>2.2</v>
      </c>
      <c r="M119" s="3" t="inlineStr">
        <is>
          <t>1</t>
        </is>
      </c>
      <c r="N119" s="3" t="inlineStr">
        <is>
          <t>-</t>
        </is>
      </c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6">
        <f>HYPERLINK("http://www.eum.go.kr/web/ar/lu/luLandDet.jsp?pnu=4311331027103920000&amp;mode=search", "토지이음")</f>
        <v/>
      </c>
      <c r="S119" s="3" t="inlineStr">
        <is>
          <t>제이</t>
        </is>
      </c>
      <c r="T119" s="4" t="n">
        <v>1</v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공장/창고</t>
        </is>
      </c>
      <c r="E120" s="3" t="inlineStr">
        <is>
          <t>공장</t>
        </is>
      </c>
      <c r="F120" s="3" t="inlineStr">
        <is>
          <t>매매</t>
        </is>
      </c>
      <c r="G120" s="4" t="n">
        <v>350000</v>
      </c>
      <c r="H120" s="4" t="n">
        <v>0</v>
      </c>
      <c r="I120" s="4" t="n">
        <v>1766</v>
      </c>
      <c r="J120" s="5" t="n">
        <v>198.2</v>
      </c>
      <c r="K120" s="4" t="n">
        <v>630</v>
      </c>
      <c r="L120" s="5" t="n">
        <v>555.6</v>
      </c>
      <c r="M120" s="3" t="inlineStr">
        <is>
          <t>1</t>
        </is>
      </c>
      <c r="N120" s="3" t="inlineStr">
        <is>
          <t>-</t>
        </is>
      </c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6">
        <f>HYPERLINK("http://www.eum.go.kr/web/ar/lu/luLandDet.jsp?pnu=4311331027100460001&amp;mode=search", "토지이음")</f>
        <v/>
      </c>
      <c r="S120" s="3" t="inlineStr">
        <is>
          <t>더원</t>
        </is>
      </c>
      <c r="T120" s="4" t="n">
        <v>1</v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공장/창고</t>
        </is>
      </c>
      <c r="E121" s="3" t="inlineStr">
        <is>
          <t>공장</t>
        </is>
      </c>
      <c r="F121" s="3" t="inlineStr">
        <is>
          <t>매매</t>
        </is>
      </c>
      <c r="G121" s="4" t="n">
        <v>350000</v>
      </c>
      <c r="H121" s="4" t="n">
        <v>0</v>
      </c>
      <c r="I121" s="4" t="n">
        <v>1766</v>
      </c>
      <c r="J121" s="5" t="n">
        <v>198.2</v>
      </c>
      <c r="K121" s="4" t="n">
        <v>630</v>
      </c>
      <c r="L121" s="5" t="n">
        <v>555.6</v>
      </c>
      <c r="M121" s="3" t="inlineStr">
        <is>
          <t>2</t>
        </is>
      </c>
      <c r="N121" s="3" t="inlineStr">
        <is>
          <t>-</t>
        </is>
      </c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6">
        <f>HYPERLINK("http://www.eum.go.kr/web/ar/lu/luLandDet.jsp?pnu=4311331027100460001&amp;mode=search", "토지이음")</f>
        <v/>
      </c>
      <c r="S121" s="3" t="inlineStr">
        <is>
          <t>금호사랑</t>
        </is>
      </c>
      <c r="T121" s="4" t="n">
        <v>1</v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공장/창고</t>
        </is>
      </c>
      <c r="E122" s="3" t="inlineStr">
        <is>
          <t>공장</t>
        </is>
      </c>
      <c r="F122" s="3" t="inlineStr">
        <is>
          <t>매매</t>
        </is>
      </c>
      <c r="G122" s="4" t="n">
        <v>350000</v>
      </c>
      <c r="H122" s="4" t="n">
        <v>0</v>
      </c>
      <c r="I122" s="4" t="n">
        <v>1766</v>
      </c>
      <c r="J122" s="5" t="n">
        <v>198.2</v>
      </c>
      <c r="K122" s="4" t="n">
        <v>811</v>
      </c>
      <c r="L122" s="5" t="n">
        <v>431.6</v>
      </c>
      <c r="M122" s="3" t="inlineStr">
        <is>
          <t>2</t>
        </is>
      </c>
      <c r="N122" s="3" t="inlineStr">
        <is>
          <t>-</t>
        </is>
      </c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6">
        <f>HYPERLINK("http://www.eum.go.kr/web/ar/lu/luLandDet.jsp?pnu=4311331027100460001&amp;mode=search", "토지이음")</f>
        <v/>
      </c>
      <c r="S122" s="3" t="inlineStr">
        <is>
          <t>(주)미르</t>
        </is>
      </c>
      <c r="T122" s="4" t="n">
        <v>2</v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공장/창고</t>
        </is>
      </c>
      <c r="E123" s="3" t="inlineStr">
        <is>
          <t>기타</t>
        </is>
      </c>
      <c r="F123" s="3" t="inlineStr">
        <is>
          <t>매매</t>
        </is>
      </c>
      <c r="G123" s="4" t="n">
        <v>49000</v>
      </c>
      <c r="H123" s="4" t="n">
        <v>0</v>
      </c>
      <c r="I123" s="4" t="n">
        <v>133</v>
      </c>
      <c r="J123" s="5" t="n">
        <v>368.4</v>
      </c>
      <c r="K123" s="4" t="n">
        <v>77</v>
      </c>
      <c r="L123" s="5" t="n">
        <v>636.4</v>
      </c>
      <c r="M123" s="3" t="inlineStr">
        <is>
          <t>1</t>
        </is>
      </c>
      <c r="N123" s="3" t="inlineStr">
        <is>
          <t>-</t>
        </is>
      </c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6">
        <f>HYPERLINK("http://www.eum.go.kr/web/ar/lu/luLandDet.jsp?pnu=4311331035102250011&amp;mode=search", "토지이음")</f>
        <v/>
      </c>
      <c r="S123" s="3" t="inlineStr">
        <is>
          <t>반석</t>
        </is>
      </c>
      <c r="T123" s="4" t="n">
        <v>1</v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공장/창고</t>
        </is>
      </c>
      <c r="E124" s="3" t="inlineStr">
        <is>
          <t>공장</t>
        </is>
      </c>
      <c r="F124" s="3" t="inlineStr">
        <is>
          <t>매매</t>
        </is>
      </c>
      <c r="G124" s="4" t="n">
        <v>220000</v>
      </c>
      <c r="H124" s="4" t="n">
        <v>0</v>
      </c>
      <c r="I124" s="4" t="n">
        <v>646</v>
      </c>
      <c r="J124" s="5" t="n">
        <v>340.6</v>
      </c>
      <c r="K124" s="4" t="n">
        <v>212</v>
      </c>
      <c r="L124" s="5" t="n">
        <v>1037.7</v>
      </c>
      <c r="M124" s="3" t="inlineStr">
        <is>
          <t>1</t>
        </is>
      </c>
      <c r="N124" s="3" t="inlineStr">
        <is>
          <t>-</t>
        </is>
      </c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6">
        <f>HYPERLINK("http://www.eum.go.kr/web/ar/lu/luLandDet.jsp?pnu=4311331029101540000&amp;mode=search", "토지이음")</f>
        <v/>
      </c>
      <c r="S124" s="3" t="inlineStr">
        <is>
          <t>(주)미르</t>
        </is>
      </c>
      <c r="T124" s="4" t="n">
        <v>1</v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공장/창고</t>
        </is>
      </c>
      <c r="E125" s="3" t="inlineStr">
        <is>
          <t>창고</t>
        </is>
      </c>
      <c r="F125" s="3" t="inlineStr">
        <is>
          <t>매매</t>
        </is>
      </c>
      <c r="G125" s="4" t="n">
        <v>220000</v>
      </c>
      <c r="H125" s="4" t="n">
        <v>0</v>
      </c>
      <c r="I125" s="4" t="n">
        <v>646</v>
      </c>
      <c r="J125" s="5" t="n">
        <v>340.6</v>
      </c>
      <c r="K125" s="4" t="n">
        <v>212</v>
      </c>
      <c r="L125" s="5" t="n">
        <v>1037.7</v>
      </c>
      <c r="M125" s="3" t="inlineStr">
        <is>
          <t>1</t>
        </is>
      </c>
      <c r="N125" s="3" t="inlineStr">
        <is>
          <t>-</t>
        </is>
      </c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6">
        <f>HYPERLINK("http://www.eum.go.kr/web/ar/lu/luLandDet.jsp?pnu=4311331029101540000&amp;mode=search", "토지이음")</f>
        <v/>
      </c>
      <c r="S125" s="3" t="inlineStr">
        <is>
          <t>오송k랜드</t>
        </is>
      </c>
      <c r="T125" s="4" t="n">
        <v>1</v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공장/창고</t>
        </is>
      </c>
      <c r="E126" s="3" t="inlineStr">
        <is>
          <t>공장</t>
        </is>
      </c>
      <c r="F126" s="3" t="inlineStr">
        <is>
          <t>매매</t>
        </is>
      </c>
      <c r="G126" s="4" t="n">
        <v>220000</v>
      </c>
      <c r="H126" s="4" t="n">
        <v>0</v>
      </c>
      <c r="I126" s="4" t="n">
        <v>646</v>
      </c>
      <c r="J126" s="5" t="n">
        <v>340.6</v>
      </c>
      <c r="K126" s="4" t="n">
        <v>212</v>
      </c>
      <c r="L126" s="5" t="n">
        <v>1037.7</v>
      </c>
      <c r="M126" s="3" t="inlineStr">
        <is>
          <t>1</t>
        </is>
      </c>
      <c r="N126" s="3" t="inlineStr">
        <is>
          <t>-</t>
        </is>
      </c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6">
        <f>HYPERLINK("http://www.eum.go.kr/web/ar/lu/luLandDet.jsp?pnu=4311331029101540000&amp;mode=search", "토지이음")</f>
        <v/>
      </c>
      <c r="S126" s="3" t="inlineStr">
        <is>
          <t>더원</t>
        </is>
      </c>
      <c r="T126" s="4" t="n">
        <v>1</v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공장/창고</t>
        </is>
      </c>
      <c r="E127" s="3" t="inlineStr">
        <is>
          <t>공장</t>
        </is>
      </c>
      <c r="F127" s="3" t="inlineStr">
        <is>
          <t>매매</t>
        </is>
      </c>
      <c r="G127" s="4" t="n">
        <v>850000</v>
      </c>
      <c r="H127" s="4" t="n">
        <v>0</v>
      </c>
      <c r="I127" s="4" t="n">
        <v>5005</v>
      </c>
      <c r="J127" s="5" t="n">
        <v>169.8</v>
      </c>
      <c r="K127" s="4" t="n">
        <v>1733</v>
      </c>
      <c r="L127" s="5" t="n">
        <v>490.5</v>
      </c>
      <c r="M127" s="3" t="inlineStr">
        <is>
          <t>1</t>
        </is>
      </c>
      <c r="N127" s="3" t="inlineStr">
        <is>
          <t>-</t>
        </is>
      </c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6">
        <f>HYPERLINK("http://www.eum.go.kr/web/ar/lu/luLandDet.jsp?pnu=4311331029102720007&amp;mode=search", "토지이음")</f>
        <v/>
      </c>
      <c r="S127" s="3" t="inlineStr">
        <is>
          <t>복댕이</t>
        </is>
      </c>
      <c r="T127" s="4" t="n">
        <v>1</v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공장/창고</t>
        </is>
      </c>
      <c r="E128" s="3" t="inlineStr">
        <is>
          <t>공장</t>
        </is>
      </c>
      <c r="F128" s="3" t="inlineStr">
        <is>
          <t>월세</t>
        </is>
      </c>
      <c r="G128" s="4" t="n">
        <v>20000</v>
      </c>
      <c r="H128" s="4" t="n">
        <v>0</v>
      </c>
      <c r="I128" s="4" t="n">
        <v>2429</v>
      </c>
      <c r="J128" s="5" t="n">
        <v>0</v>
      </c>
      <c r="K128" s="4" t="n">
        <v>970</v>
      </c>
      <c r="L128" s="5" t="n">
        <v>0</v>
      </c>
      <c r="M128" s="3" t="inlineStr">
        <is>
          <t>1</t>
        </is>
      </c>
      <c r="N128" s="3" t="inlineStr">
        <is>
          <t>-</t>
        </is>
      </c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6">
        <f>HYPERLINK("http://www.eum.go.kr/web/ar/lu/luLandDet.jsp?pnu=4311331029100520007&amp;mode=search", "토지이음")</f>
        <v/>
      </c>
      <c r="S128" s="3" t="inlineStr">
        <is>
          <t>더원</t>
        </is>
      </c>
      <c r="T128" s="4" t="n">
        <v>1</v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공장/창고</t>
        </is>
      </c>
      <c r="E129" s="3" t="inlineStr">
        <is>
          <t>공장</t>
        </is>
      </c>
      <c r="F129" s="3" t="inlineStr">
        <is>
          <t>월세</t>
        </is>
      </c>
      <c r="G129" s="4" t="n">
        <v>20000</v>
      </c>
      <c r="H129" s="4" t="n">
        <v>0</v>
      </c>
      <c r="I129" s="4" t="n">
        <v>2428</v>
      </c>
      <c r="J129" s="5" t="n">
        <v>0</v>
      </c>
      <c r="K129" s="4" t="n">
        <v>970</v>
      </c>
      <c r="L129" s="5" t="n">
        <v>0</v>
      </c>
      <c r="M129" s="3" t="inlineStr">
        <is>
          <t>2</t>
        </is>
      </c>
      <c r="N129" s="3" t="inlineStr">
        <is>
          <t>-</t>
        </is>
      </c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6">
        <f>HYPERLINK("http://www.eum.go.kr/web/ar/lu/luLandDet.jsp?pnu=4311331029100550007&amp;mode=search", "토지이음")</f>
        <v/>
      </c>
      <c r="S129" s="3" t="inlineStr">
        <is>
          <t>(주)미르</t>
        </is>
      </c>
      <c r="T129" s="4" t="n">
        <v>1</v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공장/창고</t>
        </is>
      </c>
      <c r="E130" s="3" t="inlineStr">
        <is>
          <t>공장</t>
        </is>
      </c>
      <c r="F130" s="3" t="inlineStr">
        <is>
          <t>월세</t>
        </is>
      </c>
      <c r="G130" s="4" t="n">
        <v>8000</v>
      </c>
      <c r="H130" s="4" t="n">
        <v>800</v>
      </c>
      <c r="I130" s="4" t="n">
        <v>1516</v>
      </c>
      <c r="J130" s="5" t="n">
        <v>0.5</v>
      </c>
      <c r="K130" s="4" t="n">
        <v>464</v>
      </c>
      <c r="L130" s="5" t="n">
        <v>1.7</v>
      </c>
      <c r="M130" s="3" t="inlineStr">
        <is>
          <t>2</t>
        </is>
      </c>
      <c r="N130" s="3" t="inlineStr">
        <is>
          <t>-</t>
        </is>
      </c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6">
        <f>HYPERLINK("http://www.eum.go.kr/web/ar/lu/luLandDet.jsp?pnu=4311331029100700010&amp;mode=search", "토지이음")</f>
        <v/>
      </c>
      <c r="S130" s="3" t="inlineStr">
        <is>
          <t>(주)미르</t>
        </is>
      </c>
      <c r="T130" s="4" t="n">
        <v>1</v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공장/창고</t>
        </is>
      </c>
      <c r="E131" s="3" t="inlineStr">
        <is>
          <t>공장</t>
        </is>
      </c>
      <c r="F131" s="3" t="inlineStr">
        <is>
          <t>매매</t>
        </is>
      </c>
      <c r="G131" s="4" t="n">
        <v>280000</v>
      </c>
      <c r="H131" s="4" t="n">
        <v>0</v>
      </c>
      <c r="I131" s="4" t="n">
        <v>1516</v>
      </c>
      <c r="J131" s="5" t="n">
        <v>184.7</v>
      </c>
      <c r="K131" s="4" t="n">
        <v>464</v>
      </c>
      <c r="L131" s="5" t="n">
        <v>603.4</v>
      </c>
      <c r="M131" s="3" t="inlineStr">
        <is>
          <t>2</t>
        </is>
      </c>
      <c r="N131" s="3" t="inlineStr">
        <is>
          <t>-</t>
        </is>
      </c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6">
        <f>HYPERLINK("http://www.eum.go.kr/web/ar/lu/luLandDet.jsp?pnu=4311331029100700010&amp;mode=search", "토지이음")</f>
        <v/>
      </c>
      <c r="S131" s="3" t="inlineStr">
        <is>
          <t>(주)미르</t>
        </is>
      </c>
      <c r="T131" s="4" t="n">
        <v>1</v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공장/창고</t>
        </is>
      </c>
      <c r="E132" s="3" t="inlineStr">
        <is>
          <t>공장</t>
        </is>
      </c>
      <c r="F132" s="3" t="inlineStr">
        <is>
          <t>매매</t>
        </is>
      </c>
      <c r="G132" s="4" t="n">
        <v>460000</v>
      </c>
      <c r="H132" s="4" t="n">
        <v>0</v>
      </c>
      <c r="I132" s="4" t="n">
        <v>1669</v>
      </c>
      <c r="J132" s="5" t="n">
        <v>275.6</v>
      </c>
      <c r="K132" s="4" t="n">
        <v>671</v>
      </c>
      <c r="L132" s="5" t="n">
        <v>685.5</v>
      </c>
      <c r="M132" s="3" t="inlineStr">
        <is>
          <t>1</t>
        </is>
      </c>
      <c r="N132" s="3" t="inlineStr">
        <is>
          <t>-</t>
        </is>
      </c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6">
        <f>HYPERLINK("http://www.eum.go.kr/web/ar/lu/luLandDet.jsp?pnu=4311331029100710010&amp;mode=search", "토지이음")</f>
        <v/>
      </c>
      <c r="S132" s="3" t="inlineStr">
        <is>
          <t>오송휴먼캐슬</t>
        </is>
      </c>
      <c r="T132" s="4" t="n">
        <v>1</v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공장/창고</t>
        </is>
      </c>
      <c r="E133" s="3" t="inlineStr">
        <is>
          <t>공장</t>
        </is>
      </c>
      <c r="F133" s="3" t="inlineStr">
        <is>
          <t>월세</t>
        </is>
      </c>
      <c r="G133" s="4" t="n">
        <v>4000</v>
      </c>
      <c r="H133" s="4" t="n">
        <v>440</v>
      </c>
      <c r="I133" s="4" t="n">
        <v>540</v>
      </c>
      <c r="J133" s="5" t="n">
        <v>0.8</v>
      </c>
      <c r="K133" s="4" t="n">
        <v>149</v>
      </c>
      <c r="L133" s="5" t="n">
        <v>3</v>
      </c>
      <c r="M133" s="3" t="inlineStr">
        <is>
          <t>2</t>
        </is>
      </c>
      <c r="N133" s="3" t="inlineStr">
        <is>
          <t>-</t>
        </is>
      </c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6">
        <f>HYPERLINK("http://www.eum.go.kr/web/ar/lu/luLandDet.jsp?pnu=3611033024104020000&amp;mode=search", "토지이음")</f>
        <v/>
      </c>
      <c r="S133" s="3" t="inlineStr">
        <is>
          <t>e플러스</t>
        </is>
      </c>
      <c r="T133" s="4" t="n">
        <v>1</v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공장/창고</t>
        </is>
      </c>
      <c r="E134" s="3" t="inlineStr">
        <is>
          <t>공장</t>
        </is>
      </c>
      <c r="F134" s="3" t="inlineStr">
        <is>
          <t>월세</t>
        </is>
      </c>
      <c r="G134" s="4" t="n">
        <v>4000</v>
      </c>
      <c r="H134" s="4" t="n">
        <v>440</v>
      </c>
      <c r="I134" s="4" t="n">
        <v>540</v>
      </c>
      <c r="J134" s="5" t="n">
        <v>0.8</v>
      </c>
      <c r="K134" s="4" t="n">
        <v>229</v>
      </c>
      <c r="L134" s="5" t="n">
        <v>1.9</v>
      </c>
      <c r="M134" s="3" t="inlineStr">
        <is>
          <t>2</t>
        </is>
      </c>
      <c r="N134" s="3" t="inlineStr">
        <is>
          <t>-</t>
        </is>
      </c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6">
        <f>HYPERLINK("http://www.eum.go.kr/web/ar/lu/luLandDet.jsp?pnu=3611033024104020000&amp;mode=search", "토지이음")</f>
        <v/>
      </c>
      <c r="S134" s="3" t="inlineStr">
        <is>
          <t>세종행복한</t>
        </is>
      </c>
      <c r="T134" s="4" t="n">
        <v>1</v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공장/창고</t>
        </is>
      </c>
      <c r="E135" s="3" t="inlineStr">
        <is>
          <t>공장</t>
        </is>
      </c>
      <c r="F135" s="3" t="inlineStr">
        <is>
          <t>월세</t>
        </is>
      </c>
      <c r="G135" s="4" t="n">
        <v>10000</v>
      </c>
      <c r="H135" s="4" t="n">
        <v>400</v>
      </c>
      <c r="I135" s="4" t="n">
        <v>1159</v>
      </c>
      <c r="J135" s="5" t="n">
        <v>0.3</v>
      </c>
      <c r="K135" s="4" t="n">
        <v>117</v>
      </c>
      <c r="L135" s="5" t="n">
        <v>3.4</v>
      </c>
      <c r="M135" s="3" t="inlineStr">
        <is>
          <t>1</t>
        </is>
      </c>
      <c r="N135" s="3" t="inlineStr">
        <is>
          <t>-</t>
        </is>
      </c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6">
        <f>HYPERLINK("http://www.eum.go.kr/web/ar/lu/luLandDet.jsp?pnu=3611033028102210000&amp;mode=search", "토지이음")</f>
        <v/>
      </c>
      <c r="S135" s="3" t="inlineStr">
        <is>
          <t>대박</t>
        </is>
      </c>
      <c r="T135" s="4" t="n">
        <v>1</v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공장/창고</t>
        </is>
      </c>
      <c r="E136" s="3" t="inlineStr">
        <is>
          <t>공장</t>
        </is>
      </c>
      <c r="F136" s="3" t="inlineStr">
        <is>
          <t>월세</t>
        </is>
      </c>
      <c r="G136" s="4" t="n">
        <v>3000</v>
      </c>
      <c r="H136" s="4" t="n">
        <v>260</v>
      </c>
      <c r="I136" s="4" t="n">
        <v>270</v>
      </c>
      <c r="J136" s="5" t="n">
        <v>1</v>
      </c>
      <c r="K136" s="4" t="n">
        <v>106</v>
      </c>
      <c r="L136" s="5" t="n">
        <v>2.5</v>
      </c>
      <c r="M136" s="3" t="inlineStr">
        <is>
          <t>1</t>
        </is>
      </c>
      <c r="N136" s="3" t="inlineStr">
        <is>
          <t>-</t>
        </is>
      </c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6">
        <f>HYPERLINK("http://www.eum.go.kr/web/ar/lu/luLandDet.jsp?pnu=3611033028102770002&amp;mode=search", "토지이음")</f>
        <v/>
      </c>
      <c r="S136" s="3" t="inlineStr">
        <is>
          <t>대박</t>
        </is>
      </c>
      <c r="T136" s="4" t="n">
        <v>1</v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공장/창고</t>
        </is>
      </c>
      <c r="E137" s="3" t="inlineStr">
        <is>
          <t>공장</t>
        </is>
      </c>
      <c r="F137" s="3" t="inlineStr">
        <is>
          <t>월세</t>
        </is>
      </c>
      <c r="G137" s="4" t="n">
        <v>3000</v>
      </c>
      <c r="H137" s="4" t="n">
        <v>260</v>
      </c>
      <c r="I137" s="4" t="n">
        <v>270</v>
      </c>
      <c r="J137" s="5" t="n">
        <v>1</v>
      </c>
      <c r="K137" s="4" t="n">
        <v>106</v>
      </c>
      <c r="L137" s="5" t="n">
        <v>2.5</v>
      </c>
      <c r="M137" s="3" t="inlineStr">
        <is>
          <t>1</t>
        </is>
      </c>
      <c r="N137" s="3" t="inlineStr">
        <is>
          <t>-</t>
        </is>
      </c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6">
        <f>HYPERLINK("http://www.eum.go.kr/web/ar/lu/luLandDet.jsp?pnu=3611033028102770002&amp;mode=search", "토지이음")</f>
        <v/>
      </c>
      <c r="S137" s="3" t="inlineStr">
        <is>
          <t>e플러스</t>
        </is>
      </c>
      <c r="T137" s="4" t="n">
        <v>1</v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공장/창고</t>
        </is>
      </c>
      <c r="E138" s="3" t="inlineStr">
        <is>
          <t>공장</t>
        </is>
      </c>
      <c r="F138" s="3" t="inlineStr">
        <is>
          <t>월세</t>
        </is>
      </c>
      <c r="G138" s="4" t="n">
        <v>3000</v>
      </c>
      <c r="H138" s="4" t="n">
        <v>260</v>
      </c>
      <c r="I138" s="4" t="n">
        <v>270</v>
      </c>
      <c r="J138" s="5" t="n">
        <v>1</v>
      </c>
      <c r="K138" s="4" t="n">
        <v>106</v>
      </c>
      <c r="L138" s="5" t="n">
        <v>2.5</v>
      </c>
      <c r="M138" s="3" t="inlineStr">
        <is>
          <t>1</t>
        </is>
      </c>
      <c r="N138" s="3" t="inlineStr">
        <is>
          <t>-</t>
        </is>
      </c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6">
        <f>HYPERLINK("http://www.eum.go.kr/web/ar/lu/luLandDet.jsp?pnu=3611033028102770002&amp;mode=search", "토지이음")</f>
        <v/>
      </c>
      <c r="S138" s="3" t="inlineStr">
        <is>
          <t>더원</t>
        </is>
      </c>
      <c r="T138" s="4" t="n">
        <v>3</v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공장/창고</t>
        </is>
      </c>
      <c r="E139" s="3" t="inlineStr">
        <is>
          <t>공장</t>
        </is>
      </c>
      <c r="F139" s="3" t="inlineStr">
        <is>
          <t>월세</t>
        </is>
      </c>
      <c r="G139" s="4" t="n">
        <v>3000</v>
      </c>
      <c r="H139" s="4" t="n">
        <v>260</v>
      </c>
      <c r="I139" s="4" t="n">
        <v>270</v>
      </c>
      <c r="J139" s="5" t="n">
        <v>1</v>
      </c>
      <c r="K139" s="4" t="n">
        <v>106</v>
      </c>
      <c r="L139" s="5" t="n">
        <v>2.5</v>
      </c>
      <c r="M139" s="3" t="inlineStr">
        <is>
          <t>1</t>
        </is>
      </c>
      <c r="N139" s="3" t="inlineStr">
        <is>
          <t>-</t>
        </is>
      </c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6">
        <f>HYPERLINK("http://www.eum.go.kr/web/ar/lu/luLandDet.jsp?pnu=3611033028102770002&amp;mode=search", "토지이음")</f>
        <v/>
      </c>
      <c r="S139" s="3" t="inlineStr">
        <is>
          <t>창고의여왕</t>
        </is>
      </c>
      <c r="T139" s="4" t="n">
        <v>2</v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공장/창고</t>
        </is>
      </c>
      <c r="E140" s="3" t="inlineStr">
        <is>
          <t>공장</t>
        </is>
      </c>
      <c r="F140" s="3" t="inlineStr">
        <is>
          <t>매매</t>
        </is>
      </c>
      <c r="G140" s="4" t="n">
        <v>210000</v>
      </c>
      <c r="H140" s="4" t="n">
        <v>0</v>
      </c>
      <c r="I140" s="4" t="n">
        <v>1309</v>
      </c>
      <c r="J140" s="5" t="n">
        <v>160.4</v>
      </c>
      <c r="K140" s="4" t="n">
        <v>31</v>
      </c>
      <c r="L140" s="5" t="n">
        <v>6774.2</v>
      </c>
      <c r="M140" s="3" t="inlineStr">
        <is>
          <t>1</t>
        </is>
      </c>
      <c r="N140" s="3" t="inlineStr">
        <is>
          <t>-</t>
        </is>
      </c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6">
        <f>HYPERLINK("http://www.eum.go.kr/web/ar/lu/luLandDet.jsp?pnu=3611033028100300002&amp;mode=search", "토지이음")</f>
        <v/>
      </c>
      <c r="S140" s="3" t="inlineStr">
        <is>
          <t>더행복</t>
        </is>
      </c>
      <c r="T140" s="4" t="n">
        <v>1</v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공장/창고</t>
        </is>
      </c>
      <c r="E141" s="3" t="inlineStr">
        <is>
          <t>창고</t>
        </is>
      </c>
      <c r="F141" s="3" t="inlineStr">
        <is>
          <t>매매</t>
        </is>
      </c>
      <c r="G141" s="4" t="n">
        <v>66000</v>
      </c>
      <c r="H141" s="4" t="n">
        <v>0</v>
      </c>
      <c r="I141" s="4" t="n">
        <v>200</v>
      </c>
      <c r="J141" s="5" t="n">
        <v>330</v>
      </c>
      <c r="K141" s="4" t="n">
        <v>58</v>
      </c>
      <c r="L141" s="5" t="n">
        <v>1137.9</v>
      </c>
      <c r="M141" s="3" t="inlineStr">
        <is>
          <t>1</t>
        </is>
      </c>
      <c r="N141" s="3" t="inlineStr">
        <is>
          <t>-</t>
        </is>
      </c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6">
        <f>HYPERLINK("http://www.eum.go.kr/web/ar/lu/luLandDet.jsp?pnu=3611033028103890001&amp;mode=search", "토지이음")</f>
        <v/>
      </c>
      <c r="S141" s="3" t="inlineStr">
        <is>
          <t>원내</t>
        </is>
      </c>
      <c r="T141" s="4" t="n">
        <v>1</v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공장/창고</t>
        </is>
      </c>
      <c r="E142" s="3" t="inlineStr">
        <is>
          <t>창고</t>
        </is>
      </c>
      <c r="F142" s="3" t="inlineStr">
        <is>
          <t>월세</t>
        </is>
      </c>
      <c r="G142" s="4" t="n">
        <v>12000</v>
      </c>
      <c r="H142" s="4" t="n">
        <v>0</v>
      </c>
      <c r="I142" s="4" t="n">
        <v>4194</v>
      </c>
      <c r="J142" s="5" t="n">
        <v>0</v>
      </c>
      <c r="K142" s="4" t="n">
        <v>1926</v>
      </c>
      <c r="L142" s="5" t="n">
        <v>0</v>
      </c>
      <c r="M142" s="3" t="inlineStr">
        <is>
          <t>1</t>
        </is>
      </c>
      <c r="N142" s="3" t="inlineStr">
        <is>
          <t>B1</t>
        </is>
      </c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6">
        <f>HYPERLINK("http://www.eum.go.kr/web/ar/lu/luLandDet.jsp?pnu=3611033028104130001&amp;mode=search", "토지이음")</f>
        <v/>
      </c>
      <c r="S142" s="3" t="inlineStr">
        <is>
          <t>기업전문주식회사</t>
        </is>
      </c>
      <c r="T142" s="4" t="n">
        <v>1</v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공장/창고</t>
        </is>
      </c>
      <c r="E143" s="3" t="inlineStr">
        <is>
          <t>공장</t>
        </is>
      </c>
      <c r="F143" s="3" t="inlineStr">
        <is>
          <t>월세</t>
        </is>
      </c>
      <c r="G143" s="4" t="n">
        <v>4000</v>
      </c>
      <c r="H143" s="4" t="n">
        <v>375</v>
      </c>
      <c r="I143" s="4" t="n">
        <v>381</v>
      </c>
      <c r="J143" s="5" t="n">
        <v>1</v>
      </c>
      <c r="K143" s="4" t="n">
        <v>150</v>
      </c>
      <c r="L143" s="5" t="n">
        <v>2.5</v>
      </c>
      <c r="M143" s="3" t="inlineStr">
        <is>
          <t>1</t>
        </is>
      </c>
      <c r="N143" s="3" t="inlineStr">
        <is>
          <t>-</t>
        </is>
      </c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6">
        <f>HYPERLINK("http://www.eum.go.kr/web/ar/lu/luLandDet.jsp?pnu=3611033028104560000&amp;mode=search", "토지이음")</f>
        <v/>
      </c>
      <c r="S143" s="3" t="inlineStr">
        <is>
          <t>더행복</t>
        </is>
      </c>
      <c r="T143" s="4" t="n">
        <v>1</v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공장/창고</t>
        </is>
      </c>
      <c r="E144" s="3" t="inlineStr">
        <is>
          <t>공장</t>
        </is>
      </c>
      <c r="F144" s="3" t="inlineStr">
        <is>
          <t>월세</t>
        </is>
      </c>
      <c r="G144" s="4" t="n">
        <v>4000</v>
      </c>
      <c r="H144" s="4" t="n">
        <v>375</v>
      </c>
      <c r="I144" s="4" t="n">
        <v>381</v>
      </c>
      <c r="J144" s="5" t="n">
        <v>1</v>
      </c>
      <c r="K144" s="4" t="n">
        <v>150</v>
      </c>
      <c r="L144" s="5" t="n">
        <v>2.5</v>
      </c>
      <c r="M144" s="3" t="inlineStr">
        <is>
          <t>1</t>
        </is>
      </c>
      <c r="N144" s="3" t="inlineStr">
        <is>
          <t>-</t>
        </is>
      </c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6">
        <f>HYPERLINK("http://www.eum.go.kr/web/ar/lu/luLandDet.jsp?pnu=3611033028104560000&amp;mode=search", "토지이음")</f>
        <v/>
      </c>
      <c r="S144" s="3" t="inlineStr">
        <is>
          <t>KS</t>
        </is>
      </c>
      <c r="T144" s="4" t="n">
        <v>1</v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공장/창고</t>
        </is>
      </c>
      <c r="E145" s="3" t="inlineStr">
        <is>
          <t>공장</t>
        </is>
      </c>
      <c r="F145" s="3" t="inlineStr">
        <is>
          <t>월세</t>
        </is>
      </c>
      <c r="G145" s="4" t="n">
        <v>4000</v>
      </c>
      <c r="H145" s="4" t="n">
        <v>375</v>
      </c>
      <c r="I145" s="4" t="n">
        <v>381</v>
      </c>
      <c r="J145" s="5" t="n">
        <v>1</v>
      </c>
      <c r="K145" s="4" t="n">
        <v>150</v>
      </c>
      <c r="L145" s="5" t="n">
        <v>2.5</v>
      </c>
      <c r="M145" s="3" t="inlineStr">
        <is>
          <t>1</t>
        </is>
      </c>
      <c r="N145" s="3" t="inlineStr">
        <is>
          <t>-</t>
        </is>
      </c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6">
        <f>HYPERLINK("http://www.eum.go.kr/web/ar/lu/luLandDet.jsp?pnu=3611033028104560000&amp;mode=search", "토지이음")</f>
        <v/>
      </c>
      <c r="S145" s="3" t="inlineStr">
        <is>
          <t>제이</t>
        </is>
      </c>
      <c r="T145" s="4" t="n">
        <v>5</v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공장/창고</t>
        </is>
      </c>
      <c r="E146" s="3" t="inlineStr">
        <is>
          <t>공장</t>
        </is>
      </c>
      <c r="F146" s="3" t="inlineStr">
        <is>
          <t>매매</t>
        </is>
      </c>
      <c r="G146" s="4" t="n">
        <v>280000</v>
      </c>
      <c r="H146" s="4" t="n">
        <v>0</v>
      </c>
      <c r="I146" s="4" t="n">
        <v>705</v>
      </c>
      <c r="J146" s="5" t="n">
        <v>397.2</v>
      </c>
      <c r="K146" s="4" t="n">
        <v>136</v>
      </c>
      <c r="L146" s="5" t="n">
        <v>2058.8</v>
      </c>
      <c r="M146" s="3" t="inlineStr">
        <is>
          <t>1</t>
        </is>
      </c>
      <c r="N146" s="3" t="inlineStr">
        <is>
          <t>-</t>
        </is>
      </c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6">
        <f>HYPERLINK("http://www.eum.go.kr/web/ar/lu/luLandDet.jsp?pnu=3611033028106830001&amp;mode=search", "토지이음")</f>
        <v/>
      </c>
      <c r="S146" s="3" t="inlineStr">
        <is>
          <t>하늘땅</t>
        </is>
      </c>
      <c r="T146" s="4" t="n">
        <v>1</v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공장/창고</t>
        </is>
      </c>
      <c r="E147" s="3" t="inlineStr">
        <is>
          <t>공장</t>
        </is>
      </c>
      <c r="F147" s="3" t="inlineStr">
        <is>
          <t>매매</t>
        </is>
      </c>
      <c r="G147" s="4" t="n">
        <v>200000</v>
      </c>
      <c r="H147" s="4" t="n">
        <v>0</v>
      </c>
      <c r="I147" s="4" t="n">
        <v>756</v>
      </c>
      <c r="J147" s="5" t="n">
        <v>264.6</v>
      </c>
      <c r="K147" s="4" t="n">
        <v>228</v>
      </c>
      <c r="L147" s="5" t="n">
        <v>877.2</v>
      </c>
      <c r="M147" s="3" t="inlineStr">
        <is>
          <t>2</t>
        </is>
      </c>
      <c r="N147" s="3" t="inlineStr">
        <is>
          <t>-</t>
        </is>
      </c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6">
        <f>HYPERLINK("http://www.eum.go.kr/web/ar/lu/luLandDet.jsp?pnu=3611033028106890000&amp;mode=search", "토지이음")</f>
        <v/>
      </c>
      <c r="S147" s="3" t="inlineStr">
        <is>
          <t>드림옥션사무소</t>
        </is>
      </c>
      <c r="T147" s="4" t="n">
        <v>1</v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공장/창고</t>
        </is>
      </c>
      <c r="E148" s="3" t="inlineStr">
        <is>
          <t>공장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756</v>
      </c>
      <c r="J148" s="5" t="n">
        <v>264.6</v>
      </c>
      <c r="K148" s="4" t="n">
        <v>228</v>
      </c>
      <c r="L148" s="5" t="n">
        <v>877.2</v>
      </c>
      <c r="M148" s="3" t="inlineStr">
        <is>
          <t>2</t>
        </is>
      </c>
      <c r="N148" s="3" t="inlineStr">
        <is>
          <t>-</t>
        </is>
      </c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6">
        <f>HYPERLINK("http://www.eum.go.kr/web/ar/lu/luLandDet.jsp?pnu=3611033028106890000&amp;mode=search", "토지이음")</f>
        <v/>
      </c>
      <c r="S148" s="3" t="inlineStr">
        <is>
          <t>소소사무소</t>
        </is>
      </c>
      <c r="T148" s="4" t="n">
        <v>1</v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공장/창고</t>
        </is>
      </c>
      <c r="E149" s="3" t="inlineStr">
        <is>
          <t>공장</t>
        </is>
      </c>
      <c r="F149" s="3" t="inlineStr">
        <is>
          <t>매매</t>
        </is>
      </c>
      <c r="G149" s="4" t="n">
        <v>210000</v>
      </c>
      <c r="H149" s="4" t="n">
        <v>0</v>
      </c>
      <c r="I149" s="4" t="n">
        <v>756</v>
      </c>
      <c r="J149" s="5" t="n">
        <v>277.8</v>
      </c>
      <c r="K149" s="4" t="n">
        <v>228</v>
      </c>
      <c r="L149" s="5" t="n">
        <v>921.1</v>
      </c>
      <c r="M149" s="3" t="inlineStr">
        <is>
          <t>2</t>
        </is>
      </c>
      <c r="N149" s="3" t="inlineStr">
        <is>
          <t>-</t>
        </is>
      </c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6">
        <f>HYPERLINK("http://www.eum.go.kr/web/ar/lu/luLandDet.jsp?pnu=3611033028106890000&amp;mode=search", "토지이음")</f>
        <v/>
      </c>
      <c r="S149" s="3" t="inlineStr">
        <is>
          <t>(주)미르</t>
        </is>
      </c>
      <c r="T149" s="4" t="n">
        <v>1</v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공장/창고</t>
        </is>
      </c>
      <c r="E150" s="3" t="inlineStr">
        <is>
          <t>공장</t>
        </is>
      </c>
      <c r="F150" s="3" t="inlineStr">
        <is>
          <t>매매</t>
        </is>
      </c>
      <c r="G150" s="4" t="n">
        <v>210000</v>
      </c>
      <c r="H150" s="4" t="n">
        <v>0</v>
      </c>
      <c r="I150" s="4" t="n">
        <v>756</v>
      </c>
      <c r="J150" s="5" t="n">
        <v>277.8</v>
      </c>
      <c r="K150" s="4" t="n">
        <v>228</v>
      </c>
      <c r="L150" s="5" t="n">
        <v>921.1</v>
      </c>
      <c r="M150" s="3" t="inlineStr">
        <is>
          <t>2</t>
        </is>
      </c>
      <c r="N150" s="3" t="inlineStr">
        <is>
          <t>-</t>
        </is>
      </c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6">
        <f>HYPERLINK("http://www.eum.go.kr/web/ar/lu/luLandDet.jsp?pnu=3611033028106890000&amp;mode=search", "토지이음")</f>
        <v/>
      </c>
      <c r="S150" s="3" t="inlineStr">
        <is>
          <t>더원</t>
        </is>
      </c>
      <c r="T150" s="4" t="n">
        <v>1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공장/창고</t>
        </is>
      </c>
      <c r="E151" s="3" t="inlineStr">
        <is>
          <t>공장</t>
        </is>
      </c>
      <c r="F151" s="3" t="inlineStr">
        <is>
          <t>매매</t>
        </is>
      </c>
      <c r="G151" s="4" t="n">
        <v>570000</v>
      </c>
      <c r="H151" s="4" t="n">
        <v>0</v>
      </c>
      <c r="I151" s="4" t="n">
        <v>2602</v>
      </c>
      <c r="J151" s="5" t="n">
        <v>219.1</v>
      </c>
      <c r="K151" s="4" t="n">
        <v>542</v>
      </c>
      <c r="L151" s="5" t="n">
        <v>1051.7</v>
      </c>
      <c r="M151" s="3" t="inlineStr">
        <is>
          <t>1</t>
        </is>
      </c>
      <c r="N151" s="3" t="inlineStr">
        <is>
          <t>-</t>
        </is>
      </c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6">
        <f>HYPERLINK("http://www.eum.go.kr/web/ar/lu/luLandDet.jsp?pnu=3611033027101550001&amp;mode=search", "토지이음")</f>
        <v/>
      </c>
      <c r="S151" s="3" t="inlineStr">
        <is>
          <t>SK랜드</t>
        </is>
      </c>
      <c r="T151" s="4" t="n">
        <v>3</v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공장/창고</t>
        </is>
      </c>
      <c r="E152" s="3" t="inlineStr">
        <is>
          <t>공장</t>
        </is>
      </c>
      <c r="F152" s="3" t="inlineStr">
        <is>
          <t>매매</t>
        </is>
      </c>
      <c r="G152" s="4" t="n">
        <v>570000</v>
      </c>
      <c r="H152" s="4" t="n">
        <v>0</v>
      </c>
      <c r="I152" s="4" t="n">
        <v>2900</v>
      </c>
      <c r="J152" s="5" t="n">
        <v>196.6</v>
      </c>
      <c r="K152" s="4" t="n">
        <v>542</v>
      </c>
      <c r="L152" s="5" t="n">
        <v>1051.7</v>
      </c>
      <c r="M152" s="3" t="inlineStr">
        <is>
          <t>1</t>
        </is>
      </c>
      <c r="N152" s="3" t="inlineStr">
        <is>
          <t>-</t>
        </is>
      </c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6">
        <f>HYPERLINK("http://www.eum.go.kr/web/ar/lu/luLandDet.jsp?pnu=3611033027101550001&amp;mode=search", "토지이음")</f>
        <v/>
      </c>
      <c r="S152" s="3" t="inlineStr">
        <is>
          <t>미더스</t>
        </is>
      </c>
      <c r="T152" s="4" t="n">
        <v>2</v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공장/창고</t>
        </is>
      </c>
      <c r="E153" s="3" t="inlineStr">
        <is>
          <t>공장</t>
        </is>
      </c>
      <c r="F153" s="3" t="inlineStr">
        <is>
          <t>월세</t>
        </is>
      </c>
      <c r="G153" s="4" t="n">
        <v>15000</v>
      </c>
      <c r="H153" s="4" t="n">
        <v>0</v>
      </c>
      <c r="I153" s="4" t="n">
        <v>2894</v>
      </c>
      <c r="J153" s="5" t="n">
        <v>0</v>
      </c>
      <c r="K153" s="4" t="n">
        <v>542</v>
      </c>
      <c r="L153" s="5" t="n">
        <v>0</v>
      </c>
      <c r="M153" s="3" t="inlineStr">
        <is>
          <t>1</t>
        </is>
      </c>
      <c r="N153" s="3" t="inlineStr">
        <is>
          <t>-</t>
        </is>
      </c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6">
        <f>HYPERLINK("http://www.eum.go.kr/web/ar/lu/luLandDet.jsp?pnu=3611033027101550001&amp;mode=search", "토지이음")</f>
        <v/>
      </c>
      <c r="S153" s="3" t="inlineStr">
        <is>
          <t>(주)미르</t>
        </is>
      </c>
      <c r="T153" s="4" t="n">
        <v>1</v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공장/창고</t>
        </is>
      </c>
      <c r="E154" s="3" t="inlineStr">
        <is>
          <t>공장</t>
        </is>
      </c>
      <c r="F154" s="3" t="inlineStr">
        <is>
          <t>월세</t>
        </is>
      </c>
      <c r="G154" s="4" t="n">
        <v>15000</v>
      </c>
      <c r="H154" s="4" t="n">
        <v>0</v>
      </c>
      <c r="I154" s="4" t="n">
        <v>2602</v>
      </c>
      <c r="J154" s="5" t="n">
        <v>0</v>
      </c>
      <c r="K154" s="4" t="n">
        <v>542</v>
      </c>
      <c r="L154" s="5" t="n">
        <v>0</v>
      </c>
      <c r="M154" s="3" t="inlineStr">
        <is>
          <t>2</t>
        </is>
      </c>
      <c r="N154" s="3" t="inlineStr">
        <is>
          <t>-</t>
        </is>
      </c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6">
        <f>HYPERLINK("http://www.eum.go.kr/web/ar/lu/luLandDet.jsp?pnu=3611033027101550001&amp;mode=search", "토지이음")</f>
        <v/>
      </c>
      <c r="S154" s="3" t="inlineStr">
        <is>
          <t>불당대원</t>
        </is>
      </c>
      <c r="T154" s="4" t="n">
        <v>1</v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공장/창고</t>
        </is>
      </c>
      <c r="E155" s="3" t="inlineStr">
        <is>
          <t>공장</t>
        </is>
      </c>
      <c r="F155" s="3" t="inlineStr">
        <is>
          <t>월세</t>
        </is>
      </c>
      <c r="G155" s="4" t="n">
        <v>15000</v>
      </c>
      <c r="H155" s="4" t="n">
        <v>0</v>
      </c>
      <c r="I155" s="4" t="n">
        <v>2602</v>
      </c>
      <c r="J155" s="5" t="n">
        <v>0</v>
      </c>
      <c r="K155" s="4" t="n">
        <v>542</v>
      </c>
      <c r="L155" s="5" t="n">
        <v>0</v>
      </c>
      <c r="M155" s="3" t="inlineStr">
        <is>
          <t>2</t>
        </is>
      </c>
      <c r="N155" s="3" t="inlineStr">
        <is>
          <t>-</t>
        </is>
      </c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6">
        <f>HYPERLINK("http://www.eum.go.kr/web/ar/lu/luLandDet.jsp?pnu=3611033027101550001&amp;mode=search", "토지이음")</f>
        <v/>
      </c>
      <c r="S155" s="3" t="inlineStr">
        <is>
          <t>금화랜드</t>
        </is>
      </c>
      <c r="T155" s="4" t="n">
        <v>1</v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공장/창고</t>
        </is>
      </c>
      <c r="E156" s="3" t="inlineStr">
        <is>
          <t>공장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780</v>
      </c>
      <c r="J156" s="5" t="n">
        <v>256.4</v>
      </c>
      <c r="K156" s="4" t="n">
        <v>83</v>
      </c>
      <c r="L156" s="5" t="n">
        <v>2409.6</v>
      </c>
      <c r="M156" s="3" t="inlineStr">
        <is>
          <t>2</t>
        </is>
      </c>
      <c r="N156" s="3" t="inlineStr">
        <is>
          <t>B2</t>
        </is>
      </c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6">
        <f>HYPERLINK("http://www.eum.go.kr/web/ar/lu/luLandDet.jsp?pnu=3611033026103500009&amp;mode=search", "토지이음")</f>
        <v/>
      </c>
      <c r="S156" s="3" t="inlineStr">
        <is>
          <t>우리래미안</t>
        </is>
      </c>
      <c r="T156" s="4" t="n">
        <v>1</v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공장/창고</t>
        </is>
      </c>
      <c r="E157" s="3" t="inlineStr">
        <is>
          <t>공장</t>
        </is>
      </c>
      <c r="F157" s="3" t="inlineStr">
        <is>
          <t>매매</t>
        </is>
      </c>
      <c r="G157" s="4" t="n">
        <v>750000</v>
      </c>
      <c r="H157" s="4" t="n">
        <v>0</v>
      </c>
      <c r="I157" s="4" t="n">
        <v>1861</v>
      </c>
      <c r="J157" s="5" t="n">
        <v>403</v>
      </c>
      <c r="K157" s="4" t="n">
        <v>697</v>
      </c>
      <c r="L157" s="5" t="n">
        <v>1076</v>
      </c>
      <c r="M157" s="3" t="inlineStr">
        <is>
          <t>2</t>
        </is>
      </c>
      <c r="N157" s="3" t="inlineStr">
        <is>
          <t>-</t>
        </is>
      </c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6">
        <f>HYPERLINK("http://www.eum.go.kr/web/ar/lu/luLandDet.jsp?pnu=3611033025101280003&amp;mode=search", "토지이음")</f>
        <v/>
      </c>
      <c r="S157" s="3" t="inlineStr">
        <is>
          <t>금화랜드</t>
        </is>
      </c>
      <c r="T157" s="4" t="n">
        <v>1</v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공장/창고</t>
        </is>
      </c>
      <c r="E158" s="3" t="inlineStr">
        <is>
          <t>창고</t>
        </is>
      </c>
      <c r="F158" s="3" t="inlineStr">
        <is>
          <t>매매</t>
        </is>
      </c>
      <c r="G158" s="4" t="n">
        <v>750000</v>
      </c>
      <c r="H158" s="4" t="n">
        <v>0</v>
      </c>
      <c r="I158" s="4" t="n">
        <v>1861</v>
      </c>
      <c r="J158" s="5" t="n">
        <v>403</v>
      </c>
      <c r="K158" s="4" t="n">
        <v>426</v>
      </c>
      <c r="L158" s="5" t="n">
        <v>1760.6</v>
      </c>
      <c r="M158" s="3" t="inlineStr">
        <is>
          <t>2</t>
        </is>
      </c>
      <c r="N158" s="3" t="inlineStr">
        <is>
          <t>-</t>
        </is>
      </c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6">
        <f>HYPERLINK("http://www.eum.go.kr/web/ar/lu/luLandDet.jsp?pnu=3611033025101400000&amp;mode=search", "토지이음")</f>
        <v/>
      </c>
      <c r="S158" s="3" t="inlineStr">
        <is>
          <t>다온</t>
        </is>
      </c>
      <c r="T158" s="4" t="n">
        <v>1</v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공장/창고</t>
        </is>
      </c>
      <c r="E159" s="3" t="inlineStr">
        <is>
          <t>창고</t>
        </is>
      </c>
      <c r="F159" s="3" t="inlineStr">
        <is>
          <t>매매</t>
        </is>
      </c>
      <c r="G159" s="4" t="n">
        <v>750000</v>
      </c>
      <c r="H159" s="4" t="n">
        <v>0</v>
      </c>
      <c r="I159" s="4" t="n">
        <v>1861</v>
      </c>
      <c r="J159" s="5" t="n">
        <v>403</v>
      </c>
      <c r="K159" s="4" t="n">
        <v>697</v>
      </c>
      <c r="L159" s="5" t="n">
        <v>1076</v>
      </c>
      <c r="M159" s="3" t="inlineStr">
        <is>
          <t>1</t>
        </is>
      </c>
      <c r="N159" s="3" t="inlineStr">
        <is>
          <t>B1</t>
        </is>
      </c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6">
        <f>HYPERLINK("http://www.eum.go.kr/web/ar/lu/luLandDet.jsp?pnu=3611033025101400000&amp;mode=search", "토지이음")</f>
        <v/>
      </c>
      <c r="S159" s="3" t="inlineStr">
        <is>
          <t>라이프</t>
        </is>
      </c>
      <c r="T159" s="4" t="n">
        <v>1</v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공장/창고</t>
        </is>
      </c>
      <c r="E160" s="3" t="inlineStr">
        <is>
          <t>창고</t>
        </is>
      </c>
      <c r="F160" s="3" t="inlineStr">
        <is>
          <t>매매</t>
        </is>
      </c>
      <c r="G160" s="4" t="n">
        <v>750000</v>
      </c>
      <c r="H160" s="4" t="n">
        <v>0</v>
      </c>
      <c r="I160" s="4" t="n">
        <v>1861</v>
      </c>
      <c r="J160" s="5" t="n">
        <v>403</v>
      </c>
      <c r="K160" s="4" t="n">
        <v>697</v>
      </c>
      <c r="L160" s="5" t="n">
        <v>1076</v>
      </c>
      <c r="M160" s="3" t="inlineStr">
        <is>
          <t>1</t>
        </is>
      </c>
      <c r="N160" s="3" t="inlineStr">
        <is>
          <t>-</t>
        </is>
      </c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6">
        <f>HYPERLINK("http://www.eum.go.kr/web/ar/lu/luLandDet.jsp?pnu=3611033025101400000&amp;mode=search", "토지이음")</f>
        <v/>
      </c>
      <c r="S160" s="3" t="inlineStr">
        <is>
          <t>(주)미르</t>
        </is>
      </c>
      <c r="T160" s="4" t="n">
        <v>3</v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공장/창고</t>
        </is>
      </c>
      <c r="E161" s="3" t="inlineStr">
        <is>
          <t>공장</t>
        </is>
      </c>
      <c r="F161" s="3" t="inlineStr">
        <is>
          <t>매매</t>
        </is>
      </c>
      <c r="G161" s="4" t="n">
        <v>750000</v>
      </c>
      <c r="H161" s="4" t="n">
        <v>0</v>
      </c>
      <c r="I161" s="4" t="n">
        <v>1498</v>
      </c>
      <c r="J161" s="5" t="n">
        <v>500.7</v>
      </c>
      <c r="K161" s="4" t="n">
        <v>467</v>
      </c>
      <c r="L161" s="5" t="n">
        <v>1606</v>
      </c>
      <c r="M161" s="3" t="inlineStr">
        <is>
          <t>2</t>
        </is>
      </c>
      <c r="N161" s="3" t="inlineStr">
        <is>
          <t>B1</t>
        </is>
      </c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6">
        <f>HYPERLINK("http://www.eum.go.kr/web/ar/lu/luLandDet.jsp?pnu=3611033025101540002&amp;mode=search", "토지이음")</f>
        <v/>
      </c>
      <c r="S161" s="3" t="inlineStr">
        <is>
          <t>(주)미르</t>
        </is>
      </c>
      <c r="T161" s="4" t="n">
        <v>1</v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공장/창고</t>
        </is>
      </c>
      <c r="E162" s="3" t="inlineStr">
        <is>
          <t>공장</t>
        </is>
      </c>
      <c r="F162" s="3" t="inlineStr">
        <is>
          <t>매매</t>
        </is>
      </c>
      <c r="G162" s="4" t="n">
        <v>400000</v>
      </c>
      <c r="H162" s="4" t="n">
        <v>0</v>
      </c>
      <c r="I162" s="4" t="n">
        <v>1614</v>
      </c>
      <c r="J162" s="5" t="n">
        <v>247.8</v>
      </c>
      <c r="K162" s="4" t="n">
        <v>229</v>
      </c>
      <c r="L162" s="5" t="n">
        <v>1746.7</v>
      </c>
      <c r="M162" s="3" t="inlineStr">
        <is>
          <t>1</t>
        </is>
      </c>
      <c r="N162" s="3" t="inlineStr">
        <is>
          <t>-</t>
        </is>
      </c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6">
        <f>HYPERLINK("http://www.eum.go.kr/web/ar/lu/luLandDet.jsp?pnu=3611033025104630027&amp;mode=search", "토지이음")</f>
        <v/>
      </c>
      <c r="S162" s="3" t="inlineStr">
        <is>
          <t>한화타운</t>
        </is>
      </c>
      <c r="T162" s="4" t="n">
        <v>1</v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공장/창고</t>
        </is>
      </c>
      <c r="E163" s="3" t="inlineStr">
        <is>
          <t>공장</t>
        </is>
      </c>
      <c r="F163" s="3" t="inlineStr">
        <is>
          <t>매매</t>
        </is>
      </c>
      <c r="G163" s="4" t="n">
        <v>540000</v>
      </c>
      <c r="H163" s="4" t="n">
        <v>0</v>
      </c>
      <c r="I163" s="4" t="n">
        <v>1707</v>
      </c>
      <c r="J163" s="5" t="n">
        <v>316.3</v>
      </c>
      <c r="K163" s="4" t="n">
        <v>229</v>
      </c>
      <c r="L163" s="5" t="n">
        <v>2358.1</v>
      </c>
      <c r="M163" s="3" t="inlineStr">
        <is>
          <t>1</t>
        </is>
      </c>
      <c r="N163" s="3" t="inlineStr">
        <is>
          <t>-</t>
        </is>
      </c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6">
        <f>HYPERLINK("http://www.eum.go.kr/web/ar/lu/luLandDet.jsp?pnu=3611033025104630027&amp;mode=search", "토지이음")</f>
        <v/>
      </c>
      <c r="S163" s="3" t="inlineStr">
        <is>
          <t>(주)미르</t>
        </is>
      </c>
      <c r="T163" s="4" t="n">
        <v>1</v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공장/창고</t>
        </is>
      </c>
      <c r="E164" s="3" t="inlineStr">
        <is>
          <t>공장</t>
        </is>
      </c>
      <c r="F164" s="3" t="inlineStr">
        <is>
          <t>매매</t>
        </is>
      </c>
      <c r="G164" s="4" t="n">
        <v>410000</v>
      </c>
      <c r="H164" s="4" t="n">
        <v>0</v>
      </c>
      <c r="I164" s="4" t="n">
        <v>1668</v>
      </c>
      <c r="J164" s="5" t="n">
        <v>245.8</v>
      </c>
      <c r="K164" s="4" t="n">
        <v>299</v>
      </c>
      <c r="L164" s="5" t="n">
        <v>1371.2</v>
      </c>
      <c r="M164" s="3" t="inlineStr">
        <is>
          <t>1</t>
        </is>
      </c>
      <c r="N164" s="3" t="inlineStr">
        <is>
          <t>-</t>
        </is>
      </c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6">
        <f>HYPERLINK("http://www.eum.go.kr/web/ar/lu/luLandDet.jsp?pnu=3611033025104630032&amp;mode=search", "토지이음")</f>
        <v/>
      </c>
      <c r="S164" s="3" t="inlineStr">
        <is>
          <t>금화랜드</t>
        </is>
      </c>
      <c r="T164" s="4" t="n">
        <v>2</v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공장/창고</t>
        </is>
      </c>
      <c r="E165" s="3" t="inlineStr">
        <is>
          <t>창고</t>
        </is>
      </c>
      <c r="F165" s="3" t="inlineStr">
        <is>
          <t>매매</t>
        </is>
      </c>
      <c r="G165" s="4" t="n">
        <v>1800000</v>
      </c>
      <c r="H165" s="4" t="n">
        <v>0</v>
      </c>
      <c r="I165" s="4" t="n">
        <v>5329</v>
      </c>
      <c r="J165" s="5" t="n">
        <v>337.8</v>
      </c>
      <c r="K165" s="4" t="n">
        <v>1508</v>
      </c>
      <c r="L165" s="5" t="n">
        <v>1193.6</v>
      </c>
      <c r="M165" s="3" t="inlineStr">
        <is>
          <t>2</t>
        </is>
      </c>
      <c r="N165" s="3" t="inlineStr">
        <is>
          <t>-</t>
        </is>
      </c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6">
        <f>HYPERLINK("http://www.eum.go.kr/web/ar/lu/luLandDet.jsp?pnu=3611033025106800000&amp;mode=search", "토지이음")</f>
        <v/>
      </c>
      <c r="S165" s="3" t="inlineStr">
        <is>
          <t>(주)미르</t>
        </is>
      </c>
      <c r="T165" s="4" t="n">
        <v>1</v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공장/창고</t>
        </is>
      </c>
      <c r="E166" s="3" t="inlineStr">
        <is>
          <t>창고</t>
        </is>
      </c>
      <c r="F166" s="3" t="inlineStr">
        <is>
          <t>매매</t>
        </is>
      </c>
      <c r="G166" s="4" t="n">
        <v>1800000</v>
      </c>
      <c r="H166" s="4" t="n">
        <v>0</v>
      </c>
      <c r="I166" s="4" t="n">
        <v>5329</v>
      </c>
      <c r="J166" s="5" t="n">
        <v>337.8</v>
      </c>
      <c r="K166" s="4" t="n">
        <v>1508</v>
      </c>
      <c r="L166" s="5" t="n">
        <v>1193.6</v>
      </c>
      <c r="M166" s="3" t="inlineStr">
        <is>
          <t>2</t>
        </is>
      </c>
      <c r="N166" s="3" t="inlineStr">
        <is>
          <t>-</t>
        </is>
      </c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6">
        <f>HYPERLINK("http://www.eum.go.kr/web/ar/lu/luLandDet.jsp?pnu=3611033025106800000&amp;mode=search", "토지이음")</f>
        <v/>
      </c>
      <c r="S166" s="3" t="inlineStr">
        <is>
          <t>더원</t>
        </is>
      </c>
      <c r="T166" s="4" t="n">
        <v>1</v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공장/창고</t>
        </is>
      </c>
      <c r="E167" s="3" t="inlineStr">
        <is>
          <t>창고</t>
        </is>
      </c>
      <c r="F167" s="3" t="inlineStr">
        <is>
          <t>월세</t>
        </is>
      </c>
      <c r="G167" s="4" t="n">
        <v>1500</v>
      </c>
      <c r="H167" s="4" t="n">
        <v>140</v>
      </c>
      <c r="I167" s="4" t="n">
        <v>59</v>
      </c>
      <c r="J167" s="5" t="n">
        <v>2.4</v>
      </c>
      <c r="K167" s="4" t="n">
        <v>59</v>
      </c>
      <c r="L167" s="5" t="n">
        <v>2.4</v>
      </c>
      <c r="M167" s="3" t="inlineStr">
        <is>
          <t>1</t>
        </is>
      </c>
      <c r="N167" s="3" t="inlineStr">
        <is>
          <t>B1</t>
        </is>
      </c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6">
        <f>HYPERLINK("http://www.eum.go.kr/web/ar/lu/luLandDet.jsp?pnu=3611033025107290000&amp;mode=search", "토지이음")</f>
        <v/>
      </c>
      <c r="S167" s="3" t="inlineStr">
        <is>
          <t>세종잘하는</t>
        </is>
      </c>
      <c r="T167" s="4" t="n">
        <v>1</v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공장/창고</t>
        </is>
      </c>
      <c r="E168" s="3" t="inlineStr">
        <is>
          <t>창고</t>
        </is>
      </c>
      <c r="F168" s="3" t="inlineStr">
        <is>
          <t>월세</t>
        </is>
      </c>
      <c r="G168" s="4" t="n">
        <v>1500</v>
      </c>
      <c r="H168" s="4" t="n">
        <v>140</v>
      </c>
      <c r="I168" s="4" t="n">
        <v>756</v>
      </c>
      <c r="J168" s="5" t="n">
        <v>0.2</v>
      </c>
      <c r="K168" s="4" t="n">
        <v>59</v>
      </c>
      <c r="L168" s="5" t="n">
        <v>2.4</v>
      </c>
      <c r="M168" s="3" t="inlineStr">
        <is>
          <t>1</t>
        </is>
      </c>
      <c r="N168" s="3" t="inlineStr">
        <is>
          <t>-</t>
        </is>
      </c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6">
        <f>HYPERLINK("http://www.eum.go.kr/web/ar/lu/luLandDet.jsp?pnu=3611033025107290000&amp;mode=search", "토지이음")</f>
        <v/>
      </c>
      <c r="S168" s="3" t="inlineStr">
        <is>
          <t>창고의여왕</t>
        </is>
      </c>
      <c r="T168" s="4" t="n">
        <v>1</v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공장/창고</t>
        </is>
      </c>
      <c r="E169" s="3" t="inlineStr">
        <is>
          <t>창고</t>
        </is>
      </c>
      <c r="F169" s="3" t="inlineStr">
        <is>
          <t>월세</t>
        </is>
      </c>
      <c r="G169" s="4" t="n">
        <v>1500</v>
      </c>
      <c r="H169" s="4" t="n">
        <v>140</v>
      </c>
      <c r="I169" s="4" t="n">
        <v>756</v>
      </c>
      <c r="J169" s="5" t="n">
        <v>0.2</v>
      </c>
      <c r="K169" s="4" t="n">
        <v>59</v>
      </c>
      <c r="L169" s="5" t="n">
        <v>2.4</v>
      </c>
      <c r="M169" s="3" t="inlineStr">
        <is>
          <t>1</t>
        </is>
      </c>
      <c r="N169" s="3" t="inlineStr">
        <is>
          <t>-</t>
        </is>
      </c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6">
        <f>HYPERLINK("http://www.eum.go.kr/web/ar/lu/luLandDet.jsp?pnu=3611033025107290000&amp;mode=search", "토지이음")</f>
        <v/>
      </c>
      <c r="S169" s="3" t="inlineStr">
        <is>
          <t>세종행복한</t>
        </is>
      </c>
      <c r="T169" s="4" t="n">
        <v>1</v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공장/창고</t>
        </is>
      </c>
      <c r="E170" s="3" t="inlineStr">
        <is>
          <t>창고</t>
        </is>
      </c>
      <c r="F170" s="3" t="inlineStr">
        <is>
          <t>월세</t>
        </is>
      </c>
      <c r="G170" s="4" t="n">
        <v>1500</v>
      </c>
      <c r="H170" s="4" t="n">
        <v>140</v>
      </c>
      <c r="I170" s="4" t="n">
        <v>100</v>
      </c>
      <c r="J170" s="5" t="n">
        <v>1.4</v>
      </c>
      <c r="K170" s="4" t="n">
        <v>59</v>
      </c>
      <c r="L170" s="5" t="n">
        <v>2.4</v>
      </c>
      <c r="M170" s="3" t="inlineStr">
        <is>
          <t>1</t>
        </is>
      </c>
      <c r="N170" s="3" t="inlineStr">
        <is>
          <t>-</t>
        </is>
      </c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6">
        <f>HYPERLINK("http://www.eum.go.kr/web/ar/lu/luLandDet.jsp?pnu=3611033025107290000&amp;mode=search", "토지이음")</f>
        <v/>
      </c>
      <c r="S170" s="3" t="inlineStr">
        <is>
          <t>태광</t>
        </is>
      </c>
      <c r="T170" s="4" t="n">
        <v>1</v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공장/창고</t>
        </is>
      </c>
      <c r="E171" s="3" t="inlineStr">
        <is>
          <t>창고</t>
        </is>
      </c>
      <c r="F171" s="3" t="inlineStr">
        <is>
          <t>월세</t>
        </is>
      </c>
      <c r="G171" s="4" t="n">
        <v>2000</v>
      </c>
      <c r="H171" s="4" t="n">
        <v>140</v>
      </c>
      <c r="I171" s="4" t="n">
        <v>348</v>
      </c>
      <c r="J171" s="5" t="n">
        <v>0.4</v>
      </c>
      <c r="K171" s="4" t="n">
        <v>53</v>
      </c>
      <c r="L171" s="5" t="n">
        <v>2.6</v>
      </c>
      <c r="M171" s="3" t="inlineStr">
        <is>
          <t>1</t>
        </is>
      </c>
      <c r="N171" s="3" t="inlineStr">
        <is>
          <t>-</t>
        </is>
      </c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6">
        <f>HYPERLINK("http://www.eum.go.kr/web/ar/lu/luLandDet.jsp?pnu=3611033025107290002&amp;mode=search", "토지이음")</f>
        <v/>
      </c>
      <c r="S171" s="3" t="inlineStr">
        <is>
          <t>더원</t>
        </is>
      </c>
      <c r="T171" s="4" t="n">
        <v>1</v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공장/창고</t>
        </is>
      </c>
      <c r="E172" s="3" t="inlineStr">
        <is>
          <t>공장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1650</v>
      </c>
      <c r="J172" s="5" t="n">
        <v>127.3</v>
      </c>
      <c r="K172" s="4" t="n">
        <v>343</v>
      </c>
      <c r="L172" s="5" t="n">
        <v>612.2</v>
      </c>
      <c r="M172" s="3" t="inlineStr">
        <is>
          <t>1</t>
        </is>
      </c>
      <c r="N172" s="3" t="inlineStr">
        <is>
          <t>-</t>
        </is>
      </c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6">
        <f>HYPERLINK("http://www.eum.go.kr/web/ar/lu/luLandDet.jsp?pnu=3611033025107690001&amp;mode=search", "토지이음")</f>
        <v/>
      </c>
      <c r="S172" s="3" t="inlineStr">
        <is>
          <t>금화랜드</t>
        </is>
      </c>
      <c r="T172" s="4" t="n">
        <v>1</v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공장/창고</t>
        </is>
      </c>
      <c r="E173" s="3" t="inlineStr">
        <is>
          <t>공장</t>
        </is>
      </c>
      <c r="F173" s="3" t="inlineStr">
        <is>
          <t>매매</t>
        </is>
      </c>
      <c r="G173" s="4" t="n">
        <v>110000</v>
      </c>
      <c r="H173" s="4" t="n">
        <v>0</v>
      </c>
      <c r="I173" s="4" t="n">
        <v>397</v>
      </c>
      <c r="J173" s="5" t="n">
        <v>277.1</v>
      </c>
      <c r="K173" s="4" t="n">
        <v>135</v>
      </c>
      <c r="L173" s="5" t="n">
        <v>814.8</v>
      </c>
      <c r="M173" s="3" t="inlineStr">
        <is>
          <t>1</t>
        </is>
      </c>
      <c r="N173" s="3" t="inlineStr">
        <is>
          <t>-</t>
        </is>
      </c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6">
        <f>HYPERLINK("http://www.eum.go.kr/web/ar/lu/luLandDet.jsp?pnu=3611033025109030000&amp;mode=search", "토지이음")</f>
        <v/>
      </c>
      <c r="S173" s="3" t="inlineStr">
        <is>
          <t>대전토지로무소</t>
        </is>
      </c>
      <c r="T173" s="4" t="n">
        <v>1</v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공장/창고</t>
        </is>
      </c>
      <c r="E174" s="3" t="inlineStr">
        <is>
          <t>공장</t>
        </is>
      </c>
      <c r="F174" s="3" t="inlineStr">
        <is>
          <t>매매</t>
        </is>
      </c>
      <c r="G174" s="4" t="n">
        <v>240000</v>
      </c>
      <c r="H174" s="4" t="n">
        <v>0</v>
      </c>
      <c r="I174" s="4" t="n">
        <v>913</v>
      </c>
      <c r="J174" s="5" t="n">
        <v>262.9</v>
      </c>
      <c r="K174" s="4" t="n">
        <v>416</v>
      </c>
      <c r="L174" s="5" t="n">
        <v>576.9</v>
      </c>
      <c r="M174" s="3" t="inlineStr">
        <is>
          <t>1</t>
        </is>
      </c>
      <c r="N174" s="3" t="inlineStr">
        <is>
          <t>-</t>
        </is>
      </c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6">
        <f>HYPERLINK("http://www.eum.go.kr/web/ar/lu/luLandDet.jsp?pnu=3611033025109040004&amp;mode=search", "토지이음")</f>
        <v/>
      </c>
      <c r="S174" s="3" t="inlineStr">
        <is>
          <t>미더스</t>
        </is>
      </c>
      <c r="T174" s="4" t="n">
        <v>2</v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공장/창고</t>
        </is>
      </c>
      <c r="E175" s="3" t="inlineStr">
        <is>
          <t>공장</t>
        </is>
      </c>
      <c r="F175" s="3" t="inlineStr">
        <is>
          <t>매매</t>
        </is>
      </c>
      <c r="G175" s="4" t="n">
        <v>240000</v>
      </c>
      <c r="H175" s="4" t="n">
        <v>0</v>
      </c>
      <c r="I175" s="4" t="n">
        <v>869</v>
      </c>
      <c r="J175" s="5" t="n">
        <v>276.2</v>
      </c>
      <c r="K175" s="4" t="n">
        <v>416</v>
      </c>
      <c r="L175" s="5" t="n">
        <v>576.9</v>
      </c>
      <c r="M175" s="3" t="inlineStr">
        <is>
          <t>1</t>
        </is>
      </c>
      <c r="N175" s="3" t="inlineStr">
        <is>
          <t>-</t>
        </is>
      </c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6">
        <f>HYPERLINK("http://www.eum.go.kr/web/ar/lu/luLandDet.jsp?pnu=3611033025109040004&amp;mode=search", "토지이음")</f>
        <v/>
      </c>
      <c r="S175" s="3" t="inlineStr">
        <is>
          <t>대전토지로무소</t>
        </is>
      </c>
      <c r="T175" s="4" t="n">
        <v>1</v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공장/창고</t>
        </is>
      </c>
      <c r="E176" s="3" t="inlineStr">
        <is>
          <t>공장</t>
        </is>
      </c>
      <c r="F176" s="3" t="inlineStr">
        <is>
          <t>월세</t>
        </is>
      </c>
      <c r="G176" s="4" t="n">
        <v>2000</v>
      </c>
      <c r="H176" s="4" t="n">
        <v>245</v>
      </c>
      <c r="I176" s="4" t="n">
        <v>401</v>
      </c>
      <c r="J176" s="5" t="n">
        <v>0.6</v>
      </c>
      <c r="K176" s="4" t="n">
        <v>281</v>
      </c>
      <c r="L176" s="5" t="n">
        <v>0.9</v>
      </c>
      <c r="M176" s="3" t="inlineStr">
        <is>
          <t>2</t>
        </is>
      </c>
      <c r="N176" s="3" t="inlineStr">
        <is>
          <t>-</t>
        </is>
      </c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6">
        <f>HYPERLINK("http://www.eum.go.kr/web/ar/lu/luLandDet.jsp?pnu=3611033025109040004&amp;mode=search", "토지이음")</f>
        <v/>
      </c>
      <c r="S176" s="3" t="inlineStr">
        <is>
          <t>어반나래</t>
        </is>
      </c>
      <c r="T176" s="4" t="n">
        <v>1</v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공장/창고</t>
        </is>
      </c>
      <c r="E177" s="3" t="inlineStr">
        <is>
          <t>공장</t>
        </is>
      </c>
      <c r="F177" s="3" t="inlineStr">
        <is>
          <t>매매</t>
        </is>
      </c>
      <c r="G177" s="4" t="n">
        <v>130000</v>
      </c>
      <c r="H177" s="4" t="n">
        <v>0</v>
      </c>
      <c r="I177" s="4" t="n">
        <v>516</v>
      </c>
      <c r="J177" s="5" t="n">
        <v>251.9</v>
      </c>
      <c r="K177" s="4" t="n">
        <v>281</v>
      </c>
      <c r="L177" s="5" t="n">
        <v>462.6</v>
      </c>
      <c r="M177" s="3" t="inlineStr">
        <is>
          <t>2</t>
        </is>
      </c>
      <c r="N177" s="3" t="inlineStr">
        <is>
          <t>-</t>
        </is>
      </c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6">
        <f>HYPERLINK("http://www.eum.go.kr/web/ar/lu/luLandDet.jsp?pnu=3611033025109040004&amp;mode=search", "토지이음")</f>
        <v/>
      </c>
      <c r="S177" s="3" t="inlineStr">
        <is>
          <t>대전토지로무소</t>
        </is>
      </c>
      <c r="T177" s="4" t="n">
        <v>1</v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공장/창고</t>
        </is>
      </c>
      <c r="E178" s="3" t="inlineStr">
        <is>
          <t>공장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166</v>
      </c>
      <c r="J178" s="5" t="n">
        <v>614.5</v>
      </c>
      <c r="K178" s="4" t="n">
        <v>74</v>
      </c>
      <c r="L178" s="5" t="n">
        <v>1378.4</v>
      </c>
      <c r="M178" s="3" t="inlineStr">
        <is>
          <t>1</t>
        </is>
      </c>
      <c r="N178" s="3" t="inlineStr">
        <is>
          <t>-</t>
        </is>
      </c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6">
        <f>HYPERLINK("http://www.eum.go.kr/web/ar/lu/luLandDet.jsp?pnu=3611033021103770011&amp;mode=search", "토지이음")</f>
        <v/>
      </c>
      <c r="S178" s="3" t="inlineStr">
        <is>
          <t>대성오투그란데</t>
        </is>
      </c>
      <c r="T178" s="4" t="n">
        <v>1</v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공장/창고</t>
        </is>
      </c>
      <c r="E179" s="3" t="inlineStr">
        <is>
          <t>창고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166</v>
      </c>
      <c r="J179" s="5" t="n">
        <v>614.5</v>
      </c>
      <c r="K179" s="4" t="n">
        <v>74</v>
      </c>
      <c r="L179" s="5" t="n">
        <v>1378.4</v>
      </c>
      <c r="M179" s="3" t="inlineStr">
        <is>
          <t>1</t>
        </is>
      </c>
      <c r="N179" s="3" t="inlineStr">
        <is>
          <t>-</t>
        </is>
      </c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6">
        <f>HYPERLINK("http://www.eum.go.kr/web/ar/lu/luLandDet.jsp?pnu=3611033021103770011&amp;mode=search", "토지이음")</f>
        <v/>
      </c>
      <c r="S179" s="3" t="inlineStr">
        <is>
          <t>비전</t>
        </is>
      </c>
      <c r="T179" s="4" t="n">
        <v>1</v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공장/창고</t>
        </is>
      </c>
      <c r="E180" s="3" t="inlineStr">
        <is>
          <t>공장</t>
        </is>
      </c>
      <c r="F180" s="3" t="inlineStr">
        <is>
          <t>월세</t>
        </is>
      </c>
      <c r="G180" s="4" t="n">
        <v>5000</v>
      </c>
      <c r="H180" s="4" t="n">
        <v>500</v>
      </c>
      <c r="I180" s="4" t="n">
        <v>1762</v>
      </c>
      <c r="J180" s="5" t="n">
        <v>0.3</v>
      </c>
      <c r="K180" s="4" t="n">
        <v>240</v>
      </c>
      <c r="L180" s="5" t="n">
        <v>2.1</v>
      </c>
      <c r="M180" s="3" t="inlineStr">
        <is>
          <t>1</t>
        </is>
      </c>
      <c r="N180" s="3" t="inlineStr">
        <is>
          <t>-</t>
        </is>
      </c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6">
        <f>HYPERLINK("http://www.eum.go.kr/web/ar/lu/luLandDet.jsp?pnu=3611033023101050001&amp;mode=search", "토지이음")</f>
        <v/>
      </c>
      <c r="S180" s="3" t="inlineStr">
        <is>
          <t>더원</t>
        </is>
      </c>
      <c r="T180" s="4" t="n">
        <v>1</v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공장/창고</t>
        </is>
      </c>
      <c r="E181" s="3" t="inlineStr">
        <is>
          <t>창고</t>
        </is>
      </c>
      <c r="F181" s="3" t="inlineStr">
        <is>
          <t>월세</t>
        </is>
      </c>
      <c r="G181" s="4" t="n">
        <v>4000</v>
      </c>
      <c r="H181" s="4" t="n">
        <v>440</v>
      </c>
      <c r="I181" s="4" t="n">
        <v>6477</v>
      </c>
      <c r="J181" s="5" t="n">
        <v>0.1</v>
      </c>
      <c r="K181" s="4" t="n">
        <v>222</v>
      </c>
      <c r="L181" s="5" t="n">
        <v>2</v>
      </c>
      <c r="M181" s="3" t="inlineStr">
        <is>
          <t>1</t>
        </is>
      </c>
      <c r="N181" s="3" t="inlineStr">
        <is>
          <t>-</t>
        </is>
      </c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6">
        <f>HYPERLINK("http://www.eum.go.kr/web/ar/lu/luLandDet.jsp?pnu=3611033023101050003&amp;mode=search", "토지이음")</f>
        <v/>
      </c>
      <c r="S181" s="3" t="inlineStr">
        <is>
          <t>태광</t>
        </is>
      </c>
      <c r="T181" s="4" t="n">
        <v>1</v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공장/창고</t>
        </is>
      </c>
      <c r="E182" s="3" t="inlineStr">
        <is>
          <t>창고</t>
        </is>
      </c>
      <c r="F182" s="3" t="inlineStr">
        <is>
          <t>월세</t>
        </is>
      </c>
      <c r="G182" s="4" t="n">
        <v>10000</v>
      </c>
      <c r="H182" s="4" t="n">
        <v>850</v>
      </c>
      <c r="I182" s="4" t="n">
        <v>6477</v>
      </c>
      <c r="J182" s="5" t="n">
        <v>0.1</v>
      </c>
      <c r="K182" s="4" t="n">
        <v>230</v>
      </c>
      <c r="L182" s="5" t="n">
        <v>3.7</v>
      </c>
      <c r="M182" s="3" t="inlineStr">
        <is>
          <t>1</t>
        </is>
      </c>
      <c r="N182" s="3" t="inlineStr">
        <is>
          <t>-</t>
        </is>
      </c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6">
        <f>HYPERLINK("http://www.eum.go.kr/web/ar/lu/luLandDet.jsp?pnu=3611033023101050003&amp;mode=search", "토지이음")</f>
        <v/>
      </c>
      <c r="S182" s="3" t="inlineStr">
        <is>
          <t>태광</t>
        </is>
      </c>
      <c r="T182" s="4" t="n">
        <v>1</v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공장/창고</t>
        </is>
      </c>
      <c r="E183" s="3" t="inlineStr">
        <is>
          <t>공장</t>
        </is>
      </c>
      <c r="F183" s="3" t="inlineStr">
        <is>
          <t>월세</t>
        </is>
      </c>
      <c r="G183" s="4" t="n">
        <v>10000</v>
      </c>
      <c r="H183" s="4" t="n">
        <v>0</v>
      </c>
      <c r="I183" s="4" t="n">
        <v>6477</v>
      </c>
      <c r="J183" s="5" t="n">
        <v>0</v>
      </c>
      <c r="K183" s="4" t="n">
        <v>290</v>
      </c>
      <c r="L183" s="5" t="n">
        <v>0</v>
      </c>
      <c r="M183" s="3" t="inlineStr">
        <is>
          <t>1</t>
        </is>
      </c>
      <c r="N183" s="3" t="inlineStr">
        <is>
          <t>-</t>
        </is>
      </c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6">
        <f>HYPERLINK("http://www.eum.go.kr/web/ar/lu/luLandDet.jsp?pnu=3611033023101050003&amp;mode=search", "토지이음")</f>
        <v/>
      </c>
      <c r="S183" s="3" t="inlineStr">
        <is>
          <t>더원</t>
        </is>
      </c>
      <c r="T183" s="4" t="n">
        <v>1</v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공장/창고</t>
        </is>
      </c>
      <c r="E184" s="3" t="inlineStr">
        <is>
          <t>공장</t>
        </is>
      </c>
      <c r="F184" s="3" t="inlineStr">
        <is>
          <t>월세</t>
        </is>
      </c>
      <c r="G184" s="4" t="n">
        <v>7000</v>
      </c>
      <c r="H184" s="4" t="n">
        <v>700</v>
      </c>
      <c r="I184" s="4" t="n">
        <v>1937</v>
      </c>
      <c r="J184" s="5" t="n">
        <v>0.4</v>
      </c>
      <c r="K184" s="4" t="n">
        <v>297</v>
      </c>
      <c r="L184" s="5" t="n">
        <v>2.4</v>
      </c>
      <c r="M184" s="3" t="inlineStr">
        <is>
          <t>1</t>
        </is>
      </c>
      <c r="N184" s="3" t="inlineStr">
        <is>
          <t>-</t>
        </is>
      </c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6">
        <f>HYPERLINK("http://www.eum.go.kr/web/ar/lu/luLandDet.jsp?pnu=3611033022101500001&amp;mode=search", "토지이음")</f>
        <v/>
      </c>
      <c r="S184" s="3" t="inlineStr">
        <is>
          <t>제이</t>
        </is>
      </c>
      <c r="T184" s="4" t="n">
        <v>1</v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공장/창고</t>
        </is>
      </c>
      <c r="E185" s="3" t="inlineStr">
        <is>
          <t>창고</t>
        </is>
      </c>
      <c r="F185" s="3" t="inlineStr">
        <is>
          <t>월세</t>
        </is>
      </c>
      <c r="G185" s="4" t="n">
        <v>2000</v>
      </c>
      <c r="H185" s="4" t="n">
        <v>150</v>
      </c>
      <c r="I185" s="4" t="n">
        <v>829</v>
      </c>
      <c r="J185" s="5" t="n">
        <v>0.2</v>
      </c>
      <c r="K185" s="4" t="n">
        <v>58</v>
      </c>
      <c r="L185" s="5" t="n">
        <v>2.6</v>
      </c>
      <c r="M185" s="3" t="inlineStr">
        <is>
          <t>1</t>
        </is>
      </c>
      <c r="N185" s="3" t="inlineStr">
        <is>
          <t>-</t>
        </is>
      </c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6">
        <f>HYPERLINK("http://www.eum.go.kr/web/ar/lu/luLandDet.jsp?pnu=3611033022101540001&amp;mode=search", "토지이음")</f>
        <v/>
      </c>
      <c r="S185" s="3" t="inlineStr">
        <is>
          <t>세종행복한</t>
        </is>
      </c>
      <c r="T185" s="4" t="n">
        <v>1</v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공장/창고</t>
        </is>
      </c>
      <c r="E186" s="3" t="inlineStr">
        <is>
          <t>창고</t>
        </is>
      </c>
      <c r="F186" s="3" t="inlineStr">
        <is>
          <t>월세</t>
        </is>
      </c>
      <c r="G186" s="4" t="n">
        <v>2000</v>
      </c>
      <c r="H186" s="4" t="n">
        <v>150</v>
      </c>
      <c r="I186" s="4" t="n">
        <v>829</v>
      </c>
      <c r="J186" s="5" t="n">
        <v>0.2</v>
      </c>
      <c r="K186" s="4" t="n">
        <v>58</v>
      </c>
      <c r="L186" s="5" t="n">
        <v>2.6</v>
      </c>
      <c r="M186" s="3" t="inlineStr">
        <is>
          <t>1</t>
        </is>
      </c>
      <c r="N186" s="3" t="inlineStr">
        <is>
          <t>-</t>
        </is>
      </c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6">
        <f>HYPERLINK("http://www.eum.go.kr/web/ar/lu/luLandDet.jsp?pnu=3611033022101540001&amp;mode=search", "토지이음")</f>
        <v/>
      </c>
      <c r="S186" s="3" t="inlineStr">
        <is>
          <t>더원</t>
        </is>
      </c>
      <c r="T186" s="4" t="n">
        <v>1</v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공장/창고</t>
        </is>
      </c>
      <c r="E187" s="3" t="inlineStr">
        <is>
          <t>공장</t>
        </is>
      </c>
      <c r="F187" s="3" t="inlineStr">
        <is>
          <t>월세</t>
        </is>
      </c>
      <c r="G187" s="4" t="n">
        <v>5000</v>
      </c>
      <c r="H187" s="4" t="n">
        <v>550</v>
      </c>
      <c r="I187" s="4" t="n">
        <v>6150</v>
      </c>
      <c r="J187" s="5" t="n">
        <v>0.1</v>
      </c>
      <c r="K187" s="4" t="n">
        <v>245</v>
      </c>
      <c r="L187" s="5" t="n">
        <v>2.2</v>
      </c>
      <c r="M187" s="3" t="inlineStr">
        <is>
          <t>1</t>
        </is>
      </c>
      <c r="N187" s="3" t="inlineStr">
        <is>
          <t>-</t>
        </is>
      </c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6">
        <f>HYPERLINK("http://www.eum.go.kr/web/ar/lu/luLandDet.jsp?pnu=3611033022103350001&amp;mode=search", "토지이음")</f>
        <v/>
      </c>
      <c r="S187" s="3" t="inlineStr">
        <is>
          <t>대박</t>
        </is>
      </c>
      <c r="T187" s="4" t="n">
        <v>2</v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공장/창고</t>
        </is>
      </c>
      <c r="E188" s="3" t="inlineStr">
        <is>
          <t>공장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247</v>
      </c>
      <c r="J188" s="5" t="n">
        <v>485.8</v>
      </c>
      <c r="K188" s="4" t="n">
        <v>109</v>
      </c>
      <c r="L188" s="5" t="n">
        <v>1100.9</v>
      </c>
      <c r="M188" s="3" t="inlineStr">
        <is>
          <t>2</t>
        </is>
      </c>
      <c r="N188" s="3" t="inlineStr">
        <is>
          <t>-</t>
        </is>
      </c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6">
        <f>HYPERLINK("http://www.eum.go.kr/web/ar/lu/luLandDet.jsp?pnu=3611033022103710000&amp;mode=search", "토지이음")</f>
        <v/>
      </c>
      <c r="S188" s="3" t="inlineStr">
        <is>
          <t>공장네트웍스</t>
        </is>
      </c>
      <c r="T188" s="4" t="n">
        <v>2</v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공장/창고</t>
        </is>
      </c>
      <c r="E189" s="3" t="inlineStr">
        <is>
          <t>공장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247</v>
      </c>
      <c r="J189" s="5" t="n">
        <v>485.8</v>
      </c>
      <c r="K189" s="4" t="n">
        <v>132</v>
      </c>
      <c r="L189" s="5" t="n">
        <v>909.1</v>
      </c>
      <c r="M189" s="3" t="inlineStr">
        <is>
          <t>2</t>
        </is>
      </c>
      <c r="N189" s="3" t="inlineStr">
        <is>
          <t>-</t>
        </is>
      </c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6">
        <f>HYPERLINK("http://www.eum.go.kr/web/ar/lu/luLandDet.jsp?pnu=3611033022103710000&amp;mode=search", "토지이음")</f>
        <v/>
      </c>
      <c r="S189" s="3" t="inlineStr">
        <is>
          <t>돈방석</t>
        </is>
      </c>
      <c r="T189" s="4" t="n">
        <v>2</v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공장/창고</t>
        </is>
      </c>
      <c r="E190" s="3" t="inlineStr">
        <is>
          <t>공장</t>
        </is>
      </c>
      <c r="F190" s="3" t="inlineStr">
        <is>
          <t>월세</t>
        </is>
      </c>
      <c r="G190" s="4" t="n">
        <v>9000</v>
      </c>
      <c r="H190" s="4" t="n">
        <v>900</v>
      </c>
      <c r="I190" s="4" t="n">
        <v>2556</v>
      </c>
      <c r="J190" s="5" t="n">
        <v>0.4</v>
      </c>
      <c r="K190" s="4" t="n">
        <v>1282</v>
      </c>
      <c r="L190" s="5" t="n">
        <v>0.7</v>
      </c>
      <c r="M190" s="3" t="inlineStr">
        <is>
          <t>1</t>
        </is>
      </c>
      <c r="N190" s="3" t="inlineStr">
        <is>
          <t>-</t>
        </is>
      </c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6">
        <f>HYPERLINK("http://www.eum.go.kr/web/ar/lu/luLandDet.jsp?pnu=3611032021101670003&amp;mode=search", "토지이음")</f>
        <v/>
      </c>
      <c r="S190" s="3" t="inlineStr">
        <is>
          <t>대박</t>
        </is>
      </c>
      <c r="T190" s="4" t="n">
        <v>1</v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공장/창고</t>
        </is>
      </c>
      <c r="E191" s="3" t="inlineStr">
        <is>
          <t>공장</t>
        </is>
      </c>
      <c r="F191" s="3" t="inlineStr">
        <is>
          <t>월세</t>
        </is>
      </c>
      <c r="G191" s="4" t="n">
        <v>25000</v>
      </c>
      <c r="H191" s="4" t="n">
        <v>0</v>
      </c>
      <c r="I191" s="4" t="n">
        <v>2955</v>
      </c>
      <c r="J191" s="5" t="n">
        <v>0</v>
      </c>
      <c r="K191" s="4" t="n">
        <v>1310</v>
      </c>
      <c r="L191" s="5" t="n">
        <v>0</v>
      </c>
      <c r="M191" s="3" t="inlineStr">
        <is>
          <t>2</t>
        </is>
      </c>
      <c r="N191" s="3" t="inlineStr">
        <is>
          <t>-</t>
        </is>
      </c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6">
        <f>HYPERLINK("http://www.eum.go.kr/web/ar/lu/luLandDet.jsp?pnu=3611032021101670003&amp;mode=search", "토지이음")</f>
        <v/>
      </c>
      <c r="S191" s="3" t="inlineStr">
        <is>
          <t>금화랜드</t>
        </is>
      </c>
      <c r="T191" s="4" t="n">
        <v>1</v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공장/창고</t>
        </is>
      </c>
      <c r="E192" s="3" t="inlineStr">
        <is>
          <t>창고</t>
        </is>
      </c>
      <c r="F192" s="3" t="inlineStr">
        <is>
          <t>월세</t>
        </is>
      </c>
      <c r="G192" s="4" t="n">
        <v>5000</v>
      </c>
      <c r="H192" s="4" t="n">
        <v>350</v>
      </c>
      <c r="I192" s="4" t="n">
        <v>855</v>
      </c>
      <c r="J192" s="5" t="n">
        <v>0.4</v>
      </c>
      <c r="K192" s="4" t="n">
        <v>200</v>
      </c>
      <c r="L192" s="5" t="n">
        <v>1.8</v>
      </c>
      <c r="M192" s="3" t="inlineStr">
        <is>
          <t>1</t>
        </is>
      </c>
      <c r="N192" s="3" t="inlineStr">
        <is>
          <t>-</t>
        </is>
      </c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6">
        <f>HYPERLINK("http://www.eum.go.kr/web/ar/lu/luLandDet.jsp?pnu=3611032021101870002&amp;mode=search", "토지이음")</f>
        <v/>
      </c>
      <c r="S192" s="3" t="inlineStr">
        <is>
          <t>창고의여왕</t>
        </is>
      </c>
      <c r="T192" s="4" t="n">
        <v>1</v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공장/창고</t>
        </is>
      </c>
      <c r="E193" s="3" t="inlineStr">
        <is>
          <t>공장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909</v>
      </c>
      <c r="J193" s="5" t="n">
        <v>440</v>
      </c>
      <c r="K193" s="4" t="n">
        <v>402</v>
      </c>
      <c r="L193" s="5" t="n">
        <v>995</v>
      </c>
      <c r="M193" s="3" t="inlineStr">
        <is>
          <t>2</t>
        </is>
      </c>
      <c r="N193" s="3" t="inlineStr">
        <is>
          <t>-</t>
        </is>
      </c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6">
        <f>HYPERLINK("http://www.eum.go.kr/web/ar/lu/luLandDet.jsp?pnu=3611032021106020000&amp;mode=search", "토지이음")</f>
        <v/>
      </c>
      <c r="S193" s="3" t="inlineStr">
        <is>
          <t>청담</t>
        </is>
      </c>
      <c r="T193" s="4" t="n">
        <v>1</v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공장/창고</t>
        </is>
      </c>
      <c r="E194" s="3" t="inlineStr">
        <is>
          <t>공장</t>
        </is>
      </c>
      <c r="F194" s="3" t="inlineStr">
        <is>
          <t>매매</t>
        </is>
      </c>
      <c r="G194" s="4" t="n">
        <v>640000</v>
      </c>
      <c r="H194" s="4" t="n">
        <v>0</v>
      </c>
      <c r="I194" s="4" t="n">
        <v>1365</v>
      </c>
      <c r="J194" s="5" t="n">
        <v>468.9</v>
      </c>
      <c r="K194" s="4" t="n">
        <v>299</v>
      </c>
      <c r="L194" s="5" t="n">
        <v>2140.5</v>
      </c>
      <c r="M194" s="3" t="inlineStr">
        <is>
          <t>2</t>
        </is>
      </c>
      <c r="N194" s="3" t="inlineStr">
        <is>
          <t>-</t>
        </is>
      </c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6">
        <f>HYPERLINK("http://www.eum.go.kr/web/ar/lu/luLandDet.jsp?pnu=3611032021107110000&amp;mode=search", "토지이음")</f>
        <v/>
      </c>
      <c r="S194" s="3" t="inlineStr">
        <is>
          <t>청담</t>
        </is>
      </c>
      <c r="T194" s="4" t="n">
        <v>1</v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공장/창고</t>
        </is>
      </c>
      <c r="E195" s="3" t="inlineStr">
        <is>
          <t>공장</t>
        </is>
      </c>
      <c r="F195" s="3" t="inlineStr">
        <is>
          <t>매매</t>
        </is>
      </c>
      <c r="G195" s="4" t="n">
        <v>3500000</v>
      </c>
      <c r="H195" s="4" t="n">
        <v>0</v>
      </c>
      <c r="I195" s="4" t="n">
        <v>6471</v>
      </c>
      <c r="J195" s="5" t="n">
        <v>540.9</v>
      </c>
      <c r="K195" s="4" t="n">
        <v>3366</v>
      </c>
      <c r="L195" s="5" t="n">
        <v>1039.8</v>
      </c>
      <c r="M195" s="3" t="inlineStr">
        <is>
          <t>3</t>
        </is>
      </c>
      <c r="N195" s="3" t="inlineStr">
        <is>
          <t>-</t>
        </is>
      </c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6">
        <f>HYPERLINK("http://www.eum.go.kr/web/ar/lu/luLandDet.jsp?pnu=3611032023109640000&amp;mode=search", "토지이음")</f>
        <v/>
      </c>
      <c r="S195" s="3" t="inlineStr">
        <is>
          <t>명당</t>
        </is>
      </c>
      <c r="T195" s="4" t="n">
        <v>1</v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공장/창고</t>
        </is>
      </c>
      <c r="E196" s="3" t="inlineStr">
        <is>
          <t>공장</t>
        </is>
      </c>
      <c r="F196" s="3" t="inlineStr">
        <is>
          <t>매매</t>
        </is>
      </c>
      <c r="G196" s="4" t="n">
        <v>3500000</v>
      </c>
      <c r="H196" s="4" t="n">
        <v>0</v>
      </c>
      <c r="I196" s="4" t="n">
        <v>6471</v>
      </c>
      <c r="J196" s="5" t="n">
        <v>540.9</v>
      </c>
      <c r="K196" s="4" t="n">
        <v>3366</v>
      </c>
      <c r="L196" s="5" t="n">
        <v>1039.8</v>
      </c>
      <c r="M196" s="3" t="inlineStr">
        <is>
          <t>3</t>
        </is>
      </c>
      <c r="N196" s="3" t="inlineStr">
        <is>
          <t>-</t>
        </is>
      </c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6">
        <f>HYPERLINK("http://www.eum.go.kr/web/ar/lu/luLandDet.jsp?pnu=3611032023109640000&amp;mode=search", "토지이음")</f>
        <v/>
      </c>
      <c r="S196" s="3" t="inlineStr">
        <is>
          <t>(주)미르</t>
        </is>
      </c>
      <c r="T196" s="4" t="n">
        <v>2</v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공장/창고</t>
        </is>
      </c>
      <c r="E197" s="3" t="inlineStr">
        <is>
          <t>공장</t>
        </is>
      </c>
      <c r="F197" s="3" t="inlineStr">
        <is>
          <t>매매</t>
        </is>
      </c>
      <c r="G197" s="4" t="n">
        <v>1600000</v>
      </c>
      <c r="H197" s="4" t="n">
        <v>0</v>
      </c>
      <c r="I197" s="4" t="n">
        <v>7490</v>
      </c>
      <c r="J197" s="5" t="n">
        <v>213.6</v>
      </c>
      <c r="K197" s="4" t="n">
        <v>1347</v>
      </c>
      <c r="L197" s="5" t="n">
        <v>1187.8</v>
      </c>
      <c r="M197" s="3" t="inlineStr">
        <is>
          <t>1</t>
        </is>
      </c>
      <c r="N197" s="3" t="inlineStr">
        <is>
          <t>-</t>
        </is>
      </c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6">
        <f>HYPERLINK("http://www.eum.go.kr/web/ar/lu/luLandDet.jsp?pnu=3611032024101080004&amp;mode=search", "토지이음")</f>
        <v/>
      </c>
      <c r="S197" s="3" t="inlineStr">
        <is>
          <t>(주)미르</t>
        </is>
      </c>
      <c r="T197" s="4" t="n">
        <v>2</v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공장/창고</t>
        </is>
      </c>
      <c r="E198" s="3" t="inlineStr">
        <is>
          <t>공장</t>
        </is>
      </c>
      <c r="F198" s="3" t="inlineStr">
        <is>
          <t>매매</t>
        </is>
      </c>
      <c r="G198" s="4" t="n">
        <v>1600000</v>
      </c>
      <c r="H198" s="4" t="n">
        <v>0</v>
      </c>
      <c r="I198" s="4" t="n">
        <v>7490</v>
      </c>
      <c r="J198" s="5" t="n">
        <v>213.6</v>
      </c>
      <c r="K198" s="4" t="n">
        <v>1347</v>
      </c>
      <c r="L198" s="5" t="n">
        <v>1187.8</v>
      </c>
      <c r="M198" s="3" t="inlineStr">
        <is>
          <t>1</t>
        </is>
      </c>
      <c r="N198" s="3" t="inlineStr">
        <is>
          <t>-</t>
        </is>
      </c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6">
        <f>HYPERLINK("http://www.eum.go.kr/web/ar/lu/luLandDet.jsp?pnu=3611032024101080004&amp;mode=search", "토지이음")</f>
        <v/>
      </c>
      <c r="S198" s="3" t="inlineStr">
        <is>
          <t>더원</t>
        </is>
      </c>
      <c r="T198" s="4" t="n">
        <v>2</v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공장/창고</t>
        </is>
      </c>
      <c r="E199" s="3" t="inlineStr">
        <is>
          <t>공장</t>
        </is>
      </c>
      <c r="F199" s="3" t="inlineStr">
        <is>
          <t>매매</t>
        </is>
      </c>
      <c r="G199" s="4" t="n">
        <v>300000</v>
      </c>
      <c r="H199" s="4" t="n">
        <v>0</v>
      </c>
      <c r="I199" s="4" t="n">
        <v>689</v>
      </c>
      <c r="J199" s="5" t="n">
        <v>435.4</v>
      </c>
      <c r="K199" s="4" t="n">
        <v>348</v>
      </c>
      <c r="L199" s="5" t="n">
        <v>862.1</v>
      </c>
      <c r="M199" s="3" t="inlineStr">
        <is>
          <t>2</t>
        </is>
      </c>
      <c r="N199" s="3" t="inlineStr">
        <is>
          <t>-</t>
        </is>
      </c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6">
        <f>HYPERLINK("http://www.eum.go.kr/web/ar/lu/luLandDet.jsp?pnu=3611032024105610001&amp;mode=search", "토지이음")</f>
        <v/>
      </c>
      <c r="S199" s="3" t="inlineStr">
        <is>
          <t>세종스타</t>
        </is>
      </c>
      <c r="T199" s="4" t="n">
        <v>2</v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공장/창고</t>
        </is>
      </c>
      <c r="E200" s="3" t="inlineStr">
        <is>
          <t>공장</t>
        </is>
      </c>
      <c r="F200" s="3" t="inlineStr">
        <is>
          <t>매매</t>
        </is>
      </c>
      <c r="G200" s="4" t="n">
        <v>300000</v>
      </c>
      <c r="H200" s="4" t="n">
        <v>0</v>
      </c>
      <c r="I200" s="4" t="n">
        <v>689</v>
      </c>
      <c r="J200" s="5" t="n">
        <v>435.4</v>
      </c>
      <c r="K200" s="4" t="n">
        <v>348</v>
      </c>
      <c r="L200" s="5" t="n">
        <v>862.1</v>
      </c>
      <c r="M200" s="3" t="inlineStr">
        <is>
          <t>2</t>
        </is>
      </c>
      <c r="N200" s="3" t="inlineStr">
        <is>
          <t>-</t>
        </is>
      </c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6">
        <f>HYPERLINK("http://www.eum.go.kr/web/ar/lu/luLandDet.jsp?pnu=3611032024105610001&amp;mode=search", "토지이음")</f>
        <v/>
      </c>
      <c r="S200" s="3" t="inlineStr">
        <is>
          <t>세종땅전문</t>
        </is>
      </c>
      <c r="T200" s="4" t="n">
        <v>1</v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공장/창고</t>
        </is>
      </c>
      <c r="E201" s="3" t="inlineStr">
        <is>
          <t>공장</t>
        </is>
      </c>
      <c r="F201" s="3" t="inlineStr">
        <is>
          <t>월세</t>
        </is>
      </c>
      <c r="G201" s="4" t="n">
        <v>4000</v>
      </c>
      <c r="H201" s="4" t="n">
        <v>360</v>
      </c>
      <c r="I201" s="4" t="n">
        <v>2122</v>
      </c>
      <c r="J201" s="5" t="n">
        <v>0.2</v>
      </c>
      <c r="K201" s="4" t="n">
        <v>988</v>
      </c>
      <c r="L201" s="5" t="n">
        <v>0.4</v>
      </c>
      <c r="M201" s="3" t="inlineStr">
        <is>
          <t>2</t>
        </is>
      </c>
      <c r="N201" s="3" t="inlineStr">
        <is>
          <t>B1</t>
        </is>
      </c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6">
        <f>HYPERLINK("http://www.eum.go.kr/web/ar/lu/luLandDet.jsp?pnu=3611032024106660001&amp;mode=search", "토지이음")</f>
        <v/>
      </c>
      <c r="S201" s="3" t="inlineStr">
        <is>
          <t>주식회사 써밋</t>
        </is>
      </c>
      <c r="T201" s="4" t="n">
        <v>1</v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공장/창고</t>
        </is>
      </c>
      <c r="E202" s="3" t="inlineStr">
        <is>
          <t>공장</t>
        </is>
      </c>
      <c r="F202" s="3" t="inlineStr">
        <is>
          <t>월세</t>
        </is>
      </c>
      <c r="G202" s="4" t="n">
        <v>4000</v>
      </c>
      <c r="H202" s="4" t="n">
        <v>360</v>
      </c>
      <c r="I202" s="4" t="n">
        <v>2122</v>
      </c>
      <c r="J202" s="5" t="n">
        <v>0.2</v>
      </c>
      <c r="K202" s="4" t="n">
        <v>1245</v>
      </c>
      <c r="L202" s="5" t="n">
        <v>0.3</v>
      </c>
      <c r="M202" s="3" t="inlineStr">
        <is>
          <t>2</t>
        </is>
      </c>
      <c r="N202" s="3" t="inlineStr">
        <is>
          <t>-</t>
        </is>
      </c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6">
        <f>HYPERLINK("http://www.eum.go.kr/web/ar/lu/luLandDet.jsp?pnu=3611032024106660001&amp;mode=search", "토지이음")</f>
        <v/>
      </c>
      <c r="S202" s="3" t="inlineStr">
        <is>
          <t>주식회사 대기</t>
        </is>
      </c>
      <c r="T202" s="4" t="n">
        <v>1</v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공장/창고</t>
        </is>
      </c>
      <c r="E203" s="3" t="inlineStr">
        <is>
          <t>공장</t>
        </is>
      </c>
      <c r="F203" s="3" t="inlineStr">
        <is>
          <t>월세</t>
        </is>
      </c>
      <c r="G203" s="4" t="n">
        <v>4000</v>
      </c>
      <c r="H203" s="4" t="n">
        <v>396</v>
      </c>
      <c r="I203" s="4" t="n">
        <v>2122</v>
      </c>
      <c r="J203" s="5" t="n">
        <v>0.2</v>
      </c>
      <c r="K203" s="4" t="n">
        <v>180</v>
      </c>
      <c r="L203" s="5" t="n">
        <v>2.2</v>
      </c>
      <c r="M203" s="3" t="inlineStr">
        <is>
          <t>1</t>
        </is>
      </c>
      <c r="N203" s="3" t="inlineStr">
        <is>
          <t>-</t>
        </is>
      </c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6">
        <f>HYPERLINK("http://www.eum.go.kr/web/ar/lu/luLandDet.jsp?pnu=3611032024106660001&amp;mode=search", "토지이음")</f>
        <v/>
      </c>
      <c r="S203" s="3" t="inlineStr">
        <is>
          <t>e플러스</t>
        </is>
      </c>
      <c r="T203" s="4" t="n">
        <v>1</v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공장/창고</t>
        </is>
      </c>
      <c r="E204" s="3" t="inlineStr">
        <is>
          <t>공장</t>
        </is>
      </c>
      <c r="F204" s="3" t="inlineStr">
        <is>
          <t>월세</t>
        </is>
      </c>
      <c r="G204" s="4" t="n">
        <v>3500</v>
      </c>
      <c r="H204" s="4" t="n">
        <v>240</v>
      </c>
      <c r="I204" s="4" t="n">
        <v>2122</v>
      </c>
      <c r="J204" s="5" t="n">
        <v>0.1</v>
      </c>
      <c r="K204" s="4" t="n">
        <v>1245</v>
      </c>
      <c r="L204" s="5" t="n">
        <v>0.2</v>
      </c>
      <c r="M204" s="3" t="inlineStr">
        <is>
          <t>2</t>
        </is>
      </c>
      <c r="N204" s="3" t="inlineStr">
        <is>
          <t>-</t>
        </is>
      </c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6">
        <f>HYPERLINK("http://www.eum.go.kr/web/ar/lu/luLandDet.jsp?pnu=3611032024106660001&amp;mode=search", "토지이음")</f>
        <v/>
      </c>
      <c r="S204" s="3" t="inlineStr">
        <is>
          <t>주식회사 대기</t>
        </is>
      </c>
      <c r="T204" s="4" t="n">
        <v>1</v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공장/창고</t>
        </is>
      </c>
      <c r="E205" s="3" t="inlineStr">
        <is>
          <t>공장</t>
        </is>
      </c>
      <c r="F205" s="3" t="inlineStr">
        <is>
          <t>매매</t>
        </is>
      </c>
      <c r="G205" s="4" t="n">
        <v>670000</v>
      </c>
      <c r="H205" s="4" t="n">
        <v>0</v>
      </c>
      <c r="I205" s="4" t="n">
        <v>3053</v>
      </c>
      <c r="J205" s="5" t="n">
        <v>219.5</v>
      </c>
      <c r="K205" s="4" t="n">
        <v>1717</v>
      </c>
      <c r="L205" s="5" t="n">
        <v>390.2</v>
      </c>
      <c r="M205" s="3" t="inlineStr">
        <is>
          <t>2</t>
        </is>
      </c>
      <c r="N205" s="3" t="inlineStr">
        <is>
          <t>-</t>
        </is>
      </c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6">
        <f>HYPERLINK("http://www.eum.go.kr/web/ar/lu/luLandDet.jsp?pnu=3611032024106660006&amp;mode=search", "토지이음")</f>
        <v/>
      </c>
      <c r="S205" s="3" t="inlineStr">
        <is>
          <t>금화랜드</t>
        </is>
      </c>
      <c r="T205" s="4" t="n">
        <v>2</v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공장/창고</t>
        </is>
      </c>
      <c r="E206" s="3" t="inlineStr">
        <is>
          <t>공장</t>
        </is>
      </c>
      <c r="F206" s="3" t="inlineStr">
        <is>
          <t>매매</t>
        </is>
      </c>
      <c r="G206" s="4" t="n">
        <v>670000</v>
      </c>
      <c r="H206" s="4" t="n">
        <v>0</v>
      </c>
      <c r="I206" s="4" t="n">
        <v>30532</v>
      </c>
      <c r="J206" s="5" t="n">
        <v>21.9</v>
      </c>
      <c r="K206" s="4" t="n">
        <v>1717</v>
      </c>
      <c r="L206" s="5" t="n">
        <v>390.2</v>
      </c>
      <c r="M206" s="3" t="inlineStr">
        <is>
          <t>2</t>
        </is>
      </c>
      <c r="N206" s="3" t="inlineStr">
        <is>
          <t>-</t>
        </is>
      </c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6">
        <f>HYPERLINK("http://www.eum.go.kr/web/ar/lu/luLandDet.jsp?pnu=3611032024106660006&amp;mode=search", "토지이음")</f>
        <v/>
      </c>
      <c r="S206" s="3" t="inlineStr">
        <is>
          <t>복댕이</t>
        </is>
      </c>
      <c r="T206" s="4" t="n">
        <v>1</v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공장/창고</t>
        </is>
      </c>
      <c r="E207" s="3" t="inlineStr">
        <is>
          <t>공장</t>
        </is>
      </c>
      <c r="F207" s="3" t="inlineStr">
        <is>
          <t>월세</t>
        </is>
      </c>
      <c r="G207" s="4" t="n">
        <v>2000</v>
      </c>
      <c r="H207" s="4" t="n">
        <v>330</v>
      </c>
      <c r="I207" s="4" t="n">
        <v>1025</v>
      </c>
      <c r="J207" s="5" t="n">
        <v>0.3</v>
      </c>
      <c r="K207" s="4" t="n">
        <v>149</v>
      </c>
      <c r="L207" s="5" t="n">
        <v>2.2</v>
      </c>
      <c r="M207" s="3" t="inlineStr">
        <is>
          <t>1</t>
        </is>
      </c>
      <c r="N207" s="3" t="inlineStr">
        <is>
          <t>-</t>
        </is>
      </c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6">
        <f>HYPERLINK("http://www.eum.go.kr/web/ar/lu/luLandDet.jsp?pnu=3611036030101690000&amp;mode=search", "토지이음")</f>
        <v/>
      </c>
      <c r="S207" s="3" t="inlineStr">
        <is>
          <t>지성</t>
        </is>
      </c>
      <c r="T207" s="4" t="n">
        <v>1</v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공장/창고</t>
        </is>
      </c>
      <c r="E208" s="3" t="inlineStr">
        <is>
          <t>공장</t>
        </is>
      </c>
      <c r="F208" s="3" t="inlineStr">
        <is>
          <t>매매</t>
        </is>
      </c>
      <c r="G208" s="4" t="n">
        <v>1057000</v>
      </c>
      <c r="H208" s="4" t="n">
        <v>0</v>
      </c>
      <c r="I208" s="4" t="n">
        <v>2114</v>
      </c>
      <c r="J208" s="5" t="n">
        <v>500</v>
      </c>
      <c r="K208" s="4" t="n">
        <v>368</v>
      </c>
      <c r="L208" s="5" t="n">
        <v>2872.3</v>
      </c>
      <c r="M208" s="3" t="inlineStr">
        <is>
          <t>1</t>
        </is>
      </c>
      <c r="N208" s="3" t="inlineStr">
        <is>
          <t>-</t>
        </is>
      </c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6">
        <f>HYPERLINK("http://www.eum.go.kr/web/ar/lu/luLandDet.jsp?pnu=3611036030100070000&amp;mode=search", "토지이음")</f>
        <v/>
      </c>
      <c r="S208" s="3" t="inlineStr">
        <is>
          <t>푸른들</t>
        </is>
      </c>
      <c r="T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공장/창고</t>
        </is>
      </c>
      <c r="E209" s="3" t="inlineStr">
        <is>
          <t>공장</t>
        </is>
      </c>
      <c r="F209" s="3" t="inlineStr">
        <is>
          <t>매매</t>
        </is>
      </c>
      <c r="G209" s="4" t="n">
        <v>3200000</v>
      </c>
      <c r="H209" s="4" t="n">
        <v>0</v>
      </c>
      <c r="I209" s="4" t="n">
        <v>12000</v>
      </c>
      <c r="J209" s="5" t="n">
        <v>266.7</v>
      </c>
      <c r="K209" s="4" t="n">
        <v>3155</v>
      </c>
      <c r="L209" s="5" t="n">
        <v>1014.3</v>
      </c>
      <c r="M209" s="3" t="inlineStr">
        <is>
          <t>2</t>
        </is>
      </c>
      <c r="N209" s="3" t="inlineStr">
        <is>
          <t>-</t>
        </is>
      </c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6">
        <f>HYPERLINK("http://www.eum.go.kr/web/ar/lu/luLandDet.jsp?pnu=3611036032101480000&amp;mode=search", "토지이음")</f>
        <v/>
      </c>
      <c r="S209" s="3" t="inlineStr">
        <is>
          <t>지제역</t>
        </is>
      </c>
      <c r="T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공장/창고</t>
        </is>
      </c>
      <c r="E210" s="3" t="inlineStr">
        <is>
          <t>공장</t>
        </is>
      </c>
      <c r="F210" s="3" t="inlineStr">
        <is>
          <t>매매</t>
        </is>
      </c>
      <c r="G210" s="4" t="n">
        <v>3200000</v>
      </c>
      <c r="H210" s="4" t="n">
        <v>0</v>
      </c>
      <c r="I210" s="4" t="n">
        <v>12000</v>
      </c>
      <c r="J210" s="5" t="n">
        <v>266.7</v>
      </c>
      <c r="K210" s="4" t="n">
        <v>3155</v>
      </c>
      <c r="L210" s="5" t="n">
        <v>1014.3</v>
      </c>
      <c r="M210" s="3" t="inlineStr">
        <is>
          <t>2</t>
        </is>
      </c>
      <c r="N210" s="3" t="inlineStr">
        <is>
          <t>-</t>
        </is>
      </c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6">
        <f>HYPERLINK("http://www.eum.go.kr/web/ar/lu/luLandDet.jsp?pnu=3611036032101480000&amp;mode=search", "토지이음")</f>
        <v/>
      </c>
      <c r="S210" s="3" t="inlineStr">
        <is>
          <t>자이원</t>
        </is>
      </c>
      <c r="T210" s="4" t="n">
        <v>1</v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공장/창고</t>
        </is>
      </c>
      <c r="E211" s="3" t="inlineStr">
        <is>
          <t>공장</t>
        </is>
      </c>
      <c r="F211" s="3" t="inlineStr">
        <is>
          <t>매매</t>
        </is>
      </c>
      <c r="G211" s="4" t="n">
        <v>3200000</v>
      </c>
      <c r="H211" s="4" t="n">
        <v>0</v>
      </c>
      <c r="I211" s="4" t="n">
        <v>12000</v>
      </c>
      <c r="J211" s="5" t="n">
        <v>266.7</v>
      </c>
      <c r="K211" s="4" t="n">
        <v>3155</v>
      </c>
      <c r="L211" s="5" t="n">
        <v>1014.3</v>
      </c>
      <c r="M211" s="3" t="inlineStr">
        <is>
          <t>2</t>
        </is>
      </c>
      <c r="N211" s="3" t="inlineStr">
        <is>
          <t>B1</t>
        </is>
      </c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6">
        <f>HYPERLINK("http://www.eum.go.kr/web/ar/lu/luLandDet.jsp?pnu=3611036032101480000&amp;mode=search", "토지이음")</f>
        <v/>
      </c>
      <c r="S211" s="3" t="inlineStr">
        <is>
          <t>명진</t>
        </is>
      </c>
      <c r="T211" s="4" t="n">
        <v>1</v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공장/창고</t>
        </is>
      </c>
      <c r="E212" s="3" t="inlineStr">
        <is>
          <t>공장</t>
        </is>
      </c>
      <c r="F212" s="3" t="inlineStr">
        <is>
          <t>매매</t>
        </is>
      </c>
      <c r="G212" s="4" t="n">
        <v>3200000</v>
      </c>
      <c r="H212" s="4" t="n">
        <v>0</v>
      </c>
      <c r="I212" s="4" t="n">
        <v>12000</v>
      </c>
      <c r="J212" s="5" t="n">
        <v>266.7</v>
      </c>
      <c r="K212" s="4" t="n">
        <v>3155</v>
      </c>
      <c r="L212" s="5" t="n">
        <v>1014.3</v>
      </c>
      <c r="M212" s="3" t="inlineStr">
        <is>
          <t>1</t>
        </is>
      </c>
      <c r="N212" s="3" t="inlineStr">
        <is>
          <t>-</t>
        </is>
      </c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6">
        <f>HYPERLINK("http://www.eum.go.kr/web/ar/lu/luLandDet.jsp?pnu=3611036032101480000&amp;mode=search", "토지이음")</f>
        <v/>
      </c>
      <c r="S212" s="3" t="inlineStr">
        <is>
          <t>미더스</t>
        </is>
      </c>
      <c r="T212" s="4" t="n">
        <v>1</v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공장/창고</t>
        </is>
      </c>
      <c r="E213" s="3" t="inlineStr">
        <is>
          <t>공장</t>
        </is>
      </c>
      <c r="F213" s="3" t="inlineStr">
        <is>
          <t>매매</t>
        </is>
      </c>
      <c r="G213" s="4" t="n">
        <v>3200000</v>
      </c>
      <c r="H213" s="4" t="n">
        <v>0</v>
      </c>
      <c r="I213" s="4" t="n">
        <v>12000</v>
      </c>
      <c r="J213" s="5" t="n">
        <v>266.7</v>
      </c>
      <c r="K213" s="4" t="n">
        <v>3155</v>
      </c>
      <c r="L213" s="5" t="n">
        <v>1014.3</v>
      </c>
      <c r="M213" s="3" t="inlineStr">
        <is>
          <t>2</t>
        </is>
      </c>
      <c r="N213" s="3" t="inlineStr">
        <is>
          <t>B1</t>
        </is>
      </c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6">
        <f>HYPERLINK("http://www.eum.go.kr/web/ar/lu/luLandDet.jsp?pnu=3611036032101480000&amp;mode=search", "토지이음")</f>
        <v/>
      </c>
      <c r="S213" s="3" t="inlineStr">
        <is>
          <t>(주)미르</t>
        </is>
      </c>
      <c r="T213" s="4" t="n">
        <v>3</v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공장/창고</t>
        </is>
      </c>
      <c r="E214" s="3" t="inlineStr">
        <is>
          <t>공장</t>
        </is>
      </c>
      <c r="F214" s="3" t="inlineStr">
        <is>
          <t>매매</t>
        </is>
      </c>
      <c r="G214" s="4" t="n">
        <v>3200000</v>
      </c>
      <c r="H214" s="4" t="n">
        <v>0</v>
      </c>
      <c r="I214" s="4" t="n">
        <v>12000</v>
      </c>
      <c r="J214" s="5" t="n">
        <v>266.7</v>
      </c>
      <c r="K214" s="4" t="n">
        <v>3155</v>
      </c>
      <c r="L214" s="5" t="n">
        <v>1014.3</v>
      </c>
      <c r="M214" s="3" t="inlineStr">
        <is>
          <t>1</t>
        </is>
      </c>
      <c r="N214" s="3" t="inlineStr">
        <is>
          <t>-</t>
        </is>
      </c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6">
        <f>HYPERLINK("http://www.eum.go.kr/web/ar/lu/luLandDet.jsp?pnu=3611036032101480000&amp;mode=search", "토지이음")</f>
        <v/>
      </c>
      <c r="S214" s="3" t="inlineStr">
        <is>
          <t>더원</t>
        </is>
      </c>
      <c r="T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공장/창고</t>
        </is>
      </c>
      <c r="E215" s="3" t="inlineStr">
        <is>
          <t>공장</t>
        </is>
      </c>
      <c r="F215" s="3" t="inlineStr">
        <is>
          <t>매매</t>
        </is>
      </c>
      <c r="G215" s="4" t="n">
        <v>310000</v>
      </c>
      <c r="H215" s="4" t="n">
        <v>0</v>
      </c>
      <c r="I215" s="4" t="n">
        <v>562</v>
      </c>
      <c r="J215" s="5" t="n">
        <v>551.6</v>
      </c>
      <c r="K215" s="4" t="n">
        <v>379</v>
      </c>
      <c r="L215" s="5" t="n">
        <v>817.9</v>
      </c>
      <c r="M215" s="3" t="inlineStr">
        <is>
          <t>2</t>
        </is>
      </c>
      <c r="N215" s="3" t="inlineStr">
        <is>
          <t>-</t>
        </is>
      </c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6">
        <f>HYPERLINK("http://www.eum.go.kr/web/ar/lu/luLandDet.jsp?pnu=3611036023104050001&amp;mode=search", "토지이음")</f>
        <v/>
      </c>
      <c r="S215" s="3" t="inlineStr">
        <is>
          <t>비타민무소</t>
        </is>
      </c>
      <c r="T215" s="4" t="n">
        <v>1</v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공장/창고</t>
        </is>
      </c>
      <c r="E216" s="3" t="inlineStr">
        <is>
          <t>공장</t>
        </is>
      </c>
      <c r="F216" s="3" t="inlineStr">
        <is>
          <t>월세</t>
        </is>
      </c>
      <c r="G216" s="4" t="n">
        <v>5000</v>
      </c>
      <c r="H216" s="4" t="n">
        <v>500</v>
      </c>
      <c r="I216" s="4" t="n">
        <v>562</v>
      </c>
      <c r="J216" s="5" t="n">
        <v>0.9</v>
      </c>
      <c r="K216" s="4" t="n">
        <v>379</v>
      </c>
      <c r="L216" s="5" t="n">
        <v>1.3</v>
      </c>
      <c r="M216" s="3" t="inlineStr">
        <is>
          <t>2</t>
        </is>
      </c>
      <c r="N216" s="3" t="inlineStr">
        <is>
          <t>-</t>
        </is>
      </c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6">
        <f>HYPERLINK("http://www.eum.go.kr/web/ar/lu/luLandDet.jsp?pnu=3611036023104050001&amp;mode=search", "토지이음")</f>
        <v/>
      </c>
      <c r="S216" s="3" t="inlineStr">
        <is>
          <t>번영</t>
        </is>
      </c>
      <c r="T216" s="4" t="n">
        <v>1</v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공장/창고</t>
        </is>
      </c>
      <c r="E217" s="3" t="inlineStr">
        <is>
          <t>공장</t>
        </is>
      </c>
      <c r="F217" s="3" t="inlineStr">
        <is>
          <t>매매</t>
        </is>
      </c>
      <c r="G217" s="4" t="n">
        <v>260000</v>
      </c>
      <c r="H217" s="4" t="n">
        <v>0</v>
      </c>
      <c r="I217" s="4" t="n">
        <v>489</v>
      </c>
      <c r="J217" s="5" t="n">
        <v>531.7</v>
      </c>
      <c r="K217" s="4" t="n">
        <v>379</v>
      </c>
      <c r="L217" s="5" t="n">
        <v>686</v>
      </c>
      <c r="M217" s="3" t="inlineStr">
        <is>
          <t>2</t>
        </is>
      </c>
      <c r="N217" s="3" t="inlineStr">
        <is>
          <t>-</t>
        </is>
      </c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6">
        <f>HYPERLINK("http://www.eum.go.kr/web/ar/lu/luLandDet.jsp?pnu=3611036023104050001&amp;mode=search", "토지이음")</f>
        <v/>
      </c>
      <c r="S217" s="3" t="inlineStr">
        <is>
          <t>마니</t>
        </is>
      </c>
      <c r="T217" s="4" t="n">
        <v>1</v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공장/창고</t>
        </is>
      </c>
      <c r="E218" s="3" t="inlineStr">
        <is>
          <t>공장</t>
        </is>
      </c>
      <c r="F218" s="3" t="inlineStr">
        <is>
          <t>월세</t>
        </is>
      </c>
      <c r="G218" s="4" t="n">
        <v>5000</v>
      </c>
      <c r="H218" s="4" t="n">
        <v>500</v>
      </c>
      <c r="I218" s="4" t="n">
        <v>489</v>
      </c>
      <c r="J218" s="5" t="n">
        <v>1</v>
      </c>
      <c r="K218" s="4" t="n">
        <v>379</v>
      </c>
      <c r="L218" s="5" t="n">
        <v>1.3</v>
      </c>
      <c r="M218" s="3" t="inlineStr">
        <is>
          <t>2</t>
        </is>
      </c>
      <c r="N218" s="3" t="inlineStr">
        <is>
          <t>-</t>
        </is>
      </c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6">
        <f>HYPERLINK("http://www.eum.go.kr/web/ar/lu/luLandDet.jsp?pnu=3611036023104050001&amp;mode=search", "토지이음")</f>
        <v/>
      </c>
      <c r="S218" s="3" t="inlineStr">
        <is>
          <t>마니</t>
        </is>
      </c>
      <c r="T218" s="4" t="n">
        <v>1</v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공장/창고</t>
        </is>
      </c>
      <c r="E219" s="3" t="inlineStr">
        <is>
          <t>공장</t>
        </is>
      </c>
      <c r="F219" s="3" t="inlineStr">
        <is>
          <t>매매</t>
        </is>
      </c>
      <c r="G219" s="4" t="n">
        <v>260000</v>
      </c>
      <c r="H219" s="4" t="n">
        <v>0</v>
      </c>
      <c r="I219" s="4" t="n">
        <v>562</v>
      </c>
      <c r="J219" s="5" t="n">
        <v>462.6</v>
      </c>
      <c r="K219" s="4" t="n">
        <v>379</v>
      </c>
      <c r="L219" s="5" t="n">
        <v>686</v>
      </c>
      <c r="M219" s="3" t="inlineStr">
        <is>
          <t>2</t>
        </is>
      </c>
      <c r="N219" s="3" t="inlineStr">
        <is>
          <t>-</t>
        </is>
      </c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6">
        <f>HYPERLINK("http://www.eum.go.kr/web/ar/lu/luLandDet.jsp?pnu=3611036023104050001&amp;mode=search", "토지이음")</f>
        <v/>
      </c>
      <c r="S219" s="3" t="inlineStr">
        <is>
          <t>번영</t>
        </is>
      </c>
      <c r="T219" s="4" t="n">
        <v>1</v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공장/창고</t>
        </is>
      </c>
      <c r="E220" s="3" t="inlineStr">
        <is>
          <t>공장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452</v>
      </c>
      <c r="J220" s="5" t="n">
        <v>221.2</v>
      </c>
      <c r="K220" s="4" t="n">
        <v>119</v>
      </c>
      <c r="L220" s="5" t="n">
        <v>840.3</v>
      </c>
      <c r="M220" s="3" t="inlineStr">
        <is>
          <t>1</t>
        </is>
      </c>
      <c r="N220" s="3" t="inlineStr">
        <is>
          <t>-</t>
        </is>
      </c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6">
        <f>HYPERLINK("http://www.eum.go.kr/web/ar/lu/luLandDet.jsp?pnu=3611036029104310000&amp;mode=search", "토지이음")</f>
        <v/>
      </c>
      <c r="S220" s="3" t="inlineStr">
        <is>
          <t>프라임</t>
        </is>
      </c>
      <c r="T220" s="4" t="n">
        <v>1</v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공장/창고</t>
        </is>
      </c>
      <c r="E221" s="3" t="inlineStr">
        <is>
          <t>공장</t>
        </is>
      </c>
      <c r="F221" s="3" t="inlineStr">
        <is>
          <t>매매</t>
        </is>
      </c>
      <c r="G221" s="4" t="n">
        <v>450000</v>
      </c>
      <c r="H221" s="4" t="n">
        <v>0</v>
      </c>
      <c r="I221" s="4" t="n">
        <v>2897</v>
      </c>
      <c r="J221" s="5" t="n">
        <v>155.3</v>
      </c>
      <c r="K221" s="4" t="n">
        <v>816</v>
      </c>
      <c r="L221" s="5" t="n">
        <v>551.5</v>
      </c>
      <c r="M221" s="3" t="inlineStr">
        <is>
          <t>3</t>
        </is>
      </c>
      <c r="N221" s="3" t="inlineStr">
        <is>
          <t>-</t>
        </is>
      </c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6">
        <f>HYPERLINK("http://www.eum.go.kr/web/ar/lu/luLandDet.jsp?pnu=3611036029104590003&amp;mode=search", "토지이음")</f>
        <v/>
      </c>
      <c r="S221" s="3" t="inlineStr">
        <is>
          <t>청담</t>
        </is>
      </c>
      <c r="T221" s="4" t="n">
        <v>1</v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공장/창고</t>
        </is>
      </c>
      <c r="E222" s="3" t="inlineStr">
        <is>
          <t>공장</t>
        </is>
      </c>
      <c r="F222" s="3" t="inlineStr">
        <is>
          <t>매매</t>
        </is>
      </c>
      <c r="G222" s="4" t="n">
        <v>450000</v>
      </c>
      <c r="H222" s="4" t="n">
        <v>0</v>
      </c>
      <c r="I222" s="4" t="n">
        <v>2897</v>
      </c>
      <c r="J222" s="5" t="n">
        <v>155.3</v>
      </c>
      <c r="K222" s="4" t="n">
        <v>816</v>
      </c>
      <c r="L222" s="5" t="n">
        <v>551.5</v>
      </c>
      <c r="M222" s="3" t="inlineStr">
        <is>
          <t>3</t>
        </is>
      </c>
      <c r="N222" s="3" t="inlineStr">
        <is>
          <t>-</t>
        </is>
      </c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6">
        <f>HYPERLINK("http://www.eum.go.kr/web/ar/lu/luLandDet.jsp?pnu=3611036029104590003&amp;mode=search", "토지이음")</f>
        <v/>
      </c>
      <c r="S222" s="3" t="inlineStr">
        <is>
          <t>뉴스카이</t>
        </is>
      </c>
      <c r="T222" s="4" t="n">
        <v>1</v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공장/창고</t>
        </is>
      </c>
      <c r="E223" s="3" t="inlineStr">
        <is>
          <t>창고</t>
        </is>
      </c>
      <c r="F223" s="3" t="inlineStr">
        <is>
          <t>매매</t>
        </is>
      </c>
      <c r="G223" s="4" t="n">
        <v>190000</v>
      </c>
      <c r="H223" s="4" t="n">
        <v>0</v>
      </c>
      <c r="I223" s="4" t="n">
        <v>928</v>
      </c>
      <c r="J223" s="5" t="n">
        <v>204.7</v>
      </c>
      <c r="K223" s="4" t="n">
        <v>166</v>
      </c>
      <c r="L223" s="5" t="n">
        <v>1144.6</v>
      </c>
      <c r="M223" s="3" t="inlineStr">
        <is>
          <t>1</t>
        </is>
      </c>
      <c r="N223" s="3" t="inlineStr">
        <is>
          <t>B1</t>
        </is>
      </c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6">
        <f>HYPERLINK("http://www.eum.go.kr/web/ar/lu/luLandDet.jsp?pnu=3611036029104840008&amp;mode=search", "토지이음")</f>
        <v/>
      </c>
      <c r="S223" s="3" t="inlineStr">
        <is>
          <t>엄지척</t>
        </is>
      </c>
      <c r="T223" s="4" t="n">
        <v>1</v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공장/창고</t>
        </is>
      </c>
      <c r="E224" s="3" t="inlineStr">
        <is>
          <t>창고</t>
        </is>
      </c>
      <c r="F224" s="3" t="inlineStr">
        <is>
          <t>월세</t>
        </is>
      </c>
      <c r="G224" s="4" t="n">
        <v>2000</v>
      </c>
      <c r="H224" s="4" t="n">
        <v>90</v>
      </c>
      <c r="I224" s="4" t="n">
        <v>451</v>
      </c>
      <c r="J224" s="5" t="n">
        <v>0.2</v>
      </c>
      <c r="K224" s="4" t="n">
        <v>60</v>
      </c>
      <c r="L224" s="5" t="n">
        <v>1.5</v>
      </c>
      <c r="M224" s="3" t="inlineStr">
        <is>
          <t>1</t>
        </is>
      </c>
      <c r="N224" s="3" t="inlineStr">
        <is>
          <t>-</t>
        </is>
      </c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6">
        <f>HYPERLINK("http://www.eum.go.kr/web/ar/lu/luLandDet.jsp?pnu=3611036026103320003&amp;mode=search", "토지이음")</f>
        <v/>
      </c>
      <c r="S224" s="3" t="inlineStr">
        <is>
          <t>세종대박</t>
        </is>
      </c>
      <c r="T224" s="4" t="n">
        <v>1</v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공장/창고</t>
        </is>
      </c>
      <c r="E225" s="3" t="inlineStr">
        <is>
          <t>공장</t>
        </is>
      </c>
      <c r="F225" s="3" t="inlineStr">
        <is>
          <t>매매</t>
        </is>
      </c>
      <c r="G225" s="4" t="n">
        <v>1010000</v>
      </c>
      <c r="H225" s="4" t="n">
        <v>0</v>
      </c>
      <c r="I225" s="4" t="n">
        <v>6818</v>
      </c>
      <c r="J225" s="5" t="n">
        <v>148.1</v>
      </c>
      <c r="K225" s="4" t="n">
        <v>803</v>
      </c>
      <c r="L225" s="5" t="n">
        <v>1257.8</v>
      </c>
      <c r="M225" s="3" t="inlineStr">
        <is>
          <t>2</t>
        </is>
      </c>
      <c r="N225" s="3" t="inlineStr">
        <is>
          <t>-</t>
        </is>
      </c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6">
        <f>HYPERLINK("http://www.eum.go.kr/web/ar/lu/luLandDet.jsp?pnu=3611036031111190000&amp;mode=search", "토지이음")</f>
        <v/>
      </c>
      <c r="S225" s="3" t="inlineStr">
        <is>
          <t>미스터홈즈강남지사</t>
        </is>
      </c>
      <c r="T225" s="4" t="n">
        <v>1</v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공장/창고</t>
        </is>
      </c>
      <c r="E226" s="3" t="inlineStr">
        <is>
          <t>공장</t>
        </is>
      </c>
      <c r="F226" s="3" t="inlineStr">
        <is>
          <t>월세</t>
        </is>
      </c>
      <c r="G226" s="4" t="n">
        <v>5000</v>
      </c>
      <c r="H226" s="4" t="n">
        <v>600</v>
      </c>
      <c r="I226" s="4" t="n">
        <v>983</v>
      </c>
      <c r="J226" s="5" t="n">
        <v>0.6</v>
      </c>
      <c r="K226" s="4" t="n">
        <v>469</v>
      </c>
      <c r="L226" s="5" t="n">
        <v>1.3</v>
      </c>
      <c r="M226" s="3" t="inlineStr">
        <is>
          <t>2</t>
        </is>
      </c>
      <c r="N226" s="3" t="inlineStr">
        <is>
          <t>-</t>
        </is>
      </c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6">
        <f>HYPERLINK("http://www.eum.go.kr/web/ar/lu/luLandDet.jsp?pnu=3611036031111190002&amp;mode=search", "토지이음")</f>
        <v/>
      </c>
      <c r="S226" s="3" t="inlineStr">
        <is>
          <t>북세종</t>
        </is>
      </c>
      <c r="T226" s="4" t="n">
        <v>1</v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공장/창고</t>
        </is>
      </c>
      <c r="E227" s="3" t="inlineStr">
        <is>
          <t>공장</t>
        </is>
      </c>
      <c r="F227" s="3" t="inlineStr">
        <is>
          <t>월세</t>
        </is>
      </c>
      <c r="G227" s="4" t="n">
        <v>5000</v>
      </c>
      <c r="H227" s="4" t="n">
        <v>600</v>
      </c>
      <c r="I227" s="4" t="n">
        <v>983</v>
      </c>
      <c r="J227" s="5" t="n">
        <v>0.6</v>
      </c>
      <c r="K227" s="4" t="n">
        <v>469</v>
      </c>
      <c r="L227" s="5" t="n">
        <v>1.3</v>
      </c>
      <c r="M227" s="3" t="inlineStr">
        <is>
          <t>2</t>
        </is>
      </c>
      <c r="N227" s="3" t="inlineStr">
        <is>
          <t>-</t>
        </is>
      </c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6">
        <f>HYPERLINK("http://www.eum.go.kr/web/ar/lu/luLandDet.jsp?pnu=3611036031111190002&amp;mode=search", "토지이음")</f>
        <v/>
      </c>
      <c r="S227" s="3" t="inlineStr">
        <is>
          <t>더오름</t>
        </is>
      </c>
      <c r="T227" s="4" t="n">
        <v>1</v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공장/창고</t>
        </is>
      </c>
      <c r="E228" s="3" t="inlineStr">
        <is>
          <t>창고</t>
        </is>
      </c>
      <c r="F228" s="3" t="inlineStr">
        <is>
          <t>월세</t>
        </is>
      </c>
      <c r="G228" s="4" t="n">
        <v>3000</v>
      </c>
      <c r="H228" s="4" t="n">
        <v>150</v>
      </c>
      <c r="I228" s="4" t="n">
        <v>282</v>
      </c>
      <c r="J228" s="5" t="n">
        <v>0.5</v>
      </c>
      <c r="K228" s="4" t="n">
        <v>148</v>
      </c>
      <c r="L228" s="5" t="n">
        <v>1</v>
      </c>
      <c r="M228" s="3" t="inlineStr">
        <is>
          <t>1</t>
        </is>
      </c>
      <c r="N228" s="3" t="inlineStr">
        <is>
          <t>-</t>
        </is>
      </c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6">
        <f>HYPERLINK("http://www.eum.go.kr/web/ar/lu/luLandDet.jsp?pnu=3611036031108520005&amp;mode=search", "토지이음")</f>
        <v/>
      </c>
      <c r="S228" s="3" t="inlineStr">
        <is>
          <t>지성</t>
        </is>
      </c>
      <c r="T228" s="4" t="n">
        <v>1</v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공장/창고</t>
        </is>
      </c>
      <c r="E229" s="3" t="inlineStr">
        <is>
          <t>창고</t>
        </is>
      </c>
      <c r="F229" s="3" t="inlineStr">
        <is>
          <t>월세</t>
        </is>
      </c>
      <c r="G229" s="4" t="n">
        <v>3000</v>
      </c>
      <c r="H229" s="4" t="n">
        <v>150</v>
      </c>
      <c r="I229" s="4" t="n">
        <v>281</v>
      </c>
      <c r="J229" s="5" t="n">
        <v>0.5</v>
      </c>
      <c r="K229" s="4" t="n">
        <v>147</v>
      </c>
      <c r="L229" s="5" t="n">
        <v>1</v>
      </c>
      <c r="M229" s="3" t="inlineStr">
        <is>
          <t>1</t>
        </is>
      </c>
      <c r="N229" s="3" t="inlineStr">
        <is>
          <t>-</t>
        </is>
      </c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6">
        <f>HYPERLINK("http://www.eum.go.kr/web/ar/lu/luLandDet.jsp?pnu=3611036031108520005&amp;mode=search", "토지이음")</f>
        <v/>
      </c>
      <c r="S229" s="3" t="inlineStr">
        <is>
          <t>엄지척</t>
        </is>
      </c>
      <c r="T229" s="4" t="n">
        <v>1</v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공장/창고</t>
        </is>
      </c>
      <c r="E230" s="3" t="inlineStr">
        <is>
          <t>창고</t>
        </is>
      </c>
      <c r="F230" s="3" t="inlineStr">
        <is>
          <t>월세</t>
        </is>
      </c>
      <c r="G230" s="4" t="n">
        <v>3000</v>
      </c>
      <c r="H230" s="4" t="n">
        <v>150</v>
      </c>
      <c r="I230" s="4" t="n">
        <v>282</v>
      </c>
      <c r="J230" s="5" t="n">
        <v>0.5</v>
      </c>
      <c r="K230" s="4" t="n">
        <v>148</v>
      </c>
      <c r="L230" s="5" t="n">
        <v>1</v>
      </c>
      <c r="M230" s="3" t="inlineStr">
        <is>
          <t>1</t>
        </is>
      </c>
      <c r="N230" s="3" t="inlineStr">
        <is>
          <t>-</t>
        </is>
      </c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6">
        <f>HYPERLINK("http://www.eum.go.kr/web/ar/lu/luLandDet.jsp?pnu=3611036031108520005&amp;mode=search", "토지이음")</f>
        <v/>
      </c>
      <c r="S230" s="3" t="inlineStr">
        <is>
          <t>도안우미린사랑</t>
        </is>
      </c>
      <c r="T230" s="4" t="n">
        <v>1</v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공장/창고</t>
        </is>
      </c>
      <c r="E231" s="3" t="inlineStr">
        <is>
          <t>창고</t>
        </is>
      </c>
      <c r="F231" s="3" t="inlineStr">
        <is>
          <t>월세</t>
        </is>
      </c>
      <c r="G231" s="4" t="n">
        <v>12000</v>
      </c>
      <c r="H231" s="4" t="n">
        <v>500</v>
      </c>
      <c r="I231" s="4" t="n">
        <v>975</v>
      </c>
      <c r="J231" s="5" t="n">
        <v>0.5</v>
      </c>
      <c r="K231" s="4" t="n">
        <v>180</v>
      </c>
      <c r="L231" s="5" t="n">
        <v>2.8</v>
      </c>
      <c r="M231" s="3" t="inlineStr">
        <is>
          <t>1</t>
        </is>
      </c>
      <c r="N231" s="3" t="inlineStr">
        <is>
          <t>-</t>
        </is>
      </c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6">
        <f>HYPERLINK("http://www.eum.go.kr/web/ar/lu/luLandDet.jsp?pnu=3611036021109020000&amp;mode=search", "토지이음")</f>
        <v/>
      </c>
      <c r="S231" s="3" t="inlineStr">
        <is>
          <t>청담</t>
        </is>
      </c>
      <c r="T231" s="4" t="n">
        <v>1</v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공장/창고</t>
        </is>
      </c>
      <c r="E232" s="3" t="inlineStr">
        <is>
          <t>창고</t>
        </is>
      </c>
      <c r="F232" s="3" t="inlineStr">
        <is>
          <t>월세</t>
        </is>
      </c>
      <c r="G232" s="4" t="n">
        <v>4000</v>
      </c>
      <c r="H232" s="4" t="n">
        <v>180</v>
      </c>
      <c r="I232" s="4" t="n">
        <v>981</v>
      </c>
      <c r="J232" s="5" t="n">
        <v>0.2</v>
      </c>
      <c r="K232" s="4" t="n">
        <v>16</v>
      </c>
      <c r="L232" s="5" t="n">
        <v>11.2</v>
      </c>
      <c r="M232" s="3" t="inlineStr">
        <is>
          <t>1</t>
        </is>
      </c>
      <c r="N232" s="3" t="inlineStr">
        <is>
          <t>-</t>
        </is>
      </c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6">
        <f>HYPERLINK("http://www.eum.go.kr/web/ar/lu/luLandDet.jsp?pnu=3611036021109020000&amp;mode=search", "토지이음")</f>
        <v/>
      </c>
      <c r="S232" s="3" t="inlineStr">
        <is>
          <t>THE행복</t>
        </is>
      </c>
      <c r="T232" s="4" t="n">
        <v>1</v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공장/창고</t>
        </is>
      </c>
      <c r="E233" s="3" t="inlineStr">
        <is>
          <t>창고</t>
        </is>
      </c>
      <c r="F233" s="3" t="inlineStr">
        <is>
          <t>월세</t>
        </is>
      </c>
      <c r="G233" s="4" t="n">
        <v>1000</v>
      </c>
      <c r="H233" s="4" t="n">
        <v>150</v>
      </c>
      <c r="I233" s="4" t="n">
        <v>200</v>
      </c>
      <c r="J233" s="5" t="n">
        <v>0.8</v>
      </c>
      <c r="K233" s="4" t="n">
        <v>100</v>
      </c>
      <c r="L233" s="5" t="n">
        <v>1.5</v>
      </c>
      <c r="M233" s="3" t="inlineStr">
        <is>
          <t>1</t>
        </is>
      </c>
      <c r="N233" s="3" t="inlineStr">
        <is>
          <t>B1</t>
        </is>
      </c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6">
        <f>HYPERLINK("http://www.eum.go.kr/web/ar/lu/luLandDet.jsp?pnu=4311325023102710004&amp;mode=search", "토지이음")</f>
        <v/>
      </c>
      <c r="S233" s="3" t="inlineStr">
        <is>
          <t>오송올래</t>
        </is>
      </c>
      <c r="T233" s="4" t="n">
        <v>2</v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공장/창고</t>
        </is>
      </c>
      <c r="E234" s="3" t="inlineStr">
        <is>
          <t>창고</t>
        </is>
      </c>
      <c r="F234" s="3" t="inlineStr">
        <is>
          <t>월세</t>
        </is>
      </c>
      <c r="G234" s="4" t="n">
        <v>1000</v>
      </c>
      <c r="H234" s="4" t="n">
        <v>150</v>
      </c>
      <c r="I234" s="4" t="n">
        <v>200</v>
      </c>
      <c r="J234" s="5" t="n">
        <v>0.8</v>
      </c>
      <c r="K234" s="4" t="n">
        <v>100</v>
      </c>
      <c r="L234" s="5" t="n">
        <v>1.5</v>
      </c>
      <c r="M234" s="3" t="inlineStr">
        <is>
          <t>1</t>
        </is>
      </c>
      <c r="N234" s="3" t="inlineStr">
        <is>
          <t>-</t>
        </is>
      </c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6">
        <f>HYPERLINK("http://www.eum.go.kr/web/ar/lu/luLandDet.jsp?pnu=4311325023102710004&amp;mode=search", "토지이음")</f>
        <v/>
      </c>
      <c r="S234" s="3" t="inlineStr">
        <is>
          <t>오송2단지창조</t>
        </is>
      </c>
      <c r="T234" s="4" t="n">
        <v>1</v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공장/창고</t>
        </is>
      </c>
      <c r="E235" s="3" t="inlineStr">
        <is>
          <t>공장</t>
        </is>
      </c>
      <c r="F235" s="3" t="inlineStr">
        <is>
          <t>매매</t>
        </is>
      </c>
      <c r="G235" s="4" t="n">
        <v>129600</v>
      </c>
      <c r="H235" s="4" t="n">
        <v>0</v>
      </c>
      <c r="I235" s="4" t="n">
        <v>721</v>
      </c>
      <c r="J235" s="5" t="n">
        <v>179.8</v>
      </c>
      <c r="K235" s="4" t="n">
        <v>2209</v>
      </c>
      <c r="L235" s="5" t="n">
        <v>58.7</v>
      </c>
      <c r="M235" s="3" t="inlineStr">
        <is>
          <t>1</t>
        </is>
      </c>
      <c r="N235" s="3" t="inlineStr">
        <is>
          <t>-</t>
        </is>
      </c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6">
        <f>HYPERLINK("http://www.eum.go.kr/web/ar/lu/luLandDet.jsp?pnu=4311325024101310006&amp;mode=search", "토지이음")</f>
        <v/>
      </c>
      <c r="S235" s="3" t="inlineStr">
        <is>
          <t>365</t>
        </is>
      </c>
      <c r="T235" s="4" t="n">
        <v>1</v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공장/창고</t>
        </is>
      </c>
      <c r="E236" s="3" t="inlineStr">
        <is>
          <t>공장</t>
        </is>
      </c>
      <c r="F236" s="3" t="inlineStr">
        <is>
          <t>매매</t>
        </is>
      </c>
      <c r="G236" s="4" t="n">
        <v>150000</v>
      </c>
      <c r="H236" s="4" t="n">
        <v>0</v>
      </c>
      <c r="I236" s="4" t="n">
        <v>300</v>
      </c>
      <c r="J236" s="5" t="n">
        <v>500</v>
      </c>
      <c r="K236" s="4" t="n">
        <v>211</v>
      </c>
      <c r="L236" s="5" t="n">
        <v>710.9</v>
      </c>
      <c r="M236" s="3" t="inlineStr">
        <is>
          <t>2</t>
        </is>
      </c>
      <c r="N236" s="3" t="inlineStr">
        <is>
          <t>-</t>
        </is>
      </c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6">
        <f>HYPERLINK("http://www.eum.go.kr/web/ar/lu/luLandDet.jsp?pnu=4311325024104970019&amp;mode=search", "토지이음")</f>
        <v/>
      </c>
      <c r="S236" s="3" t="inlineStr">
        <is>
          <t>오너스</t>
        </is>
      </c>
      <c r="T236" s="4" t="n">
        <v>1</v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공장/창고</t>
        </is>
      </c>
      <c r="E237" s="3" t="inlineStr">
        <is>
          <t>공장</t>
        </is>
      </c>
      <c r="F237" s="3" t="inlineStr">
        <is>
          <t>매매</t>
        </is>
      </c>
      <c r="G237" s="4" t="n">
        <v>200000</v>
      </c>
      <c r="H237" s="4" t="n">
        <v>0</v>
      </c>
      <c r="I237" s="4" t="n">
        <v>698</v>
      </c>
      <c r="J237" s="5" t="n">
        <v>286.5</v>
      </c>
      <c r="K237" s="4" t="n">
        <v>124</v>
      </c>
      <c r="L237" s="5" t="n">
        <v>1612.9</v>
      </c>
      <c r="M237" s="3" t="inlineStr">
        <is>
          <t>1</t>
        </is>
      </c>
      <c r="N237" s="3" t="inlineStr">
        <is>
          <t>-</t>
        </is>
      </c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6">
        <f>HYPERLINK("http://www.eum.go.kr/web/ar/lu/luLandDet.jsp?pnu=4311325026106100001&amp;mode=search", "토지이음")</f>
        <v/>
      </c>
      <c r="S237" s="3" t="inlineStr">
        <is>
          <t>(주)미르</t>
        </is>
      </c>
      <c r="T237" s="4" t="n">
        <v>1</v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공장/창고</t>
        </is>
      </c>
      <c r="E238" s="3" t="inlineStr">
        <is>
          <t>공장</t>
        </is>
      </c>
      <c r="F238" s="3" t="inlineStr">
        <is>
          <t>매매</t>
        </is>
      </c>
      <c r="G238" s="4" t="n">
        <v>199000</v>
      </c>
      <c r="H238" s="4" t="n">
        <v>0</v>
      </c>
      <c r="I238" s="4" t="n">
        <v>698</v>
      </c>
      <c r="J238" s="5" t="n">
        <v>285.1</v>
      </c>
      <c r="K238" s="4" t="n">
        <v>124</v>
      </c>
      <c r="L238" s="5" t="n">
        <v>1604.8</v>
      </c>
      <c r="M238" s="3" t="inlineStr">
        <is>
          <t>1</t>
        </is>
      </c>
      <c r="N238" s="3" t="inlineStr">
        <is>
          <t>-</t>
        </is>
      </c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6">
        <f>HYPERLINK("http://www.eum.go.kr/web/ar/lu/luLandDet.jsp?pnu=4311325026106100001&amp;mode=search", "토지이음")</f>
        <v/>
      </c>
      <c r="S238" s="3" t="inlineStr">
        <is>
          <t>청담</t>
        </is>
      </c>
      <c r="T238" s="4" t="n">
        <v>2</v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공장/창고</t>
        </is>
      </c>
      <c r="E239" s="3" t="inlineStr">
        <is>
          <t>공장</t>
        </is>
      </c>
      <c r="F239" s="3" t="inlineStr">
        <is>
          <t>매매</t>
        </is>
      </c>
      <c r="G239" s="4" t="n">
        <v>550000</v>
      </c>
      <c r="H239" s="4" t="n">
        <v>0</v>
      </c>
      <c r="I239" s="4" t="n">
        <v>1961</v>
      </c>
      <c r="J239" s="5" t="n">
        <v>280.5</v>
      </c>
      <c r="K239" s="4" t="n">
        <v>301</v>
      </c>
      <c r="L239" s="5" t="n">
        <v>1827.2</v>
      </c>
      <c r="M239" s="3" t="inlineStr">
        <is>
          <t>1</t>
        </is>
      </c>
      <c r="N239" s="3" t="inlineStr">
        <is>
          <t>-</t>
        </is>
      </c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6">
        <f>HYPERLINK("http://www.eum.go.kr/web/ar/lu/luLandDet.jsp?pnu=4311325026106100002&amp;mode=search", "토지이음")</f>
        <v/>
      </c>
      <c r="S239" s="3" t="inlineStr">
        <is>
          <t>(주)미르</t>
        </is>
      </c>
      <c r="T239" s="4" t="n">
        <v>1</v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공장/창고</t>
        </is>
      </c>
      <c r="E240" s="3" t="inlineStr">
        <is>
          <t>창고</t>
        </is>
      </c>
      <c r="F240" s="3" t="inlineStr">
        <is>
          <t>월세</t>
        </is>
      </c>
      <c r="G240" s="4" t="n">
        <v>2000</v>
      </c>
      <c r="H240" s="4" t="n">
        <v>80</v>
      </c>
      <c r="I240" s="4" t="n">
        <v>236</v>
      </c>
      <c r="J240" s="5" t="n">
        <v>0.3</v>
      </c>
      <c r="K240" s="4" t="n">
        <v>52</v>
      </c>
      <c r="L240" s="5" t="n">
        <v>1.5</v>
      </c>
      <c r="M240" s="3" t="inlineStr">
        <is>
          <t>1</t>
        </is>
      </c>
      <c r="N240" s="3" t="inlineStr">
        <is>
          <t>B1</t>
        </is>
      </c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6">
        <f>HYPERLINK("http://www.eum.go.kr/web/ar/lu/luLandDet.jsp?pnu=4311325028101150011&amp;mode=search", "토지이음")</f>
        <v/>
      </c>
      <c r="S240" s="3" t="inlineStr">
        <is>
          <t>하림</t>
        </is>
      </c>
      <c r="T240" s="4" t="n">
        <v>1</v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공장/창고</t>
        </is>
      </c>
      <c r="E241" s="3" t="inlineStr">
        <is>
          <t>창고</t>
        </is>
      </c>
      <c r="F241" s="3" t="inlineStr">
        <is>
          <t>월세</t>
        </is>
      </c>
      <c r="G241" s="4" t="n">
        <v>10000</v>
      </c>
      <c r="H241" s="4" t="n">
        <v>0</v>
      </c>
      <c r="I241" s="4" t="n">
        <v>547</v>
      </c>
      <c r="J241" s="5" t="n">
        <v>0</v>
      </c>
      <c r="K241" s="4" t="n">
        <v>250</v>
      </c>
      <c r="L241" s="5" t="n">
        <v>0</v>
      </c>
      <c r="M241" s="3" t="inlineStr">
        <is>
          <t>2</t>
        </is>
      </c>
      <c r="N241" s="3" t="inlineStr">
        <is>
          <t>-</t>
        </is>
      </c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6">
        <f>HYPERLINK("http://www.eum.go.kr/web/ar/lu/luLandDet.jsp?pnu=4311325028102420018&amp;mode=search", "토지이음")</f>
        <v/>
      </c>
      <c r="S241" s="3" t="inlineStr">
        <is>
          <t>위더스</t>
        </is>
      </c>
      <c r="T241" s="4" t="n">
        <v>1</v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공장/창고</t>
        </is>
      </c>
      <c r="E242" s="3" t="inlineStr">
        <is>
          <t>창고</t>
        </is>
      </c>
      <c r="F242" s="3" t="inlineStr">
        <is>
          <t>월세</t>
        </is>
      </c>
      <c r="G242" s="4" t="n">
        <v>10000</v>
      </c>
      <c r="H242" s="4" t="n">
        <v>0</v>
      </c>
      <c r="I242" s="4" t="n">
        <v>547</v>
      </c>
      <c r="J242" s="5" t="n">
        <v>0</v>
      </c>
      <c r="K242" s="4" t="n">
        <v>250</v>
      </c>
      <c r="L242" s="5" t="n">
        <v>0</v>
      </c>
      <c r="M242" s="3" t="inlineStr">
        <is>
          <t>2</t>
        </is>
      </c>
      <c r="N242" s="3" t="inlineStr">
        <is>
          <t>-</t>
        </is>
      </c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6">
        <f>HYPERLINK("http://www.eum.go.kr/web/ar/lu/luLandDet.jsp?pnu=4311325028102420018&amp;mode=search", "토지이음")</f>
        <v/>
      </c>
      <c r="S242" s="3" t="inlineStr">
        <is>
          <t>청주1등</t>
        </is>
      </c>
      <c r="T242" s="4" t="n">
        <v>1</v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공장/창고</t>
        </is>
      </c>
      <c r="E243" s="3" t="inlineStr">
        <is>
          <t>창고</t>
        </is>
      </c>
      <c r="F243" s="3" t="inlineStr">
        <is>
          <t>월세</t>
        </is>
      </c>
      <c r="G243" s="4" t="n">
        <v>10000</v>
      </c>
      <c r="H243" s="4" t="n">
        <v>0</v>
      </c>
      <c r="I243" s="4" t="n">
        <v>1176</v>
      </c>
      <c r="J243" s="5" t="n">
        <v>0</v>
      </c>
      <c r="K243" s="4" t="n">
        <v>250</v>
      </c>
      <c r="L243" s="5" t="n">
        <v>0</v>
      </c>
      <c r="M243" s="3" t="inlineStr">
        <is>
          <t>2</t>
        </is>
      </c>
      <c r="N243" s="3" t="inlineStr">
        <is>
          <t>-</t>
        </is>
      </c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6">
        <f>HYPERLINK("http://www.eum.go.kr/web/ar/lu/luLandDet.jsp?pnu=4311325028102420018&amp;mode=search", "토지이음")</f>
        <v/>
      </c>
      <c r="S243" s="3" t="inlineStr">
        <is>
          <t>청담</t>
        </is>
      </c>
      <c r="T243" s="4" t="n">
        <v>1</v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공장/창고</t>
        </is>
      </c>
      <c r="E244" s="3" t="inlineStr">
        <is>
          <t>공장</t>
        </is>
      </c>
      <c r="F244" s="3" t="inlineStr">
        <is>
          <t>월세</t>
        </is>
      </c>
      <c r="G244" s="4" t="n">
        <v>3000</v>
      </c>
      <c r="H244" s="4" t="n">
        <v>300</v>
      </c>
      <c r="I244" s="4" t="n">
        <v>526</v>
      </c>
      <c r="J244" s="5" t="n">
        <v>0.6</v>
      </c>
      <c r="K244" s="4" t="n">
        <v>133</v>
      </c>
      <c r="L244" s="5" t="n">
        <v>2.3</v>
      </c>
      <c r="M244" s="3" t="inlineStr">
        <is>
          <t>1</t>
        </is>
      </c>
      <c r="N244" s="3" t="inlineStr">
        <is>
          <t>B1</t>
        </is>
      </c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6">
        <f>HYPERLINK("http://www.eum.go.kr/web/ar/lu/luLandDet.jsp?pnu=4311325028102460045&amp;mode=search", "토지이음")</f>
        <v/>
      </c>
      <c r="S244" s="3" t="inlineStr">
        <is>
          <t>프로</t>
        </is>
      </c>
      <c r="T244" s="4" t="n">
        <v>1</v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공장/창고</t>
        </is>
      </c>
      <c r="E245" s="3" t="inlineStr">
        <is>
          <t>공장</t>
        </is>
      </c>
      <c r="F245" s="3" t="inlineStr">
        <is>
          <t>월세</t>
        </is>
      </c>
      <c r="G245" s="4" t="n">
        <v>3000</v>
      </c>
      <c r="H245" s="4" t="n">
        <v>300</v>
      </c>
      <c r="I245" s="4" t="n">
        <v>526</v>
      </c>
      <c r="J245" s="5" t="n">
        <v>0.6</v>
      </c>
      <c r="K245" s="4" t="n">
        <v>133</v>
      </c>
      <c r="L245" s="5" t="n">
        <v>2.3</v>
      </c>
      <c r="M245" s="3" t="inlineStr">
        <is>
          <t>2</t>
        </is>
      </c>
      <c r="N245" s="3" t="inlineStr">
        <is>
          <t>-</t>
        </is>
      </c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6">
        <f>HYPERLINK("http://www.eum.go.kr/web/ar/lu/luLandDet.jsp?pnu=4311325028102460045&amp;mode=search", "토지이음")</f>
        <v/>
      </c>
      <c r="S245" s="3" t="inlineStr">
        <is>
          <t>청주1등</t>
        </is>
      </c>
      <c r="T245" s="4" t="n">
        <v>1</v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공장/창고</t>
        </is>
      </c>
      <c r="E246" s="3" t="inlineStr">
        <is>
          <t>공장</t>
        </is>
      </c>
      <c r="F246" s="3" t="inlineStr">
        <is>
          <t>월세</t>
        </is>
      </c>
      <c r="G246" s="4" t="n">
        <v>3000</v>
      </c>
      <c r="H246" s="4" t="n">
        <v>250</v>
      </c>
      <c r="I246" s="4" t="n">
        <v>526</v>
      </c>
      <c r="J246" s="5" t="n">
        <v>0.5</v>
      </c>
      <c r="K246" s="4" t="n">
        <v>133</v>
      </c>
      <c r="L246" s="5" t="n">
        <v>1.9</v>
      </c>
      <c r="M246" s="3" t="inlineStr">
        <is>
          <t>1</t>
        </is>
      </c>
      <c r="N246" s="3" t="inlineStr">
        <is>
          <t>B1</t>
        </is>
      </c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6">
        <f>HYPERLINK("http://www.eum.go.kr/web/ar/lu/luLandDet.jsp?pnu=4311325028102460045&amp;mode=search", "토지이음")</f>
        <v/>
      </c>
      <c r="S246" s="3" t="inlineStr">
        <is>
          <t>에이스</t>
        </is>
      </c>
      <c r="T246" s="4" t="n">
        <v>1</v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공장/창고</t>
        </is>
      </c>
      <c r="E247" s="3" t="inlineStr">
        <is>
          <t>공장</t>
        </is>
      </c>
      <c r="F247" s="3" t="inlineStr">
        <is>
          <t>월세</t>
        </is>
      </c>
      <c r="G247" s="4" t="n">
        <v>3000</v>
      </c>
      <c r="H247" s="4" t="n">
        <v>180</v>
      </c>
      <c r="I247" s="4" t="n">
        <v>461</v>
      </c>
      <c r="J247" s="5" t="n">
        <v>0.4</v>
      </c>
      <c r="K247" s="4" t="n">
        <v>162</v>
      </c>
      <c r="L247" s="5" t="n">
        <v>1.1</v>
      </c>
      <c r="M247" s="3" t="inlineStr">
        <is>
          <t>1</t>
        </is>
      </c>
      <c r="N247" s="3" t="inlineStr">
        <is>
          <t>-</t>
        </is>
      </c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6">
        <f>HYPERLINK("http://www.eum.go.kr/web/ar/lu/luLandDet.jsp?pnu=4311325028102460051&amp;mode=search", "토지이음")</f>
        <v/>
      </c>
      <c r="S247" s="3" t="inlineStr">
        <is>
          <t>365</t>
        </is>
      </c>
      <c r="T247" s="4" t="n">
        <v>2</v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공장/창고</t>
        </is>
      </c>
      <c r="E248" s="3" t="inlineStr">
        <is>
          <t>창고</t>
        </is>
      </c>
      <c r="F248" s="3" t="inlineStr">
        <is>
          <t>월세</t>
        </is>
      </c>
      <c r="G248" s="4" t="n">
        <v>1000</v>
      </c>
      <c r="H248" s="4" t="n">
        <v>100</v>
      </c>
      <c r="I248" s="4" t="n">
        <v>171</v>
      </c>
      <c r="J248" s="5" t="n">
        <v>0.6</v>
      </c>
      <c r="K248" s="4" t="n">
        <v>69</v>
      </c>
      <c r="L248" s="5" t="n">
        <v>1.4</v>
      </c>
      <c r="M248" s="3" t="inlineStr">
        <is>
          <t>1</t>
        </is>
      </c>
      <c r="N248" s="3" t="inlineStr">
        <is>
          <t>-</t>
        </is>
      </c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6">
        <f>HYPERLINK("http://www.eum.go.kr/web/ar/lu/luLandDet.jsp?pnu=4311325028102460071&amp;mode=search", "토지이음")</f>
        <v/>
      </c>
      <c r="S248" s="3" t="inlineStr">
        <is>
          <t>금송</t>
        </is>
      </c>
      <c r="T248" s="4" t="n">
        <v>1</v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공장/창고</t>
        </is>
      </c>
      <c r="E249" s="3" t="inlineStr">
        <is>
          <t>공장</t>
        </is>
      </c>
      <c r="F249" s="3" t="inlineStr">
        <is>
          <t>매매</t>
        </is>
      </c>
      <c r="G249" s="4" t="n">
        <v>155000</v>
      </c>
      <c r="H249" s="4" t="n">
        <v>0</v>
      </c>
      <c r="I249" s="4" t="n">
        <v>333</v>
      </c>
      <c r="J249" s="5" t="n">
        <v>465.5</v>
      </c>
      <c r="K249" s="4" t="n">
        <v>140</v>
      </c>
      <c r="L249" s="5" t="n">
        <v>1107.1</v>
      </c>
      <c r="M249" s="3" t="inlineStr">
        <is>
          <t>1</t>
        </is>
      </c>
      <c r="N249" s="3" t="inlineStr">
        <is>
          <t>-</t>
        </is>
      </c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6">
        <f>HYPERLINK("http://www.eum.go.kr/web/ar/lu/luLandDet.jsp?pnu=4311325028100630008&amp;mode=search", "토지이음")</f>
        <v/>
      </c>
      <c r="S249" s="3" t="inlineStr">
        <is>
          <t>동남조은집</t>
        </is>
      </c>
      <c r="T249" s="4" t="n">
        <v>1</v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공장/창고</t>
        </is>
      </c>
      <c r="E250" s="3" t="inlineStr">
        <is>
          <t>공장</t>
        </is>
      </c>
      <c r="F250" s="3" t="inlineStr">
        <is>
          <t>매매</t>
        </is>
      </c>
      <c r="G250" s="4" t="n">
        <v>400000</v>
      </c>
      <c r="H250" s="4" t="n">
        <v>0</v>
      </c>
      <c r="I250" s="4" t="n">
        <v>605</v>
      </c>
      <c r="J250" s="5" t="n">
        <v>661.2</v>
      </c>
      <c r="K250" s="4" t="n">
        <v>152</v>
      </c>
      <c r="L250" s="5" t="n">
        <v>2631.6</v>
      </c>
      <c r="M250" s="3" t="inlineStr">
        <is>
          <t>1</t>
        </is>
      </c>
      <c r="N250" s="3" t="inlineStr">
        <is>
          <t>-</t>
        </is>
      </c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6">
        <f>HYPERLINK("http://www.eum.go.kr/web/ar/lu/luLandDet.jsp?pnu=4311325032106360000&amp;mode=search", "토지이음")</f>
        <v/>
      </c>
      <c r="S250" s="3" t="inlineStr">
        <is>
          <t>금화랜드</t>
        </is>
      </c>
      <c r="T250" s="4" t="n">
        <v>1</v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공장/창고</t>
        </is>
      </c>
      <c r="E251" s="3" t="inlineStr">
        <is>
          <t>공장</t>
        </is>
      </c>
      <c r="F251" s="3" t="inlineStr">
        <is>
          <t>월세</t>
        </is>
      </c>
      <c r="G251" s="4" t="n">
        <v>3000</v>
      </c>
      <c r="H251" s="4" t="n">
        <v>300</v>
      </c>
      <c r="I251" s="4" t="n">
        <v>4989</v>
      </c>
      <c r="J251" s="5" t="n">
        <v>0.1</v>
      </c>
      <c r="K251" s="4" t="n">
        <v>102</v>
      </c>
      <c r="L251" s="5" t="n">
        <v>2.9</v>
      </c>
      <c r="M251" s="3" t="inlineStr">
        <is>
          <t>2</t>
        </is>
      </c>
      <c r="N251" s="3" t="inlineStr">
        <is>
          <t>-</t>
        </is>
      </c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6">
        <f>HYPERLINK("http://www.eum.go.kr/web/ar/lu/luLandDet.jsp?pnu=4311325032106510000&amp;mode=search", "토지이음")</f>
        <v/>
      </c>
      <c r="S251" s="3" t="inlineStr">
        <is>
          <t>오송올래</t>
        </is>
      </c>
      <c r="T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공장/창고</t>
        </is>
      </c>
      <c r="E252" s="3" t="inlineStr">
        <is>
          <t>공장</t>
        </is>
      </c>
      <c r="F252" s="3" t="inlineStr">
        <is>
          <t>매매</t>
        </is>
      </c>
      <c r="G252" s="4" t="n">
        <v>350000</v>
      </c>
      <c r="H252" s="4" t="n">
        <v>0</v>
      </c>
      <c r="I252" s="4" t="n">
        <v>656</v>
      </c>
      <c r="J252" s="5" t="n">
        <v>533.5</v>
      </c>
      <c r="K252" s="4" t="n">
        <v>302</v>
      </c>
      <c r="L252" s="5" t="n">
        <v>1158.9</v>
      </c>
      <c r="M252" s="3" t="inlineStr">
        <is>
          <t>2</t>
        </is>
      </c>
      <c r="N252" s="3" t="inlineStr">
        <is>
          <t>B1</t>
        </is>
      </c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6">
        <f>HYPERLINK("http://www.eum.go.kr/web/ar/lu/luLandDet.jsp?pnu=4311325032106780000&amp;mode=search", "토지이음")</f>
        <v/>
      </c>
      <c r="S252" s="3" t="inlineStr">
        <is>
          <t>우리</t>
        </is>
      </c>
      <c r="T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공장/창고</t>
        </is>
      </c>
      <c r="E253" s="3" t="inlineStr">
        <is>
          <t>공장</t>
        </is>
      </c>
      <c r="F253" s="3" t="inlineStr">
        <is>
          <t>매매</t>
        </is>
      </c>
      <c r="G253" s="4" t="n">
        <v>420000</v>
      </c>
      <c r="H253" s="4" t="n">
        <v>0</v>
      </c>
      <c r="I253" s="4" t="n">
        <v>656</v>
      </c>
      <c r="J253" s="5" t="n">
        <v>640.2</v>
      </c>
      <c r="K253" s="4" t="n">
        <v>302</v>
      </c>
      <c r="L253" s="5" t="n">
        <v>1390.7</v>
      </c>
      <c r="M253" s="3" t="inlineStr">
        <is>
          <t>2</t>
        </is>
      </c>
      <c r="N253" s="3" t="inlineStr">
        <is>
          <t>-</t>
        </is>
      </c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6">
        <f>HYPERLINK("http://www.eum.go.kr/web/ar/lu/luLandDet.jsp?pnu=4311325032106780000&amp;mode=search", "토지이음")</f>
        <v/>
      </c>
      <c r="S253" s="3" t="inlineStr">
        <is>
          <t>자이원</t>
        </is>
      </c>
      <c r="T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공장/창고</t>
        </is>
      </c>
      <c r="E254" s="3" t="inlineStr">
        <is>
          <t>공장</t>
        </is>
      </c>
      <c r="F254" s="3" t="inlineStr">
        <is>
          <t>매매</t>
        </is>
      </c>
      <c r="G254" s="4" t="n">
        <v>350000</v>
      </c>
      <c r="H254" s="4" t="n">
        <v>0</v>
      </c>
      <c r="I254" s="4" t="n">
        <v>656</v>
      </c>
      <c r="J254" s="5" t="n">
        <v>533.5</v>
      </c>
      <c r="K254" s="4" t="n">
        <v>302</v>
      </c>
      <c r="L254" s="5" t="n">
        <v>1158.9</v>
      </c>
      <c r="M254" s="3" t="inlineStr">
        <is>
          <t>2</t>
        </is>
      </c>
      <c r="N254" s="3" t="inlineStr">
        <is>
          <t>-</t>
        </is>
      </c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6">
        <f>HYPERLINK("http://www.eum.go.kr/web/ar/lu/luLandDet.jsp?pnu=4311325032106780000&amp;mode=search", "토지이음")</f>
        <v/>
      </c>
      <c r="S254" s="3" t="inlineStr">
        <is>
          <t>더원</t>
        </is>
      </c>
      <c r="T254" s="4" t="n">
        <v>1</v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공장/창고</t>
        </is>
      </c>
      <c r="E255" s="3" t="inlineStr">
        <is>
          <t>공장</t>
        </is>
      </c>
      <c r="F255" s="3" t="inlineStr">
        <is>
          <t>월세</t>
        </is>
      </c>
      <c r="G255" s="4" t="n">
        <v>18000</v>
      </c>
      <c r="H255" s="4" t="n">
        <v>0</v>
      </c>
      <c r="I255" s="4" t="n">
        <v>656</v>
      </c>
      <c r="J255" s="5" t="n">
        <v>0</v>
      </c>
      <c r="K255" s="4" t="n">
        <v>302</v>
      </c>
      <c r="L255" s="5" t="n">
        <v>0</v>
      </c>
      <c r="M255" s="3" t="inlineStr">
        <is>
          <t>2</t>
        </is>
      </c>
      <c r="N255" s="3" t="inlineStr">
        <is>
          <t>B1</t>
        </is>
      </c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6">
        <f>HYPERLINK("http://www.eum.go.kr/web/ar/lu/luLandDet.jsp?pnu=4311325032106780000&amp;mode=search", "토지이음")</f>
        <v/>
      </c>
      <c r="S255" s="3" t="inlineStr">
        <is>
          <t>우리</t>
        </is>
      </c>
      <c r="T255" s="4" t="n">
        <v>1</v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공장/창고</t>
        </is>
      </c>
      <c r="E256" s="3" t="inlineStr">
        <is>
          <t>공장</t>
        </is>
      </c>
      <c r="F256" s="3" t="inlineStr">
        <is>
          <t>매매</t>
        </is>
      </c>
      <c r="G256" s="4" t="n">
        <v>420000</v>
      </c>
      <c r="H256" s="4" t="n">
        <v>0</v>
      </c>
      <c r="I256" s="4" t="n">
        <v>656</v>
      </c>
      <c r="J256" s="5" t="n">
        <v>640.2</v>
      </c>
      <c r="K256" s="4" t="n">
        <v>302</v>
      </c>
      <c r="L256" s="5" t="n">
        <v>1390.7</v>
      </c>
      <c r="M256" s="3" t="inlineStr">
        <is>
          <t>2</t>
        </is>
      </c>
      <c r="N256" s="3" t="inlineStr">
        <is>
          <t>-</t>
        </is>
      </c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6">
        <f>HYPERLINK("http://www.eum.go.kr/web/ar/lu/luLandDet.jsp?pnu=4311325032106780000&amp;mode=search", "토지이음")</f>
        <v/>
      </c>
      <c r="S256" s="3" t="inlineStr">
        <is>
          <t>오송휴먼캐슬</t>
        </is>
      </c>
      <c r="T256" s="4" t="n">
        <v>1</v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공장/창고</t>
        </is>
      </c>
      <c r="E257" s="3" t="inlineStr">
        <is>
          <t>공장</t>
        </is>
      </c>
      <c r="F257" s="3" t="inlineStr">
        <is>
          <t>매매</t>
        </is>
      </c>
      <c r="G257" s="4" t="n">
        <v>350000</v>
      </c>
      <c r="H257" s="4" t="n">
        <v>0</v>
      </c>
      <c r="I257" s="4" t="n">
        <v>656</v>
      </c>
      <c r="J257" s="5" t="n">
        <v>533.5</v>
      </c>
      <c r="K257" s="4" t="n">
        <v>179</v>
      </c>
      <c r="L257" s="5" t="n">
        <v>1955.3</v>
      </c>
      <c r="M257" s="3" t="inlineStr">
        <is>
          <t>1</t>
        </is>
      </c>
      <c r="N257" s="3" t="inlineStr">
        <is>
          <t>-</t>
        </is>
      </c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6">
        <f>HYPERLINK("http://www.eum.go.kr/web/ar/lu/luLandDet.jsp?pnu=4311325032106780000&amp;mode=search", "토지이음")</f>
        <v/>
      </c>
      <c r="S257" s="3" t="inlineStr">
        <is>
          <t>오송2단지창조</t>
        </is>
      </c>
      <c r="T257" s="4" t="n">
        <v>3</v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공장/창고</t>
        </is>
      </c>
      <c r="E258" s="3" t="inlineStr">
        <is>
          <t>공장</t>
        </is>
      </c>
      <c r="F258" s="3" t="inlineStr">
        <is>
          <t>월세</t>
        </is>
      </c>
      <c r="G258" s="4" t="n">
        <v>18000</v>
      </c>
      <c r="H258" s="4" t="n">
        <v>0</v>
      </c>
      <c r="I258" s="4" t="n">
        <v>656</v>
      </c>
      <c r="J258" s="5" t="n">
        <v>0</v>
      </c>
      <c r="K258" s="4" t="n">
        <v>302</v>
      </c>
      <c r="L258" s="5" t="n">
        <v>0</v>
      </c>
      <c r="M258" s="3" t="inlineStr">
        <is>
          <t>2</t>
        </is>
      </c>
      <c r="N258" s="3" t="inlineStr">
        <is>
          <t>-</t>
        </is>
      </c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6">
        <f>HYPERLINK("http://www.eum.go.kr/web/ar/lu/luLandDet.jsp?pnu=4311325032106780000&amp;mode=search", "토지이음")</f>
        <v/>
      </c>
      <c r="S258" s="3" t="inlineStr">
        <is>
          <t>더원</t>
        </is>
      </c>
      <c r="T258" s="4" t="n">
        <v>1</v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공장/창고</t>
        </is>
      </c>
      <c r="E259" s="3" t="inlineStr">
        <is>
          <t>공장</t>
        </is>
      </c>
      <c r="F259" s="3" t="inlineStr">
        <is>
          <t>월세</t>
        </is>
      </c>
      <c r="G259" s="4" t="n">
        <v>18000</v>
      </c>
      <c r="H259" s="4" t="n">
        <v>0</v>
      </c>
      <c r="I259" s="4" t="n">
        <v>656</v>
      </c>
      <c r="J259" s="5" t="n">
        <v>0</v>
      </c>
      <c r="K259" s="4" t="n">
        <v>302</v>
      </c>
      <c r="L259" s="5" t="n">
        <v>0</v>
      </c>
      <c r="M259" s="3" t="inlineStr">
        <is>
          <t>2</t>
        </is>
      </c>
      <c r="N259" s="3" t="inlineStr">
        <is>
          <t>-</t>
        </is>
      </c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6">
        <f>HYPERLINK("http://www.eum.go.kr/web/ar/lu/luLandDet.jsp?pnu=4311325032106780000&amp;mode=search", "토지이음")</f>
        <v/>
      </c>
      <c r="S259" s="3" t="inlineStr">
        <is>
          <t>(주)미르</t>
        </is>
      </c>
      <c r="T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공장/창고</t>
        </is>
      </c>
      <c r="E260" s="3" t="inlineStr">
        <is>
          <t>공장</t>
        </is>
      </c>
      <c r="F260" s="3" t="inlineStr">
        <is>
          <t>월세</t>
        </is>
      </c>
      <c r="G260" s="4" t="n">
        <v>30000</v>
      </c>
      <c r="H260" s="4" t="n">
        <v>0</v>
      </c>
      <c r="I260" s="4" t="n">
        <v>3266</v>
      </c>
      <c r="J260" s="5" t="n">
        <v>0</v>
      </c>
      <c r="K260" s="4" t="n">
        <v>700</v>
      </c>
      <c r="L260" s="5" t="n">
        <v>0</v>
      </c>
      <c r="M260" s="3" t="inlineStr">
        <is>
          <t>5</t>
        </is>
      </c>
      <c r="N260" s="3" t="inlineStr">
        <is>
          <t>-</t>
        </is>
      </c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6">
        <f>HYPERLINK("http://www.eum.go.kr/web/ar/lu/luLandDet.jsp?pnu=4311325032107180000&amp;mode=search", "토지이음")</f>
        <v/>
      </c>
      <c r="S260" s="3" t="inlineStr">
        <is>
          <t>(주)미르</t>
        </is>
      </c>
      <c r="T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공장/창고</t>
        </is>
      </c>
      <c r="E261" s="3" t="inlineStr">
        <is>
          <t>공장</t>
        </is>
      </c>
      <c r="F261" s="3" t="inlineStr">
        <is>
          <t>매매</t>
        </is>
      </c>
      <c r="G261" s="4" t="n">
        <v>5000000</v>
      </c>
      <c r="H261" s="4" t="n">
        <v>0</v>
      </c>
      <c r="I261" s="4" t="n">
        <v>3266</v>
      </c>
      <c r="J261" s="5" t="n">
        <v>1530.9</v>
      </c>
      <c r="K261" s="4" t="n">
        <v>4465</v>
      </c>
      <c r="L261" s="5" t="n">
        <v>1119.8</v>
      </c>
      <c r="M261" s="3" t="inlineStr">
        <is>
          <t>5</t>
        </is>
      </c>
      <c r="N261" s="3" t="inlineStr">
        <is>
          <t>-</t>
        </is>
      </c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6">
        <f>HYPERLINK("http://www.eum.go.kr/web/ar/lu/luLandDet.jsp?pnu=4311325032107180000&amp;mode=search", "토지이음")</f>
        <v/>
      </c>
      <c r="S261" s="3" t="inlineStr">
        <is>
          <t>월드</t>
        </is>
      </c>
      <c r="T261" s="4" t="n">
        <v>2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공장/창고</t>
        </is>
      </c>
      <c r="E262" s="3" t="inlineStr">
        <is>
          <t>공장</t>
        </is>
      </c>
      <c r="F262" s="3" t="inlineStr">
        <is>
          <t>월세</t>
        </is>
      </c>
      <c r="G262" s="4" t="n">
        <v>100000</v>
      </c>
      <c r="H262" s="4" t="n">
        <v>0</v>
      </c>
      <c r="I262" s="4" t="n">
        <v>3266</v>
      </c>
      <c r="J262" s="5" t="n">
        <v>0</v>
      </c>
      <c r="K262" s="4" t="n">
        <v>4465</v>
      </c>
      <c r="L262" s="5" t="n">
        <v>0</v>
      </c>
      <c r="M262" s="3" t="inlineStr">
        <is>
          <t>5</t>
        </is>
      </c>
      <c r="N262" s="3" t="inlineStr">
        <is>
          <t>-</t>
        </is>
      </c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6">
        <f>HYPERLINK("http://www.eum.go.kr/web/ar/lu/luLandDet.jsp?pnu=4311325032107180000&amp;mode=search", "토지이음")</f>
        <v/>
      </c>
      <c r="S262" s="3" t="inlineStr">
        <is>
          <t>월드</t>
        </is>
      </c>
      <c r="T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공장/창고</t>
        </is>
      </c>
      <c r="E263" s="3" t="inlineStr">
        <is>
          <t>공장</t>
        </is>
      </c>
      <c r="F263" s="3" t="inlineStr">
        <is>
          <t>월세</t>
        </is>
      </c>
      <c r="G263" s="4" t="n">
        <v>35000</v>
      </c>
      <c r="H263" s="4" t="n">
        <v>0</v>
      </c>
      <c r="I263" s="4" t="n">
        <v>3266</v>
      </c>
      <c r="J263" s="5" t="n">
        <v>0</v>
      </c>
      <c r="K263" s="4" t="n">
        <v>1094</v>
      </c>
      <c r="L263" s="5" t="n">
        <v>0</v>
      </c>
      <c r="M263" s="3" t="inlineStr">
        <is>
          <t>5</t>
        </is>
      </c>
      <c r="N263" s="3" t="inlineStr">
        <is>
          <t>-</t>
        </is>
      </c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6">
        <f>HYPERLINK("http://www.eum.go.kr/web/ar/lu/luLandDet.jsp?pnu=4311325032107180000&amp;mode=search", "토지이음")</f>
        <v/>
      </c>
      <c r="S263" s="3" t="inlineStr">
        <is>
          <t>(주)미르</t>
        </is>
      </c>
      <c r="T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공장/창고</t>
        </is>
      </c>
      <c r="E264" s="3" t="inlineStr">
        <is>
          <t>공장</t>
        </is>
      </c>
      <c r="F264" s="3" t="inlineStr">
        <is>
          <t>월세</t>
        </is>
      </c>
      <c r="G264" s="4" t="n">
        <v>35000</v>
      </c>
      <c r="H264" s="4" t="n">
        <v>0</v>
      </c>
      <c r="I264" s="4" t="n">
        <v>3266</v>
      </c>
      <c r="J264" s="5" t="n">
        <v>0</v>
      </c>
      <c r="K264" s="4" t="n">
        <v>1094</v>
      </c>
      <c r="L264" s="5" t="n">
        <v>0</v>
      </c>
      <c r="M264" s="3" t="inlineStr">
        <is>
          <t>5</t>
        </is>
      </c>
      <c r="N264" s="3" t="inlineStr">
        <is>
          <t>-</t>
        </is>
      </c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6">
        <f>HYPERLINK("http://www.eum.go.kr/web/ar/lu/luLandDet.jsp?pnu=4311325032107180000&amp;mode=search", "토지이음")</f>
        <v/>
      </c>
      <c r="S264" s="3" t="inlineStr">
        <is>
          <t>더원</t>
        </is>
      </c>
      <c r="T264" s="4" t="n">
        <v>1</v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공장/창고</t>
        </is>
      </c>
      <c r="E265" s="3" t="inlineStr">
        <is>
          <t>공장</t>
        </is>
      </c>
      <c r="F265" s="3" t="inlineStr">
        <is>
          <t>월세</t>
        </is>
      </c>
      <c r="G265" s="4" t="n">
        <v>100000</v>
      </c>
      <c r="H265" s="4" t="n">
        <v>0</v>
      </c>
      <c r="I265" s="4" t="n">
        <v>3266</v>
      </c>
      <c r="J265" s="5" t="n">
        <v>0</v>
      </c>
      <c r="K265" s="4" t="n">
        <v>4557</v>
      </c>
      <c r="L265" s="5" t="n">
        <v>0</v>
      </c>
      <c r="M265" s="3" t="inlineStr">
        <is>
          <t>5</t>
        </is>
      </c>
      <c r="N265" s="3" t="inlineStr">
        <is>
          <t>-</t>
        </is>
      </c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6">
        <f>HYPERLINK("http://www.eum.go.kr/web/ar/lu/luLandDet.jsp?pnu=4311325032107180000&amp;mode=search", "토지이음")</f>
        <v/>
      </c>
      <c r="S265" s="3" t="inlineStr">
        <is>
          <t>금화랜드</t>
        </is>
      </c>
      <c r="T265" s="4" t="n">
        <v>2</v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공장/창고</t>
        </is>
      </c>
      <c r="E266" s="3" t="inlineStr">
        <is>
          <t>공장</t>
        </is>
      </c>
      <c r="F266" s="3" t="inlineStr">
        <is>
          <t>매매</t>
        </is>
      </c>
      <c r="G266" s="4" t="n">
        <v>5000000</v>
      </c>
      <c r="H266" s="4" t="n">
        <v>0</v>
      </c>
      <c r="I266" s="4" t="n">
        <v>3266</v>
      </c>
      <c r="J266" s="5" t="n">
        <v>1530.9</v>
      </c>
      <c r="K266" s="4" t="n">
        <v>4465</v>
      </c>
      <c r="L266" s="5" t="n">
        <v>1119.8</v>
      </c>
      <c r="M266" s="3" t="inlineStr">
        <is>
          <t>5</t>
        </is>
      </c>
      <c r="N266" s="3" t="inlineStr">
        <is>
          <t>-</t>
        </is>
      </c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6">
        <f>HYPERLINK("http://www.eum.go.kr/web/ar/lu/luLandDet.jsp?pnu=4311325032107180000&amp;mode=search", "토지이음")</f>
        <v/>
      </c>
      <c r="S266" s="3" t="inlineStr">
        <is>
          <t>더원</t>
        </is>
      </c>
      <c r="T266" s="4" t="n">
        <v>1</v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공장/창고</t>
        </is>
      </c>
      <c r="E267" s="3" t="inlineStr">
        <is>
          <t>공장</t>
        </is>
      </c>
      <c r="F267" s="3" t="inlineStr">
        <is>
          <t>매매</t>
        </is>
      </c>
      <c r="G267" s="4" t="n">
        <v>5000000</v>
      </c>
      <c r="H267" s="4" t="n">
        <v>0</v>
      </c>
      <c r="I267" s="4" t="n">
        <v>3266</v>
      </c>
      <c r="J267" s="5" t="n">
        <v>1530.9</v>
      </c>
      <c r="K267" s="4" t="n">
        <v>4465</v>
      </c>
      <c r="L267" s="5" t="n">
        <v>1119.8</v>
      </c>
      <c r="M267" s="3" t="inlineStr">
        <is>
          <t>5</t>
        </is>
      </c>
      <c r="N267" s="3" t="inlineStr">
        <is>
          <t>-</t>
        </is>
      </c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6">
        <f>HYPERLINK("http://www.eum.go.kr/web/ar/lu/luLandDet.jsp?pnu=4311325032107180000&amp;mode=search", "토지이음")</f>
        <v/>
      </c>
      <c r="S267" s="3" t="inlineStr">
        <is>
          <t>(주)미르</t>
        </is>
      </c>
      <c r="T267" s="4" t="n">
        <v>2</v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공장/창고</t>
        </is>
      </c>
      <c r="E268" s="3" t="inlineStr">
        <is>
          <t>공장</t>
        </is>
      </c>
      <c r="F268" s="3" t="inlineStr">
        <is>
          <t>월세</t>
        </is>
      </c>
      <c r="G268" s="4" t="n">
        <v>35000</v>
      </c>
      <c r="H268" s="4" t="n">
        <v>0</v>
      </c>
      <c r="I268" s="4" t="n">
        <v>3266</v>
      </c>
      <c r="J268" s="5" t="n">
        <v>0</v>
      </c>
      <c r="K268" s="4" t="n">
        <v>4557</v>
      </c>
      <c r="L268" s="5" t="n">
        <v>0</v>
      </c>
      <c r="M268" s="3" t="inlineStr">
        <is>
          <t>5</t>
        </is>
      </c>
      <c r="N268" s="3" t="inlineStr">
        <is>
          <t>-</t>
        </is>
      </c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6">
        <f>HYPERLINK("http://www.eum.go.kr/web/ar/lu/luLandDet.jsp?pnu=4311325032107180000&amp;mode=search", "토지이음")</f>
        <v/>
      </c>
      <c r="S268" s="3" t="inlineStr">
        <is>
          <t>금화랜드</t>
        </is>
      </c>
      <c r="T268" s="4" t="n">
        <v>1</v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공장/창고</t>
        </is>
      </c>
      <c r="E269" s="3" t="inlineStr">
        <is>
          <t>공장</t>
        </is>
      </c>
      <c r="F269" s="3" t="inlineStr">
        <is>
          <t>월세</t>
        </is>
      </c>
      <c r="G269" s="4" t="n">
        <v>100000</v>
      </c>
      <c r="H269" s="4" t="n">
        <v>0</v>
      </c>
      <c r="I269" s="4" t="n">
        <v>3266</v>
      </c>
      <c r="J269" s="5" t="n">
        <v>0</v>
      </c>
      <c r="K269" s="4" t="n">
        <v>4557</v>
      </c>
      <c r="L269" s="5" t="n">
        <v>0</v>
      </c>
      <c r="M269" s="3" t="inlineStr">
        <is>
          <t>5</t>
        </is>
      </c>
      <c r="N269" s="3" t="inlineStr">
        <is>
          <t>-</t>
        </is>
      </c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6">
        <f>HYPERLINK("http://www.eum.go.kr/web/ar/lu/luLandDet.jsp?pnu=4311325032107180000&amp;mode=search", "토지이음")</f>
        <v/>
      </c>
      <c r="S269" s="3" t="inlineStr">
        <is>
          <t>더원</t>
        </is>
      </c>
      <c r="T269" s="4" t="n">
        <v>1</v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공장/창고</t>
        </is>
      </c>
      <c r="E270" s="3" t="inlineStr">
        <is>
          <t>공장</t>
        </is>
      </c>
      <c r="F270" s="3" t="inlineStr">
        <is>
          <t>매매</t>
        </is>
      </c>
      <c r="G270" s="4" t="n">
        <v>1150000</v>
      </c>
      <c r="H270" s="4" t="n">
        <v>0</v>
      </c>
      <c r="I270" s="4" t="n">
        <v>1512</v>
      </c>
      <c r="J270" s="5" t="n">
        <v>760.6</v>
      </c>
      <c r="K270" s="4" t="n">
        <v>2995</v>
      </c>
      <c r="L270" s="5" t="n">
        <v>384</v>
      </c>
      <c r="M270" s="3" t="inlineStr">
        <is>
          <t>3</t>
        </is>
      </c>
      <c r="N270" s="3" t="inlineStr">
        <is>
          <t>-</t>
        </is>
      </c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6">
        <f>HYPERLINK("http://www.eum.go.kr/web/ar/lu/luLandDet.jsp?pnu=4311325032107970000&amp;mode=search", "토지이음")</f>
        <v/>
      </c>
      <c r="S270" s="3" t="inlineStr">
        <is>
          <t>일오팔팔(주)</t>
        </is>
      </c>
      <c r="T270" s="4" t="n">
        <v>3</v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공장/창고</t>
        </is>
      </c>
      <c r="E271" s="3" t="inlineStr">
        <is>
          <t>공장</t>
        </is>
      </c>
      <c r="F271" s="3" t="inlineStr">
        <is>
          <t>월세</t>
        </is>
      </c>
      <c r="G271" s="4" t="n">
        <v>45000</v>
      </c>
      <c r="H271" s="4" t="n">
        <v>0</v>
      </c>
      <c r="I271" s="4" t="n">
        <v>1512</v>
      </c>
      <c r="J271" s="5" t="n">
        <v>0</v>
      </c>
      <c r="K271" s="4" t="n">
        <v>2963</v>
      </c>
      <c r="L271" s="5" t="n">
        <v>0</v>
      </c>
      <c r="M271" s="3" t="inlineStr">
        <is>
          <t>3</t>
        </is>
      </c>
      <c r="N271" s="3" t="inlineStr">
        <is>
          <t>-</t>
        </is>
      </c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6">
        <f>HYPERLINK("http://www.eum.go.kr/web/ar/lu/luLandDet.jsp?pnu=4311325032107970000&amp;mode=search", "토지이음")</f>
        <v/>
      </c>
      <c r="S271" s="3" t="inlineStr">
        <is>
          <t>(주)미르</t>
        </is>
      </c>
      <c r="T271" s="4" t="n">
        <v>1</v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공장/창고</t>
        </is>
      </c>
      <c r="E272" s="3" t="inlineStr">
        <is>
          <t>공장</t>
        </is>
      </c>
      <c r="F272" s="3" t="inlineStr">
        <is>
          <t>매매</t>
        </is>
      </c>
      <c r="G272" s="4" t="n">
        <v>1150000</v>
      </c>
      <c r="H272" s="4" t="n">
        <v>0</v>
      </c>
      <c r="I272" s="4" t="n">
        <v>1512</v>
      </c>
      <c r="J272" s="5" t="n">
        <v>760.6</v>
      </c>
      <c r="K272" s="4" t="n">
        <v>2963</v>
      </c>
      <c r="L272" s="5" t="n">
        <v>388.1</v>
      </c>
      <c r="M272" s="3" t="inlineStr">
        <is>
          <t>3</t>
        </is>
      </c>
      <c r="N272" s="3" t="inlineStr">
        <is>
          <t>-</t>
        </is>
      </c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6">
        <f>HYPERLINK("http://www.eum.go.kr/web/ar/lu/luLandDet.jsp?pnu=4311325032107970000&amp;mode=search", "토지이음")</f>
        <v/>
      </c>
      <c r="S272" s="3" t="inlineStr">
        <is>
          <t>더원</t>
        </is>
      </c>
      <c r="T272" s="4" t="n">
        <v>1</v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공장/창고</t>
        </is>
      </c>
      <c r="E273" s="3" t="inlineStr">
        <is>
          <t>창고</t>
        </is>
      </c>
      <c r="F273" s="3" t="inlineStr">
        <is>
          <t>매매</t>
        </is>
      </c>
      <c r="G273" s="4" t="n">
        <v>2500000</v>
      </c>
      <c r="H273" s="4" t="n">
        <v>0</v>
      </c>
      <c r="I273" s="4" t="n">
        <v>2941</v>
      </c>
      <c r="J273" s="5" t="n">
        <v>850.1</v>
      </c>
      <c r="K273" s="4" t="n">
        <v>4083</v>
      </c>
      <c r="L273" s="5" t="n">
        <v>612.3</v>
      </c>
      <c r="M273" s="3" t="inlineStr">
        <is>
          <t>3</t>
        </is>
      </c>
      <c r="N273" s="3" t="inlineStr">
        <is>
          <t>B2</t>
        </is>
      </c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6">
        <f>HYPERLINK("http://www.eum.go.kr/web/ar/lu/luLandDet.jsp?pnu=3611025031100530000&amp;mode=search", "토지이음")</f>
        <v/>
      </c>
      <c r="S273" s="3" t="inlineStr">
        <is>
          <t>월드</t>
        </is>
      </c>
      <c r="T273" s="4" t="n">
        <v>1</v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공장/창고</t>
        </is>
      </c>
      <c r="E274" s="3" t="inlineStr">
        <is>
          <t>공장</t>
        </is>
      </c>
      <c r="F274" s="3" t="inlineStr">
        <is>
          <t>매매</t>
        </is>
      </c>
      <c r="G274" s="4" t="n">
        <v>280000</v>
      </c>
      <c r="H274" s="4" t="n">
        <v>0</v>
      </c>
      <c r="I274" s="4" t="n">
        <v>796</v>
      </c>
      <c r="J274" s="5" t="n">
        <v>351.8</v>
      </c>
      <c r="K274" s="4" t="n">
        <v>313</v>
      </c>
      <c r="L274" s="5" t="n">
        <v>894.6</v>
      </c>
      <c r="M274" s="3" t="inlineStr">
        <is>
          <t>1</t>
        </is>
      </c>
      <c r="N274" s="3" t="inlineStr">
        <is>
          <t>B1</t>
        </is>
      </c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6">
        <f>HYPERLINK("http://www.eum.go.kr/web/ar/lu/luLandDet.jsp?pnu=3611025033102960000&amp;mode=search", "토지이음")</f>
        <v/>
      </c>
      <c r="S274" s="3" t="inlineStr">
        <is>
          <t>프로</t>
        </is>
      </c>
      <c r="T274" s="4" t="n">
        <v>1</v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공장/창고</t>
        </is>
      </c>
      <c r="E275" s="3" t="inlineStr">
        <is>
          <t>창고</t>
        </is>
      </c>
      <c r="F275" s="3" t="inlineStr">
        <is>
          <t>매매</t>
        </is>
      </c>
      <c r="G275" s="4" t="n">
        <v>140000</v>
      </c>
      <c r="H275" s="4" t="n">
        <v>0</v>
      </c>
      <c r="I275" s="4" t="n">
        <v>204</v>
      </c>
      <c r="J275" s="5" t="n">
        <v>686.3</v>
      </c>
      <c r="K275" s="4" t="n">
        <v>120</v>
      </c>
      <c r="L275" s="5" t="n">
        <v>1166.7</v>
      </c>
      <c r="M275" s="3" t="inlineStr">
        <is>
          <t>2</t>
        </is>
      </c>
      <c r="N275" s="3" t="inlineStr">
        <is>
          <t>-</t>
        </is>
      </c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6">
        <f>HYPERLINK("http://www.eum.go.kr/web/ar/lu/luLandDet.jsp?pnu=3611025034102020005&amp;mode=search", "토지이음")</f>
        <v/>
      </c>
      <c r="S275" s="3" t="inlineStr">
        <is>
          <t>청담</t>
        </is>
      </c>
      <c r="T275" s="4" t="n">
        <v>1</v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공장/창고</t>
        </is>
      </c>
      <c r="E276" s="3" t="inlineStr">
        <is>
          <t>창고</t>
        </is>
      </c>
      <c r="F276" s="3" t="inlineStr">
        <is>
          <t>매매</t>
        </is>
      </c>
      <c r="G276" s="4" t="n">
        <v>140000</v>
      </c>
      <c r="H276" s="4" t="n">
        <v>0</v>
      </c>
      <c r="I276" s="4" t="n">
        <v>201</v>
      </c>
      <c r="J276" s="5" t="n">
        <v>696.5</v>
      </c>
      <c r="K276" s="4" t="n">
        <v>120</v>
      </c>
      <c r="L276" s="5" t="n">
        <v>1166.7</v>
      </c>
      <c r="M276" s="3" t="inlineStr">
        <is>
          <t>2</t>
        </is>
      </c>
      <c r="N276" s="3" t="inlineStr">
        <is>
          <t>-</t>
        </is>
      </c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6">
        <f>HYPERLINK("http://www.eum.go.kr/web/ar/lu/luLandDet.jsp?pnu=3611025034102020005&amp;mode=search", "토지이음")</f>
        <v/>
      </c>
      <c r="S276" s="3" t="inlineStr">
        <is>
          <t>THE행복</t>
        </is>
      </c>
      <c r="T276" s="4" t="n">
        <v>1</v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공장/창고</t>
        </is>
      </c>
      <c r="E277" s="3" t="inlineStr">
        <is>
          <t>창고</t>
        </is>
      </c>
      <c r="F277" s="3" t="inlineStr">
        <is>
          <t>매매</t>
        </is>
      </c>
      <c r="G277" s="4" t="n">
        <v>140000</v>
      </c>
      <c r="H277" s="4" t="n">
        <v>0</v>
      </c>
      <c r="I277" s="4" t="n">
        <v>204</v>
      </c>
      <c r="J277" s="5" t="n">
        <v>686.3</v>
      </c>
      <c r="K277" s="4" t="n">
        <v>120</v>
      </c>
      <c r="L277" s="5" t="n">
        <v>1166.7</v>
      </c>
      <c r="M277" s="3" t="inlineStr">
        <is>
          <t>2</t>
        </is>
      </c>
      <c r="N277" s="3" t="inlineStr">
        <is>
          <t>-</t>
        </is>
      </c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6">
        <f>HYPERLINK("http://www.eum.go.kr/web/ar/lu/luLandDet.jsp?pnu=3611025034102020005&amp;mode=search", "토지이음")</f>
        <v/>
      </c>
      <c r="S277" s="3" t="inlineStr">
        <is>
          <t>청담</t>
        </is>
      </c>
      <c r="T277" s="4" t="n">
        <v>1</v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공장/창고</t>
        </is>
      </c>
      <c r="E278" s="3" t="inlineStr">
        <is>
          <t>기타</t>
        </is>
      </c>
      <c r="F278" s="3" t="inlineStr">
        <is>
          <t>매매</t>
        </is>
      </c>
      <c r="G278" s="4" t="n">
        <v>2070000</v>
      </c>
      <c r="H278" s="4" t="n">
        <v>0</v>
      </c>
      <c r="I278" s="4" t="n">
        <v>769</v>
      </c>
      <c r="J278" s="5" t="n">
        <v>2691.8</v>
      </c>
      <c r="K278" s="4" t="n">
        <v>1898</v>
      </c>
      <c r="L278" s="5" t="n">
        <v>1090.6</v>
      </c>
      <c r="M278" s="3" t="inlineStr">
        <is>
          <t>7</t>
        </is>
      </c>
      <c r="N278" s="3" t="inlineStr">
        <is>
          <t>B2</t>
        </is>
      </c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6">
        <f>HYPERLINK("http://www.eum.go.kr/web/ar/lu/luLandDet.jsp?pnu=3611011800111320000&amp;mode=search", "토지이음")</f>
        <v/>
      </c>
      <c r="S278" s="3" t="inlineStr">
        <is>
          <t>공장전문주식회사</t>
        </is>
      </c>
      <c r="T278" s="4" t="n">
        <v>1</v>
      </c>
    </row>
  </sheetData>
  <autoFilter ref="A1:T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방향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업소</t>
        </is>
      </c>
      <c r="R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108</v>
      </c>
      <c r="J2" s="5" t="n">
        <v>2083.3</v>
      </c>
      <c r="K2" s="4" t="n">
        <v>139</v>
      </c>
      <c r="L2" s="5" t="n">
        <v>1618.7</v>
      </c>
      <c r="M2" s="3" t="inlineStr">
        <is>
          <t>남동향</t>
        </is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3" t="inlineStr">
        <is>
          <t>오송3산단  사무소</t>
        </is>
      </c>
      <c r="R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110</v>
      </c>
      <c r="J3" s="5" t="n">
        <v>1136.4</v>
      </c>
      <c r="K3" s="4" t="n">
        <v>44</v>
      </c>
      <c r="L3" s="5" t="n">
        <v>2840.9</v>
      </c>
      <c r="M3" s="3" t="inlineStr">
        <is>
          <t>남향</t>
        </is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3" t="inlineStr">
        <is>
          <t>세종시삼성래미안</t>
        </is>
      </c>
      <c r="R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107</v>
      </c>
      <c r="J4" s="5" t="n">
        <v>1018.7</v>
      </c>
      <c r="K4" s="4" t="n">
        <v>75</v>
      </c>
      <c r="L4" s="5" t="n">
        <v>1453.3</v>
      </c>
      <c r="M4" s="3" t="inlineStr">
        <is>
          <t>남향</t>
        </is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3" t="inlineStr">
        <is>
          <t>세종무지개</t>
        </is>
      </c>
      <c r="R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107</v>
      </c>
      <c r="J5" s="5" t="n">
        <v>1018.7</v>
      </c>
      <c r="K5" s="4" t="n">
        <v>75</v>
      </c>
      <c r="L5" s="5" t="n">
        <v>1453.3</v>
      </c>
      <c r="M5" s="3" t="inlineStr">
        <is>
          <t>남향</t>
        </is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3" t="inlineStr">
        <is>
          <t>새롬스마트</t>
        </is>
      </c>
      <c r="R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107</v>
      </c>
      <c r="J6" s="5" t="n">
        <v>1018.7</v>
      </c>
      <c r="K6" s="4" t="n">
        <v>75</v>
      </c>
      <c r="L6" s="5" t="n">
        <v>1453.3</v>
      </c>
      <c r="M6" s="3" t="inlineStr">
        <is>
          <t>남향</t>
        </is>
      </c>
      <c r="N6" s="3" t="inlineStr">
        <is>
          <t>가격조율 가능, 이사협의, 태양광 설치, 시스템에어컨 9대</t>
        </is>
      </c>
      <c r="O6" s="6">
        <f>HYPERLINK("https://fin.land.naver.com/articles/2645034372", "매물Link")</f>
        <v/>
      </c>
      <c r="P6" s="6">
        <f>HYPERLINK("https://map.naver.com/p/search/고운동 1116", "지도Link")</f>
        <v/>
      </c>
      <c r="Q6" s="3" t="inlineStr">
        <is>
          <t>이즈 세종백화</t>
        </is>
      </c>
      <c r="R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102</v>
      </c>
      <c r="J7" s="5" t="n">
        <v>1029.4</v>
      </c>
      <c r="K7" s="4" t="n">
        <v>37</v>
      </c>
      <c r="L7" s="5" t="n">
        <v>2837.8</v>
      </c>
      <c r="M7" s="3" t="inlineStr">
        <is>
          <t>남향</t>
        </is>
      </c>
      <c r="N7" s="3" t="inlineStr">
        <is>
          <t>신축 단독주택, 화이트톤 깔끔, 올에어컨, 친환경 ACL주택</t>
        </is>
      </c>
      <c r="O7" s="6">
        <f>HYPERLINK("https://fin.land.naver.com/articles/2647304143", "매물Link")</f>
        <v/>
      </c>
      <c r="P7" s="6">
        <f>HYPERLINK("https://map.naver.com/p/search/고운동 1232", "지도Link")</f>
        <v/>
      </c>
      <c r="Q7" s="3" t="inlineStr">
        <is>
          <t>명진</t>
        </is>
      </c>
      <c r="R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102</v>
      </c>
      <c r="J8" s="5" t="n">
        <v>1029.4</v>
      </c>
      <c r="K8" s="4" t="n">
        <v>37</v>
      </c>
      <c r="L8" s="5" t="n">
        <v>2837.8</v>
      </c>
      <c r="M8" s="3" t="inlineStr">
        <is>
          <t>남향</t>
        </is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3" t="inlineStr">
        <is>
          <t>세종무지개</t>
        </is>
      </c>
      <c r="R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102</v>
      </c>
      <c r="J9" s="5" t="n">
        <v>1029.4</v>
      </c>
      <c r="K9" s="4" t="n">
        <v>37</v>
      </c>
      <c r="L9" s="5" t="n">
        <v>2837.8</v>
      </c>
      <c r="M9" s="3" t="inlineStr">
        <is>
          <t>남서향</t>
        </is>
      </c>
      <c r="N9" s="3" t="inlineStr">
        <is>
          <t>조율가능 실개천인근 신축 ALC블럭 주택</t>
        </is>
      </c>
      <c r="O9" s="6">
        <f>HYPERLINK("https://fin.land.naver.com/articles/2644908997", "매물Link")</f>
        <v/>
      </c>
      <c r="P9" s="6">
        <f>HYPERLINK("https://map.naver.com/p/search/고운동 1232", "지도Link")</f>
        <v/>
      </c>
      <c r="Q9" s="3" t="inlineStr">
        <is>
          <t>세종스타</t>
        </is>
      </c>
      <c r="R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103</v>
      </c>
      <c r="J10" s="5" t="n">
        <v>1310.7</v>
      </c>
      <c r="K10" s="4" t="n">
        <v>64</v>
      </c>
      <c r="L10" s="5" t="n">
        <v>2109.4</v>
      </c>
      <c r="M10" s="3" t="inlineStr">
        <is>
          <t>남향</t>
        </is>
      </c>
      <c r="N10" s="3" t="inlineStr">
        <is>
          <t>공원조망 최상. 거실이 넓은 주택</t>
        </is>
      </c>
      <c r="O10" s="6">
        <f>HYPERLINK("https://fin.land.naver.com/articles/2646427418", "매물Link")</f>
        <v/>
      </c>
      <c r="P10" s="6">
        <f>HYPERLINK("https://map.naver.com/p/search/고운동 1431", "지도Link")</f>
        <v/>
      </c>
      <c r="Q10" s="3" t="inlineStr">
        <is>
          <t>세종삼촌</t>
        </is>
      </c>
      <c r="R10" s="4" t="n">
        <v>2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100</v>
      </c>
      <c r="J11" s="5" t="n">
        <v>1150</v>
      </c>
      <c r="K11" s="4" t="n">
        <v>74</v>
      </c>
      <c r="L11" s="5" t="n">
        <v>1554.1</v>
      </c>
      <c r="M11" s="3" t="inlineStr">
        <is>
          <t>남향</t>
        </is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3" t="inlineStr">
        <is>
          <t>세종스타</t>
        </is>
      </c>
      <c r="R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102</v>
      </c>
      <c r="J12" s="5" t="n">
        <v>1470.6</v>
      </c>
      <c r="K12" s="4" t="n">
        <v>73</v>
      </c>
      <c r="L12" s="5" t="n">
        <v>2054.8</v>
      </c>
      <c r="M12" s="3" t="inlineStr">
        <is>
          <t>남서향</t>
        </is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3" t="inlineStr">
        <is>
          <t>오케이세종</t>
        </is>
      </c>
      <c r="R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102</v>
      </c>
      <c r="J13" s="5" t="n">
        <v>1470.6</v>
      </c>
      <c r="K13" s="4" t="n">
        <v>73</v>
      </c>
      <c r="L13" s="5" t="n">
        <v>2054.8</v>
      </c>
      <c r="M13" s="3" t="inlineStr">
        <is>
          <t>남서향</t>
        </is>
      </c>
      <c r="N13" s="3" t="inlineStr">
        <is>
          <t>방5개, 욕실4개, 고급 단독주택, 마당넓고 카페같은 썬큰</t>
        </is>
      </c>
      <c r="O13" s="6">
        <f>HYPERLINK("https://fin.land.naver.com/articles/2648126953", "매물Link")</f>
        <v/>
      </c>
      <c r="P13" s="6">
        <f>HYPERLINK("https://map.naver.com/p/search/고운동 1537", "지도Link")</f>
        <v/>
      </c>
      <c r="Q13" s="3" t="inlineStr">
        <is>
          <t>명진</t>
        </is>
      </c>
      <c r="R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102</v>
      </c>
      <c r="J14" s="5" t="n">
        <v>1470.6</v>
      </c>
      <c r="K14" s="4" t="n">
        <v>73</v>
      </c>
      <c r="L14" s="5" t="n">
        <v>2054.8</v>
      </c>
      <c r="M14" s="3" t="inlineStr">
        <is>
          <t>남서향</t>
        </is>
      </c>
      <c r="N14" s="3" t="inlineStr">
        <is>
          <t>마당 넓은 고급 단독주택매매, 방5개, 욕실4개</t>
        </is>
      </c>
      <c r="O14" s="6">
        <f>HYPERLINK("https://fin.land.naver.com/articles/2646691998", "매물Link")</f>
        <v/>
      </c>
      <c r="P14" s="6">
        <f>HYPERLINK("https://map.naver.com/p/search/고운동 1537", "지도Link")</f>
        <v/>
      </c>
      <c r="Q14" s="3" t="inlineStr">
        <is>
          <t>세종무지개</t>
        </is>
      </c>
      <c r="R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105</v>
      </c>
      <c r="J15" s="5" t="n">
        <v>904.8</v>
      </c>
      <c r="K15" s="4" t="n">
        <v>43</v>
      </c>
      <c r="L15" s="5" t="n">
        <v>2209.3</v>
      </c>
      <c r="M15" s="3" t="inlineStr">
        <is>
          <t>남향</t>
        </is>
      </c>
      <c r="N15" s="3" t="inlineStr">
        <is>
          <t>급매,실개천 인접,테라스,잔금 길게가능</t>
        </is>
      </c>
      <c r="O15" s="6">
        <f>HYPERLINK("https://fin.land.naver.com/articles/2647956507", "매물Link")</f>
        <v/>
      </c>
      <c r="P15" s="6">
        <f>HYPERLINK("https://map.naver.com/p/search/고운동 1583", "지도Link")</f>
        <v/>
      </c>
      <c r="Q15" s="3" t="inlineStr">
        <is>
          <t>고운뜰</t>
        </is>
      </c>
      <c r="R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105</v>
      </c>
      <c r="J16" s="5" t="n">
        <v>904.8</v>
      </c>
      <c r="K16" s="4" t="n">
        <v>43</v>
      </c>
      <c r="L16" s="5" t="n">
        <v>2209.3</v>
      </c>
      <c r="M16" s="3" t="inlineStr">
        <is>
          <t>남향</t>
        </is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3" t="inlineStr">
        <is>
          <t>세종스타</t>
        </is>
      </c>
      <c r="R16" s="4" t="n">
        <v>2</v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113</v>
      </c>
      <c r="J17" s="5" t="n">
        <v>1460.2</v>
      </c>
      <c r="K17" s="4" t="n">
        <v>55</v>
      </c>
      <c r="L17" s="5" t="n">
        <v>3000</v>
      </c>
      <c r="M17" s="3" t="inlineStr">
        <is>
          <t>남향</t>
        </is>
      </c>
      <c r="N17" s="3" t="inlineStr">
        <is>
          <t>입주협의가능, 정남향, 학교인근, 방4개</t>
        </is>
      </c>
      <c r="O17" s="6">
        <f>HYPERLINK("https://fin.land.naver.com/articles/2646695575", "매물Link")</f>
        <v/>
      </c>
      <c r="P17" s="6">
        <f>HYPERLINK("https://map.naver.com/p/search/고운동 1646", "지도Link")</f>
        <v/>
      </c>
      <c r="Q17" s="3" t="inlineStr">
        <is>
          <t>세종무지개</t>
        </is>
      </c>
      <c r="R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113</v>
      </c>
      <c r="J18" s="5" t="n">
        <v>1460.2</v>
      </c>
      <c r="K18" s="4" t="n">
        <v>55</v>
      </c>
      <c r="L18" s="5" t="n">
        <v>3000</v>
      </c>
      <c r="M18" s="3" t="inlineStr">
        <is>
          <t>남향</t>
        </is>
      </c>
      <c r="N18" s="3" t="inlineStr">
        <is>
          <t>초.중.고인근, 방4개, 정남향</t>
        </is>
      </c>
      <c r="O18" s="6">
        <f>HYPERLINK("https://fin.land.naver.com/articles/2645677394", "매물Link")</f>
        <v/>
      </c>
      <c r="P18" s="6">
        <f>HYPERLINK("https://map.naver.com/p/search/고운동 1646", "지도Link")</f>
        <v/>
      </c>
      <c r="Q18" s="3" t="inlineStr">
        <is>
          <t>명진</t>
        </is>
      </c>
      <c r="R18" s="4" t="n">
        <v>1</v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108</v>
      </c>
      <c r="J19" s="5" t="n">
        <v>990.7</v>
      </c>
      <c r="K19" s="4" t="n">
        <v>55</v>
      </c>
      <c r="L19" s="5" t="n">
        <v>1945.5</v>
      </c>
      <c r="M19" s="3" t="inlineStr">
        <is>
          <t>남향</t>
        </is>
      </c>
      <c r="N19" s="3" t="inlineStr">
        <is>
          <t>조망좋고 위치좋은 정남향 단독주택 방4개 실용적인구조 철콘주택</t>
        </is>
      </c>
      <c r="O19" s="6">
        <f>HYPERLINK("https://fin.land.naver.com/articles/2647999850", "매물Link")</f>
        <v/>
      </c>
      <c r="P19" s="6">
        <f>HYPERLINK("https://map.naver.com/p/search/고운동 1756", "지도Link")</f>
        <v/>
      </c>
      <c r="Q19" s="3" t="inlineStr">
        <is>
          <t>세종스타</t>
        </is>
      </c>
      <c r="R19" s="4" t="n">
        <v>2</v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108</v>
      </c>
      <c r="J20" s="5" t="n">
        <v>990.7</v>
      </c>
      <c r="K20" s="4" t="n">
        <v>55</v>
      </c>
      <c r="L20" s="5" t="n">
        <v>1945.5</v>
      </c>
      <c r="M20" s="3" t="inlineStr">
        <is>
          <t>남향</t>
        </is>
      </c>
      <c r="N20" s="3" t="inlineStr">
        <is>
          <t>정남향, 태양광설치, 방4개, 화장실3개, 철근콘크리트구조</t>
        </is>
      </c>
      <c r="O20" s="6">
        <f>HYPERLINK("https://fin.land.naver.com/articles/2647421215", "매물Link")</f>
        <v/>
      </c>
      <c r="P20" s="6">
        <f>HYPERLINK("https://map.naver.com/p/search/고운동 1756", "지도Link")</f>
        <v/>
      </c>
      <c r="Q20" s="3" t="inlineStr">
        <is>
          <t>명진</t>
        </is>
      </c>
      <c r="R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108</v>
      </c>
      <c r="J21" s="5" t="n">
        <v>990.7</v>
      </c>
      <c r="K21" s="4" t="n">
        <v>55</v>
      </c>
      <c r="L21" s="5" t="n">
        <v>1945.5</v>
      </c>
      <c r="M21" s="3" t="inlineStr">
        <is>
          <t>남향</t>
        </is>
      </c>
      <c r="N21" s="3" t="inlineStr">
        <is>
          <t>태양광, 어린이집, 유치원 인근, 조율가능</t>
        </is>
      </c>
      <c r="O21" s="6">
        <f>HYPERLINK("https://fin.land.naver.com/articles/2646691179", "매물Link")</f>
        <v/>
      </c>
      <c r="P21" s="6">
        <f>HYPERLINK("https://map.naver.com/p/search/고운동 1756", "지도Link")</f>
        <v/>
      </c>
      <c r="Q21" s="3" t="inlineStr">
        <is>
          <t>세종무지개</t>
        </is>
      </c>
      <c r="R21" s="4" t="n">
        <v>1</v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113</v>
      </c>
      <c r="J22" s="5" t="n">
        <v>1061.9</v>
      </c>
      <c r="K22" s="4" t="n">
        <v>75</v>
      </c>
      <c r="L22" s="5" t="n">
        <v>1600</v>
      </c>
      <c r="M22" s="3" t="inlineStr">
        <is>
          <t>남향</t>
        </is>
      </c>
      <c r="N22" s="3" t="inlineStr">
        <is>
          <t>2세대가능 대형주택 방5개 B12층 사생활보호굿 중정주택</t>
        </is>
      </c>
      <c r="O22" s="6">
        <f>HYPERLINK("https://fin.land.naver.com/articles/2645469694", "매물Link")</f>
        <v/>
      </c>
      <c r="P22" s="6">
        <f>HYPERLINK("https://map.naver.com/p/search/고운동 1763", "지도Link")</f>
        <v/>
      </c>
      <c r="Q22" s="3" t="inlineStr">
        <is>
          <t>세종스타</t>
        </is>
      </c>
      <c r="R22" s="4" t="n">
        <v>2</v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101</v>
      </c>
      <c r="J23" s="5" t="n">
        <v>1089.1</v>
      </c>
      <c r="K23" s="4" t="n">
        <v>65</v>
      </c>
      <c r="L23" s="5" t="n">
        <v>1692.3</v>
      </c>
      <c r="M23" s="3" t="inlineStr">
        <is>
          <t>남향</t>
        </is>
      </c>
      <c r="N23" s="3" t="inlineStr">
        <is>
          <t>마당정원 관리최상 고운초 고운중 상권 모두도보5분 가격조율가능</t>
        </is>
      </c>
      <c r="O23" s="6">
        <f>HYPERLINK("https://fin.land.naver.com/articles/2642931875", "매물Link")</f>
        <v/>
      </c>
      <c r="P23" s="6">
        <f>HYPERLINK("https://map.naver.com/p/search/고운동 1765", "지도Link")</f>
        <v/>
      </c>
      <c r="Q23" s="3" t="inlineStr">
        <is>
          <t>세종스타</t>
        </is>
      </c>
      <c r="R23" s="4" t="n">
        <v>1</v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111</v>
      </c>
      <c r="J24" s="5" t="n">
        <v>1621.6</v>
      </c>
      <c r="K24" s="4" t="n">
        <v>60</v>
      </c>
      <c r="L24" s="5" t="n">
        <v>3000</v>
      </c>
      <c r="M24" s="3" t="inlineStr">
        <is>
          <t>남향</t>
        </is>
      </c>
      <c r="N24" s="3" t="inlineStr">
        <is>
          <t>nan</t>
        </is>
      </c>
      <c r="O24" s="6">
        <f>HYPERLINK("https://fin.land.naver.com/articles/2644847143", "매물Link")</f>
        <v/>
      </c>
      <c r="P24" s="6">
        <f>HYPERLINK("https://map.naver.com/p/search/고운동 1791", "지도Link")</f>
        <v/>
      </c>
      <c r="Q24" s="3" t="inlineStr">
        <is>
          <t>미래개발</t>
        </is>
      </c>
      <c r="R24" s="4" t="n">
        <v>1</v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90</v>
      </c>
      <c r="J25" s="5" t="n">
        <v>1555.6</v>
      </c>
      <c r="K25" s="4" t="n">
        <v>77</v>
      </c>
      <c r="L25" s="5" t="n">
        <v>1818.2</v>
      </c>
      <c r="M25" s="3" t="inlineStr">
        <is>
          <t>남동향</t>
        </is>
      </c>
      <c r="N25" s="3" t="inlineStr">
        <is>
          <t>급매,C타입,주인거주로집상태좋음.</t>
        </is>
      </c>
      <c r="O25" s="6">
        <f>HYPERLINK("https://fin.land.naver.com/articles/2647138426", "매물Link")</f>
        <v/>
      </c>
      <c r="P25" s="6">
        <f>HYPERLINK("https://map.naver.com/p/search/고운동 2085", "지도Link")</f>
        <v/>
      </c>
      <c r="Q25" s="3" t="inlineStr">
        <is>
          <t>세종황소</t>
        </is>
      </c>
      <c r="R25" s="4" t="n">
        <v>1</v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108</v>
      </c>
      <c r="J26" s="5" t="n">
        <v>1181.5</v>
      </c>
      <c r="K26" s="4" t="n">
        <v>68</v>
      </c>
      <c r="L26" s="5" t="n">
        <v>1876.5</v>
      </c>
      <c r="M26" s="3" t="inlineStr">
        <is>
          <t>남향</t>
        </is>
      </c>
      <c r="N26" s="3" t="inlineStr">
        <is>
          <t>아르티엠 더블랙 선임대 완료 급매</t>
        </is>
      </c>
      <c r="O26" s="6">
        <f>HYPERLINK("https://fin.land.naver.com/articles/2645308761", "매물Link")</f>
        <v/>
      </c>
      <c r="P26" s="6">
        <f>HYPERLINK("https://map.naver.com/p/search/고운동 2085", "지도Link")</f>
        <v/>
      </c>
      <c r="Q26" s="3" t="inlineStr">
        <is>
          <t>찬스</t>
        </is>
      </c>
      <c r="R26" s="4" t="n">
        <v>1</v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112</v>
      </c>
      <c r="J27" s="5" t="n">
        <v>1173.2</v>
      </c>
      <c r="K27" s="4" t="n">
        <v>68</v>
      </c>
      <c r="L27" s="5" t="n">
        <v>1932.4</v>
      </c>
      <c r="M27" s="3" t="inlineStr">
        <is>
          <t>남향</t>
        </is>
      </c>
      <c r="N27" s="3" t="inlineStr">
        <is>
          <t>아르티엠 더블랙 선임대 완료 급매</t>
        </is>
      </c>
      <c r="O27" s="6">
        <f>HYPERLINK("https://fin.land.naver.com/articles/2645308747", "매물Link")</f>
        <v/>
      </c>
      <c r="P27" s="6">
        <f>HYPERLINK("https://map.naver.com/p/search/고운동 2085", "지도Link")</f>
        <v/>
      </c>
      <c r="Q27" s="3" t="inlineStr">
        <is>
          <t>찬스</t>
        </is>
      </c>
      <c r="R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102</v>
      </c>
      <c r="J28" s="5" t="n">
        <v>1617.6</v>
      </c>
      <c r="K28" s="4" t="n">
        <v>77</v>
      </c>
      <c r="L28" s="5" t="n">
        <v>2142.9</v>
      </c>
      <c r="M28" s="3" t="inlineStr">
        <is>
          <t>남향</t>
        </is>
      </c>
      <c r="N28" s="3" t="inlineStr">
        <is>
          <t>명성공인, 온빛초품아, 시스템에어컨, 남향 추천 매물</t>
        </is>
      </c>
      <c r="O28" s="6">
        <f>HYPERLINK("https://fin.land.naver.com/articles/2646661774", "매물Link")</f>
        <v/>
      </c>
      <c r="P28" s="6">
        <f>HYPERLINK("https://map.naver.com/p/search/고운동 2085", "지도Link")</f>
        <v/>
      </c>
      <c r="Q28" s="3" t="inlineStr">
        <is>
          <t>명성</t>
        </is>
      </c>
      <c r="R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98</v>
      </c>
      <c r="J29" s="5" t="n">
        <v>1632.7</v>
      </c>
      <c r="K29" s="4" t="n">
        <v>77</v>
      </c>
      <c r="L29" s="5" t="n">
        <v>2077.9</v>
      </c>
      <c r="M29" s="3" t="inlineStr">
        <is>
          <t>남향</t>
        </is>
      </c>
      <c r="N29" s="3" t="inlineStr">
        <is>
          <t>아르티엠 더블랙  초품아 프리미엄과 풀옵션이 만난 완벽한 타운하우스</t>
        </is>
      </c>
      <c r="O29" s="6">
        <f>HYPERLINK("https://fin.land.naver.com/articles/2645308695", "매물Link")</f>
        <v/>
      </c>
      <c r="P29" s="6">
        <f>HYPERLINK("https://map.naver.com/p/search/고운동 2085", "지도Link")</f>
        <v/>
      </c>
      <c r="Q29" s="3" t="inlineStr">
        <is>
          <t>찬스</t>
        </is>
      </c>
      <c r="R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102</v>
      </c>
      <c r="J30" s="5" t="n">
        <v>1617.6</v>
      </c>
      <c r="K30" s="4" t="n">
        <v>77</v>
      </c>
      <c r="L30" s="5" t="n">
        <v>2142.9</v>
      </c>
      <c r="M30" s="3" t="inlineStr">
        <is>
          <t>남향</t>
        </is>
      </c>
      <c r="N30" s="3" t="inlineStr">
        <is>
          <t>입지좋은 타운하우스매매, A타입, 온빛초, 정남향</t>
        </is>
      </c>
      <c r="O30" s="6">
        <f>HYPERLINK("https://fin.land.naver.com/articles/2646849392", "매물Link")</f>
        <v/>
      </c>
      <c r="P30" s="6">
        <f>HYPERLINK("https://map.naver.com/p/search/고운동 2085", "지도Link")</f>
        <v/>
      </c>
      <c r="Q30" s="3" t="inlineStr">
        <is>
          <t>세종무지개</t>
        </is>
      </c>
      <c r="R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107</v>
      </c>
      <c r="J31" s="5" t="n">
        <v>1192.5</v>
      </c>
      <c r="K31" s="4" t="n">
        <v>68</v>
      </c>
      <c r="L31" s="5" t="n">
        <v>1876.5</v>
      </c>
      <c r="M31" s="3" t="inlineStr">
        <is>
          <t>남향</t>
        </is>
      </c>
      <c r="N31" s="3" t="inlineStr">
        <is>
          <t>아르티엠 더블랙 선임대 완료 급매</t>
        </is>
      </c>
      <c r="O31" s="6">
        <f>HYPERLINK("https://fin.land.naver.com/articles/2644927534", "매물Link")</f>
        <v/>
      </c>
      <c r="P31" s="6">
        <f>HYPERLINK("https://map.naver.com/p/search/고운동 2085", "지도Link")</f>
        <v/>
      </c>
      <c r="Q31" s="3" t="inlineStr">
        <is>
          <t>찬스</t>
        </is>
      </c>
      <c r="R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102</v>
      </c>
      <c r="J32" s="5" t="n">
        <v>1617.6</v>
      </c>
      <c r="K32" s="4" t="n">
        <v>77</v>
      </c>
      <c r="L32" s="5" t="n">
        <v>2142.9</v>
      </c>
      <c r="M32" s="3" t="inlineStr">
        <is>
          <t>남향</t>
        </is>
      </c>
      <c r="N32" s="3" t="inlineStr">
        <is>
          <t>초품아, 거주 만족도 높은  관리최상  매물, 협의입주</t>
        </is>
      </c>
      <c r="O32" s="6">
        <f>HYPERLINK("https://fin.land.naver.com/articles/2648366468", "매물Link")</f>
        <v/>
      </c>
      <c r="P32" s="6">
        <f>HYPERLINK("https://map.naver.com/p/search/고운동 2085", "지도Link")</f>
        <v/>
      </c>
      <c r="Q32" s="3" t="inlineStr">
        <is>
          <t>백프로</t>
        </is>
      </c>
      <c r="R32" s="4" t="n">
        <v>2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102</v>
      </c>
      <c r="J33" s="5" t="n">
        <v>1617.6</v>
      </c>
      <c r="K33" s="4" t="n">
        <v>77</v>
      </c>
      <c r="L33" s="5" t="n">
        <v>2142.9</v>
      </c>
      <c r="M33" s="3" t="inlineStr">
        <is>
          <t>남향</t>
        </is>
      </c>
      <c r="N33" s="3" t="inlineStr">
        <is>
          <t>A타입 타운하우스매매, 입지 굿, 학교 인접, 협의입주</t>
        </is>
      </c>
      <c r="O33" s="6">
        <f>HYPERLINK("https://fin.land.naver.com/articles/2642868226", "매물Link")</f>
        <v/>
      </c>
      <c r="P33" s="6">
        <f>HYPERLINK("https://map.naver.com/p/search/고운동 2085", "지도Link")</f>
        <v/>
      </c>
      <c r="Q33" s="3" t="inlineStr">
        <is>
          <t>명진</t>
        </is>
      </c>
      <c r="R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90</v>
      </c>
      <c r="J34" s="5" t="n">
        <v>1555.6</v>
      </c>
      <c r="K34" s="4" t="n">
        <v>77</v>
      </c>
      <c r="L34" s="5" t="n">
        <v>1818.2</v>
      </c>
      <c r="M34" s="3" t="inlineStr">
        <is>
          <t>남향</t>
        </is>
      </c>
      <c r="N34" s="3" t="inlineStr">
        <is>
          <t>C타입 타운하우스, 급매, 입지 굿, 학교 인접, 협의입주</t>
        </is>
      </c>
      <c r="O34" s="6">
        <f>HYPERLINK("https://fin.land.naver.com/articles/2642888969", "매물Link")</f>
        <v/>
      </c>
      <c r="P34" s="6">
        <f>HYPERLINK("https://map.naver.com/p/search/고운동 2085", "지도Link")</f>
        <v/>
      </c>
      <c r="Q34" s="3" t="inlineStr">
        <is>
          <t>명진</t>
        </is>
      </c>
      <c r="R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122</v>
      </c>
      <c r="J35" s="5" t="n">
        <v>1311.5</v>
      </c>
      <c r="K35" s="4" t="n">
        <v>77</v>
      </c>
      <c r="L35" s="5" t="n">
        <v>2077.9</v>
      </c>
      <c r="M35" s="3" t="inlineStr">
        <is>
          <t>남동향</t>
        </is>
      </c>
      <c r="N35" s="3" t="inlineStr">
        <is>
          <t>인기C타입 마당넓음 탁트인조망 넓은3층면적</t>
        </is>
      </c>
      <c r="O35" s="6">
        <f>HYPERLINK("https://fin.land.naver.com/articles/2644917554", "매물Link")</f>
        <v/>
      </c>
      <c r="P35" s="6">
        <f>HYPERLINK("https://map.naver.com/p/search/고운동 2085", "지도Link")</f>
        <v/>
      </c>
      <c r="Q35" s="3" t="inlineStr">
        <is>
          <t>세종스타</t>
        </is>
      </c>
      <c r="R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90</v>
      </c>
      <c r="J36" s="5" t="n">
        <v>1555.6</v>
      </c>
      <c r="K36" s="4" t="n">
        <v>77</v>
      </c>
      <c r="L36" s="5" t="n">
        <v>1818.2</v>
      </c>
      <c r="M36" s="3" t="inlineStr">
        <is>
          <t>남동향</t>
        </is>
      </c>
      <c r="N36" s="3" t="inlineStr">
        <is>
          <t>유럽마을 C타입  관리상태좋음  학교 근린생활시설가까운 입지 최고 단지</t>
        </is>
      </c>
      <c r="O36" s="6">
        <f>HYPERLINK("https://fin.land.naver.com/articles/2646787107", "매물Link")</f>
        <v/>
      </c>
      <c r="P36" s="6">
        <f>HYPERLINK("https://map.naver.com/p/search/고운동 2085", "지도Link")</f>
        <v/>
      </c>
      <c r="Q36" s="3" t="inlineStr">
        <is>
          <t>고운힐스테이트</t>
        </is>
      </c>
      <c r="R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122</v>
      </c>
      <c r="J37" s="5" t="n">
        <v>1311.5</v>
      </c>
      <c r="K37" s="4" t="n">
        <v>77</v>
      </c>
      <c r="L37" s="5" t="n">
        <v>2077.9</v>
      </c>
      <c r="M37" s="3" t="inlineStr">
        <is>
          <t>남향</t>
        </is>
      </c>
      <c r="N37" s="3" t="inlineStr">
        <is>
          <t>프라이빗 코너 호수의 완벽한 유럽풍 라이프</t>
        </is>
      </c>
      <c r="O37" s="6">
        <f>HYPERLINK("https://fin.land.naver.com/articles/2648068359", "매물Link")</f>
        <v/>
      </c>
      <c r="P37" s="6">
        <f>HYPERLINK("https://map.naver.com/p/search/고운동 2085", "지도Link")</f>
        <v/>
      </c>
      <c r="Q37" s="3" t="inlineStr">
        <is>
          <t>찬스</t>
        </is>
      </c>
      <c r="R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102</v>
      </c>
      <c r="J38" s="5" t="n">
        <v>1568.6</v>
      </c>
      <c r="K38" s="4" t="n">
        <v>77</v>
      </c>
      <c r="L38" s="5" t="n">
        <v>2077.9</v>
      </c>
      <c r="M38" s="3" t="inlineStr">
        <is>
          <t>남향</t>
        </is>
      </c>
      <c r="N38" s="3" t="inlineStr">
        <is>
          <t>입지 최고 거주 및 투자추천, 선임대 맞춰짐, 실입주도 협의가능,</t>
        </is>
      </c>
      <c r="O38" s="6">
        <f>HYPERLINK("https://fin.land.naver.com/articles/2648367997", "매물Link")</f>
        <v/>
      </c>
      <c r="P38" s="6">
        <f>HYPERLINK("https://map.naver.com/p/search/고운동 2085", "지도Link")</f>
        <v/>
      </c>
      <c r="Q38" s="3" t="inlineStr">
        <is>
          <t>백프로</t>
        </is>
      </c>
      <c r="R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126</v>
      </c>
      <c r="J39" s="5" t="n">
        <v>1254</v>
      </c>
      <c r="K39" s="4" t="n">
        <v>77</v>
      </c>
      <c r="L39" s="5" t="n">
        <v>2051.9</v>
      </c>
      <c r="M39" s="3" t="inlineStr">
        <is>
          <t>남향</t>
        </is>
      </c>
      <c r="N39" s="3" t="inlineStr">
        <is>
          <t>아르티엠 더블랙 C타입 선임대 완료 급매</t>
        </is>
      </c>
      <c r="O39" s="6">
        <f>HYPERLINK("https://fin.land.naver.com/articles/2645308739", "매물Link")</f>
        <v/>
      </c>
      <c r="P39" s="6">
        <f>HYPERLINK("https://map.naver.com/p/search/고운동 2085", "지도Link")</f>
        <v/>
      </c>
      <c r="Q39" s="3" t="inlineStr">
        <is>
          <t>찬스</t>
        </is>
      </c>
      <c r="R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90</v>
      </c>
      <c r="J40" s="5" t="n">
        <v>1555.6</v>
      </c>
      <c r="K40" s="4" t="n">
        <v>77</v>
      </c>
      <c r="L40" s="5" t="n">
        <v>1818.2</v>
      </c>
      <c r="M40" s="3" t="inlineStr">
        <is>
          <t>남향</t>
        </is>
      </c>
      <c r="N40" s="3" t="inlineStr">
        <is>
          <t>입지좋은 타운하우스매매, C타입, 온빛초, 정남향</t>
        </is>
      </c>
      <c r="O40" s="6">
        <f>HYPERLINK("https://fin.land.naver.com/articles/2642687568", "매물Link")</f>
        <v/>
      </c>
      <c r="P40" s="6">
        <f>HYPERLINK("https://map.naver.com/p/search/고운동 2085", "지도Link")</f>
        <v/>
      </c>
      <c r="Q40" s="3" t="inlineStr">
        <is>
          <t>세종무지개</t>
        </is>
      </c>
      <c r="R40" s="4" t="n">
        <v>1</v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113</v>
      </c>
      <c r="J41" s="5" t="n">
        <v>1460.2</v>
      </c>
      <c r="K41" s="4" t="n">
        <v>92</v>
      </c>
      <c r="L41" s="5" t="n">
        <v>1793.5</v>
      </c>
      <c r="M41" s="3" t="inlineStr">
        <is>
          <t>남서향</t>
        </is>
      </c>
      <c r="N41" s="3" t="inlineStr">
        <is>
          <t>높은대지. 버커 주차장  뒷마당 텃밭. 고운동 상가가까운 최고 타운하우스</t>
        </is>
      </c>
      <c r="O41" s="6">
        <f>HYPERLINK("https://fin.land.naver.com/articles/2643822296", "매물Link")</f>
        <v/>
      </c>
      <c r="P41" s="6">
        <f>HYPERLINK("https://map.naver.com/p/search/고운동 2106-4", "지도Link")</f>
        <v/>
      </c>
      <c r="Q41" s="3" t="inlineStr">
        <is>
          <t>세종삼촌</t>
        </is>
      </c>
      <c r="R41" s="4" t="n">
        <v>1</v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91</v>
      </c>
      <c r="J42" s="5" t="n">
        <v>1318.7</v>
      </c>
      <c r="K42" s="4" t="n">
        <v>44</v>
      </c>
      <c r="L42" s="5" t="n">
        <v>2727.3</v>
      </c>
      <c r="M42" s="3" t="inlineStr">
        <is>
          <t>남서향</t>
        </is>
      </c>
      <c r="N42" s="3" t="inlineStr">
        <is>
          <t>가격조정가능 고운동한옥마을단독주택</t>
        </is>
      </c>
      <c r="O42" s="6">
        <f>HYPERLINK("https://fin.land.naver.com/articles/2647772478", "매물Link")</f>
        <v/>
      </c>
      <c r="P42" s="6">
        <f>HYPERLINK("https://map.naver.com/p/search/고운동 2127", "지도Link")</f>
        <v/>
      </c>
      <c r="Q42" s="3" t="inlineStr">
        <is>
          <t>새롬스마트</t>
        </is>
      </c>
      <c r="R42" s="4" t="n">
        <v>2</v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89</v>
      </c>
      <c r="J43" s="5" t="n">
        <v>1348.3</v>
      </c>
      <c r="K43" s="4" t="n">
        <v>36</v>
      </c>
      <c r="L43" s="5" t="n">
        <v>3333.3</v>
      </c>
      <c r="M43" s="3" t="inlineStr">
        <is>
          <t>남향</t>
        </is>
      </c>
      <c r="N43" s="3" t="inlineStr">
        <is>
          <t>한옥마을매매, 시립도서관, 온빛유.초 인접, 급매</t>
        </is>
      </c>
      <c r="O43" s="6">
        <f>HYPERLINK("https://fin.land.naver.com/articles/2645545491", "매물Link")</f>
        <v/>
      </c>
      <c r="P43" s="6">
        <f>HYPERLINK("https://map.naver.com/p/search/고운동 2176", "지도Link")</f>
        <v/>
      </c>
      <c r="Q43" s="3" t="inlineStr">
        <is>
          <t>명진</t>
        </is>
      </c>
      <c r="R43" s="4" t="n">
        <v>1</v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89</v>
      </c>
      <c r="J44" s="5" t="n">
        <v>1348.3</v>
      </c>
      <c r="K44" s="4" t="n">
        <v>36</v>
      </c>
      <c r="L44" s="5" t="n">
        <v>3333.3</v>
      </c>
      <c r="M44" s="3" t="inlineStr">
        <is>
          <t>남향</t>
        </is>
      </c>
      <c r="N44" s="3" t="inlineStr">
        <is>
          <t>희소성 높은 한옥 매매, 학군과 입지 좋은 위치</t>
        </is>
      </c>
      <c r="O44" s="6">
        <f>HYPERLINK("https://fin.land.naver.com/articles/2644481775", "매물Link")</f>
        <v/>
      </c>
      <c r="P44" s="6">
        <f>HYPERLINK("https://map.naver.com/p/search/고운동 2176", "지도Link")</f>
        <v/>
      </c>
      <c r="Q44" s="3" t="inlineStr">
        <is>
          <t>세종무지개</t>
        </is>
      </c>
      <c r="R44" s="4" t="n">
        <v>1</v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89</v>
      </c>
      <c r="J45" s="5" t="n">
        <v>1348.3</v>
      </c>
      <c r="K45" s="4" t="n">
        <v>36</v>
      </c>
      <c r="L45" s="5" t="n">
        <v>3333.3</v>
      </c>
      <c r="M45" s="3" t="inlineStr">
        <is>
          <t>남향</t>
        </is>
      </c>
      <c r="N45" s="3" t="inlineStr">
        <is>
          <t>nan</t>
        </is>
      </c>
      <c r="O45" s="6">
        <f>HYPERLINK("https://fin.land.naver.com/articles/2646479321", "매물Link")</f>
        <v/>
      </c>
      <c r="P45" s="6">
        <f>HYPERLINK("https://map.naver.com/p/search/고운동 2176", "지도Link")</f>
        <v/>
      </c>
      <c r="Q45" s="3" t="inlineStr">
        <is>
          <t>세종스타</t>
        </is>
      </c>
      <c r="R45" s="4" t="n">
        <v>1</v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89</v>
      </c>
      <c r="J46" s="5" t="n">
        <v>1348.3</v>
      </c>
      <c r="K46" s="4" t="n">
        <v>36</v>
      </c>
      <c r="L46" s="5" t="n">
        <v>3333.3</v>
      </c>
      <c r="M46" s="3" t="inlineStr">
        <is>
          <t>남향</t>
        </is>
      </c>
      <c r="N46" s="3" t="inlineStr">
        <is>
          <t>조율 가능 . 한 옥 단층 ,관리 잘된 집. 마당이 이뻐요</t>
        </is>
      </c>
      <c r="O46" s="6">
        <f>HYPERLINK("https://fin.land.naver.com/articles/2643819960", "매물Link")</f>
        <v/>
      </c>
      <c r="P46" s="6">
        <f>HYPERLINK("https://map.naver.com/p/search/고운동 2176", "지도Link")</f>
        <v/>
      </c>
      <c r="Q46" s="3" t="inlineStr">
        <is>
          <t>세종삼촌</t>
        </is>
      </c>
      <c r="R46" s="4" t="n">
        <v>1</v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58</v>
      </c>
      <c r="J47" s="5" t="n">
        <v>1293.1</v>
      </c>
      <c r="K47" s="4" t="n">
        <v>37</v>
      </c>
      <c r="L47" s="5" t="n">
        <v>2027</v>
      </c>
      <c r="M47" s="3" t="inlineStr">
        <is>
          <t>남동향</t>
        </is>
      </c>
      <c r="N47" s="3" t="inlineStr">
        <is>
          <t>세종시에서 앞으로 찾기 힘든 분양 금액 , 내부구조 굿, 잔금일 협의가능</t>
        </is>
      </c>
      <c r="O47" s="6">
        <f>HYPERLINK("https://fin.land.naver.com/articles/2646028838", "매물Link")</f>
        <v/>
      </c>
      <c r="P47" s="6">
        <f>HYPERLINK("https://map.naver.com/p/search/고운동 893-34", "지도Link")</f>
        <v/>
      </c>
      <c r="Q47" s="3" t="inlineStr">
        <is>
          <t>세종올리브</t>
        </is>
      </c>
      <c r="R47" s="4" t="n">
        <v>1</v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58</v>
      </c>
      <c r="J48" s="5" t="n">
        <v>1293.1</v>
      </c>
      <c r="K48" s="4" t="n">
        <v>37</v>
      </c>
      <c r="L48" s="5" t="n">
        <v>2027</v>
      </c>
      <c r="M48" s="3" t="inlineStr">
        <is>
          <t>남동향</t>
        </is>
      </c>
      <c r="N48" s="3" t="inlineStr">
        <is>
          <t>더이상 저렴할 수 없다. 튼튼하게 내부 실용적있게 만들었어요.</t>
        </is>
      </c>
      <c r="O48" s="6">
        <f>HYPERLINK("https://fin.land.naver.com/articles/2647856000", "매물Link")</f>
        <v/>
      </c>
      <c r="P48" s="6">
        <f>HYPERLINK("https://map.naver.com/p/search/고운동 893-34", "지도Link")</f>
        <v/>
      </c>
      <c r="Q48" s="3" t="inlineStr">
        <is>
          <t>세종올리브</t>
        </is>
      </c>
      <c r="R48" s="4" t="n">
        <v>1</v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79</v>
      </c>
      <c r="J49" s="5" t="n">
        <v>1455.7</v>
      </c>
      <c r="K49" s="4" t="n">
        <v>56</v>
      </c>
      <c r="L49" s="5" t="n">
        <v>2053.6</v>
      </c>
      <c r="M49" s="3" t="inlineStr">
        <is>
          <t>남서향</t>
        </is>
      </c>
      <c r="N49" s="3" t="inlineStr">
        <is>
          <t>급매 포스힐내 가장 예쁜정원 전세도가능</t>
        </is>
      </c>
      <c r="O49" s="6">
        <f>HYPERLINK("https://fin.land.naver.com/articles/2647125791", "매물Link")</f>
        <v/>
      </c>
      <c r="P49" s="6">
        <f>HYPERLINK("https://map.naver.com/p/search/고운동 895-19", "지도Link")</f>
        <v/>
      </c>
      <c r="Q49" s="3" t="inlineStr">
        <is>
          <t>세종스타</t>
        </is>
      </c>
      <c r="R49" s="4" t="n">
        <v>1</v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79</v>
      </c>
      <c r="J50" s="5" t="n">
        <v>1455.7</v>
      </c>
      <c r="K50" s="4" t="n">
        <v>56</v>
      </c>
      <c r="L50" s="5" t="n">
        <v>2053.6</v>
      </c>
      <c r="M50" s="3" t="inlineStr">
        <is>
          <t>남향</t>
        </is>
      </c>
      <c r="N50" s="3" t="inlineStr">
        <is>
          <t>포스힐타운하우스 단독주택매매 가격조정가능</t>
        </is>
      </c>
      <c r="O50" s="6">
        <f>HYPERLINK("https://fin.land.naver.com/articles/2644103391", "매물Link")</f>
        <v/>
      </c>
      <c r="P50" s="6">
        <f>HYPERLINK("https://map.naver.com/p/search/고운동 895-19", "지도Link")</f>
        <v/>
      </c>
      <c r="Q50" s="3" t="inlineStr">
        <is>
          <t>고운동리치세종</t>
        </is>
      </c>
      <c r="R50" s="4" t="n">
        <v>1</v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77</v>
      </c>
      <c r="J51" s="5" t="n">
        <v>1493.5</v>
      </c>
      <c r="K51" s="4" t="n">
        <v>56</v>
      </c>
      <c r="L51" s="5" t="n">
        <v>2053.6</v>
      </c>
      <c r="M51" s="3" t="inlineStr">
        <is>
          <t>남서향</t>
        </is>
      </c>
      <c r="N51" s="3" t="inlineStr">
        <is>
          <t>채광좋은위치 관리최상 방3개 욕실2개 다락있음</t>
        </is>
      </c>
      <c r="O51" s="6">
        <f>HYPERLINK("https://fin.land.naver.com/articles/2644651500", "매물Link")</f>
        <v/>
      </c>
      <c r="P51" s="6">
        <f>HYPERLINK("https://map.naver.com/p/search/고운동 895-24", "지도Link")</f>
        <v/>
      </c>
      <c r="Q51" s="3" t="inlineStr">
        <is>
          <t>세종스타</t>
        </is>
      </c>
      <c r="R51" s="4" t="n">
        <v>1</v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87</v>
      </c>
      <c r="J52" s="5" t="n">
        <v>1724.1</v>
      </c>
      <c r="K52" s="4" t="n">
        <v>56</v>
      </c>
      <c r="L52" s="5" t="n">
        <v>2678.6</v>
      </c>
      <c r="M52" s="3" t="inlineStr">
        <is>
          <t>남동향</t>
        </is>
      </c>
      <c r="N52" s="3" t="inlineStr">
        <is>
          <t>단지 가장 안쪽 사생활보호 잘되는 위치 뒷마당이 산과 접한 좋은위치</t>
        </is>
      </c>
      <c r="O52" s="6">
        <f>HYPERLINK("https://fin.land.naver.com/articles/2646479200", "매물Link")</f>
        <v/>
      </c>
      <c r="P52" s="6">
        <f>HYPERLINK("https://map.naver.com/p/search/고운동 895-38", "지도Link")</f>
        <v/>
      </c>
      <c r="Q52" s="3" t="inlineStr">
        <is>
          <t>세종스타</t>
        </is>
      </c>
      <c r="R52" s="4" t="n">
        <v>3</v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77</v>
      </c>
      <c r="J53" s="5" t="n">
        <v>1883.1</v>
      </c>
      <c r="K53" s="4" t="n">
        <v>55</v>
      </c>
      <c r="L53" s="5" t="n">
        <v>2636.4</v>
      </c>
      <c r="M53" s="3" t="inlineStr">
        <is>
          <t>남향</t>
        </is>
      </c>
      <c r="N53" s="3" t="inlineStr">
        <is>
          <t>포스힐 단독주택, 에어컨풀, 인테리어완료, 주인거주</t>
        </is>
      </c>
      <c r="O53" s="6">
        <f>HYPERLINK("https://fin.land.naver.com/articles/2648345384", "매물Link")</f>
        <v/>
      </c>
      <c r="P53" s="6">
        <f>HYPERLINK("https://map.naver.com/p/search/고운동 895-7", "지도Link")</f>
        <v/>
      </c>
      <c r="Q53" s="3" t="inlineStr">
        <is>
          <t>명진</t>
        </is>
      </c>
      <c r="R53" s="4" t="n">
        <v>1</v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77</v>
      </c>
      <c r="J54" s="5" t="n">
        <v>1883.1</v>
      </c>
      <c r="K54" s="4" t="n">
        <v>55</v>
      </c>
      <c r="L54" s="5" t="n">
        <v>2636.4</v>
      </c>
      <c r="M54" s="3" t="inlineStr">
        <is>
          <t>남향</t>
        </is>
      </c>
      <c r="N54" s="3" t="inlineStr">
        <is>
          <t>풀에어컨, 단독주택, 인테리어 완료된 주인거주로 관리잘된집</t>
        </is>
      </c>
      <c r="O54" s="6">
        <f>HYPERLINK("https://fin.land.naver.com/articles/2646693964", "매물Link")</f>
        <v/>
      </c>
      <c r="P54" s="6">
        <f>HYPERLINK("https://map.naver.com/p/search/고운동 895-7", "지도Link")</f>
        <v/>
      </c>
      <c r="Q54" s="3" t="inlineStr">
        <is>
          <t>세종무지개</t>
        </is>
      </c>
      <c r="R54" s="4" t="n">
        <v>1</v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87</v>
      </c>
      <c r="J55" s="5" t="n">
        <v>1379.3</v>
      </c>
      <c r="K55" s="4" t="n">
        <v>59</v>
      </c>
      <c r="L55" s="5" t="n">
        <v>2033.9</v>
      </c>
      <c r="M55" s="3" t="inlineStr">
        <is>
          <t>남서향</t>
        </is>
      </c>
      <c r="N55" s="3" t="inlineStr">
        <is>
          <t>nan</t>
        </is>
      </c>
      <c r="O55" s="6">
        <f>HYPERLINK("https://fin.land.naver.com/articles/2643971901", "매물Link")</f>
        <v/>
      </c>
      <c r="P55" s="6">
        <f>HYPERLINK("https://map.naver.com/p/search/고운동 896", "지도Link")</f>
        <v/>
      </c>
      <c r="Q55" s="3" t="inlineStr">
        <is>
          <t>세종스타</t>
        </is>
      </c>
      <c r="R55" s="4" t="n">
        <v>1</v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90</v>
      </c>
      <c r="J56" s="5" t="n">
        <v>1133.3</v>
      </c>
      <c r="K56" s="4" t="n">
        <v>52</v>
      </c>
      <c r="L56" s="5" t="n">
        <v>1961.5</v>
      </c>
      <c r="M56" s="3" t="inlineStr">
        <is>
          <t>남향</t>
        </is>
      </c>
      <c r="N56" s="3" t="inlineStr">
        <is>
          <t>마이너스 급매 추천매물. 전세끼고매매</t>
        </is>
      </c>
      <c r="O56" s="6">
        <f>HYPERLINK("https://fin.land.naver.com/articles/2646028720", "매물Link")</f>
        <v/>
      </c>
      <c r="P56" s="6">
        <f>HYPERLINK("https://map.naver.com/p/search/고운동 896", "지도Link")</f>
        <v/>
      </c>
      <c r="Q56" s="3" t="inlineStr">
        <is>
          <t>세종올리브</t>
        </is>
      </c>
      <c r="R56" s="4" t="n">
        <v>1</v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90</v>
      </c>
      <c r="J57" s="5" t="n">
        <v>1284.2</v>
      </c>
      <c r="K57" s="4" t="n">
        <v>52</v>
      </c>
      <c r="L57" s="5" t="n">
        <v>2222.7</v>
      </c>
      <c r="M57" s="3" t="inlineStr">
        <is>
          <t>남서향</t>
        </is>
      </c>
      <c r="N57" s="3" t="inlineStr">
        <is>
          <t>인기 있는 타운하우스 , 매매추천합니다,</t>
        </is>
      </c>
      <c r="O57" s="6">
        <f>HYPERLINK("https://fin.land.naver.com/articles/2642683663", "매물Link")</f>
        <v/>
      </c>
      <c r="P57" s="6">
        <f>HYPERLINK("https://map.naver.com/p/search/고운동 896", "지도Link")</f>
        <v/>
      </c>
      <c r="Q57" s="3" t="inlineStr">
        <is>
          <t>세종무지개</t>
        </is>
      </c>
      <c r="R57" s="4" t="n">
        <v>1</v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99</v>
      </c>
      <c r="J58" s="5" t="n">
        <v>1310.4</v>
      </c>
      <c r="K58" s="4" t="n">
        <v>59</v>
      </c>
      <c r="L58" s="5" t="n">
        <v>2198.9</v>
      </c>
      <c r="M58" s="3" t="inlineStr">
        <is>
          <t>남서향</t>
        </is>
      </c>
      <c r="N58" s="3" t="inlineStr">
        <is>
          <t>즉시입주 가능,  인기많은 D타입,  총86p</t>
        </is>
      </c>
      <c r="O58" s="6">
        <f>HYPERLINK("https://fin.land.naver.com/articles/2645252401", "매물Link")</f>
        <v/>
      </c>
      <c r="P58" s="6">
        <f>HYPERLINK("https://map.naver.com/p/search/고운동 896", "지도Link")</f>
        <v/>
      </c>
      <c r="Q58" s="3" t="inlineStr">
        <is>
          <t>세종무지개</t>
        </is>
      </c>
      <c r="R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90</v>
      </c>
      <c r="J59" s="5" t="n">
        <v>1222.2</v>
      </c>
      <c r="K59" s="4" t="n">
        <v>52</v>
      </c>
      <c r="L59" s="5" t="n">
        <v>2115.4</v>
      </c>
      <c r="M59" s="3" t="inlineStr">
        <is>
          <t>남서향</t>
        </is>
      </c>
      <c r="N59" s="3" t="inlineStr">
        <is>
          <t>급매 신축 첫입주 전세6.5억 월세1억275만 둘다가능</t>
        </is>
      </c>
      <c r="O59" s="6">
        <f>HYPERLINK("https://fin.land.naver.com/articles/2647125959", "매물Link")</f>
        <v/>
      </c>
      <c r="P59" s="6">
        <f>HYPERLINK("https://map.naver.com/p/search/고운동 896", "지도Link")</f>
        <v/>
      </c>
      <c r="Q59" s="3" t="inlineStr">
        <is>
          <t>세종스타</t>
        </is>
      </c>
      <c r="R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59</v>
      </c>
      <c r="J60" s="5" t="n">
        <v>5.1</v>
      </c>
      <c r="K60" s="4" t="n">
        <v>59</v>
      </c>
      <c r="L60" s="5" t="n">
        <v>5.1</v>
      </c>
      <c r="M60" s="3" t="inlineStr">
        <is>
          <t>남서향</t>
        </is>
      </c>
      <c r="N60" s="3" t="inlineStr">
        <is>
          <t>귀한 타운하우스 월세, 협의입주</t>
        </is>
      </c>
      <c r="O60" s="6">
        <f>HYPERLINK("https://fin.land.naver.com/articles/2643454503", "매물Link")</f>
        <v/>
      </c>
      <c r="P60" s="6">
        <f>HYPERLINK("https://map.naver.com/p/search/고운동 896", "지도Link")</f>
        <v/>
      </c>
      <c r="Q60" s="3" t="inlineStr">
        <is>
          <t>세종무지개</t>
        </is>
      </c>
      <c r="R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114</v>
      </c>
      <c r="J61" s="5" t="n">
        <v>1447.4</v>
      </c>
      <c r="K61" s="4" t="n">
        <v>67</v>
      </c>
      <c r="L61" s="5" t="n">
        <v>2462.7</v>
      </c>
      <c r="M61" s="3" t="inlineStr">
        <is>
          <t>남향</t>
        </is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3" t="inlineStr">
        <is>
          <t>서초만땅</t>
        </is>
      </c>
      <c r="R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90</v>
      </c>
      <c r="J62" s="5" t="n">
        <v>1284.2</v>
      </c>
      <c r="K62" s="4" t="n">
        <v>52</v>
      </c>
      <c r="L62" s="5" t="n">
        <v>2222.7</v>
      </c>
      <c r="M62" s="3" t="inlineStr">
        <is>
          <t>남서향</t>
        </is>
      </c>
      <c r="N62" s="3" t="inlineStr">
        <is>
          <t>고운동 리치먼드힐2 타운하우스, 매매추천</t>
        </is>
      </c>
      <c r="O62" s="6">
        <f>HYPERLINK("https://fin.land.naver.com/articles/2643624574", "매물Link")</f>
        <v/>
      </c>
      <c r="P62" s="6">
        <f>HYPERLINK("https://map.naver.com/p/search/고운동 896", "지도Link")</f>
        <v/>
      </c>
      <c r="Q62" s="3" t="inlineStr">
        <is>
          <t>명진</t>
        </is>
      </c>
      <c r="R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단독</t>
        </is>
      </c>
      <c r="F63" s="3" t="inlineStr">
        <is>
          <t>월세</t>
        </is>
      </c>
      <c r="G63" s="4" t="n">
        <v>5000</v>
      </c>
      <c r="H63" s="4" t="n">
        <v>300</v>
      </c>
      <c r="I63" s="4" t="n">
        <v>59</v>
      </c>
      <c r="J63" s="5" t="n">
        <v>5.1</v>
      </c>
      <c r="K63" s="4" t="n">
        <v>59</v>
      </c>
      <c r="L63" s="5" t="n">
        <v>5.1</v>
      </c>
      <c r="M63" s="3" t="inlineStr">
        <is>
          <t>남서향</t>
        </is>
      </c>
      <c r="N63" s="3" t="inlineStr">
        <is>
          <t>귀한 타운하우스 월세, 방3개, 화장실3개, 협의입주가능</t>
        </is>
      </c>
      <c r="O63" s="6">
        <f>HYPERLINK("https://fin.land.naver.com/articles/2643659651", "매물Link")</f>
        <v/>
      </c>
      <c r="P63" s="6">
        <f>HYPERLINK("https://map.naver.com/p/search/고운동 896", "지도Link")</f>
        <v/>
      </c>
      <c r="Q63" s="3" t="inlineStr">
        <is>
          <t>명진</t>
        </is>
      </c>
      <c r="R63" s="4" t="n">
        <v>1</v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108</v>
      </c>
      <c r="J64" s="5" t="n">
        <v>1851.9</v>
      </c>
      <c r="K64" s="4" t="n">
        <v>60</v>
      </c>
      <c r="L64" s="5" t="n">
        <v>3333.3</v>
      </c>
      <c r="M64" s="3" t="inlineStr">
        <is>
          <t>남향</t>
        </is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3" t="inlineStr">
        <is>
          <t>세종삼촌</t>
        </is>
      </c>
      <c r="R64" s="4" t="n">
        <v>1</v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108</v>
      </c>
      <c r="J65" s="5" t="n">
        <v>1851.9</v>
      </c>
      <c r="K65" s="4" t="n">
        <v>60</v>
      </c>
      <c r="L65" s="5" t="n">
        <v>3333.3</v>
      </c>
      <c r="M65" s="3" t="inlineStr">
        <is>
          <t>남향</t>
        </is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3" t="inlineStr">
        <is>
          <t>세종스타</t>
        </is>
      </c>
      <c r="R65" s="4" t="n">
        <v>1</v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87</v>
      </c>
      <c r="J66" s="5" t="n">
        <v>1379.3</v>
      </c>
      <c r="K66" s="4" t="n">
        <v>60</v>
      </c>
      <c r="L66" s="5" t="n">
        <v>2000</v>
      </c>
      <c r="M66" s="3" t="inlineStr">
        <is>
          <t>북서향</t>
        </is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3" t="inlineStr">
        <is>
          <t>세종스타</t>
        </is>
      </c>
      <c r="R66" s="4" t="n">
        <v>4</v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92</v>
      </c>
      <c r="J67" s="5" t="n">
        <v>1934.8</v>
      </c>
      <c r="K67" s="4" t="n">
        <v>58</v>
      </c>
      <c r="L67" s="5" t="n">
        <v>3069</v>
      </c>
      <c r="M67" s="3" t="inlineStr">
        <is>
          <t>남동향</t>
        </is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3" t="inlineStr">
        <is>
          <t>세종스타</t>
        </is>
      </c>
      <c r="R67" s="4" t="n">
        <v>3</v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113</v>
      </c>
      <c r="J68" s="5" t="n">
        <v>1150.4</v>
      </c>
      <c r="K68" s="4" t="n">
        <v>29</v>
      </c>
      <c r="L68" s="5" t="n">
        <v>4482.8</v>
      </c>
      <c r="M68" s="3" t="inlineStr">
        <is>
          <t>남향</t>
        </is>
      </c>
      <c r="N68" s="3" t="inlineStr">
        <is>
          <t>마당이 넓은 예쁜 집, 텃밭, 남향</t>
        </is>
      </c>
      <c r="O68" s="6">
        <f>HYPERLINK("https://fin.land.naver.com/articles/2645492924", "매물Link")</f>
        <v/>
      </c>
      <c r="P68" s="6">
        <f>HYPERLINK("https://map.naver.com/p/search/도담동 518", "지도Link")</f>
        <v/>
      </c>
      <c r="Q68" s="3" t="inlineStr">
        <is>
          <t>명진</t>
        </is>
      </c>
      <c r="R68" s="4" t="n">
        <v>1</v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113</v>
      </c>
      <c r="J69" s="5" t="n">
        <v>1150.4</v>
      </c>
      <c r="K69" s="4" t="n">
        <v>29</v>
      </c>
      <c r="L69" s="5" t="n">
        <v>4482.8</v>
      </c>
      <c r="M69" s="3" t="inlineStr">
        <is>
          <t>남향</t>
        </is>
      </c>
      <c r="N69" s="3" t="inlineStr">
        <is>
          <t>도담동 마당넓은 단독주택, 초등학교 인근</t>
        </is>
      </c>
      <c r="O69" s="6">
        <f>HYPERLINK("https://fin.land.naver.com/articles/2643990720", "매물Link")</f>
        <v/>
      </c>
      <c r="P69" s="6">
        <f>HYPERLINK("https://map.naver.com/p/search/도담동 518", "지도Link")</f>
        <v/>
      </c>
      <c r="Q69" s="3" t="inlineStr">
        <is>
          <t>OK세종</t>
        </is>
      </c>
      <c r="R69" s="4" t="n">
        <v>1</v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113</v>
      </c>
      <c r="J70" s="5" t="n">
        <v>1150.4</v>
      </c>
      <c r="K70" s="4" t="n">
        <v>29</v>
      </c>
      <c r="L70" s="5" t="n">
        <v>4482.8</v>
      </c>
      <c r="M70" s="3" t="inlineStr">
        <is>
          <t>남향</t>
        </is>
      </c>
      <c r="N70" s="3" t="inlineStr">
        <is>
          <t>협의입주,말발굽자리,남향,마당넓은 예쁜집입니다.</t>
        </is>
      </c>
      <c r="O70" s="6">
        <f>HYPERLINK("https://fin.land.naver.com/articles/2648245007", "매물Link")</f>
        <v/>
      </c>
      <c r="P70" s="6">
        <f>HYPERLINK("https://map.naver.com/p/search/도담동 518", "지도Link")</f>
        <v/>
      </c>
      <c r="Q70" s="3" t="inlineStr">
        <is>
          <t>마마</t>
        </is>
      </c>
      <c r="R70" s="4" t="n">
        <v>1</v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35</v>
      </c>
      <c r="J71" s="5" t="n">
        <v>1.4</v>
      </c>
      <c r="K71" s="4" t="n">
        <v>24</v>
      </c>
      <c r="L71" s="5" t="n">
        <v>2.1</v>
      </c>
      <c r="M71" s="3" t="inlineStr">
        <is>
          <t>남향</t>
        </is>
      </c>
      <c r="N71" s="3" t="inlineStr">
        <is>
          <t>2층과 다락방사용, 외부계단이용, 전기태양광설치, 전세로 가능</t>
        </is>
      </c>
      <c r="O71" s="6">
        <f>HYPERLINK("https://fin.land.naver.com/articles/2645583986", "매물Link")</f>
        <v/>
      </c>
      <c r="P71" s="6">
        <f>HYPERLINK("https://map.naver.com/p/search/도담동 601", "지도Link")</f>
        <v/>
      </c>
      <c r="Q71" s="3" t="inlineStr">
        <is>
          <t>OK세종</t>
        </is>
      </c>
      <c r="R71" s="4" t="n">
        <v>1</v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35</v>
      </c>
      <c r="J72" s="5" t="n">
        <v>1.4</v>
      </c>
      <c r="K72" s="4" t="n">
        <v>24</v>
      </c>
      <c r="L72" s="5" t="n">
        <v>2.1</v>
      </c>
      <c r="M72" s="3" t="inlineStr">
        <is>
          <t>남향</t>
        </is>
      </c>
      <c r="N72" s="3" t="inlineStr">
        <is>
          <t>2층만,3억전세가능,2층전용출입문,다락방,테라스,방축천 충대병원 도보</t>
        </is>
      </c>
      <c r="O72" s="6">
        <f>HYPERLINK("https://fin.land.naver.com/articles/2647449152", "매물Link")</f>
        <v/>
      </c>
      <c r="P72" s="6">
        <f>HYPERLINK("https://map.naver.com/p/search/도담동 601", "지도Link")</f>
        <v/>
      </c>
      <c r="Q72" s="3" t="inlineStr">
        <is>
          <t>태복</t>
        </is>
      </c>
      <c r="R72" s="4" t="n">
        <v>2</v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98</v>
      </c>
      <c r="J73" s="5" t="n">
        <v>1734.7</v>
      </c>
      <c r="K73" s="4" t="n">
        <v>89</v>
      </c>
      <c r="L73" s="5" t="n">
        <v>1910.1</v>
      </c>
      <c r="M73" s="3" t="inlineStr">
        <is>
          <t>남향</t>
        </is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3" t="inlineStr">
        <is>
          <t>세종스타</t>
        </is>
      </c>
      <c r="R73" s="4" t="n">
        <v>3</v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98</v>
      </c>
      <c r="J74" s="5" t="n">
        <v>1734.7</v>
      </c>
      <c r="K74" s="4" t="n">
        <v>89</v>
      </c>
      <c r="L74" s="5" t="n">
        <v>1910.1</v>
      </c>
      <c r="M74" s="3" t="inlineStr">
        <is>
          <t>남향</t>
        </is>
      </c>
      <c r="N74" s="3" t="inlineStr">
        <is>
          <t>조율가능, 2세대 가능한 독립구조, 전세8억, 지하有</t>
        </is>
      </c>
      <c r="O74" s="6">
        <f>HYPERLINK("https://fin.land.naver.com/articles/2644396297", "매물Link")</f>
        <v/>
      </c>
      <c r="P74" s="6">
        <f>HYPERLINK("https://map.naver.com/p/search/도담동 697", "지도Link")</f>
        <v/>
      </c>
      <c r="Q74" s="3" t="inlineStr">
        <is>
          <t>명진</t>
        </is>
      </c>
      <c r="R74" s="4" t="n">
        <v>2</v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98</v>
      </c>
      <c r="J75" s="5" t="n">
        <v>2346.9</v>
      </c>
      <c r="K75" s="4" t="n">
        <v>60</v>
      </c>
      <c r="L75" s="5" t="n">
        <v>3833.3</v>
      </c>
      <c r="M75" s="3" t="inlineStr">
        <is>
          <t>남서향</t>
        </is>
      </c>
      <c r="N75" s="3" t="inlineStr">
        <is>
          <t>명성공인, 방4, 화4, 풀에어컨, 다락까지 있는 위치 좋은 추천 매물</t>
        </is>
      </c>
      <c r="O75" s="6">
        <f>HYPERLINK("https://fin.land.naver.com/articles/2644037373", "매물Link")</f>
        <v/>
      </c>
      <c r="P75" s="6">
        <f>HYPERLINK("https://map.naver.com/p/search/도담동 698", "지도Link")</f>
        <v/>
      </c>
      <c r="Q75" s="3" t="inlineStr">
        <is>
          <t>명성</t>
        </is>
      </c>
      <c r="R75" s="4" t="n">
        <v>1</v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98</v>
      </c>
      <c r="J76" s="5" t="n">
        <v>2346.9</v>
      </c>
      <c r="K76" s="4" t="n">
        <v>60</v>
      </c>
      <c r="L76" s="5" t="n">
        <v>3833.3</v>
      </c>
      <c r="M76" s="3" t="inlineStr">
        <is>
          <t>남향</t>
        </is>
      </c>
      <c r="N76" s="3" t="inlineStr">
        <is>
          <t>초품아. 도담동 학군지 단독주택, brt,</t>
        </is>
      </c>
      <c r="O76" s="6">
        <f>HYPERLINK("https://fin.land.naver.com/articles/2647898031", "매물Link")</f>
        <v/>
      </c>
      <c r="P76" s="6">
        <f>HYPERLINK("https://map.naver.com/p/search/도담동 698", "지도Link")</f>
        <v/>
      </c>
      <c r="Q76" s="3" t="inlineStr">
        <is>
          <t>최무연</t>
        </is>
      </c>
      <c r="R76" s="4" t="n">
        <v>1</v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98</v>
      </c>
      <c r="J77" s="5" t="n">
        <v>2295.9</v>
      </c>
      <c r="K77" s="4" t="n">
        <v>60</v>
      </c>
      <c r="L77" s="5" t="n">
        <v>3750</v>
      </c>
      <c r="M77" s="3" t="inlineStr">
        <is>
          <t>남향</t>
        </is>
      </c>
      <c r="N77" s="3" t="inlineStr">
        <is>
          <t>도담동 최고입지 귀한 단독주택 넓은평수 목조주택</t>
        </is>
      </c>
      <c r="O77" s="6">
        <f>HYPERLINK("https://fin.land.naver.com/articles/2648380127", "매물Link")</f>
        <v/>
      </c>
      <c r="P77" s="6">
        <f>HYPERLINK("https://map.naver.com/p/search/도담동 698", "지도Link")</f>
        <v/>
      </c>
      <c r="Q77" s="3" t="inlineStr">
        <is>
          <t>세종스타</t>
        </is>
      </c>
      <c r="R77" s="4" t="n">
        <v>1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98</v>
      </c>
      <c r="J78" s="5" t="n">
        <v>2295.9</v>
      </c>
      <c r="K78" s="4" t="n">
        <v>60</v>
      </c>
      <c r="L78" s="5" t="n">
        <v>3750</v>
      </c>
      <c r="M78" s="3" t="inlineStr">
        <is>
          <t>남향</t>
        </is>
      </c>
      <c r="N78" s="3" t="inlineStr">
        <is>
          <t>자재 하나 하나 고급진  단독 매매</t>
        </is>
      </c>
      <c r="O78" s="6">
        <f>HYPERLINK("https://fin.land.naver.com/articles/2644279347", "매물Link")</f>
        <v/>
      </c>
      <c r="P78" s="6">
        <f>HYPERLINK("https://map.naver.com/p/search/도담동 698", "지도Link")</f>
        <v/>
      </c>
      <c r="Q78" s="3" t="inlineStr">
        <is>
          <t>THE행복</t>
        </is>
      </c>
      <c r="R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98</v>
      </c>
      <c r="J79" s="5" t="n">
        <v>2295.9</v>
      </c>
      <c r="K79" s="4" t="n">
        <v>60</v>
      </c>
      <c r="L79" s="5" t="n">
        <v>3750</v>
      </c>
      <c r="M79" s="3" t="inlineStr">
        <is>
          <t>남서향</t>
        </is>
      </c>
      <c r="N79" s="3" t="inlineStr">
        <is>
          <t>전용60.3p, 방4개, 화장실4개, 입지 좋은 단독주택</t>
        </is>
      </c>
      <c r="O79" s="6">
        <f>HYPERLINK("https://fin.land.naver.com/articles/2642823889", "매물Link")</f>
        <v/>
      </c>
      <c r="P79" s="6">
        <f>HYPERLINK("https://map.naver.com/p/search/도담동 698", "지도Link")</f>
        <v/>
      </c>
      <c r="Q79" s="3" t="inlineStr">
        <is>
          <t>세종무지개</t>
        </is>
      </c>
      <c r="R79" s="4" t="n">
        <v>1</v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91</v>
      </c>
      <c r="J80" s="5" t="n">
        <v>934.1</v>
      </c>
      <c r="K80" s="4" t="n">
        <v>16</v>
      </c>
      <c r="L80" s="5" t="n">
        <v>5312.5</v>
      </c>
      <c r="M80" s="3" t="inlineStr">
        <is>
          <t>남향</t>
        </is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3" t="inlineStr">
        <is>
          <t>어반나래</t>
        </is>
      </c>
      <c r="R80" s="4" t="n">
        <v>1</v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121</v>
      </c>
      <c r="J81" s="5" t="n">
        <v>1900.8</v>
      </c>
      <c r="K81" s="4" t="n">
        <v>74</v>
      </c>
      <c r="L81" s="5" t="n">
        <v>3108.1</v>
      </c>
      <c r="M81" s="3" t="inlineStr">
        <is>
          <t>남향</t>
        </is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3" t="inlineStr">
        <is>
          <t>세종스타</t>
        </is>
      </c>
      <c r="R81" s="4" t="n">
        <v>2</v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284</v>
      </c>
      <c r="J82" s="5" t="n">
        <v>422.5</v>
      </c>
      <c r="K82" s="4" t="n">
        <v>33</v>
      </c>
      <c r="L82" s="5" t="n">
        <v>3636.4</v>
      </c>
      <c r="M82" s="3" t="inlineStr">
        <is>
          <t>남향</t>
        </is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3" t="inlineStr">
        <is>
          <t>한얼</t>
        </is>
      </c>
      <c r="R82" s="4" t="n">
        <v>1</v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136</v>
      </c>
      <c r="J83" s="5" t="n">
        <v>404.4</v>
      </c>
      <c r="K83" s="4" t="n">
        <v>43</v>
      </c>
      <c r="L83" s="5" t="n">
        <v>1279.1</v>
      </c>
      <c r="M83" s="3" t="inlineStr">
        <is>
          <t>남향</t>
        </is>
      </c>
      <c r="N83" s="3" t="inlineStr">
        <is>
          <t>금강뷰전원주택. 금호교 개통으로 4생활권에서 5분거리</t>
        </is>
      </c>
      <c r="O83" s="6">
        <f>HYPERLINK("https://fin.land.naver.com/articles/2647898243", "매물Link")</f>
        <v/>
      </c>
      <c r="P83" s="6">
        <f>HYPERLINK("https://map.naver.com/p/search/부강면 금호리 390-8", "지도Link")</f>
        <v/>
      </c>
      <c r="Q83" s="3" t="inlineStr">
        <is>
          <t>최무연</t>
        </is>
      </c>
      <c r="R83" s="4" t="n">
        <v>2</v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136</v>
      </c>
      <c r="J84" s="5" t="n">
        <v>404.4</v>
      </c>
      <c r="K84" s="4" t="n">
        <v>43</v>
      </c>
      <c r="L84" s="5" t="n">
        <v>1279.1</v>
      </c>
      <c r="M84" s="3" t="inlineStr">
        <is>
          <t>남향</t>
        </is>
      </c>
      <c r="N84" s="3" t="inlineStr">
        <is>
          <t>탁트인 전망 별장같은 멋진주택</t>
        </is>
      </c>
      <c r="O84" s="6">
        <f>HYPERLINK("https://fin.land.naver.com/articles/2648222638", "매물Link")</f>
        <v/>
      </c>
      <c r="P84" s="6">
        <f>HYPERLINK("https://map.naver.com/p/search/부강면 금호리 390-8", "지도Link")</f>
        <v/>
      </c>
      <c r="Q84" s="3" t="inlineStr">
        <is>
          <t>학사</t>
        </is>
      </c>
      <c r="R84" s="4" t="n">
        <v>1</v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205</v>
      </c>
      <c r="J85" s="5" t="n">
        <v>268.3</v>
      </c>
      <c r="K85" s="4" t="n">
        <v>28</v>
      </c>
      <c r="L85" s="5" t="n">
        <v>1964.3</v>
      </c>
      <c r="M85" s="3" t="inlineStr">
        <is>
          <t>남동향</t>
        </is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3" t="inlineStr">
        <is>
          <t>드림</t>
        </is>
      </c>
      <c r="R85" s="4" t="n">
        <v>1</v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115</v>
      </c>
      <c r="J86" s="5" t="n">
        <v>304.3</v>
      </c>
      <c r="K86" s="4" t="n">
        <v>21</v>
      </c>
      <c r="L86" s="5" t="n">
        <v>1666.7</v>
      </c>
      <c r="M86" s="3" t="inlineStr">
        <is>
          <t>남서향</t>
        </is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3" t="inlineStr">
        <is>
          <t>세종무지개</t>
        </is>
      </c>
      <c r="R86" s="4" t="n">
        <v>1</v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103</v>
      </c>
      <c r="J87" s="5" t="n">
        <v>582.5</v>
      </c>
      <c r="K87" s="4" t="n">
        <v>27</v>
      </c>
      <c r="L87" s="5" t="n">
        <v>2222.2</v>
      </c>
      <c r="M87" s="3" t="inlineStr">
        <is>
          <t>남향</t>
        </is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3" t="inlineStr">
        <is>
          <t>좋은</t>
        </is>
      </c>
      <c r="R87" s="4" t="n">
        <v>1</v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540</v>
      </c>
      <c r="J88" s="5" t="n">
        <v>135.2</v>
      </c>
      <c r="K88" s="4" t="n">
        <v>161</v>
      </c>
      <c r="L88" s="5" t="n">
        <v>453.4</v>
      </c>
      <c r="M88" s="3" t="inlineStr">
        <is>
          <t>남향</t>
        </is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HYPERLINK("https://fin.land.naver.com/articles/2643061939", "매물Link")</f>
        <v/>
      </c>
      <c r="P88" s="6">
        <f>HYPERLINK("https://map.naver.com/p/search/부강면 노호리 354", "지도Link")</f>
        <v/>
      </c>
      <c r="Q88" s="3" t="inlineStr">
        <is>
          <t>수성</t>
        </is>
      </c>
      <c r="R88" s="4" t="n">
        <v>1</v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원룸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10</v>
      </c>
      <c r="J89" s="5" t="n">
        <v>3.5</v>
      </c>
      <c r="K89" s="4" t="n">
        <v>9</v>
      </c>
      <c r="L89" s="5" t="n">
        <v>3.9</v>
      </c>
      <c r="M89" s="3" t="inlineStr">
        <is>
          <t>남서향</t>
        </is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3" t="inlineStr">
        <is>
          <t>세종행복한</t>
        </is>
      </c>
      <c r="R89" s="4" t="n">
        <v>1</v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12</v>
      </c>
      <c r="J90" s="5" t="n">
        <v>3.1</v>
      </c>
      <c r="K90" s="4" t="n">
        <v>10</v>
      </c>
      <c r="L90" s="5" t="n">
        <v>3.7</v>
      </c>
      <c r="M90" s="3" t="inlineStr">
        <is>
          <t>남서향</t>
        </is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3" t="inlineStr">
        <is>
          <t>부강대박</t>
        </is>
      </c>
      <c r="R90" s="4" t="n">
        <v>1</v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원룸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12</v>
      </c>
      <c r="J91" s="5" t="n">
        <v>3.8</v>
      </c>
      <c r="K91" s="4" t="n">
        <v>10</v>
      </c>
      <c r="L91" s="5" t="n">
        <v>4.5</v>
      </c>
      <c r="M91" s="3" t="inlineStr">
        <is>
          <t>남서향</t>
        </is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3" t="inlineStr">
        <is>
          <t>부강대박</t>
        </is>
      </c>
      <c r="R91" s="4" t="n">
        <v>1</v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다가구</t>
        </is>
      </c>
      <c r="F92" s="3" t="inlineStr">
        <is>
          <t>전세</t>
        </is>
      </c>
      <c r="G92" s="4" t="n">
        <v>5000</v>
      </c>
      <c r="H92" s="4" t="n">
        <v>0</v>
      </c>
      <c r="I92" s="4" t="n">
        <v>14</v>
      </c>
      <c r="J92" s="5" t="n">
        <v>357.1</v>
      </c>
      <c r="K92" s="4" t="n">
        <v>11</v>
      </c>
      <c r="L92" s="5" t="n">
        <v>454.5</v>
      </c>
      <c r="M92" s="3" t="inlineStr">
        <is>
          <t>동향</t>
        </is>
      </c>
      <c r="N92" s="3" t="inlineStr">
        <is>
          <t>주차용이, 편의시설 초근접 1.5룸</t>
        </is>
      </c>
      <c r="O92" s="6">
        <f>HYPERLINK("https://fin.land.naver.com/articles/2645479915", "매물Link")</f>
        <v/>
      </c>
      <c r="P92" s="6">
        <f>HYPERLINK("https://map.naver.com/p/search/부강면 부강리 463-10", "지도Link")</f>
        <v/>
      </c>
      <c r="Q92" s="3" t="inlineStr">
        <is>
          <t>세종시</t>
        </is>
      </c>
      <c r="R92" s="4" t="n">
        <v>1</v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원룸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14</v>
      </c>
      <c r="J93" s="5" t="n">
        <v>3.2</v>
      </c>
      <c r="K93" s="4" t="n">
        <v>9</v>
      </c>
      <c r="L93" s="5" t="n">
        <v>5</v>
      </c>
      <c r="M93" s="3" t="inlineStr">
        <is>
          <t>서향</t>
        </is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3" t="inlineStr">
        <is>
          <t>세종시</t>
        </is>
      </c>
      <c r="R93" s="4" t="n">
        <v>1</v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원룸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14</v>
      </c>
      <c r="J94" s="5" t="n">
        <v>3.6</v>
      </c>
      <c r="K94" s="4" t="n">
        <v>10</v>
      </c>
      <c r="L94" s="5" t="n">
        <v>5</v>
      </c>
      <c r="M94" s="3" t="inlineStr">
        <is>
          <t>서향</t>
        </is>
      </c>
      <c r="N94" s="3" t="inlineStr">
        <is>
          <t>편의시설 초근접 풀옵션 1.5룸</t>
        </is>
      </c>
      <c r="O94" s="6">
        <f>HYPERLINK("https://fin.land.naver.com/articles/2647216211", "매물Link")</f>
        <v/>
      </c>
      <c r="P94" s="6">
        <f>HYPERLINK("https://map.naver.com/p/search/부강면 부강리 463-10", "지도Link")</f>
        <v/>
      </c>
      <c r="Q94" s="3" t="inlineStr">
        <is>
          <t>세종시</t>
        </is>
      </c>
      <c r="R94" s="4" t="n">
        <v>1</v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8</v>
      </c>
      <c r="J95" s="5" t="n">
        <v>4</v>
      </c>
      <c r="K95" s="4" t="n">
        <v>5</v>
      </c>
      <c r="L95" s="5" t="n">
        <v>6.4</v>
      </c>
      <c r="M95" s="3" t="inlineStr">
        <is>
          <t>남향</t>
        </is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3" t="inlineStr">
        <is>
          <t>세종행복한</t>
        </is>
      </c>
      <c r="R95" s="4" t="n">
        <v>1</v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단독/다가구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18</v>
      </c>
      <c r="J96" s="5" t="n">
        <v>2.5</v>
      </c>
      <c r="K96" s="4" t="n">
        <v>15</v>
      </c>
      <c r="L96" s="5" t="n">
        <v>3</v>
      </c>
      <c r="M96" s="3" t="inlineStr">
        <is>
          <t>북향</t>
        </is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3" t="inlineStr">
        <is>
          <t>지원</t>
        </is>
      </c>
      <c r="R96" s="4" t="n">
        <v>1</v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15</v>
      </c>
      <c r="J97" s="5" t="n">
        <v>3.3</v>
      </c>
      <c r="K97" s="4" t="n">
        <v>12</v>
      </c>
      <c r="L97" s="5" t="n">
        <v>4.2</v>
      </c>
      <c r="M97" s="3" t="inlineStr">
        <is>
          <t>동향</t>
        </is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3" t="inlineStr">
        <is>
          <t>지원</t>
        </is>
      </c>
      <c r="R97" s="4" t="n">
        <v>1</v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100</v>
      </c>
      <c r="J98" s="5" t="n">
        <v>1400</v>
      </c>
      <c r="K98" s="4" t="n">
        <v>50</v>
      </c>
      <c r="L98" s="5" t="n">
        <v>2800</v>
      </c>
      <c r="M98" s="3" t="inlineStr">
        <is>
          <t>남향</t>
        </is>
      </c>
      <c r="N98" s="3" t="inlineStr">
        <is>
          <t>세종 최선호 택지지구내 고급주택, 충남대병원, 음식점 등 가까워 생활편리</t>
        </is>
      </c>
      <c r="O98" s="6">
        <f>HYPERLINK("https://fin.land.naver.com/articles/2644835914", "매물Link")</f>
        <v/>
      </c>
      <c r="P98" s="6">
        <f>HYPERLINK("https://map.naver.com/p/search/아름동 1046", "지도Link")</f>
        <v/>
      </c>
      <c r="Q98" s="3" t="inlineStr">
        <is>
          <t>온뜰</t>
        </is>
      </c>
      <c r="R98" s="4" t="n">
        <v>1</v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10</v>
      </c>
      <c r="J99" s="5" t="n">
        <v>14000</v>
      </c>
      <c r="K99" s="4" t="n">
        <v>47</v>
      </c>
      <c r="L99" s="5" t="n">
        <v>2978.7</v>
      </c>
      <c r="M99" s="3" t="inlineStr">
        <is>
          <t>남향</t>
        </is>
      </c>
      <c r="N99" s="3" t="inlineStr">
        <is>
          <t>교통편리한 세종 아름동 주택가, 서울세종고속도로,국도1호선, 세종외곽도로</t>
        </is>
      </c>
      <c r="O99" s="6">
        <f>HYPERLINK("https://fin.land.naver.com/articles/2643990747", "매물Link")</f>
        <v/>
      </c>
      <c r="P99" s="6">
        <f>HYPERLINK("https://map.naver.com/p/search/아름동 1046", "지도Link")</f>
        <v/>
      </c>
      <c r="Q99" s="3" t="inlineStr">
        <is>
          <t>아름</t>
        </is>
      </c>
      <c r="R99" s="4" t="n">
        <v>1</v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99</v>
      </c>
      <c r="J100" s="5" t="n">
        <v>1313.1</v>
      </c>
      <c r="K100" s="4" t="n">
        <v>45</v>
      </c>
      <c r="L100" s="5" t="n">
        <v>2888.9</v>
      </c>
      <c r="M100" s="3" t="inlineStr">
        <is>
          <t>남향</t>
        </is>
      </c>
      <c r="N100" s="3" t="inlineStr">
        <is>
          <t>벽난로,태양광, 어린이 를 위한 공간, 가격절충</t>
        </is>
      </c>
      <c r="O100" s="6">
        <f>HYPERLINK("https://fin.land.naver.com/articles/2646426563", "매물Link")</f>
        <v/>
      </c>
      <c r="P100" s="6">
        <f>HYPERLINK("https://map.naver.com/p/search/아름동 1148", "지도Link")</f>
        <v/>
      </c>
      <c r="Q100" s="3" t="inlineStr">
        <is>
          <t>세종삼촌</t>
        </is>
      </c>
      <c r="R100" s="4" t="n">
        <v>1</v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99</v>
      </c>
      <c r="J101" s="5" t="n">
        <v>1313.1</v>
      </c>
      <c r="K101" s="4" t="n">
        <v>45</v>
      </c>
      <c r="L101" s="5" t="n">
        <v>2888.9</v>
      </c>
      <c r="M101" s="3" t="inlineStr">
        <is>
          <t>남향</t>
        </is>
      </c>
      <c r="N101" s="3" t="inlineStr">
        <is>
          <t>입주협의 벽나로 태양광설치 남향 관리상태최상 가격조정가능</t>
        </is>
      </c>
      <c r="O101" s="6">
        <f>HYPERLINK("https://fin.land.naver.com/articles/2644599383", "매물Link")</f>
        <v/>
      </c>
      <c r="P101" s="6">
        <f>HYPERLINK("https://map.naver.com/p/search/아름동 1148", "지도Link")</f>
        <v/>
      </c>
      <c r="Q101" s="3" t="inlineStr">
        <is>
          <t>고운동리치세종</t>
        </is>
      </c>
      <c r="R101" s="4" t="n">
        <v>1</v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99</v>
      </c>
      <c r="J102" s="5" t="n">
        <v>1313.1</v>
      </c>
      <c r="K102" s="4" t="n">
        <v>45</v>
      </c>
      <c r="L102" s="5" t="n">
        <v>2888.9</v>
      </c>
      <c r="M102" s="3" t="inlineStr">
        <is>
          <t>남향</t>
        </is>
      </c>
      <c r="N102" s="3" t="inlineStr">
        <is>
          <t>벽난로 있는 예쁜집, 정남향, 조율가능, 태양광</t>
        </is>
      </c>
      <c r="O102" s="6">
        <f>HYPERLINK("https://fin.land.naver.com/articles/2646690879", "매물Link")</f>
        <v/>
      </c>
      <c r="P102" s="6">
        <f>HYPERLINK("https://map.naver.com/p/search/아름동 1148", "지도Link")</f>
        <v/>
      </c>
      <c r="Q102" s="3" t="inlineStr">
        <is>
          <t>세종무지개</t>
        </is>
      </c>
      <c r="R102" s="4" t="n">
        <v>2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99</v>
      </c>
      <c r="J103" s="5" t="n">
        <v>1313.1</v>
      </c>
      <c r="K103" s="4" t="n">
        <v>45</v>
      </c>
      <c r="L103" s="5" t="n">
        <v>2888.9</v>
      </c>
      <c r="M103" s="3" t="inlineStr">
        <is>
          <t>남향</t>
        </is>
      </c>
      <c r="N103" s="3" t="inlineStr">
        <is>
          <t>남향집으로 따뜻한 집 입니다. 입주는 협의 가능하며 가격절충가능합니다.</t>
        </is>
      </c>
      <c r="O103" s="6">
        <f>HYPERLINK("https://fin.land.naver.com/articles/2647499785", "매물Link")</f>
        <v/>
      </c>
      <c r="P103" s="6">
        <f>HYPERLINK("https://map.naver.com/p/search/아름동 1148", "지도Link")</f>
        <v/>
      </c>
      <c r="Q103" s="3" t="inlineStr">
        <is>
          <t>주황푸르지오</t>
        </is>
      </c>
      <c r="R103" s="4" t="n">
        <v>1</v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107</v>
      </c>
      <c r="J104" s="5" t="n">
        <v>1308.4</v>
      </c>
      <c r="K104" s="4" t="n">
        <v>48</v>
      </c>
      <c r="L104" s="5" t="n">
        <v>2916.7</v>
      </c>
      <c r="M104" s="3" t="inlineStr">
        <is>
          <t>남향</t>
        </is>
      </c>
      <c r="N104" s="3" t="inlineStr">
        <is>
          <t>주택 에어컨5개 마당있고 편안한 주택매물입니다.</t>
        </is>
      </c>
      <c r="O104" s="6">
        <f>HYPERLINK("https://fin.land.naver.com/articles/2648169316", "매물Link")</f>
        <v/>
      </c>
      <c r="P104" s="6">
        <f>HYPERLINK("https://map.naver.com/p/search/아름동 1241", "지도Link")</f>
        <v/>
      </c>
      <c r="Q104" s="3" t="inlineStr">
        <is>
          <t>세석</t>
        </is>
      </c>
      <c r="R104" s="4" t="n">
        <v>1</v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107</v>
      </c>
      <c r="J105" s="5" t="n">
        <v>1355.1</v>
      </c>
      <c r="K105" s="4" t="n">
        <v>48</v>
      </c>
      <c r="L105" s="5" t="n">
        <v>3020.8</v>
      </c>
      <c r="M105" s="3" t="inlineStr">
        <is>
          <t>남향</t>
        </is>
      </c>
      <c r="N105" s="3" t="inlineStr">
        <is>
          <t>철근콘크리트 튼튼  시스템에어컨 5대 단독 매매</t>
        </is>
      </c>
      <c r="O105" s="6">
        <f>HYPERLINK("https://fin.land.naver.com/articles/2644280535", "매물Link")</f>
        <v/>
      </c>
      <c r="P105" s="6">
        <f>HYPERLINK("https://map.naver.com/p/search/아름동 1241", "지도Link")</f>
        <v/>
      </c>
      <c r="Q105" s="3" t="inlineStr">
        <is>
          <t>THE행복</t>
        </is>
      </c>
      <c r="R105" s="4" t="n">
        <v>1</v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107</v>
      </c>
      <c r="J106" s="5" t="n">
        <v>1308.4</v>
      </c>
      <c r="K106" s="4" t="n">
        <v>48</v>
      </c>
      <c r="L106" s="5" t="n">
        <v>2916.7</v>
      </c>
      <c r="M106" s="3" t="inlineStr">
        <is>
          <t>남향</t>
        </is>
      </c>
      <c r="N106" s="3" t="inlineStr">
        <is>
          <t>전용 48.6p, 1.2층 단독주택, 시스템에어컨풀, 협의입주</t>
        </is>
      </c>
      <c r="O106" s="6">
        <f>HYPERLINK("https://fin.land.naver.com/articles/2642864395", "매물Link")</f>
        <v/>
      </c>
      <c r="P106" s="6">
        <f>HYPERLINK("https://map.naver.com/p/search/아름동 1241", "지도Link")</f>
        <v/>
      </c>
      <c r="Q106" s="3" t="inlineStr">
        <is>
          <t>명진</t>
        </is>
      </c>
      <c r="R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107</v>
      </c>
      <c r="J107" s="5" t="n">
        <v>1355.1</v>
      </c>
      <c r="K107" s="4" t="n">
        <v>48</v>
      </c>
      <c r="L107" s="5" t="n">
        <v>3020.8</v>
      </c>
      <c r="M107" s="3" t="inlineStr">
        <is>
          <t>남향</t>
        </is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3" t="inlineStr">
        <is>
          <t>인서</t>
        </is>
      </c>
      <c r="R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107</v>
      </c>
      <c r="J108" s="5" t="n">
        <v>1308.4</v>
      </c>
      <c r="K108" s="4" t="n">
        <v>48</v>
      </c>
      <c r="L108" s="5" t="n">
        <v>2916.7</v>
      </c>
      <c r="M108" s="3" t="inlineStr">
        <is>
          <t>남향</t>
        </is>
      </c>
      <c r="N108" s="3" t="inlineStr">
        <is>
          <t>시스템에어컨풀, 주인거주, 협의입주, 1.2층 단독주택</t>
        </is>
      </c>
      <c r="O108" s="6">
        <f>HYPERLINK("https://fin.land.naver.com/articles/2646689830", "매물Link")</f>
        <v/>
      </c>
      <c r="P108" s="6">
        <f>HYPERLINK("https://map.naver.com/p/search/아름동 1241", "지도Link")</f>
        <v/>
      </c>
      <c r="Q108" s="3" t="inlineStr">
        <is>
          <t>세종무지개</t>
        </is>
      </c>
      <c r="R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48</v>
      </c>
      <c r="J109" s="5" t="n">
        <v>2916.7</v>
      </c>
      <c r="K109" s="4" t="n">
        <v>48</v>
      </c>
      <c r="L109" s="5" t="n">
        <v>2916.7</v>
      </c>
      <c r="M109" s="3" t="inlineStr">
        <is>
          <t>남향</t>
        </is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3" t="inlineStr">
        <is>
          <t>강아지풀</t>
        </is>
      </c>
      <c r="R109" s="4" t="n">
        <v>1</v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92</v>
      </c>
      <c r="J110" s="5" t="n">
        <v>1576.1</v>
      </c>
      <c r="K110" s="4" t="n">
        <v>62</v>
      </c>
      <c r="L110" s="5" t="n">
        <v>2338.7</v>
      </c>
      <c r="M110" s="3" t="inlineStr">
        <is>
          <t>남향</t>
        </is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3" t="inlineStr">
        <is>
          <t>주황푸르지오</t>
        </is>
      </c>
      <c r="R110" s="4" t="n">
        <v>1</v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86</v>
      </c>
      <c r="J111" s="5" t="n">
        <v>1569.8</v>
      </c>
      <c r="K111" s="4" t="n">
        <v>54</v>
      </c>
      <c r="L111" s="5" t="n">
        <v>2500</v>
      </c>
      <c r="M111" s="3" t="inlineStr">
        <is>
          <t>남동향</t>
        </is>
      </c>
      <c r="N111" s="3" t="inlineStr">
        <is>
          <t>최근 리모델링한 단독주택 매매, 방3개, 욕실2개</t>
        </is>
      </c>
      <c r="O111" s="6">
        <f>HYPERLINK("https://fin.land.naver.com/articles/2642890301", "매물Link")</f>
        <v/>
      </c>
      <c r="P111" s="6">
        <f>HYPERLINK("https://map.naver.com/p/search/아름동 856", "지도Link")</f>
        <v/>
      </c>
      <c r="Q111" s="3" t="inlineStr">
        <is>
          <t>명진</t>
        </is>
      </c>
      <c r="R111" s="4" t="n">
        <v>1</v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86</v>
      </c>
      <c r="J112" s="5" t="n">
        <v>1569.8</v>
      </c>
      <c r="K112" s="4" t="n">
        <v>54</v>
      </c>
      <c r="L112" s="5" t="n">
        <v>2500</v>
      </c>
      <c r="M112" s="3" t="inlineStr">
        <is>
          <t>남향</t>
        </is>
      </c>
      <c r="N112" s="3" t="inlineStr">
        <is>
          <t>올리모델링 방3개 욕실3개 시스템에어컨5대 조율가능</t>
        </is>
      </c>
      <c r="O112" s="6">
        <f>HYPERLINK("https://fin.land.naver.com/articles/2642930401", "매물Link")</f>
        <v/>
      </c>
      <c r="P112" s="6">
        <f>HYPERLINK("https://map.naver.com/p/search/아름동 856", "지도Link")</f>
        <v/>
      </c>
      <c r="Q112" s="3" t="inlineStr">
        <is>
          <t>세종스타</t>
        </is>
      </c>
      <c r="R112" s="4" t="n">
        <v>1</v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86</v>
      </c>
      <c r="J113" s="5" t="n">
        <v>1569.8</v>
      </c>
      <c r="K113" s="4" t="n">
        <v>54</v>
      </c>
      <c r="L113" s="5" t="n">
        <v>2500</v>
      </c>
      <c r="M113" s="3" t="inlineStr">
        <is>
          <t>남동향</t>
        </is>
      </c>
      <c r="N113" s="3" t="inlineStr">
        <is>
          <t>아름동 입지좋은 단독주택 매매, 올리모델링</t>
        </is>
      </c>
      <c r="O113" s="6">
        <f>HYPERLINK("https://fin.land.naver.com/articles/2642825534", "매물Link")</f>
        <v/>
      </c>
      <c r="P113" s="6">
        <f>HYPERLINK("https://map.naver.com/p/search/아름동 856", "지도Link")</f>
        <v/>
      </c>
      <c r="Q113" s="3" t="inlineStr">
        <is>
          <t>세종무지개</t>
        </is>
      </c>
      <c r="R113" s="4" t="n">
        <v>1</v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44</v>
      </c>
      <c r="J114" s="5" t="n">
        <v>1318.2</v>
      </c>
      <c r="K114" s="4" t="n">
        <v>44</v>
      </c>
      <c r="L114" s="5" t="n">
        <v>1318.2</v>
      </c>
      <c r="M114" s="3" t="inlineStr">
        <is>
          <t>남향</t>
        </is>
      </c>
      <c r="N114" s="3" t="inlineStr">
        <is>
          <t>방3개, 화장실3개, 입주협의,누다락</t>
        </is>
      </c>
      <c r="O114" s="6">
        <f>HYPERLINK("https://fin.land.naver.com/articles/2646748033", "매물Link")</f>
        <v/>
      </c>
      <c r="P114" s="6">
        <f>HYPERLINK("https://map.naver.com/p/search/아름동 862", "지도Link")</f>
        <v/>
      </c>
      <c r="Q114" s="3" t="inlineStr">
        <is>
          <t>명진</t>
        </is>
      </c>
      <c r="R114" s="4" t="n">
        <v>1</v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95</v>
      </c>
      <c r="J115" s="5" t="n">
        <v>610.5</v>
      </c>
      <c r="K115" s="4" t="n">
        <v>44</v>
      </c>
      <c r="L115" s="5" t="n">
        <v>1318.2</v>
      </c>
      <c r="M115" s="3" t="inlineStr">
        <is>
          <t>남향</t>
        </is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3" t="inlineStr">
        <is>
          <t>국제</t>
        </is>
      </c>
      <c r="R115" s="4" t="n">
        <v>1</v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95</v>
      </c>
      <c r="J116" s="5" t="n">
        <v>1126.3</v>
      </c>
      <c r="K116" s="4" t="n">
        <v>44</v>
      </c>
      <c r="L116" s="5" t="n">
        <v>2431.8</v>
      </c>
      <c r="M116" s="3" t="inlineStr">
        <is>
          <t>남향</t>
        </is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3" t="inlineStr">
        <is>
          <t>세종무지개</t>
        </is>
      </c>
      <c r="R116" s="4" t="n">
        <v>1</v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95</v>
      </c>
      <c r="J117" s="5" t="n">
        <v>1126.3</v>
      </c>
      <c r="K117" s="4" t="n">
        <v>44</v>
      </c>
      <c r="L117" s="5" t="n">
        <v>2431.8</v>
      </c>
      <c r="M117" s="3" t="inlineStr">
        <is>
          <t>남동향</t>
        </is>
      </c>
      <c r="N117" s="3" t="inlineStr">
        <is>
          <t>시스템에어컨풀, 도배 조명 깨끗, 마당, 리모델링, 전세 승계 매매</t>
        </is>
      </c>
      <c r="O117" s="6">
        <f>HYPERLINK("https://fin.land.naver.com/articles/2646733126", "매물Link")</f>
        <v/>
      </c>
      <c r="P117" s="6">
        <f>HYPERLINK("https://map.naver.com/p/search/아름동 862", "지도Link")</f>
        <v/>
      </c>
      <c r="Q117" s="3" t="inlineStr">
        <is>
          <t>광장</t>
        </is>
      </c>
      <c r="R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단독</t>
        </is>
      </c>
      <c r="F118" s="3" t="inlineStr">
        <is>
          <t>전세</t>
        </is>
      </c>
      <c r="G118" s="4" t="n">
        <v>58000</v>
      </c>
      <c r="H118" s="4" t="n">
        <v>0</v>
      </c>
      <c r="I118" s="4" t="n">
        <v>44</v>
      </c>
      <c r="J118" s="5" t="n">
        <v>1318.2</v>
      </c>
      <c r="K118" s="4" t="n">
        <v>44</v>
      </c>
      <c r="L118" s="5" t="n">
        <v>1318.2</v>
      </c>
      <c r="M118" s="3" t="inlineStr">
        <is>
          <t>남향</t>
        </is>
      </c>
      <c r="N118" s="3" t="inlineStr">
        <is>
          <t>풀에어컨, 조명, 도배 등 리모델링 완료, 내부 굿</t>
        </is>
      </c>
      <c r="O118" s="6">
        <f>HYPERLINK("https://fin.land.naver.com/articles/2647427789", "매물Link")</f>
        <v/>
      </c>
      <c r="P118" s="6">
        <f>HYPERLINK("https://map.naver.com/p/search/아름동 862", "지도Link")</f>
        <v/>
      </c>
      <c r="Q118" s="3" t="inlineStr">
        <is>
          <t>세종무지개</t>
        </is>
      </c>
      <c r="R118" s="4" t="n">
        <v>1</v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103</v>
      </c>
      <c r="J119" s="5" t="n">
        <v>1553.4</v>
      </c>
      <c r="K119" s="4" t="n">
        <v>58</v>
      </c>
      <c r="L119" s="5" t="n">
        <v>2758.6</v>
      </c>
      <c r="M119" s="3" t="inlineStr">
        <is>
          <t>남향</t>
        </is>
      </c>
      <c r="N119" s="3" t="inlineStr">
        <is>
          <t>입주협의 위치좋은 단독주택 관리상태굿 가격조정가능</t>
        </is>
      </c>
      <c r="O119" s="6">
        <f>HYPERLINK("https://fin.land.naver.com/articles/2644599103", "매물Link")</f>
        <v/>
      </c>
      <c r="P119" s="6">
        <f>HYPERLINK("https://map.naver.com/p/search/아름동 875", "지도Link")</f>
        <v/>
      </c>
      <c r="Q119" s="3" t="inlineStr">
        <is>
          <t>고운동리치세종</t>
        </is>
      </c>
      <c r="R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103</v>
      </c>
      <c r="J120" s="5" t="n">
        <v>1553.4</v>
      </c>
      <c r="K120" s="4" t="n">
        <v>58</v>
      </c>
      <c r="L120" s="5" t="n">
        <v>2758.6</v>
      </c>
      <c r="M120" s="3" t="inlineStr">
        <is>
          <t>남향</t>
        </is>
      </c>
      <c r="N120" s="3" t="inlineStr">
        <is>
          <t>잘 지어지고 관리가 잘된 집</t>
        </is>
      </c>
      <c r="O120" s="6">
        <f>HYPERLINK("https://fin.land.naver.com/articles/2643046671", "매물Link")</f>
        <v/>
      </c>
      <c r="P120" s="6">
        <f>HYPERLINK("https://map.naver.com/p/search/아름동 875", "지도Link")</f>
        <v/>
      </c>
      <c r="Q120" s="3" t="inlineStr">
        <is>
          <t>세종푸르지오</t>
        </is>
      </c>
      <c r="R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103</v>
      </c>
      <c r="J121" s="5" t="n">
        <v>1553.4</v>
      </c>
      <c r="K121" s="4" t="n">
        <v>58</v>
      </c>
      <c r="L121" s="5" t="n">
        <v>2758.6</v>
      </c>
      <c r="M121" s="3" t="inlineStr">
        <is>
          <t>남향</t>
        </is>
      </c>
      <c r="N121" s="3" t="inlineStr">
        <is>
          <t>nan</t>
        </is>
      </c>
      <c r="O121" s="6">
        <f>HYPERLINK("https://fin.land.naver.com/articles/2645959810", "매물Link")</f>
        <v/>
      </c>
      <c r="P121" s="6">
        <f>HYPERLINK("https://map.naver.com/p/search/아름동 875", "지도Link")</f>
        <v/>
      </c>
      <c r="Q121" s="3" t="inlineStr">
        <is>
          <t>세종갑부</t>
        </is>
      </c>
      <c r="R121" s="4" t="n">
        <v>1</v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108</v>
      </c>
      <c r="J122" s="5" t="n">
        <v>1481.5</v>
      </c>
      <c r="K122" s="4" t="n">
        <v>75</v>
      </c>
      <c r="L122" s="5" t="n">
        <v>2133.3</v>
      </c>
      <c r="M122" s="3" t="inlineStr">
        <is>
          <t>남향</t>
        </is>
      </c>
      <c r="N122" s="3" t="inlineStr">
        <is>
          <t>조율가능 유럽풍스타일 1층 방2개 거실넓은 철콘주택</t>
        </is>
      </c>
      <c r="O122" s="6">
        <f>HYPERLINK("https://fin.land.naver.com/articles/2644917553", "매물Link")</f>
        <v/>
      </c>
      <c r="P122" s="6">
        <f>HYPERLINK("https://map.naver.com/p/search/아름동 959", "지도Link")</f>
        <v/>
      </c>
      <c r="Q122" s="3" t="inlineStr">
        <is>
          <t>세종스타</t>
        </is>
      </c>
      <c r="R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108</v>
      </c>
      <c r="J123" s="5" t="n">
        <v>1481.5</v>
      </c>
      <c r="K123" s="4" t="n">
        <v>75</v>
      </c>
      <c r="L123" s="5" t="n">
        <v>2133.3</v>
      </c>
      <c r="M123" s="3" t="inlineStr">
        <is>
          <t>남향</t>
        </is>
      </c>
      <c r="N123" s="3" t="inlineStr">
        <is>
          <t>방5개, 화장실2개, 고급 단독주택, 태양광</t>
        </is>
      </c>
      <c r="O123" s="6">
        <f>HYPERLINK("https://fin.land.naver.com/articles/2645493231", "매물Link")</f>
        <v/>
      </c>
      <c r="P123" s="6">
        <f>HYPERLINK("https://map.naver.com/p/search/아름동 959", "지도Link")</f>
        <v/>
      </c>
      <c r="Q123" s="3" t="inlineStr">
        <is>
          <t>명진</t>
        </is>
      </c>
      <c r="R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108</v>
      </c>
      <c r="J124" s="5" t="n">
        <v>1481.5</v>
      </c>
      <c r="K124" s="4" t="n">
        <v>75</v>
      </c>
      <c r="L124" s="5" t="n">
        <v>2133.3</v>
      </c>
      <c r="M124" s="3" t="inlineStr">
        <is>
          <t>남향</t>
        </is>
      </c>
      <c r="N124" s="3" t="inlineStr">
        <is>
          <t>고급 단독주택 매매, 태양광 설치, 1층에 방2개</t>
        </is>
      </c>
      <c r="O124" s="6">
        <f>HYPERLINK("https://fin.land.naver.com/articles/2646691449", "매물Link")</f>
        <v/>
      </c>
      <c r="P124" s="6">
        <f>HYPERLINK("https://map.naver.com/p/search/아름동 959", "지도Link")</f>
        <v/>
      </c>
      <c r="Q124" s="3" t="inlineStr">
        <is>
          <t>세종무지개</t>
        </is>
      </c>
      <c r="R124" s="4" t="n">
        <v>1</v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531</v>
      </c>
      <c r="J125" s="5" t="n">
        <v>339</v>
      </c>
      <c r="K125" s="4" t="n">
        <v>58</v>
      </c>
      <c r="L125" s="5" t="n">
        <v>3103.4</v>
      </c>
      <c r="M125" s="3" t="inlineStr">
        <is>
          <t>남향</t>
        </is>
      </c>
      <c r="N125" s="3" t="inlineStr">
        <is>
          <t>남향의 2층 전원주택</t>
        </is>
      </c>
      <c r="O125" s="6">
        <f>HYPERLINK("https://fin.land.naver.com/articles/2646049802", "매물Link")</f>
        <v/>
      </c>
      <c r="P125" s="6">
        <f>HYPERLINK("https://map.naver.com/p/search/연동면 노송리 28", "지도Link")</f>
        <v/>
      </c>
      <c r="Q125" s="3" t="inlineStr">
        <is>
          <t>보람최고</t>
        </is>
      </c>
      <c r="R125" s="4" t="n">
        <v>1</v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53</v>
      </c>
      <c r="J126" s="5" t="n">
        <v>349.1</v>
      </c>
      <c r="K126" s="4" t="n">
        <v>16</v>
      </c>
      <c r="L126" s="5" t="n">
        <v>1156.2</v>
      </c>
      <c r="M126" s="3" t="inlineStr">
        <is>
          <t>동향</t>
        </is>
      </c>
      <c r="N126" s="3" t="inlineStr">
        <is>
          <t>소액 투자 추천, 세컨하우스, 주말별장, 실거주도 좋아요.</t>
        </is>
      </c>
      <c r="O126" s="6">
        <f>HYPERLINK("https://fin.land.naver.com/articles/2642741890", "매물Link")</f>
        <v/>
      </c>
      <c r="P126" s="6">
        <f>HYPERLINK("https://map.naver.com/p/search/연동면 명학리 217-1", "지도Link")</f>
        <v/>
      </c>
      <c r="Q126" s="3" t="inlineStr">
        <is>
          <t>수자인시티</t>
        </is>
      </c>
      <c r="R126" s="4" t="n">
        <v>1</v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단독</t>
        </is>
      </c>
      <c r="F127" s="3" t="inlineStr">
        <is>
          <t>매매</t>
        </is>
      </c>
      <c r="G127" s="4" t="n">
        <v>72000</v>
      </c>
      <c r="H127" s="4" t="n">
        <v>0</v>
      </c>
      <c r="I127" s="4" t="n">
        <v>240</v>
      </c>
      <c r="J127" s="5" t="n">
        <v>300</v>
      </c>
      <c r="K127" s="4" t="n">
        <v>41</v>
      </c>
      <c r="L127" s="5" t="n">
        <v>1756.1</v>
      </c>
      <c r="M127" s="3" t="inlineStr">
        <is>
          <t>남향</t>
        </is>
      </c>
      <c r="N127" s="3" t="inlineStr">
        <is>
          <t>행정중심복합도시인근 농가주택</t>
        </is>
      </c>
      <c r="O127" s="6">
        <f>HYPERLINK("https://fin.land.naver.com/articles/2643646137", "매물Link")</f>
        <v/>
      </c>
      <c r="P127" s="6">
        <f>HYPERLINK("https://map.naver.com/p/search/연동면 명학리 325-7", "지도Link")</f>
        <v/>
      </c>
      <c r="Q127" s="3" t="inlineStr">
        <is>
          <t>고덕신도시길</t>
        </is>
      </c>
      <c r="R127" s="4" t="n">
        <v>1</v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단독</t>
        </is>
      </c>
      <c r="F128" s="3" t="inlineStr">
        <is>
          <t>매매</t>
        </is>
      </c>
      <c r="G128" s="4" t="n">
        <v>21000</v>
      </c>
      <c r="H128" s="4" t="n">
        <v>0</v>
      </c>
      <c r="I128" s="4" t="n">
        <v>78</v>
      </c>
      <c r="J128" s="5" t="n">
        <v>269.2</v>
      </c>
      <c r="K128" s="4" t="n">
        <v>28</v>
      </c>
      <c r="L128" s="5" t="n">
        <v>750</v>
      </c>
      <c r="M128" s="3" t="inlineStr">
        <is>
          <t>남향</t>
        </is>
      </c>
      <c r="N128" s="3" t="inlineStr">
        <is>
          <t>세종시 공기좋고 한적한 곳 저렴한 시골집 세컨하우스 주말주택</t>
        </is>
      </c>
      <c r="O128" s="6">
        <f>HYPERLINK("https://fin.land.naver.com/articles/2645324832", "매물Link")</f>
        <v/>
      </c>
      <c r="P128" s="6">
        <f>HYPERLINK("https://map.naver.com/p/search/연동면 예양리 640-1", "지도Link")</f>
        <v/>
      </c>
      <c r="Q128" s="3" t="inlineStr">
        <is>
          <t>청담</t>
        </is>
      </c>
      <c r="R128" s="4" t="n">
        <v>1</v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단독</t>
        </is>
      </c>
      <c r="F129" s="3" t="inlineStr">
        <is>
          <t>매매</t>
        </is>
      </c>
      <c r="G129" s="4" t="n">
        <v>60000</v>
      </c>
      <c r="H129" s="4" t="n">
        <v>0</v>
      </c>
      <c r="I129" s="4" t="n">
        <v>310</v>
      </c>
      <c r="J129" s="5" t="n">
        <v>193.5</v>
      </c>
      <c r="K129" s="4" t="n">
        <v>31</v>
      </c>
      <c r="L129" s="5" t="n">
        <v>1935.5</v>
      </c>
      <c r="M129" s="3" t="inlineStr">
        <is>
          <t>남향</t>
        </is>
      </c>
      <c r="N129" s="3" t="inlineStr">
        <is>
          <t>nan</t>
        </is>
      </c>
      <c r="O129" s="6">
        <f>HYPERLINK("https://fin.land.naver.com/articles/2648221451", "매물Link")</f>
        <v/>
      </c>
      <c r="P129" s="6">
        <f>HYPERLINK("https://map.naver.com/p/search/연동면 응암리 121-4", "지도Link")</f>
        <v/>
      </c>
      <c r="Q129" s="3" t="inlineStr">
        <is>
          <t>어반통</t>
        </is>
      </c>
      <c r="R129" s="4" t="n">
        <v>1</v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단독</t>
        </is>
      </c>
      <c r="F130" s="3" t="inlineStr">
        <is>
          <t>매매</t>
        </is>
      </c>
      <c r="G130" s="4" t="n">
        <v>27000</v>
      </c>
      <c r="H130" s="4" t="n">
        <v>0</v>
      </c>
      <c r="I130" s="4" t="n">
        <v>140</v>
      </c>
      <c r="J130" s="5" t="n">
        <v>192.9</v>
      </c>
      <c r="K130" s="4" t="n">
        <v>27</v>
      </c>
      <c r="L130" s="5" t="n">
        <v>1000</v>
      </c>
      <c r="M130" s="3" t="inlineStr">
        <is>
          <t>남동향</t>
        </is>
      </c>
      <c r="N130" s="3" t="inlineStr">
        <is>
          <t>전세 안고 투자도 가능</t>
        </is>
      </c>
      <c r="O130" s="6">
        <f>HYPERLINK("https://fin.land.naver.com/articles/2643356054", "매물Link")</f>
        <v/>
      </c>
      <c r="P130" s="6">
        <f>HYPERLINK("https://map.naver.com/p/search/연동면 응암리 199-4", "지도Link")</f>
        <v/>
      </c>
      <c r="Q130" s="3" t="inlineStr">
        <is>
          <t>세종초이스</t>
        </is>
      </c>
      <c r="R130" s="4" t="n">
        <v>1</v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54200</v>
      </c>
      <c r="H131" s="4" t="n">
        <v>0</v>
      </c>
      <c r="I131" s="4" t="n">
        <v>219</v>
      </c>
      <c r="J131" s="5" t="n">
        <v>247.5</v>
      </c>
      <c r="K131" s="4" t="n">
        <v>22</v>
      </c>
      <c r="L131" s="5" t="n">
        <v>2463.6</v>
      </c>
      <c r="M131" s="3" t="inlineStr">
        <is>
          <t>북서향</t>
        </is>
      </c>
      <c r="N131" s="3" t="inlineStr">
        <is>
          <t>고복저수지 초근접 한 매물이며,별장으로 활용해도 좋아요</t>
        </is>
      </c>
      <c r="O131" s="6">
        <f>HYPERLINK("https://fin.land.naver.com/articles/2647765328", "매물Link")</f>
        <v/>
      </c>
      <c r="P131" s="6">
        <f>HYPERLINK("https://map.naver.com/p/search/연서면 고복리 415-34", "지도Link")</f>
        <v/>
      </c>
      <c r="Q131" s="3" t="inlineStr">
        <is>
          <t>지호주식회사</t>
        </is>
      </c>
      <c r="R131" s="4" t="n">
        <v>1</v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7000</v>
      </c>
      <c r="H132" s="4" t="n">
        <v>0</v>
      </c>
      <c r="I132" s="4" t="n">
        <v>92</v>
      </c>
      <c r="J132" s="5" t="n">
        <v>76.09999999999999</v>
      </c>
      <c r="K132" s="4" t="n">
        <v>16</v>
      </c>
      <c r="L132" s="5" t="n">
        <v>437.5</v>
      </c>
      <c r="M132" s="3" t="inlineStr">
        <is>
          <t>북동향</t>
        </is>
      </c>
      <c r="N132" s="3" t="inlineStr">
        <is>
          <t>매매가 이하 저렴한 농가주택입니다</t>
        </is>
      </c>
      <c r="O132" s="6">
        <f>HYPERLINK("https://fin.land.naver.com/articles/2644366822", "매물Link")</f>
        <v/>
      </c>
      <c r="P132" s="6">
        <f>HYPERLINK("https://map.naver.com/p/search/연서면 기룡리 657-4", "지도Link")</f>
        <v/>
      </c>
      <c r="Q132" s="3" t="inlineStr">
        <is>
          <t>캠퍼스</t>
        </is>
      </c>
      <c r="R132" s="4" t="n">
        <v>1</v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다가구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127</v>
      </c>
      <c r="J133" s="5" t="n">
        <v>842.5</v>
      </c>
      <c r="K133" s="4" t="n">
        <v>136</v>
      </c>
      <c r="L133" s="5" t="n">
        <v>786.8</v>
      </c>
      <c r="M133" s="3" t="inlineStr">
        <is>
          <t>남서향</t>
        </is>
      </c>
      <c r="N133" s="3" t="inlineStr">
        <is>
          <t>다가구 매매 .위치.방 컨디션 매우좋은 건물</t>
        </is>
      </c>
      <c r="O133" s="6">
        <f>HYPERLINK("https://fin.land.naver.com/articles/2646956117", "매물Link")</f>
        <v/>
      </c>
      <c r="P133" s="6">
        <f>HYPERLINK("https://map.naver.com/p/search/연서면 봉암리 112-30", "지도Link")</f>
        <v/>
      </c>
      <c r="Q133" s="3" t="inlineStr">
        <is>
          <t>연서</t>
        </is>
      </c>
      <c r="R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단독</t>
        </is>
      </c>
      <c r="F134" s="3" t="inlineStr">
        <is>
          <t>매매</t>
        </is>
      </c>
      <c r="G134" s="4" t="n">
        <v>107000</v>
      </c>
      <c r="H134" s="4" t="n">
        <v>0</v>
      </c>
      <c r="I134" s="4" t="n">
        <v>127</v>
      </c>
      <c r="J134" s="5" t="n">
        <v>842.5</v>
      </c>
      <c r="K134" s="4" t="n">
        <v>136</v>
      </c>
      <c r="L134" s="5" t="n">
        <v>786.8</v>
      </c>
      <c r="M134" s="3" t="inlineStr">
        <is>
          <t>남향</t>
        </is>
      </c>
      <c r="N134" s="3" t="inlineStr">
        <is>
          <t>스마트산업단지 예정 인근 다가구 통매매,중심상권 위치로 투자수익 기대</t>
        </is>
      </c>
      <c r="O134" s="6">
        <f>HYPERLINK("https://fin.land.naver.com/articles/2644670568", "매물Link")</f>
        <v/>
      </c>
      <c r="P134" s="6">
        <f>HYPERLINK("https://map.naver.com/p/search/연서면 봉암리 112-30", "지도Link")</f>
        <v/>
      </c>
      <c r="Q134" s="3" t="inlineStr">
        <is>
          <t>연기더조은</t>
        </is>
      </c>
      <c r="R134" s="4" t="n">
        <v>1</v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원룸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15</v>
      </c>
      <c r="J135" s="5" t="n">
        <v>3</v>
      </c>
      <c r="K135" s="4" t="n">
        <v>12</v>
      </c>
      <c r="L135" s="5" t="n">
        <v>3.8</v>
      </c>
      <c r="M135" s="3" t="inlineStr">
        <is>
          <t>북동향</t>
        </is>
      </c>
      <c r="N135" s="3" t="inlineStr">
        <is>
          <t>nan</t>
        </is>
      </c>
      <c r="O135" s="6">
        <f>HYPERLINK("https://fin.land.naver.com/articles/2645105601", "매물Link")</f>
        <v/>
      </c>
      <c r="P135" s="6">
        <f>HYPERLINK("https://map.naver.com/p/search/연서면 봉암리 112-31", "지도Link")</f>
        <v/>
      </c>
      <c r="Q135" s="3" t="inlineStr">
        <is>
          <t>엄지척</t>
        </is>
      </c>
      <c r="R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79</v>
      </c>
      <c r="I136" s="4" t="n">
        <v>0</v>
      </c>
      <c r="J136" s="5" t="n">
        <v>0</v>
      </c>
      <c r="K136" s="4" t="n">
        <v>24</v>
      </c>
      <c r="L136" s="5" t="n">
        <v>3.3</v>
      </c>
      <c r="M136" s="3" t="inlineStr">
        <is>
          <t>남동향</t>
        </is>
      </c>
      <c r="N136" s="3" t="inlineStr">
        <is>
          <t>쓰리룸. 방3, 화장실 2, 베란다 2, 거실</t>
        </is>
      </c>
      <c r="O136" s="6">
        <f>HYPERLINK("https://fin.land.naver.com/articles/2647387374", "매물Link")</f>
        <v/>
      </c>
      <c r="P136" s="6">
        <f>HYPERLINK("https://map.naver.com/p/search/연서면 봉암리 112-31", "지도Link")</f>
        <v/>
      </c>
      <c r="Q136" s="3" t="inlineStr">
        <is>
          <t>지성</t>
        </is>
      </c>
      <c r="R136" s="4" t="n">
        <v>1</v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다가구</t>
        </is>
      </c>
      <c r="F137" s="3" t="inlineStr">
        <is>
          <t>매매</t>
        </is>
      </c>
      <c r="G137" s="4" t="n">
        <v>98000</v>
      </c>
      <c r="H137" s="4" t="n">
        <v>0</v>
      </c>
      <c r="I137" s="4" t="n">
        <v>124</v>
      </c>
      <c r="J137" s="5" t="n">
        <v>790.3</v>
      </c>
      <c r="K137" s="4" t="n">
        <v>147</v>
      </c>
      <c r="L137" s="5" t="n">
        <v>666.7</v>
      </c>
      <c r="M137" s="3" t="inlineStr">
        <is>
          <t>남향</t>
        </is>
      </c>
      <c r="N137" s="3" t="inlineStr">
        <is>
          <t>세종시 투자의 정석 공실 걱정 없는 안정적인 고수익 다가구주택</t>
        </is>
      </c>
      <c r="O137" s="6">
        <f>HYPERLINK("https://fin.land.naver.com/articles/2645675840", "매물Link")</f>
        <v/>
      </c>
      <c r="P137" s="6">
        <f>HYPERLINK("https://map.naver.com/p/search/연서면 봉암리 112-35", "지도Link")</f>
        <v/>
      </c>
      <c r="Q137" s="3" t="inlineStr">
        <is>
          <t>엄지척</t>
        </is>
      </c>
      <c r="R137" s="4" t="n">
        <v>1</v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원룸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34</v>
      </c>
      <c r="I138" s="4" t="n">
        <v>0</v>
      </c>
      <c r="J138" s="5" t="n">
        <v>0</v>
      </c>
      <c r="K138" s="4" t="n">
        <v>12</v>
      </c>
      <c r="L138" s="5" t="n">
        <v>2.8</v>
      </c>
      <c r="M138" s="3" t="inlineStr">
        <is>
          <t>남향</t>
        </is>
      </c>
      <c r="N138" s="3" t="inlineStr">
        <is>
          <t>인기좋은  풀옵션완비방   깔끔한 주거공간  주차편함  정류장1분</t>
        </is>
      </c>
      <c r="O138" s="6">
        <f>HYPERLINK("https://fin.land.naver.com/articles/2646935984", "매물Link")</f>
        <v/>
      </c>
      <c r="P138" s="6">
        <f>HYPERLINK("https://map.naver.com/p/search/연서면 봉암리 112-37", "지도Link")</f>
        <v/>
      </c>
      <c r="Q138" s="3" t="inlineStr">
        <is>
          <t>연서으뜸</t>
        </is>
      </c>
      <c r="R138" s="4" t="n">
        <v>1</v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113</v>
      </c>
      <c r="J139" s="5" t="n">
        <v>752.2</v>
      </c>
      <c r="K139" s="4" t="n">
        <v>146</v>
      </c>
      <c r="L139" s="5" t="n">
        <v>582.2</v>
      </c>
      <c r="M139" s="3" t="inlineStr">
        <is>
          <t>남향</t>
        </is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3" t="inlineStr">
        <is>
          <t>연기더조은</t>
        </is>
      </c>
      <c r="R139" s="4" t="n">
        <v>1</v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원룸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200</v>
      </c>
      <c r="H140" s="4" t="n">
        <v>32</v>
      </c>
      <c r="I140" s="4" t="n">
        <v>0</v>
      </c>
      <c r="J140" s="5" t="n">
        <v>0</v>
      </c>
      <c r="K140" s="4" t="n">
        <v>7</v>
      </c>
      <c r="L140" s="5" t="n">
        <v>4.6</v>
      </c>
      <c r="M140" s="3" t="inlineStr">
        <is>
          <t>남서향</t>
        </is>
      </c>
      <c r="N140" s="3" t="inlineStr">
        <is>
          <t>세종초근접 분리형원룸 바로앞 편의점.마트</t>
        </is>
      </c>
      <c r="O140" s="6">
        <f>HYPERLINK("https://fin.land.naver.com/articles/2643359511", "매물Link")</f>
        <v/>
      </c>
      <c r="P140" s="6">
        <f>HYPERLINK("https://map.naver.com/p/search/연서면 봉암리 217-17", "지도Link")</f>
        <v/>
      </c>
      <c r="Q140" s="3" t="inlineStr">
        <is>
          <t>엄지척</t>
        </is>
      </c>
      <c r="R140" s="4" t="n">
        <v>1</v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원룸</t>
        </is>
      </c>
      <c r="E141" s="3" t="inlineStr">
        <is>
          <t>일반원룸</t>
        </is>
      </c>
      <c r="F141" s="3" t="inlineStr">
        <is>
          <t>단기임대</t>
        </is>
      </c>
      <c r="G141" s="4" t="n">
        <v>100</v>
      </c>
      <c r="H141" s="4" t="n">
        <v>30</v>
      </c>
      <c r="I141" s="4" t="n">
        <v>7</v>
      </c>
      <c r="J141" s="5" t="n">
        <v>14.3</v>
      </c>
      <c r="K141" s="4" t="n">
        <v>7</v>
      </c>
      <c r="L141" s="5" t="n">
        <v>14.3</v>
      </c>
      <c r="M141" s="3" t="inlineStr">
        <is>
          <t>남서향</t>
        </is>
      </c>
      <c r="N141" s="3" t="inlineStr">
        <is>
          <t>현장숙소단기임대가능 주변식당.마트 도보5분</t>
        </is>
      </c>
      <c r="O141" s="6">
        <f>HYPERLINK("https://fin.land.naver.com/articles/2643360174", "매물Link")</f>
        <v/>
      </c>
      <c r="P141" s="6">
        <f>HYPERLINK("https://map.naver.com/p/search/연서면 봉암리 228", "지도Link")</f>
        <v/>
      </c>
      <c r="Q141" s="3" t="inlineStr">
        <is>
          <t>엄지척</t>
        </is>
      </c>
      <c r="R141" s="4" t="n">
        <v>1</v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원룸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300</v>
      </c>
      <c r="H142" s="4" t="n">
        <v>45</v>
      </c>
      <c r="I142" s="4" t="n">
        <v>0</v>
      </c>
      <c r="J142" s="5" t="n">
        <v>0</v>
      </c>
      <c r="K142" s="4" t="n">
        <v>12</v>
      </c>
      <c r="L142" s="5" t="n">
        <v>3.8</v>
      </c>
      <c r="M142" s="3" t="inlineStr">
        <is>
          <t>남향</t>
        </is>
      </c>
      <c r="N142" s="3" t="inlineStr">
        <is>
          <t>인기좋은 풀옵션 1.5룸  짐만 가져오세요  버스정류장 1분  주차편함</t>
        </is>
      </c>
      <c r="O142" s="6">
        <f>HYPERLINK("https://fin.land.naver.com/articles/2648168691", "매물Link")</f>
        <v/>
      </c>
      <c r="P142" s="6">
        <f>HYPERLINK("https://map.naver.com/p/search/연서면 봉암리 234-41", "지도Link")</f>
        <v/>
      </c>
      <c r="Q142" s="3" t="inlineStr">
        <is>
          <t>연서으뜸</t>
        </is>
      </c>
      <c r="R142" s="4" t="n">
        <v>1</v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단독</t>
        </is>
      </c>
      <c r="F143" s="3" t="inlineStr">
        <is>
          <t>매매</t>
        </is>
      </c>
      <c r="G143" s="4" t="n">
        <v>18500</v>
      </c>
      <c r="H143" s="4" t="n">
        <v>0</v>
      </c>
      <c r="I143" s="4" t="n">
        <v>53</v>
      </c>
      <c r="J143" s="5" t="n">
        <v>349.1</v>
      </c>
      <c r="K143" s="4" t="n">
        <v>20</v>
      </c>
      <c r="L143" s="5" t="n">
        <v>925</v>
      </c>
      <c r="M143" s="3" t="inlineStr">
        <is>
          <t>남향</t>
        </is>
      </c>
      <c r="N143" s="3" t="inlineStr">
        <is>
          <t>nan</t>
        </is>
      </c>
      <c r="O143" s="6">
        <f>HYPERLINK("https://fin.land.naver.com/articles/2647590651", "매물Link")</f>
        <v/>
      </c>
      <c r="P143" s="6">
        <f>HYPERLINK("https://map.naver.com/p/search/연서면 봉암리 54-45", "지도Link")</f>
        <v/>
      </c>
      <c r="Q143" s="3" t="inlineStr">
        <is>
          <t>KB세종</t>
        </is>
      </c>
      <c r="R143" s="4" t="n">
        <v>1</v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원룸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0</v>
      </c>
      <c r="J144" s="5" t="n">
        <v>0</v>
      </c>
      <c r="K144" s="4" t="n">
        <v>7</v>
      </c>
      <c r="L144" s="5" t="n">
        <v>4.3</v>
      </c>
      <c r="M144" s="3" t="inlineStr">
        <is>
          <t>동향</t>
        </is>
      </c>
      <c r="N144" s="3" t="inlineStr">
        <is>
          <t>인기좋은  풀옵션완비방   깔끔한 주방분리   바로입주  주차편함</t>
        </is>
      </c>
      <c r="O144" s="6">
        <f>HYPERLINK("https://fin.land.naver.com/articles/2648544810", "매물Link")</f>
        <v/>
      </c>
      <c r="P144" s="6">
        <f>HYPERLINK("https://map.naver.com/p/search/연서면 봉암리 54-76", "지도Link")</f>
        <v/>
      </c>
      <c r="Q144" s="3" t="inlineStr">
        <is>
          <t>연서으뜸</t>
        </is>
      </c>
      <c r="R144" s="4" t="n">
        <v>1</v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31</v>
      </c>
      <c r="I145" s="4" t="n">
        <v>46</v>
      </c>
      <c r="J145" s="5" t="n">
        <v>0.7</v>
      </c>
      <c r="K145" s="4" t="n">
        <v>8</v>
      </c>
      <c r="L145" s="5" t="n">
        <v>3.9</v>
      </c>
      <c r="M145" s="3" t="inlineStr">
        <is>
          <t>서향</t>
        </is>
      </c>
      <c r="N145" s="3" t="inlineStr">
        <is>
          <t>인기좋은 풀옵션방  깔끔한 주방분리형  짐만가져오세요  바로입주</t>
        </is>
      </c>
      <c r="O145" s="6">
        <f>HYPERLINK("https://fin.land.naver.com/articles/2647704644", "매물Link")</f>
        <v/>
      </c>
      <c r="P145" s="6">
        <f>HYPERLINK("https://map.naver.com/p/search/연서면 봉암리 54-85", "지도Link")</f>
        <v/>
      </c>
      <c r="Q145" s="3" t="inlineStr">
        <is>
          <t>연서으뜸</t>
        </is>
      </c>
      <c r="R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다가구</t>
        </is>
      </c>
      <c r="F146" s="3" t="inlineStr">
        <is>
          <t>매매</t>
        </is>
      </c>
      <c r="G146" s="4" t="n">
        <v>100000</v>
      </c>
      <c r="H146" s="4" t="n">
        <v>0</v>
      </c>
      <c r="I146" s="4" t="n">
        <v>109</v>
      </c>
      <c r="J146" s="5" t="n">
        <v>917.4</v>
      </c>
      <c r="K146" s="4" t="n">
        <v>148</v>
      </c>
      <c r="L146" s="5" t="n">
        <v>675.7</v>
      </c>
      <c r="M146" s="3" t="inlineStr">
        <is>
          <t>남동향</t>
        </is>
      </c>
      <c r="N146" s="3" t="inlineStr">
        <is>
          <t>세종시 인접  19실  수익형 다가구매매</t>
        </is>
      </c>
      <c r="O146" s="6">
        <f>HYPERLINK("https://fin.land.naver.com/articles/2646955761", "매물Link")</f>
        <v/>
      </c>
      <c r="P146" s="6">
        <f>HYPERLINK("https://map.naver.com/p/search/연서면 봉암리 54-89", "지도Link")</f>
        <v/>
      </c>
      <c r="Q146" s="3" t="inlineStr">
        <is>
          <t>연서</t>
        </is>
      </c>
      <c r="R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다가구</t>
        </is>
      </c>
      <c r="F147" s="3" t="inlineStr">
        <is>
          <t>매매</t>
        </is>
      </c>
      <c r="G147" s="4" t="n">
        <v>100000</v>
      </c>
      <c r="H147" s="4" t="n">
        <v>0</v>
      </c>
      <c r="I147" s="4" t="n">
        <v>109</v>
      </c>
      <c r="J147" s="5" t="n">
        <v>917.4</v>
      </c>
      <c r="K147" s="4" t="n">
        <v>148</v>
      </c>
      <c r="L147" s="5" t="n">
        <v>675.7</v>
      </c>
      <c r="M147" s="3" t="inlineStr">
        <is>
          <t>남향</t>
        </is>
      </c>
      <c r="N147" s="3" t="inlineStr">
        <is>
          <t>nan</t>
        </is>
      </c>
      <c r="O147" s="6">
        <f>HYPERLINK("https://fin.land.naver.com/articles/2645645528", "매물Link")</f>
        <v/>
      </c>
      <c r="P147" s="6">
        <f>HYPERLINK("https://map.naver.com/p/search/연서면 봉암리 54-89", "지도Link")</f>
        <v/>
      </c>
      <c r="Q147" s="3" t="inlineStr">
        <is>
          <t>엄지척</t>
        </is>
      </c>
      <c r="R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42</v>
      </c>
      <c r="J148" s="5" t="n">
        <v>7.1</v>
      </c>
      <c r="K148" s="4" t="n">
        <v>12</v>
      </c>
      <c r="L148" s="5" t="n">
        <v>25</v>
      </c>
      <c r="M148" s="3" t="inlineStr">
        <is>
          <t>북서향</t>
        </is>
      </c>
      <c r="N148" s="3" t="inlineStr">
        <is>
          <t>nan</t>
        </is>
      </c>
      <c r="O148" s="6">
        <f>HYPERLINK("https://fin.land.naver.com/articles/2647001229", "매물Link")</f>
        <v/>
      </c>
      <c r="P148" s="6">
        <f>HYPERLINK("https://map.naver.com/p/search/연서면 봉암리 58-3", "지도Link")</f>
        <v/>
      </c>
      <c r="Q148" s="3" t="inlineStr">
        <is>
          <t>동서남북</t>
        </is>
      </c>
      <c r="R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42</v>
      </c>
      <c r="J149" s="5" t="n">
        <v>7.1</v>
      </c>
      <c r="K149" s="4" t="n">
        <v>12</v>
      </c>
      <c r="L149" s="5" t="n">
        <v>25</v>
      </c>
      <c r="M149" s="3" t="inlineStr">
        <is>
          <t>북서향</t>
        </is>
      </c>
      <c r="N149" s="3" t="inlineStr">
        <is>
          <t>nan</t>
        </is>
      </c>
      <c r="O149" s="6">
        <f>HYPERLINK("https://fin.land.naver.com/articles/2646008689", "매물Link")</f>
        <v/>
      </c>
      <c r="P149" s="6">
        <f>HYPERLINK("https://map.naver.com/p/search/연서면 봉암리 58-3", "지도Link")</f>
        <v/>
      </c>
      <c r="Q149" s="3" t="inlineStr">
        <is>
          <t>동서남북</t>
        </is>
      </c>
      <c r="R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42</v>
      </c>
      <c r="J150" s="5" t="n">
        <v>7.1</v>
      </c>
      <c r="K150" s="4" t="n">
        <v>12</v>
      </c>
      <c r="L150" s="5" t="n">
        <v>25</v>
      </c>
      <c r="M150" s="3" t="inlineStr">
        <is>
          <t>남서향</t>
        </is>
      </c>
      <c r="N150" s="3" t="inlineStr">
        <is>
          <t>nan</t>
        </is>
      </c>
      <c r="O150" s="6">
        <f>HYPERLINK("https://fin.land.naver.com/articles/2646349438", "매물Link")</f>
        <v/>
      </c>
      <c r="P150" s="6">
        <f>HYPERLINK("https://map.naver.com/p/search/연서면 봉암리 58-3", "지도Link")</f>
        <v/>
      </c>
      <c r="Q150" s="3" t="inlineStr">
        <is>
          <t>동서남북</t>
        </is>
      </c>
      <c r="R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42</v>
      </c>
      <c r="J151" s="5" t="n">
        <v>1.1</v>
      </c>
      <c r="K151" s="4" t="n">
        <v>12</v>
      </c>
      <c r="L151" s="5" t="n">
        <v>3.8</v>
      </c>
      <c r="M151" s="3" t="inlineStr">
        <is>
          <t>북서향</t>
        </is>
      </c>
      <c r="N151" s="3" t="inlineStr">
        <is>
          <t>nan</t>
        </is>
      </c>
      <c r="O151" s="6">
        <f>HYPERLINK("https://fin.land.naver.com/articles/2646744402", "매물Link")</f>
        <v/>
      </c>
      <c r="P151" s="6">
        <f>HYPERLINK("https://map.naver.com/p/search/연서면 봉암리 58-3", "지도Link")</f>
        <v/>
      </c>
      <c r="Q151" s="3" t="inlineStr">
        <is>
          <t>동서남북</t>
        </is>
      </c>
      <c r="R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42</v>
      </c>
      <c r="J152" s="5" t="n">
        <v>1.1</v>
      </c>
      <c r="K152" s="4" t="n">
        <v>12</v>
      </c>
      <c r="L152" s="5" t="n">
        <v>3.8</v>
      </c>
      <c r="M152" s="3" t="inlineStr">
        <is>
          <t>북서향</t>
        </is>
      </c>
      <c r="N152" s="3" t="inlineStr">
        <is>
          <t>nan</t>
        </is>
      </c>
      <c r="O152" s="6">
        <f>HYPERLINK("https://fin.land.naver.com/articles/2645609323", "매물Link")</f>
        <v/>
      </c>
      <c r="P152" s="6">
        <f>HYPERLINK("https://map.naver.com/p/search/연서면 봉암리 58-3", "지도Link")</f>
        <v/>
      </c>
      <c r="Q152" s="3" t="inlineStr">
        <is>
          <t>동서남북</t>
        </is>
      </c>
      <c r="R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다가구</t>
        </is>
      </c>
      <c r="F153" s="3" t="inlineStr">
        <is>
          <t>단기임대</t>
        </is>
      </c>
      <c r="G153" s="4" t="n">
        <v>300</v>
      </c>
      <c r="H153" s="4" t="n">
        <v>45</v>
      </c>
      <c r="I153" s="4" t="n">
        <v>42</v>
      </c>
      <c r="J153" s="5" t="n">
        <v>7.1</v>
      </c>
      <c r="K153" s="4" t="n">
        <v>12</v>
      </c>
      <c r="L153" s="5" t="n">
        <v>25</v>
      </c>
      <c r="M153" s="3" t="inlineStr">
        <is>
          <t>북서향</t>
        </is>
      </c>
      <c r="N153" s="3" t="inlineStr">
        <is>
          <t>nan</t>
        </is>
      </c>
      <c r="O153" s="6">
        <f>HYPERLINK("https://fin.land.naver.com/articles/2647050039", "매물Link")</f>
        <v/>
      </c>
      <c r="P153" s="6">
        <f>HYPERLINK("https://map.naver.com/p/search/연서면 봉암리 58-3", "지도Link")</f>
        <v/>
      </c>
      <c r="Q153" s="3" t="inlineStr">
        <is>
          <t>동서남북</t>
        </is>
      </c>
      <c r="R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300</v>
      </c>
      <c r="H154" s="4" t="n">
        <v>45</v>
      </c>
      <c r="I154" s="4" t="n">
        <v>42</v>
      </c>
      <c r="J154" s="5" t="n">
        <v>1.1</v>
      </c>
      <c r="K154" s="4" t="n">
        <v>12</v>
      </c>
      <c r="L154" s="5" t="n">
        <v>3.8</v>
      </c>
      <c r="M154" s="3" t="inlineStr">
        <is>
          <t>남서향</t>
        </is>
      </c>
      <c r="N154" s="3" t="inlineStr">
        <is>
          <t>nan</t>
        </is>
      </c>
      <c r="O154" s="6">
        <f>HYPERLINK("https://fin.land.naver.com/articles/2645609304", "매물Link")</f>
        <v/>
      </c>
      <c r="P154" s="6">
        <f>HYPERLINK("https://map.naver.com/p/search/연서면 봉암리 58-3", "지도Link")</f>
        <v/>
      </c>
      <c r="Q154" s="3" t="inlineStr">
        <is>
          <t>동서남북</t>
        </is>
      </c>
      <c r="R154" s="4" t="n">
        <v>1</v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다가구</t>
        </is>
      </c>
      <c r="F155" s="3" t="inlineStr">
        <is>
          <t>매매</t>
        </is>
      </c>
      <c r="G155" s="4" t="n">
        <v>100000</v>
      </c>
      <c r="H155" s="4" t="n">
        <v>0</v>
      </c>
      <c r="I155" s="4" t="n">
        <v>132</v>
      </c>
      <c r="J155" s="5" t="n">
        <v>757.6</v>
      </c>
      <c r="K155" s="4" t="n">
        <v>131</v>
      </c>
      <c r="L155" s="5" t="n">
        <v>763.4</v>
      </c>
      <c r="M155" s="3" t="inlineStr">
        <is>
          <t>남동향</t>
        </is>
      </c>
      <c r="N155" s="3" t="inlineStr">
        <is>
          <t>nan</t>
        </is>
      </c>
      <c r="O155" s="6">
        <f>HYPERLINK("https://fin.land.naver.com/articles/2646738010", "매물Link")</f>
        <v/>
      </c>
      <c r="P155" s="6">
        <f>HYPERLINK("https://map.naver.com/p/search/연서면 봉암리 58-4", "지도Link")</f>
        <v/>
      </c>
      <c r="Q155" s="3" t="inlineStr">
        <is>
          <t>동서남북</t>
        </is>
      </c>
      <c r="R155" s="4" t="n">
        <v>1</v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다가구</t>
        </is>
      </c>
      <c r="F156" s="3" t="inlineStr">
        <is>
          <t>매매</t>
        </is>
      </c>
      <c r="G156" s="4" t="n">
        <v>105000</v>
      </c>
      <c r="H156" s="4" t="n">
        <v>0</v>
      </c>
      <c r="I156" s="4" t="n">
        <v>132</v>
      </c>
      <c r="J156" s="5" t="n">
        <v>795.5</v>
      </c>
      <c r="K156" s="4" t="n">
        <v>131</v>
      </c>
      <c r="L156" s="5" t="n">
        <v>801.5</v>
      </c>
      <c r="M156" s="3" t="inlineStr">
        <is>
          <t>남동향</t>
        </is>
      </c>
      <c r="N156" s="3" t="inlineStr">
        <is>
          <t>일반원룸보다 큰방  18개,주차편리,도시가스 월세와 관리비 포함 284만</t>
        </is>
      </c>
      <c r="O156" s="6">
        <f>HYPERLINK("https://fin.land.naver.com/articles/2643036651", "매물Link")</f>
        <v/>
      </c>
      <c r="P156" s="6">
        <f>HYPERLINK("https://map.naver.com/p/search/연서면 봉암리 58-5", "지도Link")</f>
        <v/>
      </c>
      <c r="Q156" s="3" t="inlineStr">
        <is>
          <t>동서남북</t>
        </is>
      </c>
      <c r="R156" s="4" t="n">
        <v>1</v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원룸</t>
        </is>
      </c>
      <c r="E157" s="3" t="inlineStr">
        <is>
          <t>일반원룸</t>
        </is>
      </c>
      <c r="F157" s="3" t="inlineStr">
        <is>
          <t>단기임대</t>
        </is>
      </c>
      <c r="G157" s="4" t="n">
        <v>200</v>
      </c>
      <c r="H157" s="4" t="n">
        <v>35</v>
      </c>
      <c r="I157" s="4" t="n">
        <v>42</v>
      </c>
      <c r="J157" s="5" t="n">
        <v>4.8</v>
      </c>
      <c r="K157" s="4" t="n">
        <v>8</v>
      </c>
      <c r="L157" s="5" t="n">
        <v>25</v>
      </c>
      <c r="M157" s="3" t="inlineStr">
        <is>
          <t>동향</t>
        </is>
      </c>
      <c r="N157" s="3" t="inlineStr">
        <is>
          <t>큰방 ,즉시입주,6달도가능,대중교통우수 ,세종시와 조치원중간지점</t>
        </is>
      </c>
      <c r="O157" s="6">
        <f>HYPERLINK("https://fin.land.naver.com/articles/2648350683", "매물Link")</f>
        <v/>
      </c>
      <c r="P157" s="6">
        <f>HYPERLINK("https://map.naver.com/p/search/연서면 봉암리 58-6", "지도Link")</f>
        <v/>
      </c>
      <c r="Q157" s="3" t="inlineStr">
        <is>
          <t>동서남북</t>
        </is>
      </c>
      <c r="R157" s="4" t="n">
        <v>1</v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원룸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42</v>
      </c>
      <c r="J158" s="5" t="n">
        <v>0.8</v>
      </c>
      <c r="K158" s="4" t="n">
        <v>8</v>
      </c>
      <c r="L158" s="5" t="n">
        <v>4.4</v>
      </c>
      <c r="M158" s="3" t="inlineStr">
        <is>
          <t>동향</t>
        </is>
      </c>
      <c r="N158" s="3" t="inlineStr">
        <is>
          <t>큰방 ,즉시입주,6달도가능,대중교통우수 ,세종시와 조치원중간지점</t>
        </is>
      </c>
      <c r="O158" s="6">
        <f>HYPERLINK("https://fin.land.naver.com/articles/2648350302", "매물Link")</f>
        <v/>
      </c>
      <c r="P158" s="6">
        <f>HYPERLINK("https://map.naver.com/p/search/연서면 봉암리 58-6", "지도Link")</f>
        <v/>
      </c>
      <c r="Q158" s="3" t="inlineStr">
        <is>
          <t>동서남북</t>
        </is>
      </c>
      <c r="R158" s="4" t="n">
        <v>1</v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단독</t>
        </is>
      </c>
      <c r="F159" s="3" t="inlineStr">
        <is>
          <t>매매</t>
        </is>
      </c>
      <c r="G159" s="4" t="n">
        <v>400000</v>
      </c>
      <c r="H159" s="4" t="n">
        <v>0</v>
      </c>
      <c r="I159" s="4" t="n">
        <v>198</v>
      </c>
      <c r="J159" s="5" t="n">
        <v>2020.2</v>
      </c>
      <c r="K159" s="4" t="n">
        <v>77</v>
      </c>
      <c r="L159" s="5" t="n">
        <v>5194.8</v>
      </c>
      <c r="M159" s="3" t="inlineStr">
        <is>
          <t>남향</t>
        </is>
      </c>
      <c r="N159" s="3" t="inlineStr">
        <is>
          <t>nan</t>
        </is>
      </c>
      <c r="O159" s="6">
        <f>HYPERLINK("https://fin.land.naver.com/articles/2645081812", "매물Link")</f>
        <v/>
      </c>
      <c r="P159" s="6">
        <f>HYPERLINK("https://map.naver.com/p/search/연서면 봉암리 677-2", "지도Link")</f>
        <v/>
      </c>
      <c r="Q159" s="3" t="inlineStr">
        <is>
          <t>오송파라곤리치</t>
        </is>
      </c>
      <c r="R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다가구</t>
        </is>
      </c>
      <c r="F160" s="3" t="inlineStr">
        <is>
          <t>매매</t>
        </is>
      </c>
      <c r="G160" s="4" t="n">
        <v>190000</v>
      </c>
      <c r="H160" s="4" t="n">
        <v>0</v>
      </c>
      <c r="I160" s="4" t="n">
        <v>172</v>
      </c>
      <c r="J160" s="5" t="n">
        <v>1104.7</v>
      </c>
      <c r="K160" s="4" t="n">
        <v>180</v>
      </c>
      <c r="L160" s="5" t="n">
        <v>1055.6</v>
      </c>
      <c r="M160" s="3" t="inlineStr">
        <is>
          <t>남향</t>
        </is>
      </c>
      <c r="N160" s="3" t="inlineStr">
        <is>
          <t>신축다가구  가격조정가능 엘리베이터 와촌국가산업단지 인근</t>
        </is>
      </c>
      <c r="O160" s="6">
        <f>HYPERLINK("https://fin.land.naver.com/articles/2645022936", "매물Link")</f>
        <v/>
      </c>
      <c r="P160" s="6">
        <f>HYPERLINK("https://map.naver.com/p/search/연서면 봉암리 73-8", "지도Link")</f>
        <v/>
      </c>
      <c r="Q160" s="3" t="inlineStr">
        <is>
          <t>그래그</t>
        </is>
      </c>
      <c r="R160" s="4" t="n">
        <v>1</v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다가구</t>
        </is>
      </c>
      <c r="F161" s="3" t="inlineStr">
        <is>
          <t>매매</t>
        </is>
      </c>
      <c r="G161" s="4" t="n">
        <v>190000</v>
      </c>
      <c r="H161" s="4" t="n">
        <v>0</v>
      </c>
      <c r="I161" s="4" t="n">
        <v>172</v>
      </c>
      <c r="J161" s="5" t="n">
        <v>1104.7</v>
      </c>
      <c r="K161" s="4" t="n">
        <v>172</v>
      </c>
      <c r="L161" s="5" t="n">
        <v>1104.7</v>
      </c>
      <c r="M161" s="3" t="inlineStr">
        <is>
          <t>남향</t>
        </is>
      </c>
      <c r="N161" s="3" t="inlineStr">
        <is>
          <t>신축다가구건물, 엘리베이터 1층 카페,23층 원룸,투룸,1.5룸으로구성</t>
        </is>
      </c>
      <c r="O161" s="6">
        <f>HYPERLINK("https://fin.land.naver.com/articles/2644295374", "매물Link")</f>
        <v/>
      </c>
      <c r="P161" s="6">
        <f>HYPERLINK("https://map.naver.com/p/search/연서면 봉암리 73-8", "지도Link")</f>
        <v/>
      </c>
      <c r="Q161" s="3" t="inlineStr">
        <is>
          <t>담뜰</t>
        </is>
      </c>
      <c r="R161" s="4" t="n">
        <v>1</v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단독</t>
        </is>
      </c>
      <c r="F162" s="3" t="inlineStr">
        <is>
          <t>매매</t>
        </is>
      </c>
      <c r="G162" s="4" t="n">
        <v>43000</v>
      </c>
      <c r="H162" s="4" t="n">
        <v>0</v>
      </c>
      <c r="I162" s="4" t="n">
        <v>153</v>
      </c>
      <c r="J162" s="5" t="n">
        <v>281</v>
      </c>
      <c r="K162" s="4" t="n">
        <v>28</v>
      </c>
      <c r="L162" s="5" t="n">
        <v>1535.7</v>
      </c>
      <c r="M162" s="3" t="inlineStr">
        <is>
          <t>남서향</t>
        </is>
      </c>
      <c r="N162" s="3" t="inlineStr">
        <is>
          <t>세종 스마트국가산업단지 인근 단독주택 도로지분포함 저렴하게 일괄매매.</t>
        </is>
      </c>
      <c r="O162" s="6">
        <f>HYPERLINK("https://fin.land.naver.com/articles/2646592114", "매물Link")</f>
        <v/>
      </c>
      <c r="P162" s="6">
        <f>HYPERLINK("https://map.naver.com/p/search/연서면 부동리 80-2", "지도Link")</f>
        <v/>
      </c>
      <c r="Q162" s="3" t="inlineStr">
        <is>
          <t>세종대장</t>
        </is>
      </c>
      <c r="R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단독</t>
        </is>
      </c>
      <c r="F163" s="3" t="inlineStr">
        <is>
          <t>매매</t>
        </is>
      </c>
      <c r="G163" s="4" t="n">
        <v>44000</v>
      </c>
      <c r="H163" s="4" t="n">
        <v>0</v>
      </c>
      <c r="I163" s="4" t="n">
        <v>99</v>
      </c>
      <c r="J163" s="5" t="n">
        <v>444.4</v>
      </c>
      <c r="K163" s="4" t="n">
        <v>51</v>
      </c>
      <c r="L163" s="5" t="n">
        <v>862.7</v>
      </c>
      <c r="M163" s="3" t="inlineStr">
        <is>
          <t>남향</t>
        </is>
      </c>
      <c r="N163" s="3" t="inlineStr">
        <is>
          <t>깨끗한 2층전원주택,주택바로뒤가 연서중학교 위치,3층다락방은 서비스면적</t>
        </is>
      </c>
      <c r="O163" s="6">
        <f>HYPERLINK("https://fin.land.naver.com/articles/2645458088", "매물Link")</f>
        <v/>
      </c>
      <c r="P163" s="6">
        <f>HYPERLINK("https://map.naver.com/p/search/연서면 신대리 105-8", "지도Link")</f>
        <v/>
      </c>
      <c r="Q163" s="3" t="inlineStr">
        <is>
          <t>담뜰</t>
        </is>
      </c>
      <c r="R163" s="4" t="n">
        <v>1</v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44000</v>
      </c>
      <c r="H164" s="4" t="n">
        <v>0</v>
      </c>
      <c r="I164" s="4" t="n">
        <v>99</v>
      </c>
      <c r="J164" s="5" t="n">
        <v>444.4</v>
      </c>
      <c r="K164" s="4" t="n">
        <v>51</v>
      </c>
      <c r="L164" s="5" t="n">
        <v>862.7</v>
      </c>
      <c r="M164" s="3" t="inlineStr">
        <is>
          <t>남향</t>
        </is>
      </c>
      <c r="N164" s="3" t="inlineStr">
        <is>
          <t>조용한 전원생활, 초중학교 인접, 고복저수지 자연환경 전원주택 매매</t>
        </is>
      </c>
      <c r="O164" s="6">
        <f>HYPERLINK("https://fin.land.naver.com/articles/2646625706", "매물Link")</f>
        <v/>
      </c>
      <c r="P164" s="6">
        <f>HYPERLINK("https://map.naver.com/p/search/연서면 신대리 105-8", "지도Link")</f>
        <v/>
      </c>
      <c r="Q164" s="3" t="inlineStr">
        <is>
          <t>연기더조은</t>
        </is>
      </c>
      <c r="R164" s="4" t="n">
        <v>2</v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189</v>
      </c>
      <c r="J165" s="5" t="n">
        <v>291</v>
      </c>
      <c r="K165" s="4" t="n">
        <v>42</v>
      </c>
      <c r="L165" s="5" t="n">
        <v>1309.5</v>
      </c>
      <c r="M165" s="3" t="inlineStr">
        <is>
          <t>남서향</t>
        </is>
      </c>
      <c r="N165" s="3" t="inlineStr">
        <is>
          <t>급매. 쌍전리 뷰 좋고 관리 잘 된 2층 단독주택. 입주일 협의.</t>
        </is>
      </c>
      <c r="O165" s="6">
        <f>HYPERLINK("https://fin.land.naver.com/articles/2648074660", "매물Link")</f>
        <v/>
      </c>
      <c r="P165" s="6">
        <f>HYPERLINK("https://map.naver.com/p/search/연서면 쌍전리 159-2", "지도Link")</f>
        <v/>
      </c>
      <c r="Q165" s="3" t="inlineStr">
        <is>
          <t>세종대장</t>
        </is>
      </c>
      <c r="R165" s="4" t="n">
        <v>1</v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단독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150</v>
      </c>
      <c r="J166" s="5" t="n">
        <v>433.3</v>
      </c>
      <c r="K166" s="4" t="n">
        <v>28</v>
      </c>
      <c r="L166" s="5" t="n">
        <v>2321.4</v>
      </c>
      <c r="M166" s="3" t="inlineStr">
        <is>
          <t>남향</t>
        </is>
      </c>
      <c r="N166" s="3" t="inlineStr">
        <is>
          <t>신축 한옥주택황토방 즉시입주협의</t>
        </is>
      </c>
      <c r="O166" s="6">
        <f>HYPERLINK("https://fin.land.naver.com/articles/2644444543", "매물Link")</f>
        <v/>
      </c>
      <c r="P166" s="6">
        <f>HYPERLINK("https://map.naver.com/p/search/연서면 와촌리 791", "지도Link")</f>
        <v/>
      </c>
      <c r="Q166" s="3" t="inlineStr">
        <is>
          <t>세종대박</t>
        </is>
      </c>
      <c r="R166" s="4" t="n">
        <v>1</v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단독</t>
        </is>
      </c>
      <c r="F167" s="3" t="inlineStr">
        <is>
          <t>전세</t>
        </is>
      </c>
      <c r="G167" s="4" t="n">
        <v>17000</v>
      </c>
      <c r="H167" s="4" t="n">
        <v>0</v>
      </c>
      <c r="I167" s="4" t="n">
        <v>25</v>
      </c>
      <c r="J167" s="5" t="n">
        <v>680</v>
      </c>
      <c r="K167" s="4" t="n">
        <v>25</v>
      </c>
      <c r="L167" s="5" t="n">
        <v>680</v>
      </c>
      <c r="M167" s="3" t="inlineStr">
        <is>
          <t>동향</t>
        </is>
      </c>
      <c r="N167" s="3" t="inlineStr">
        <is>
          <t>nan</t>
        </is>
      </c>
      <c r="O167" s="6">
        <f>HYPERLINK("https://fin.land.naver.com/articles/2643581978", "매물Link")</f>
        <v/>
      </c>
      <c r="P167" s="6">
        <f>HYPERLINK("https://map.naver.com/p/search/연서면 월하리 1008-5", "지도Link")</f>
        <v/>
      </c>
      <c r="Q167" s="3" t="inlineStr">
        <is>
          <t>뉴스카이</t>
        </is>
      </c>
      <c r="R167" s="4" t="n">
        <v>1</v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30000</v>
      </c>
      <c r="H168" s="4" t="n">
        <v>0</v>
      </c>
      <c r="I168" s="4" t="n">
        <v>44</v>
      </c>
      <c r="J168" s="5" t="n">
        <v>681.8</v>
      </c>
      <c r="K168" s="4" t="n">
        <v>25</v>
      </c>
      <c r="L168" s="5" t="n">
        <v>1200</v>
      </c>
      <c r="M168" s="3" t="inlineStr">
        <is>
          <t>동향</t>
        </is>
      </c>
      <c r="N168" s="3" t="inlineStr">
        <is>
          <t>빠른입주, 전망 좋은 주택</t>
        </is>
      </c>
      <c r="O168" s="6">
        <f>HYPERLINK("https://fin.land.naver.com/articles/2645171950", "매물Link")</f>
        <v/>
      </c>
      <c r="P168" s="6">
        <f>HYPERLINK("https://map.naver.com/p/search/연서면 월하리 1008-5", "지도Link")</f>
        <v/>
      </c>
      <c r="Q168" s="3" t="inlineStr">
        <is>
          <t>정인</t>
        </is>
      </c>
      <c r="R168" s="4" t="n">
        <v>1</v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빌라</t>
        </is>
      </c>
      <c r="E169" s="3" t="inlineStr">
        <is>
          <t>연립</t>
        </is>
      </c>
      <c r="F169" s="3" t="inlineStr">
        <is>
          <t>매매</t>
        </is>
      </c>
      <c r="G169" s="4" t="n">
        <v>8000</v>
      </c>
      <c r="H169" s="4" t="n">
        <v>0</v>
      </c>
      <c r="I169" s="4" t="n">
        <v>16</v>
      </c>
      <c r="J169" s="5" t="n">
        <v>500</v>
      </c>
      <c r="K169" s="4" t="n">
        <v>16</v>
      </c>
      <c r="L169" s="5" t="n">
        <v>500</v>
      </c>
      <c r="M169" s="3" t="inlineStr">
        <is>
          <t>남향</t>
        </is>
      </c>
      <c r="N169" s="3" t="inlineStr">
        <is>
          <t>욕실,주방,거실,샷시까지 올리모델링됨,세입자끼고매매,소액투자</t>
        </is>
      </c>
      <c r="O169" s="6">
        <f>HYPERLINK("https://fin.land.naver.com/articles/2644429104", "매물Link")</f>
        <v/>
      </c>
      <c r="P169" s="6">
        <f>HYPERLINK("https://map.naver.com/p/search/연서면 월하리 618-1", "지도Link")</f>
        <v/>
      </c>
      <c r="Q169" s="3" t="inlineStr">
        <is>
          <t>신안무소</t>
        </is>
      </c>
      <c r="R169" s="4" t="n">
        <v>1</v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120</v>
      </c>
      <c r="J170" s="5" t="n">
        <v>1250</v>
      </c>
      <c r="K170" s="4" t="n">
        <v>186</v>
      </c>
      <c r="L170" s="5" t="n">
        <v>806.5</v>
      </c>
      <c r="M170" s="3" t="inlineStr">
        <is>
          <t>남향</t>
        </is>
      </c>
      <c r="N170" s="3" t="inlineStr">
        <is>
          <t>상가주택, 2가구, 상가임대1, 가격조정가능, 주차가능</t>
        </is>
      </c>
      <c r="O170" s="6">
        <f>HYPERLINK("https://fin.land.naver.com/articles/2644864006", "매물Link")</f>
        <v/>
      </c>
      <c r="P170" s="6">
        <f>HYPERLINK("https://map.naver.com/p/search/조치원읍 교리 11-6", "지도Link")</f>
        <v/>
      </c>
      <c r="Q170" s="3" t="inlineStr">
        <is>
          <t>엄마와딸</t>
        </is>
      </c>
      <c r="R170" s="4" t="n">
        <v>1</v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상가주택</t>
        </is>
      </c>
      <c r="F171" s="3" t="inlineStr">
        <is>
          <t>매매</t>
        </is>
      </c>
      <c r="G171" s="4" t="n">
        <v>140000</v>
      </c>
      <c r="H171" s="4" t="n">
        <v>0</v>
      </c>
      <c r="I171" s="4" t="n">
        <v>120</v>
      </c>
      <c r="J171" s="5" t="n">
        <v>1166.7</v>
      </c>
      <c r="K171" s="4" t="n">
        <v>186</v>
      </c>
      <c r="L171" s="5" t="n">
        <v>752.7</v>
      </c>
      <c r="M171" s="3" t="inlineStr">
        <is>
          <t>남향</t>
        </is>
      </c>
      <c r="N171" s="3" t="inlineStr">
        <is>
          <t>nan</t>
        </is>
      </c>
      <c r="O171" s="6">
        <f>HYPERLINK("https://fin.land.naver.com/articles/2644717952", "매물Link")</f>
        <v/>
      </c>
      <c r="P171" s="6">
        <f>HYPERLINK("https://map.naver.com/p/search/조치원읍 교리 11-6", "지도Link")</f>
        <v/>
      </c>
      <c r="Q171" s="3" t="inlineStr">
        <is>
          <t>효자</t>
        </is>
      </c>
      <c r="R171" s="4" t="n">
        <v>1</v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단독</t>
        </is>
      </c>
      <c r="F172" s="3" t="inlineStr">
        <is>
          <t>매매</t>
        </is>
      </c>
      <c r="G172" s="4" t="n">
        <v>40000</v>
      </c>
      <c r="H172" s="4" t="n">
        <v>0</v>
      </c>
      <c r="I172" s="4" t="n">
        <v>31</v>
      </c>
      <c r="J172" s="5" t="n">
        <v>1290.3</v>
      </c>
      <c r="K172" s="4" t="n">
        <v>20</v>
      </c>
      <c r="L172" s="5" t="n">
        <v>2000</v>
      </c>
      <c r="M172" s="3" t="inlineStr">
        <is>
          <t>남향</t>
        </is>
      </c>
      <c r="N172" s="3" t="inlineStr">
        <is>
          <t>기업은행 바로 뒷편,구옥2채 매매 입니다.</t>
        </is>
      </c>
      <c r="O172" s="6">
        <f>HYPERLINK("https://fin.land.naver.com/articles/2647876689", "매물Link")</f>
        <v/>
      </c>
      <c r="P172" s="6">
        <f>HYPERLINK("https://map.naver.com/p/search/조치원읍 교리 16-5", "지도Link")</f>
        <v/>
      </c>
      <c r="Q172" s="3" t="inlineStr">
        <is>
          <t>이음 사무소</t>
        </is>
      </c>
      <c r="R172" s="4" t="n">
        <v>2</v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100</v>
      </c>
      <c r="H173" s="4" t="n">
        <v>25</v>
      </c>
      <c r="I173" s="4" t="n">
        <v>6</v>
      </c>
      <c r="J173" s="5" t="n">
        <v>4.2</v>
      </c>
      <c r="K173" s="4" t="n">
        <v>6</v>
      </c>
      <c r="L173" s="5" t="n">
        <v>4.2</v>
      </c>
      <c r="M173" s="3" t="inlineStr">
        <is>
          <t>동향</t>
        </is>
      </c>
      <c r="N173" s="3" t="inlineStr">
        <is>
          <t>교리 원룸 저렴 세종등기소인근 풀옵션유</t>
        </is>
      </c>
      <c r="O173" s="6">
        <f>HYPERLINK("https://fin.land.naver.com/articles/2647587687", "매물Link")</f>
        <v/>
      </c>
      <c r="P173" s="6">
        <f>HYPERLINK("https://map.naver.com/p/search/조치원읍 교리 18-1", "지도Link")</f>
        <v/>
      </c>
      <c r="Q173" s="3" t="inlineStr">
        <is>
          <t>OK수</t>
        </is>
      </c>
      <c r="R173" s="4" t="n">
        <v>1</v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단독/다가구</t>
        </is>
      </c>
      <c r="E174" s="3" t="inlineStr">
        <is>
          <t>다가구</t>
        </is>
      </c>
      <c r="F174" s="3" t="inlineStr">
        <is>
          <t>월세</t>
        </is>
      </c>
      <c r="G174" s="4" t="n">
        <v>200</v>
      </c>
      <c r="H174" s="4" t="n">
        <v>27</v>
      </c>
      <c r="I174" s="4" t="n">
        <v>10</v>
      </c>
      <c r="J174" s="5" t="n">
        <v>2.7</v>
      </c>
      <c r="K174" s="4" t="n">
        <v>6</v>
      </c>
      <c r="L174" s="5" t="n">
        <v>4.5</v>
      </c>
      <c r="M174" s="3" t="inlineStr">
        <is>
          <t>서향</t>
        </is>
      </c>
      <c r="N174" s="3" t="inlineStr">
        <is>
          <t>조치원역도보거리O막힘없는O깨끗한 원룸</t>
        </is>
      </c>
      <c r="O174" s="6">
        <f>HYPERLINK("https://fin.land.naver.com/articles/2644840286", "매물Link")</f>
        <v/>
      </c>
      <c r="P174" s="6">
        <f>HYPERLINK("https://map.naver.com/p/search/조치원읍 남리 119-10", "지도Link")</f>
        <v/>
      </c>
      <c r="Q174" s="3" t="inlineStr">
        <is>
          <t>척척</t>
        </is>
      </c>
      <c r="R174" s="4" t="n">
        <v>1</v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원룸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30</v>
      </c>
      <c r="I175" s="4" t="n">
        <v>12</v>
      </c>
      <c r="J175" s="5" t="n">
        <v>2.5</v>
      </c>
      <c r="K175" s="4" t="n">
        <v>8</v>
      </c>
      <c r="L175" s="5" t="n">
        <v>3.8</v>
      </c>
      <c r="M175" s="3" t="inlineStr">
        <is>
          <t>남향</t>
        </is>
      </c>
      <c r="N175" s="3" t="inlineStr">
        <is>
          <t>남향 조치원시내권도보거리 주차시설완비 완벽풀옵션</t>
        </is>
      </c>
      <c r="O175" s="6">
        <f>HYPERLINK("https://fin.land.naver.com/articles/2647552540", "매물Link")</f>
        <v/>
      </c>
      <c r="P175" s="6">
        <f>HYPERLINK("https://map.naver.com/p/search/조치원읍 남리 119-12", "지도Link")</f>
        <v/>
      </c>
      <c r="Q175" s="3" t="inlineStr">
        <is>
          <t>척척</t>
        </is>
      </c>
      <c r="R175" s="4" t="n">
        <v>1</v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원룸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6</v>
      </c>
      <c r="J176" s="5" t="n">
        <v>5</v>
      </c>
      <c r="K176" s="4" t="n">
        <v>6</v>
      </c>
      <c r="L176" s="5" t="n">
        <v>5</v>
      </c>
      <c r="M176" s="3" t="inlineStr">
        <is>
          <t>남향</t>
        </is>
      </c>
      <c r="N176" s="3" t="inlineStr">
        <is>
          <t>원룸 남향  조치원역 도보가능합니다</t>
        </is>
      </c>
      <c r="O176" s="6">
        <f>HYPERLINK("https://fin.land.naver.com/articles/2647321662", "매물Link")</f>
        <v/>
      </c>
      <c r="P176" s="6">
        <f>HYPERLINK("https://map.naver.com/p/search/조치원읍 남리 119-12", "지도Link")</f>
        <v/>
      </c>
      <c r="Q176" s="3" t="inlineStr">
        <is>
          <t>OK수</t>
        </is>
      </c>
      <c r="R176" s="4" t="n">
        <v>1</v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원룸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25</v>
      </c>
      <c r="I177" s="4" t="n">
        <v>0</v>
      </c>
      <c r="J177" s="5" t="n">
        <v>0</v>
      </c>
      <c r="K177" s="4" t="n">
        <v>6</v>
      </c>
      <c r="L177" s="5" t="n">
        <v>4.2</v>
      </c>
      <c r="M177" s="3" t="inlineStr">
        <is>
          <t>남향</t>
        </is>
      </c>
      <c r="N177" s="3" t="inlineStr">
        <is>
          <t>남리 버스정류장 가까운 위치</t>
        </is>
      </c>
      <c r="O177" s="6">
        <f>HYPERLINK("https://fin.land.naver.com/articles/2648317995", "매물Link")</f>
        <v/>
      </c>
      <c r="P177" s="6">
        <f>HYPERLINK("https://map.naver.com/p/search/조치원읍 남리 119-6", "지도Link")</f>
        <v/>
      </c>
      <c r="Q177" s="3" t="inlineStr">
        <is>
          <t>척척</t>
        </is>
      </c>
      <c r="R177" s="4" t="n">
        <v>1</v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단독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8</v>
      </c>
      <c r="J178" s="5" t="n">
        <v>500</v>
      </c>
      <c r="K178" s="4" t="n">
        <v>6</v>
      </c>
      <c r="L178" s="5" t="n">
        <v>666.7</v>
      </c>
      <c r="M178" s="3" t="inlineStr">
        <is>
          <t>남동향</t>
        </is>
      </c>
      <c r="N178" s="3" t="inlineStr">
        <is>
          <t>주방분리형.보증보험가능.시장1분. 역3분.깔끔한방</t>
        </is>
      </c>
      <c r="O178" s="6">
        <f>HYPERLINK("https://fin.land.naver.com/articles/2647870045", "매물Link")</f>
        <v/>
      </c>
      <c r="P178" s="6">
        <f>HYPERLINK("https://map.naver.com/p/search/조치원읍 남리 299-2", "지도Link")</f>
        <v/>
      </c>
      <c r="Q178" s="3" t="inlineStr">
        <is>
          <t>마이룸</t>
        </is>
      </c>
      <c r="R178" s="4" t="n">
        <v>1</v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30</v>
      </c>
      <c r="I179" s="4" t="n">
        <v>8</v>
      </c>
      <c r="J179" s="5" t="n">
        <v>3.8</v>
      </c>
      <c r="K179" s="4" t="n">
        <v>6</v>
      </c>
      <c r="L179" s="5" t="n">
        <v>5</v>
      </c>
      <c r="M179" s="3" t="inlineStr">
        <is>
          <t>남동향</t>
        </is>
      </c>
      <c r="N179" s="3" t="inlineStr">
        <is>
          <t>주방분리형.시장1분. 역3분.깔끔한방</t>
        </is>
      </c>
      <c r="O179" s="6">
        <f>HYPERLINK("https://fin.land.naver.com/articles/2648041959", "매물Link")</f>
        <v/>
      </c>
      <c r="P179" s="6">
        <f>HYPERLINK("https://map.naver.com/p/search/조치원읍 남리 299-2", "지도Link")</f>
        <v/>
      </c>
      <c r="Q179" s="3" t="inlineStr">
        <is>
          <t>마이룸</t>
        </is>
      </c>
      <c r="R179" s="4" t="n">
        <v>1</v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14</v>
      </c>
      <c r="J180" s="5" t="n">
        <v>300</v>
      </c>
      <c r="K180" s="4" t="n">
        <v>10</v>
      </c>
      <c r="L180" s="5" t="n">
        <v>420</v>
      </c>
      <c r="M180" s="3" t="inlineStr">
        <is>
          <t>남서향</t>
        </is>
      </c>
      <c r="N180" s="3" t="inlineStr">
        <is>
          <t>nan</t>
        </is>
      </c>
      <c r="O180" s="6">
        <f>HYPERLINK("https://fin.land.naver.com/articles/2646917268", "매물Link")</f>
        <v/>
      </c>
      <c r="P180" s="6">
        <f>HYPERLINK("https://map.naver.com/p/search/조치원읍 남리 368", "지도Link")</f>
        <v/>
      </c>
      <c r="Q180" s="3" t="inlineStr">
        <is>
          <t>척척</t>
        </is>
      </c>
      <c r="R180" s="4" t="n">
        <v>1</v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원룸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31</v>
      </c>
      <c r="I181" s="4" t="n">
        <v>7</v>
      </c>
      <c r="J181" s="5" t="n">
        <v>4.4</v>
      </c>
      <c r="K181" s="4" t="n">
        <v>7</v>
      </c>
      <c r="L181" s="5" t="n">
        <v>4.4</v>
      </c>
      <c r="M181" s="3" t="inlineStr">
        <is>
          <t>남향</t>
        </is>
      </c>
      <c r="N181" s="3" t="inlineStr">
        <is>
          <t>남리 원룸 넓은방 전통시장 편의시설 도보이용가능합니다</t>
        </is>
      </c>
      <c r="O181" s="6">
        <f>HYPERLINK("https://fin.land.naver.com/articles/2645236588", "매물Link")</f>
        <v/>
      </c>
      <c r="P181" s="6">
        <f>HYPERLINK("https://map.naver.com/p/search/조치원읍 남리 371-1", "지도Link")</f>
        <v/>
      </c>
      <c r="Q181" s="3" t="inlineStr">
        <is>
          <t>OK수</t>
        </is>
      </c>
      <c r="R181" s="4" t="n">
        <v>1</v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30</v>
      </c>
      <c r="I182" s="4" t="n">
        <v>0</v>
      </c>
      <c r="J182" s="5" t="n">
        <v>0</v>
      </c>
      <c r="K182" s="4" t="n">
        <v>6</v>
      </c>
      <c r="L182" s="5" t="n">
        <v>5</v>
      </c>
      <c r="M182" s="3" t="inlineStr">
        <is>
          <t>북향</t>
        </is>
      </c>
      <c r="N182" s="3" t="inlineStr">
        <is>
          <t>조용하게 살기좋은 주차 및 엘베있는 원룸</t>
        </is>
      </c>
      <c r="O182" s="6">
        <f>HYPERLINK("https://fin.land.naver.com/articles/2647381250", "매물Link")</f>
        <v/>
      </c>
      <c r="P182" s="6">
        <f>HYPERLINK("https://map.naver.com/p/search/조치원읍 남리 371-1", "지도Link")</f>
        <v/>
      </c>
      <c r="Q182" s="3" t="inlineStr">
        <is>
          <t>무지개</t>
        </is>
      </c>
      <c r="R182" s="4" t="n">
        <v>1</v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8</v>
      </c>
      <c r="J183" s="5" t="n">
        <v>3.9</v>
      </c>
      <c r="K183" s="4" t="n">
        <v>8</v>
      </c>
      <c r="L183" s="5" t="n">
        <v>3.9</v>
      </c>
      <c r="M183" s="3" t="inlineStr">
        <is>
          <t>서향</t>
        </is>
      </c>
      <c r="N183" s="3" t="inlineStr">
        <is>
          <t>조치원 시내이며, 재래시장, 초등학교인근이며, 오송과 인접함</t>
        </is>
      </c>
      <c r="O183" s="6">
        <f>HYPERLINK("https://fin.land.naver.com/articles/2645045638", "매물Link")</f>
        <v/>
      </c>
      <c r="P183" s="6">
        <f>HYPERLINK("https://map.naver.com/p/search/조치원읍 남리 473", "지도Link")</f>
        <v/>
      </c>
      <c r="Q183" s="3" t="inlineStr">
        <is>
          <t>세종베스트</t>
        </is>
      </c>
      <c r="R183" s="4" t="n">
        <v>1</v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54</v>
      </c>
      <c r="J184" s="5" t="n">
        <v>546.3</v>
      </c>
      <c r="K184" s="4" t="n">
        <v>49</v>
      </c>
      <c r="L184" s="5" t="n">
        <v>602</v>
      </c>
      <c r="M184" s="3" t="inlineStr">
        <is>
          <t>남향</t>
        </is>
      </c>
      <c r="N184" s="3" t="inlineStr">
        <is>
          <t>조치원시내 관공서와 버스정류장 조치원역 도보로 가능한 조용한 주택,</t>
        </is>
      </c>
      <c r="O184" s="6">
        <f>HYPERLINK("https://fin.land.naver.com/articles/2644752879", "매물Link")</f>
        <v/>
      </c>
      <c r="P184" s="6">
        <f>HYPERLINK("https://map.naver.com/p/search/조치원읍 남리 62-19", "지도Link")</f>
        <v/>
      </c>
      <c r="Q184" s="3" t="inlineStr">
        <is>
          <t>담뜰</t>
        </is>
      </c>
      <c r="R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12</v>
      </c>
      <c r="J185" s="5" t="n">
        <v>333.3</v>
      </c>
      <c r="K185" s="4" t="n">
        <v>8</v>
      </c>
      <c r="L185" s="5" t="n">
        <v>500</v>
      </c>
      <c r="M185" s="3" t="inlineStr">
        <is>
          <t>남향</t>
        </is>
      </c>
      <c r="N185" s="3" t="inlineStr">
        <is>
          <t>nan</t>
        </is>
      </c>
      <c r="O185" s="6">
        <f>HYPERLINK("https://fin.land.naver.com/articles/2648311440", "매물Link")</f>
        <v/>
      </c>
      <c r="P185" s="6">
        <f>HYPERLINK("https://map.naver.com/p/search/조치원읍 남리 62-6", "지도Link")</f>
        <v/>
      </c>
      <c r="Q185" s="3" t="inlineStr">
        <is>
          <t>척척</t>
        </is>
      </c>
      <c r="R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다가구</t>
        </is>
      </c>
      <c r="F186" s="3" t="inlineStr">
        <is>
          <t>전세</t>
        </is>
      </c>
      <c r="G186" s="4" t="n">
        <v>3800</v>
      </c>
      <c r="H186" s="4" t="n">
        <v>0</v>
      </c>
      <c r="I186" s="4" t="n">
        <v>12</v>
      </c>
      <c r="J186" s="5" t="n">
        <v>316.7</v>
      </c>
      <c r="K186" s="4" t="n">
        <v>8</v>
      </c>
      <c r="L186" s="5" t="n">
        <v>475</v>
      </c>
      <c r="M186" s="3" t="inlineStr">
        <is>
          <t>남서향</t>
        </is>
      </c>
      <c r="N186" s="3" t="inlineStr">
        <is>
          <t>조치원역도보거리.융자없음.깔끔한전세.즉시입주</t>
        </is>
      </c>
      <c r="O186" s="6">
        <f>HYPERLINK("https://fin.land.naver.com/articles/2645524964", "매물Link")</f>
        <v/>
      </c>
      <c r="P186" s="6">
        <f>HYPERLINK("https://map.naver.com/p/search/조치원읍 남리 62-6", "지도Link")</f>
        <v/>
      </c>
      <c r="Q186" s="3" t="inlineStr">
        <is>
          <t>척척</t>
        </is>
      </c>
      <c r="R186" s="4" t="n">
        <v>1</v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원룸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8</v>
      </c>
      <c r="J187" s="5" t="n">
        <v>500</v>
      </c>
      <c r="K187" s="4" t="n">
        <v>6</v>
      </c>
      <c r="L187" s="5" t="n">
        <v>666.7</v>
      </c>
      <c r="M187" s="3" t="inlineStr">
        <is>
          <t>남향</t>
        </is>
      </c>
      <c r="N187" s="3" t="inlineStr">
        <is>
          <t>조치원역도보5분 근저당없는 전세 풀옵션 큰방</t>
        </is>
      </c>
      <c r="O187" s="6">
        <f>HYPERLINK("https://fin.land.naver.com/articles/2643227234", "매물Link")</f>
        <v/>
      </c>
      <c r="P187" s="6">
        <f>HYPERLINK("https://map.naver.com/p/search/조치원읍 남리 62-6", "지도Link")</f>
        <v/>
      </c>
      <c r="Q187" s="3" t="inlineStr">
        <is>
          <t>용죽부자</t>
        </is>
      </c>
      <c r="R187" s="4" t="n">
        <v>1</v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빌라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6</v>
      </c>
      <c r="J188" s="5" t="n">
        <v>666.7</v>
      </c>
      <c r="K188" s="4" t="n">
        <v>6</v>
      </c>
      <c r="L188" s="5" t="n">
        <v>666.7</v>
      </c>
      <c r="M188" s="3" t="inlineStr">
        <is>
          <t>남동향</t>
        </is>
      </c>
      <c r="N188" s="3" t="inlineStr">
        <is>
          <t>LH가능.HUG.서울보증보험가능 .가성비갑.시장1분 역5분.</t>
        </is>
      </c>
      <c r="O188" s="6">
        <f>HYPERLINK("https://fin.land.naver.com/articles/2647397073", "매물Link")</f>
        <v/>
      </c>
      <c r="P188" s="6">
        <f>HYPERLINK("https://map.naver.com/p/search/조치원읍 남리 62-6", "지도Link")</f>
        <v/>
      </c>
      <c r="Q188" s="3" t="inlineStr">
        <is>
          <t>마이룸</t>
        </is>
      </c>
      <c r="R188" s="4" t="n">
        <v>1</v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단독</t>
        </is>
      </c>
      <c r="F189" s="3" t="inlineStr">
        <is>
          <t>월세</t>
        </is>
      </c>
      <c r="G189" s="4" t="n">
        <v>1000</v>
      </c>
      <c r="H189" s="4" t="n">
        <v>55</v>
      </c>
      <c r="I189" s="4" t="n">
        <v>20</v>
      </c>
      <c r="J189" s="5" t="n">
        <v>2.8</v>
      </c>
      <c r="K189" s="4" t="n">
        <v>20</v>
      </c>
      <c r="L189" s="5" t="n">
        <v>2.8</v>
      </c>
      <c r="M189" s="3" t="inlineStr">
        <is>
          <t>남향</t>
        </is>
      </c>
      <c r="N189" s="3" t="inlineStr">
        <is>
          <t>시장 근처 깨끗한 2층 월세</t>
        </is>
      </c>
      <c r="O189" s="6">
        <f>HYPERLINK("https://fin.land.naver.com/articles/2648317283", "매물Link")</f>
        <v/>
      </c>
      <c r="P189" s="6">
        <f>HYPERLINK("https://map.naver.com/p/search/조치원읍 명리 14-2", "지도Link")</f>
        <v/>
      </c>
      <c r="Q189" s="3" t="inlineStr">
        <is>
          <t>KB세종</t>
        </is>
      </c>
      <c r="R189" s="4" t="n">
        <v>1</v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단독</t>
        </is>
      </c>
      <c r="F190" s="3" t="inlineStr">
        <is>
          <t>매매</t>
        </is>
      </c>
      <c r="G190" s="4" t="n">
        <v>45000</v>
      </c>
      <c r="H190" s="4" t="n">
        <v>0</v>
      </c>
      <c r="I190" s="4" t="n">
        <v>98</v>
      </c>
      <c r="J190" s="5" t="n">
        <v>459.2</v>
      </c>
      <c r="K190" s="4" t="n">
        <v>66</v>
      </c>
      <c r="L190" s="5" t="n">
        <v>681.8</v>
      </c>
      <c r="M190" s="3" t="inlineStr">
        <is>
          <t>남향</t>
        </is>
      </c>
      <c r="N190" s="3" t="inlineStr">
        <is>
          <t>교통과 생활이 편리한 위치,초등학교 인근,대지 넓은 단독주택</t>
        </is>
      </c>
      <c r="O190" s="6">
        <f>HYPERLINK("https://fin.land.naver.com/articles/2646474045", "매물Link")</f>
        <v/>
      </c>
      <c r="P190" s="6">
        <f>HYPERLINK("https://map.naver.com/p/search/조치원읍 명리 51", "지도Link")</f>
        <v/>
      </c>
      <c r="Q190" s="3" t="inlineStr">
        <is>
          <t>유정희</t>
        </is>
      </c>
      <c r="R190" s="4" t="n">
        <v>1</v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다가구</t>
        </is>
      </c>
      <c r="F191" s="3" t="inlineStr">
        <is>
          <t>월세</t>
        </is>
      </c>
      <c r="G191" s="4" t="n">
        <v>300</v>
      </c>
      <c r="H191" s="4" t="n">
        <v>31</v>
      </c>
      <c r="I191" s="4" t="n">
        <v>8</v>
      </c>
      <c r="J191" s="5" t="n">
        <v>3.9</v>
      </c>
      <c r="K191" s="4" t="n">
        <v>8</v>
      </c>
      <c r="L191" s="5" t="n">
        <v>3.9</v>
      </c>
      <c r="M191" s="3" t="inlineStr">
        <is>
          <t>북향</t>
        </is>
      </c>
      <c r="N191" s="3" t="inlineStr">
        <is>
          <t>끌끔하고 위치좋은 원룸 2층</t>
        </is>
      </c>
      <c r="O191" s="6">
        <f>HYPERLINK("https://fin.land.naver.com/articles/2648560985", "매물Link")</f>
        <v/>
      </c>
      <c r="P191" s="6">
        <f>HYPERLINK("https://map.naver.com/p/search/조치원읍 명리 54-12", "지도Link")</f>
        <v/>
      </c>
      <c r="Q191" s="3" t="inlineStr">
        <is>
          <t>세종베스트</t>
        </is>
      </c>
      <c r="R191" s="4" t="n">
        <v>1</v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상가주택</t>
        </is>
      </c>
      <c r="F192" s="3" t="inlineStr">
        <is>
          <t>매매</t>
        </is>
      </c>
      <c r="G192" s="4" t="n">
        <v>75000</v>
      </c>
      <c r="H192" s="4" t="n">
        <v>0</v>
      </c>
      <c r="I192" s="4" t="n">
        <v>99</v>
      </c>
      <c r="J192" s="5" t="n">
        <v>757.6</v>
      </c>
      <c r="K192" s="4" t="n">
        <v>127</v>
      </c>
      <c r="L192" s="5" t="n">
        <v>590.6</v>
      </c>
      <c r="M192" s="3" t="inlineStr">
        <is>
          <t>남향</t>
        </is>
      </c>
      <c r="N192" s="3" t="inlineStr">
        <is>
          <t>번암리 홈플러스 맞은편 6차선 접한 상가주택 저렴합니다</t>
        </is>
      </c>
      <c r="O192" s="6">
        <f>HYPERLINK("https://fin.land.naver.com/articles/2643590886", "매물Link")</f>
        <v/>
      </c>
      <c r="P192" s="6">
        <f>HYPERLINK("https://map.naver.com/p/search/조치원읍 번암리 110-1", "지도Link")</f>
        <v/>
      </c>
      <c r="Q192" s="3" t="inlineStr">
        <is>
          <t>OK수</t>
        </is>
      </c>
      <c r="R192" s="4" t="n">
        <v>1</v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다가구</t>
        </is>
      </c>
      <c r="F193" s="3" t="inlineStr">
        <is>
          <t>매매</t>
        </is>
      </c>
      <c r="G193" s="4" t="n">
        <v>82000</v>
      </c>
      <c r="H193" s="4" t="n">
        <v>0</v>
      </c>
      <c r="I193" s="4" t="n">
        <v>64</v>
      </c>
      <c r="J193" s="5" t="n">
        <v>1281.2</v>
      </c>
      <c r="K193" s="4" t="n">
        <v>115</v>
      </c>
      <c r="L193" s="5" t="n">
        <v>713</v>
      </c>
      <c r="M193" s="3" t="inlineStr">
        <is>
          <t>남서향</t>
        </is>
      </c>
      <c r="N193" s="3" t="inlineStr">
        <is>
          <t>nan</t>
        </is>
      </c>
      <c r="O193" s="6">
        <f>HYPERLINK("https://fin.land.naver.com/articles/2645785068", "매물Link")</f>
        <v/>
      </c>
      <c r="P193" s="6">
        <f>HYPERLINK("https://map.naver.com/p/search/조치원읍 번암리 128-2", "지도Link")</f>
        <v/>
      </c>
      <c r="Q193" s="3" t="inlineStr">
        <is>
          <t>척척</t>
        </is>
      </c>
      <c r="R193" s="4" t="n">
        <v>1</v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원룸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200</v>
      </c>
      <c r="H194" s="4" t="n">
        <v>30</v>
      </c>
      <c r="I194" s="4" t="n">
        <v>7</v>
      </c>
      <c r="J194" s="5" t="n">
        <v>4.3</v>
      </c>
      <c r="K194" s="4" t="n">
        <v>6</v>
      </c>
      <c r="L194" s="5" t="n">
        <v>5</v>
      </c>
      <c r="M194" s="3" t="inlineStr">
        <is>
          <t>남향</t>
        </is>
      </c>
      <c r="N194" s="3" t="inlineStr">
        <is>
          <t>번암리준신축원룸,단.기.가.능, 풀옵션, 즉시 입주, 홈플러스.공원 .</t>
        </is>
      </c>
      <c r="O194" s="6">
        <f>HYPERLINK("https://fin.land.naver.com/articles/2643631998", "매물Link")</f>
        <v/>
      </c>
      <c r="P194" s="6">
        <f>HYPERLINK("https://map.naver.com/p/search/조치원읍 번암리 66-36", "지도Link")</f>
        <v/>
      </c>
      <c r="Q194" s="3" t="inlineStr">
        <is>
          <t>하늘</t>
        </is>
      </c>
      <c r="R194" s="4" t="n">
        <v>1</v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다가구</t>
        </is>
      </c>
      <c r="F195" s="3" t="inlineStr">
        <is>
          <t>매매</t>
        </is>
      </c>
      <c r="G195" s="4" t="n">
        <v>170000</v>
      </c>
      <c r="H195" s="4" t="n">
        <v>0</v>
      </c>
      <c r="I195" s="4" t="n">
        <v>123</v>
      </c>
      <c r="J195" s="5" t="n">
        <v>1382.1</v>
      </c>
      <c r="K195" s="4" t="n">
        <v>145</v>
      </c>
      <c r="L195" s="5" t="n">
        <v>1172.4</v>
      </c>
      <c r="M195" s="3" t="inlineStr">
        <is>
          <t>남서향</t>
        </is>
      </c>
      <c r="N195" s="3" t="inlineStr">
        <is>
          <t>입지와 수익률 좋은 다가구주택</t>
        </is>
      </c>
      <c r="O195" s="6">
        <f>HYPERLINK("https://fin.land.naver.com/articles/2643566267", "매물Link")</f>
        <v/>
      </c>
      <c r="P195" s="6">
        <f>HYPERLINK("https://map.naver.com/p/search/조치원읍 번암리 66-36", "지도Link")</f>
        <v/>
      </c>
      <c r="Q195" s="3" t="inlineStr">
        <is>
          <t>양달</t>
        </is>
      </c>
      <c r="R195" s="4" t="n">
        <v>1</v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7</v>
      </c>
      <c r="J196" s="5" t="n">
        <v>571.4</v>
      </c>
      <c r="K196" s="4" t="n">
        <v>6</v>
      </c>
      <c r="L196" s="5" t="n">
        <v>666.7</v>
      </c>
      <c r="M196" s="3" t="inlineStr">
        <is>
          <t>남향</t>
        </is>
      </c>
      <c r="N196" s="3" t="inlineStr">
        <is>
          <t>번암리 깨끗한 원룸, 풀옵션, 즉시 입주, 공원</t>
        </is>
      </c>
      <c r="O196" s="6">
        <f>HYPERLINK("https://fin.land.naver.com/articles/2643632038", "매물Link")</f>
        <v/>
      </c>
      <c r="P196" s="6">
        <f>HYPERLINK("https://map.naver.com/p/search/조치원읍 번암리 66-36", "지도Link")</f>
        <v/>
      </c>
      <c r="Q196" s="3" t="inlineStr">
        <is>
          <t>하늘</t>
        </is>
      </c>
      <c r="R196" s="4" t="n">
        <v>1</v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6</v>
      </c>
      <c r="J197" s="5" t="n">
        <v>750</v>
      </c>
      <c r="K197" s="4" t="n">
        <v>6</v>
      </c>
      <c r="L197" s="5" t="n">
        <v>750</v>
      </c>
      <c r="M197" s="3" t="inlineStr">
        <is>
          <t>남향</t>
        </is>
      </c>
      <c r="N197" s="3" t="inlineStr">
        <is>
          <t>고려대 세종캠퍼스 인근 복층형 원룸 개별 매매</t>
        </is>
      </c>
      <c r="O197" s="6">
        <f>HYPERLINK("https://fin.land.naver.com/articles/2648580362", "매물Link")</f>
        <v/>
      </c>
      <c r="P197" s="6">
        <f>HYPERLINK("https://map.naver.com/p/search/조치원읍 봉산리 190-11", "지도Link")</f>
        <v/>
      </c>
      <c r="Q197" s="3" t="inlineStr">
        <is>
          <t>고래</t>
        </is>
      </c>
      <c r="R197" s="4" t="n">
        <v>1</v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상가주택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35</v>
      </c>
      <c r="J198" s="5" t="n">
        <v>1857.1</v>
      </c>
      <c r="K198" s="4" t="n">
        <v>56</v>
      </c>
      <c r="L198" s="5" t="n">
        <v>1160.7</v>
      </c>
      <c r="M198" s="3" t="inlineStr">
        <is>
          <t>서향</t>
        </is>
      </c>
      <c r="N198" s="3" t="inlineStr">
        <is>
          <t>상리 세종문화원 맞은편 2차선 접한 전면 넓은 상가 광고효과 좋음</t>
        </is>
      </c>
      <c r="O198" s="6">
        <f>HYPERLINK("https://fin.land.naver.com/articles/2645226309", "매물Link")</f>
        <v/>
      </c>
      <c r="P198" s="6">
        <f>HYPERLINK("https://map.naver.com/p/search/조치원읍 상리 132-1", "지도Link")</f>
        <v/>
      </c>
      <c r="Q198" s="3" t="inlineStr">
        <is>
          <t>OK수</t>
        </is>
      </c>
      <c r="R198" s="4" t="n">
        <v>1</v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단독</t>
        </is>
      </c>
      <c r="F199" s="3" t="inlineStr">
        <is>
          <t>월세</t>
        </is>
      </c>
      <c r="G199" s="4" t="n">
        <v>200</v>
      </c>
      <c r="H199" s="4" t="n">
        <v>25</v>
      </c>
      <c r="I199" s="4" t="n">
        <v>6</v>
      </c>
      <c r="J199" s="5" t="n">
        <v>4.2</v>
      </c>
      <c r="K199" s="4" t="n">
        <v>6</v>
      </c>
      <c r="L199" s="5" t="n">
        <v>4.2</v>
      </c>
      <c r="M199" s="3" t="inlineStr">
        <is>
          <t>동향</t>
        </is>
      </c>
      <c r="N199" s="3" t="inlineStr">
        <is>
          <t>조치원읍 상리 단독주택 2층 월세</t>
        </is>
      </c>
      <c r="O199" s="6">
        <f>HYPERLINK("https://fin.land.naver.com/articles/2645256671", "매물Link")</f>
        <v/>
      </c>
      <c r="P199" s="6">
        <f>HYPERLINK("https://map.naver.com/p/search/조치원읍 상리 67-9", "지도Link")</f>
        <v/>
      </c>
      <c r="Q199" s="3" t="inlineStr">
        <is>
          <t>동원</t>
        </is>
      </c>
      <c r="R199" s="4" t="n">
        <v>1</v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원룸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9</v>
      </c>
      <c r="J200" s="5" t="n">
        <v>4</v>
      </c>
      <c r="K200" s="4" t="n">
        <v>6</v>
      </c>
      <c r="L200" s="5" t="n">
        <v>6</v>
      </c>
      <c r="M200" s="3" t="inlineStr">
        <is>
          <t>동향</t>
        </is>
      </c>
      <c r="N200" s="3" t="inlineStr">
        <is>
          <t>깨끗한원룸.실사진.즉시입주가능.보안철저.주차시설완비</t>
        </is>
      </c>
      <c r="O200" s="6">
        <f>HYPERLINK("https://fin.land.naver.com/articles/2644842214", "매물Link")</f>
        <v/>
      </c>
      <c r="P200" s="6">
        <f>HYPERLINK("https://map.naver.com/p/search/조치원읍 상리 79-3", "지도Link")</f>
        <v/>
      </c>
      <c r="Q200" s="3" t="inlineStr">
        <is>
          <t>척척</t>
        </is>
      </c>
      <c r="R200" s="4" t="n">
        <v>1</v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도시형생활주택</t>
        </is>
      </c>
      <c r="F201" s="3" t="inlineStr">
        <is>
          <t>전세</t>
        </is>
      </c>
      <c r="G201" s="4" t="n">
        <v>4200</v>
      </c>
      <c r="H201" s="4" t="n">
        <v>0</v>
      </c>
      <c r="I201" s="4" t="n">
        <v>8</v>
      </c>
      <c r="J201" s="5" t="n">
        <v>525</v>
      </c>
      <c r="K201" s="4" t="n">
        <v>5</v>
      </c>
      <c r="L201" s="5" t="n">
        <v>840</v>
      </c>
      <c r="M201" s="3" t="inlineStr">
        <is>
          <t>남향</t>
        </is>
      </c>
      <c r="N201" s="3" t="inlineStr">
        <is>
          <t>풀옵션 깔끔한 도시형생활주택 무융자조건</t>
        </is>
      </c>
      <c r="O201" s="6">
        <f>HYPERLINK("https://fin.land.naver.com/articles/2645162863", "매물Link")</f>
        <v/>
      </c>
      <c r="P201" s="6">
        <f>HYPERLINK("https://map.naver.com/p/search/조치원읍 상리 79-3", "지도Link")</f>
        <v/>
      </c>
      <c r="Q201" s="3" t="inlineStr">
        <is>
          <t>용죽부자</t>
        </is>
      </c>
      <c r="R201" s="4" t="n">
        <v>1</v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도시형생활주택</t>
        </is>
      </c>
      <c r="F202" s="3" t="inlineStr">
        <is>
          <t>월세</t>
        </is>
      </c>
      <c r="G202" s="4" t="n">
        <v>4500</v>
      </c>
      <c r="H202" s="4" t="n">
        <v>12</v>
      </c>
      <c r="I202" s="4" t="n">
        <v>0</v>
      </c>
      <c r="J202" s="5" t="n">
        <v>0</v>
      </c>
      <c r="K202" s="4" t="n">
        <v>5</v>
      </c>
      <c r="L202" s="5" t="n">
        <v>2.4</v>
      </c>
      <c r="M202" s="3" t="inlineStr">
        <is>
          <t>남향</t>
        </is>
      </c>
      <c r="N202" s="3" t="inlineStr">
        <is>
          <t>L 즉시입주가능  O엘베 O정남향 O역10분내</t>
        </is>
      </c>
      <c r="O202" s="6">
        <f>HYPERLINK("https://fin.land.naver.com/articles/2648531034", "매물Link")</f>
        <v/>
      </c>
      <c r="P202" s="6">
        <f>HYPERLINK("https://map.naver.com/p/search/조치원읍 상리 79-3", "지도Link")</f>
        <v/>
      </c>
      <c r="Q202" s="3" t="inlineStr">
        <is>
          <t>바다</t>
        </is>
      </c>
      <c r="R202" s="4" t="n">
        <v>1</v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4800</v>
      </c>
      <c r="H203" s="4" t="n">
        <v>0</v>
      </c>
      <c r="I203" s="4" t="n">
        <v>8</v>
      </c>
      <c r="J203" s="5" t="n">
        <v>600</v>
      </c>
      <c r="K203" s="4" t="n">
        <v>5</v>
      </c>
      <c r="L203" s="5" t="n">
        <v>960</v>
      </c>
      <c r="M203" s="3" t="inlineStr">
        <is>
          <t>서향</t>
        </is>
      </c>
      <c r="N203" s="3" t="inlineStr">
        <is>
          <t>깨끗한원룸.넓은방.협의입주가능.보안철저.주차시설완비</t>
        </is>
      </c>
      <c r="O203" s="6">
        <f>HYPERLINK("https://fin.land.naver.com/articles/2644836713", "매물Link")</f>
        <v/>
      </c>
      <c r="P203" s="6">
        <f>HYPERLINK("https://map.naver.com/p/search/조치원읍 상리 79-3", "지도Link")</f>
        <v/>
      </c>
      <c r="Q203" s="3" t="inlineStr">
        <is>
          <t>척척</t>
        </is>
      </c>
      <c r="R203" s="4" t="n">
        <v>1</v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다가구</t>
        </is>
      </c>
      <c r="F204" s="3" t="inlineStr">
        <is>
          <t>매매</t>
        </is>
      </c>
      <c r="G204" s="4" t="n">
        <v>52000</v>
      </c>
      <c r="H204" s="4" t="n">
        <v>0</v>
      </c>
      <c r="I204" s="4" t="n">
        <v>70</v>
      </c>
      <c r="J204" s="5" t="n">
        <v>742.9</v>
      </c>
      <c r="K204" s="4" t="n">
        <v>94</v>
      </c>
      <c r="L204" s="5" t="n">
        <v>553.2</v>
      </c>
      <c r="M204" s="3" t="inlineStr">
        <is>
          <t>남서향</t>
        </is>
      </c>
      <c r="N204" s="3" t="inlineStr">
        <is>
          <t>nan</t>
        </is>
      </c>
      <c r="O204" s="6">
        <f>HYPERLINK("https://fin.land.naver.com/articles/2645784295", "매물Link")</f>
        <v/>
      </c>
      <c r="P204" s="6">
        <f>HYPERLINK("https://map.naver.com/p/search/조치원읍 서창리 133-28", "지도Link")</f>
        <v/>
      </c>
      <c r="Q204" s="3" t="inlineStr">
        <is>
          <t>척척</t>
        </is>
      </c>
      <c r="R204" s="4" t="n">
        <v>1</v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198</v>
      </c>
      <c r="J205" s="5" t="n">
        <v>247.5</v>
      </c>
      <c r="K205" s="4" t="n">
        <v>176</v>
      </c>
      <c r="L205" s="5" t="n">
        <v>278.4</v>
      </c>
      <c r="M205" s="3" t="inlineStr">
        <is>
          <t>남향</t>
        </is>
      </c>
      <c r="N205" s="3" t="inlineStr">
        <is>
          <t>.급매. o수익률잘나옴 o관리잘되었어요</t>
        </is>
      </c>
      <c r="O205" s="6">
        <f>HYPERLINK("https://fin.land.naver.com/articles/2644111814", "매물Link")</f>
        <v/>
      </c>
      <c r="P205" s="6">
        <f>HYPERLINK("https://map.naver.com/p/search/조치원읍 서창리 203-10", "지도Link")</f>
        <v/>
      </c>
      <c r="Q205" s="3" t="inlineStr">
        <is>
          <t>바다</t>
        </is>
      </c>
      <c r="R205" s="4" t="n">
        <v>2</v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3000</v>
      </c>
      <c r="H206" s="4" t="n">
        <v>0</v>
      </c>
      <c r="I206" s="4" t="n">
        <v>9</v>
      </c>
      <c r="J206" s="5" t="n">
        <v>333.3</v>
      </c>
      <c r="K206" s="4" t="n">
        <v>9</v>
      </c>
      <c r="L206" s="5" t="n">
        <v>333.3</v>
      </c>
      <c r="M206" s="3" t="inlineStr">
        <is>
          <t>동향</t>
        </is>
      </c>
      <c r="N206" s="3" t="inlineStr">
        <is>
          <t>위치좋고 상태 좋은 저렴한 매물 안전전세</t>
        </is>
      </c>
      <c r="O206" s="6">
        <f>HYPERLINK("https://fin.land.naver.com/articles/2644989266", "매물Link")</f>
        <v/>
      </c>
      <c r="P206" s="6">
        <f>HYPERLINK("https://map.naver.com/p/search/조치원읍 서창리 203-6", "지도Link")</f>
        <v/>
      </c>
      <c r="Q206" s="3" t="inlineStr">
        <is>
          <t>부자터</t>
        </is>
      </c>
      <c r="R206" s="4" t="n">
        <v>1</v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원룸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100</v>
      </c>
      <c r="H207" s="4" t="n">
        <v>30</v>
      </c>
      <c r="I207" s="4" t="n">
        <v>7</v>
      </c>
      <c r="J207" s="5" t="n">
        <v>4.3</v>
      </c>
      <c r="K207" s="4" t="n">
        <v>7</v>
      </c>
      <c r="L207" s="5" t="n">
        <v>4.3</v>
      </c>
      <c r="M207" s="3" t="inlineStr">
        <is>
          <t>북향</t>
        </is>
      </c>
      <c r="N207" s="3" t="inlineStr">
        <is>
          <t>원룸 월세</t>
        </is>
      </c>
      <c r="O207" s="6">
        <f>HYPERLINK("https://fin.land.naver.com/articles/2647836240", "매물Link")</f>
        <v/>
      </c>
      <c r="P207" s="6">
        <f>HYPERLINK("https://map.naver.com/p/search/조치원읍 서창리 290-1", "지도Link")</f>
        <v/>
      </c>
      <c r="Q207" s="3" t="inlineStr">
        <is>
          <t>김준희</t>
        </is>
      </c>
      <c r="R207" s="4" t="n">
        <v>1</v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원룸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5" t="n">
        <v>0</v>
      </c>
      <c r="K208" s="4" t="n">
        <v>7</v>
      </c>
      <c r="L208" s="5" t="n">
        <v>571.4</v>
      </c>
      <c r="M208" s="3" t="inlineStr">
        <is>
          <t>북향</t>
        </is>
      </c>
      <c r="N208" s="3" t="inlineStr">
        <is>
          <t>L리모델링 O풀옵션 O역3분</t>
        </is>
      </c>
      <c r="O208" s="6">
        <f>HYPERLINK("https://fin.land.naver.com/articles/2645063733", "매물Link")</f>
        <v/>
      </c>
      <c r="P208" s="6">
        <f>HYPERLINK("https://map.naver.com/p/search/조치원읍 서창리 292-2", "지도Link")</f>
        <v/>
      </c>
      <c r="Q208" s="3" t="inlineStr">
        <is>
          <t>바다</t>
        </is>
      </c>
      <c r="R208" s="4" t="n">
        <v>1</v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원룸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4000</v>
      </c>
      <c r="H209" s="4" t="n">
        <v>0</v>
      </c>
      <c r="I209" s="4" t="n">
        <v>0</v>
      </c>
      <c r="J209" s="5" t="n">
        <v>0</v>
      </c>
      <c r="K209" s="4" t="n">
        <v>7</v>
      </c>
      <c r="L209" s="5" t="n">
        <v>571.4</v>
      </c>
      <c r="M209" s="3" t="inlineStr">
        <is>
          <t>북향</t>
        </is>
      </c>
      <c r="N209" s="3" t="inlineStr">
        <is>
          <t>세종,오송,청주 출퇴근하기 좋은 위치의 분리형원룸</t>
        </is>
      </c>
      <c r="O209" s="6">
        <f>HYPERLINK("https://fin.land.naver.com/articles/2647378387", "매물Link")</f>
        <v/>
      </c>
      <c r="P209" s="6">
        <f>HYPERLINK("https://map.naver.com/p/search/조치원읍 서창리 292-2", "지도Link")</f>
        <v/>
      </c>
      <c r="Q209" s="3" t="inlineStr">
        <is>
          <t>무지개</t>
        </is>
      </c>
      <c r="R209" s="4" t="n">
        <v>1</v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원룸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7</v>
      </c>
      <c r="J210" s="5" t="n">
        <v>571.4</v>
      </c>
      <c r="K210" s="4" t="n">
        <v>7</v>
      </c>
      <c r="L210" s="5" t="n">
        <v>571.4</v>
      </c>
      <c r="M210" s="3" t="inlineStr">
        <is>
          <t>북향</t>
        </is>
      </c>
      <c r="N210" s="3" t="inlineStr">
        <is>
          <t>서창리 원룸 전세</t>
        </is>
      </c>
      <c r="O210" s="6">
        <f>HYPERLINK("https://fin.land.naver.com/articles/2646197839", "매물Link")</f>
        <v/>
      </c>
      <c r="P210" s="6">
        <f>HYPERLINK("https://map.naver.com/p/search/조치원읍 서창리 292-2", "지도Link")</f>
        <v/>
      </c>
      <c r="Q210" s="3" t="inlineStr">
        <is>
          <t>김준희</t>
        </is>
      </c>
      <c r="R210" s="4" t="n">
        <v>1</v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다가구</t>
        </is>
      </c>
      <c r="F211" s="3" t="inlineStr">
        <is>
          <t>매매</t>
        </is>
      </c>
      <c r="G211" s="4" t="n">
        <v>70000</v>
      </c>
      <c r="H211" s="4" t="n">
        <v>0</v>
      </c>
      <c r="I211" s="4" t="n">
        <v>96</v>
      </c>
      <c r="J211" s="5" t="n">
        <v>729.2</v>
      </c>
      <c r="K211" s="4" t="n">
        <v>146</v>
      </c>
      <c r="L211" s="5" t="n">
        <v>479.5</v>
      </c>
      <c r="M211" s="3" t="inlineStr">
        <is>
          <t>남향</t>
        </is>
      </c>
      <c r="N211" s="3" t="inlineStr">
        <is>
          <t>다가구 매매 실투자금 약 5억</t>
        </is>
      </c>
      <c r="O211" s="6">
        <f>HYPERLINK("https://fin.land.naver.com/articles/2645163465", "매물Link")</f>
        <v/>
      </c>
      <c r="P211" s="6">
        <f>HYPERLINK("https://map.naver.com/p/search/조치원읍 서창리 296-8", "지도Link")</f>
        <v/>
      </c>
      <c r="Q211" s="3" t="inlineStr">
        <is>
          <t>상희</t>
        </is>
      </c>
      <c r="R211" s="4" t="n">
        <v>1</v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다가구</t>
        </is>
      </c>
      <c r="F212" s="3" t="inlineStr">
        <is>
          <t>매매</t>
        </is>
      </c>
      <c r="G212" s="4" t="n">
        <v>70000</v>
      </c>
      <c r="H212" s="4" t="n">
        <v>0</v>
      </c>
      <c r="I212" s="4" t="n">
        <v>96</v>
      </c>
      <c r="J212" s="5" t="n">
        <v>729.2</v>
      </c>
      <c r="K212" s="4" t="n">
        <v>146</v>
      </c>
      <c r="L212" s="5" t="n">
        <v>479.5</v>
      </c>
      <c r="M212" s="3" t="inlineStr">
        <is>
          <t>남서향</t>
        </is>
      </c>
      <c r="N212" s="3" t="inlineStr">
        <is>
          <t>nan</t>
        </is>
      </c>
      <c r="O212" s="6">
        <f>HYPERLINK("https://fin.land.naver.com/articles/2645783949", "매물Link")</f>
        <v/>
      </c>
      <c r="P212" s="6">
        <f>HYPERLINK("https://map.naver.com/p/search/조치원읍 서창리 296-8", "지도Link")</f>
        <v/>
      </c>
      <c r="Q212" s="3" t="inlineStr">
        <is>
          <t>척척</t>
        </is>
      </c>
      <c r="R212" s="4" t="n">
        <v>1</v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상가주택</t>
        </is>
      </c>
      <c r="F213" s="3" t="inlineStr">
        <is>
          <t>매매</t>
        </is>
      </c>
      <c r="G213" s="4" t="n">
        <v>76000</v>
      </c>
      <c r="H213" s="4" t="n">
        <v>0</v>
      </c>
      <c r="I213" s="4" t="n">
        <v>57</v>
      </c>
      <c r="J213" s="5" t="n">
        <v>1333.3</v>
      </c>
      <c r="K213" s="4" t="n">
        <v>78</v>
      </c>
      <c r="L213" s="5" t="n">
        <v>974.4</v>
      </c>
      <c r="M213" s="3" t="inlineStr">
        <is>
          <t>서향</t>
        </is>
      </c>
      <c r="N213" s="3" t="inlineStr">
        <is>
          <t>대학가 2억7천 투자 수익률7.5</t>
        </is>
      </c>
      <c r="O213" s="6">
        <f>HYPERLINK("https://fin.land.naver.com/articles/2648572698", "매물Link")</f>
        <v/>
      </c>
      <c r="P213" s="6">
        <f>HYPERLINK("https://map.naver.com/p/search/조치원읍 서창리 66-35", "지도Link")</f>
        <v/>
      </c>
      <c r="Q213" s="3" t="inlineStr">
        <is>
          <t>고래</t>
        </is>
      </c>
      <c r="R213" s="4" t="n">
        <v>1</v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86</v>
      </c>
      <c r="J214" s="5" t="n">
        <v>558.1</v>
      </c>
      <c r="K214" s="4" t="n">
        <v>29</v>
      </c>
      <c r="L214" s="5" t="n">
        <v>1655.2</v>
      </c>
      <c r="M214" s="3" t="inlineStr">
        <is>
          <t>남동향</t>
        </is>
      </c>
      <c r="N214" s="3" t="inlineStr">
        <is>
          <t>편의성과 안락함을 다 갖춘 단독주택</t>
        </is>
      </c>
      <c r="O214" s="6">
        <f>HYPERLINK("https://fin.land.naver.com/articles/2647877367", "매물Link")</f>
        <v/>
      </c>
      <c r="P214" s="6">
        <f>HYPERLINK("https://map.naver.com/p/search/조치원읍 신안리 146-2", "지도Link")</f>
        <v/>
      </c>
      <c r="Q214" s="3" t="inlineStr">
        <is>
          <t>무지개</t>
        </is>
      </c>
      <c r="R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33</v>
      </c>
      <c r="J215" s="5" t="n">
        <v>500</v>
      </c>
      <c r="K215" s="4" t="n">
        <v>28</v>
      </c>
      <c r="L215" s="5" t="n">
        <v>589.3</v>
      </c>
      <c r="M215" s="3" t="inlineStr">
        <is>
          <t>남서향</t>
        </is>
      </c>
      <c r="N215" s="3" t="inlineStr">
        <is>
          <t>엘리베이터 있는 올 리모델링 된 빌라</t>
        </is>
      </c>
      <c r="O215" s="6">
        <f>HYPERLINK("https://fin.land.naver.com/articles/2647616056", "매물Link")</f>
        <v/>
      </c>
      <c r="P215" s="6">
        <f>HYPERLINK("https://map.naver.com/p/search/조치원읍 신안리 179-17", "지도Link")</f>
        <v/>
      </c>
      <c r="Q215" s="3" t="inlineStr">
        <is>
          <t>해들일번지</t>
        </is>
      </c>
      <c r="R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28</v>
      </c>
      <c r="J216" s="5" t="n">
        <v>589.3</v>
      </c>
      <c r="K216" s="4" t="n">
        <v>24</v>
      </c>
      <c r="L216" s="5" t="n">
        <v>687.5</v>
      </c>
      <c r="M216" s="3" t="inlineStr">
        <is>
          <t>남향</t>
        </is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3" t="inlineStr">
        <is>
          <t>하늘</t>
        </is>
      </c>
      <c r="R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28</v>
      </c>
      <c r="J217" s="5" t="n">
        <v>589.3</v>
      </c>
      <c r="K217" s="4" t="n">
        <v>24</v>
      </c>
      <c r="L217" s="5" t="n">
        <v>687.5</v>
      </c>
      <c r="M217" s="3" t="inlineStr">
        <is>
          <t>남향</t>
        </is>
      </c>
      <c r="N217" s="3" t="inlineStr">
        <is>
          <t>조치원읍 신안리 신축 프리미엄 빌라 급매, 쓰리룸 엘리베이터 주차여유</t>
        </is>
      </c>
      <c r="O217" s="6">
        <f>HYPERLINK("https://fin.land.naver.com/articles/2647624029", "매물Link")</f>
        <v/>
      </c>
      <c r="P217" s="6">
        <f>HYPERLINK("https://map.naver.com/p/search/조치원읍 신안리 179-17", "지도Link")</f>
        <v/>
      </c>
      <c r="Q217" s="3" t="inlineStr">
        <is>
          <t>빅토리</t>
        </is>
      </c>
      <c r="R217" s="4" t="n">
        <v>1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28</v>
      </c>
      <c r="J218" s="5" t="n">
        <v>589.3</v>
      </c>
      <c r="K218" s="4" t="n">
        <v>24</v>
      </c>
      <c r="L218" s="5" t="n">
        <v>687.5</v>
      </c>
      <c r="M218" s="3" t="inlineStr">
        <is>
          <t>남향</t>
        </is>
      </c>
      <c r="N218" s="3" t="inlineStr">
        <is>
          <t>즉시입주,공실,엘리베이터,올리모델링</t>
        </is>
      </c>
      <c r="O218" s="6">
        <f>HYPERLINK("https://fin.land.naver.com/articles/2646767835", "매물Link")</f>
        <v/>
      </c>
      <c r="P218" s="6">
        <f>HYPERLINK("https://map.naver.com/p/search/조치원읍 신안리 179-17", "지도Link")</f>
        <v/>
      </c>
      <c r="Q218" s="3" t="inlineStr">
        <is>
          <t>세종갑부</t>
        </is>
      </c>
      <c r="R218" s="4" t="n">
        <v>6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28</v>
      </c>
      <c r="J219" s="5" t="n">
        <v>589.3</v>
      </c>
      <c r="K219" s="4" t="n">
        <v>24</v>
      </c>
      <c r="L219" s="5" t="n">
        <v>687.5</v>
      </c>
      <c r="M219" s="3" t="inlineStr">
        <is>
          <t>남서향</t>
        </is>
      </c>
      <c r="N219" s="3" t="inlineStr">
        <is>
          <t>올리모델링, 4층단독세대, 방3욕실2, 승강기, 적극협의</t>
        </is>
      </c>
      <c r="O219" s="6">
        <f>HYPERLINK("https://fin.land.naver.com/articles/2647198591", "매물Link")</f>
        <v/>
      </c>
      <c r="P219" s="6">
        <f>HYPERLINK("https://map.naver.com/p/search/조치원읍 신안리 179-17", "지도Link")</f>
        <v/>
      </c>
      <c r="Q219" s="3" t="inlineStr">
        <is>
          <t>보배</t>
        </is>
      </c>
      <c r="R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28</v>
      </c>
      <c r="J220" s="5" t="n">
        <v>589.3</v>
      </c>
      <c r="K220" s="4" t="n">
        <v>24</v>
      </c>
      <c r="L220" s="5" t="n">
        <v>687.5</v>
      </c>
      <c r="M220" s="3" t="inlineStr">
        <is>
          <t>남향</t>
        </is>
      </c>
      <c r="N220" s="3" t="inlineStr">
        <is>
          <t>홍익대바로인근 신축빌라 올리모델링 전원주택형 예쁜빌라 교통입지편리한곳</t>
        </is>
      </c>
      <c r="O220" s="6">
        <f>HYPERLINK("https://fin.land.naver.com/articles/2646835563", "매물Link")</f>
        <v/>
      </c>
      <c r="P220" s="6">
        <f>HYPERLINK("https://map.naver.com/p/search/조치원읍 신안리 179-17", "지도Link")</f>
        <v/>
      </c>
      <c r="Q220" s="3" t="inlineStr">
        <is>
          <t>오송휴먼캐슬</t>
        </is>
      </c>
      <c r="R220" s="4" t="n">
        <v>2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28</v>
      </c>
      <c r="J221" s="5" t="n">
        <v>589.3</v>
      </c>
      <c r="K221" s="4" t="n">
        <v>24</v>
      </c>
      <c r="L221" s="5" t="n">
        <v>687.5</v>
      </c>
      <c r="M221" s="3" t="inlineStr">
        <is>
          <t>남향</t>
        </is>
      </c>
      <c r="N221" s="3" t="inlineStr">
        <is>
          <t>홍대 신축, 올리모델링,엘베,급매</t>
        </is>
      </c>
      <c r="O221" s="6">
        <f>HYPERLINK("https://fin.land.naver.com/articles/2646910242", "매물Link")</f>
        <v/>
      </c>
      <c r="P221" s="6">
        <f>HYPERLINK("https://map.naver.com/p/search/조치원읍 신안리 179-17", "지도Link")</f>
        <v/>
      </c>
      <c r="Q221" s="3" t="inlineStr">
        <is>
          <t>다옴</t>
        </is>
      </c>
      <c r="R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28</v>
      </c>
      <c r="J222" s="5" t="n">
        <v>589.3</v>
      </c>
      <c r="K222" s="4" t="n">
        <v>24</v>
      </c>
      <c r="L222" s="5" t="n">
        <v>687.5</v>
      </c>
      <c r="M222" s="3" t="inlineStr">
        <is>
          <t>남동향</t>
        </is>
      </c>
      <c r="N222" s="3" t="inlineStr">
        <is>
          <t>신안리 홍익대학교 연수원앞, 숲이 우거진 아름다운 집임.</t>
        </is>
      </c>
      <c r="O222" s="6">
        <f>HYPERLINK("https://fin.land.naver.com/articles/2643163775", "매물Link")</f>
        <v/>
      </c>
      <c r="P222" s="6">
        <f>HYPERLINK("https://map.naver.com/p/search/조치원읍 신안리 179-17", "지도Link")</f>
        <v/>
      </c>
      <c r="Q222" s="3" t="inlineStr">
        <is>
          <t>꿈드림</t>
        </is>
      </c>
      <c r="R222" s="4" t="n">
        <v>2</v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28</v>
      </c>
      <c r="J223" s="5" t="n">
        <v>589.3</v>
      </c>
      <c r="K223" s="4" t="n">
        <v>24</v>
      </c>
      <c r="L223" s="5" t="n">
        <v>687.5</v>
      </c>
      <c r="M223" s="3" t="inlineStr">
        <is>
          <t>남향</t>
        </is>
      </c>
      <c r="N223" s="3" t="inlineStr">
        <is>
          <t>전원형 주거지신축빌라, 올리모델링, 급매 1억6500만원, 역세권예정</t>
        </is>
      </c>
      <c r="O223" s="6">
        <f>HYPERLINK("https://fin.land.naver.com/articles/2644847919", "매물Link")</f>
        <v/>
      </c>
      <c r="P223" s="6">
        <f>HYPERLINK("https://map.naver.com/p/search/조치원읍 신안리 179-17", "지도Link")</f>
        <v/>
      </c>
      <c r="Q223" s="3" t="inlineStr">
        <is>
          <t>대한</t>
        </is>
      </c>
      <c r="R223" s="4" t="n">
        <v>1</v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28</v>
      </c>
      <c r="J224" s="5" t="n">
        <v>589.3</v>
      </c>
      <c r="K224" s="4" t="n">
        <v>24</v>
      </c>
      <c r="L224" s="5" t="n">
        <v>687.5</v>
      </c>
      <c r="M224" s="3" t="inlineStr">
        <is>
          <t>남향</t>
        </is>
      </c>
      <c r="N224" s="3" t="inlineStr">
        <is>
          <t>신축,즉시입주가능, 홍대근접,엘리베이터 있음 주차장 여유, 조용한 환경</t>
        </is>
      </c>
      <c r="O224" s="6">
        <f>HYPERLINK("https://fin.land.naver.com/articles/2645450946", "매물Link")</f>
        <v/>
      </c>
      <c r="P224" s="6">
        <f>HYPERLINK("https://map.naver.com/p/search/조치원읍 신안리 179-17", "지도Link")</f>
        <v/>
      </c>
      <c r="Q224" s="3" t="inlineStr">
        <is>
          <t>담뜰</t>
        </is>
      </c>
      <c r="R224" s="4" t="n">
        <v>1</v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109</v>
      </c>
      <c r="J225" s="5" t="n">
        <v>256.9</v>
      </c>
      <c r="K225" s="4" t="n">
        <v>18</v>
      </c>
      <c r="L225" s="5" t="n">
        <v>1555.6</v>
      </c>
      <c r="M225" s="3" t="inlineStr">
        <is>
          <t>동향</t>
        </is>
      </c>
      <c r="N225" s="3" t="inlineStr">
        <is>
          <t>세종시 홍익대 주변 농가주택 급매</t>
        </is>
      </c>
      <c r="O225" s="6">
        <f>HYPERLINK("https://fin.land.naver.com/articles/2646577453", "매물Link")</f>
        <v/>
      </c>
      <c r="P225" s="6">
        <f>HYPERLINK("https://map.naver.com/p/search/조치원읍 신안리 179-2", "지도Link")</f>
        <v/>
      </c>
      <c r="Q225" s="3" t="inlineStr">
        <is>
          <t>강우림</t>
        </is>
      </c>
      <c r="R225" s="4" t="n">
        <v>1</v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다가구</t>
        </is>
      </c>
      <c r="F226" s="3" t="inlineStr">
        <is>
          <t>전세</t>
        </is>
      </c>
      <c r="G226" s="4" t="n">
        <v>3000</v>
      </c>
      <c r="H226" s="4" t="n">
        <v>0</v>
      </c>
      <c r="I226" s="4" t="n">
        <v>11</v>
      </c>
      <c r="J226" s="5" t="n">
        <v>272.7</v>
      </c>
      <c r="K226" s="4" t="n">
        <v>11</v>
      </c>
      <c r="L226" s="5" t="n">
        <v>272.7</v>
      </c>
      <c r="M226" s="3" t="inlineStr">
        <is>
          <t>남향</t>
        </is>
      </c>
      <c r="N226" s="3" t="inlineStr">
        <is>
          <t>리모델링된 깨끗한 원룸</t>
        </is>
      </c>
      <c r="O226" s="6">
        <f>HYPERLINK("https://fin.land.naver.com/articles/2645458074", "매물Link")</f>
        <v/>
      </c>
      <c r="P226" s="6">
        <f>HYPERLINK("https://map.naver.com/p/search/조치원읍 신안리 193-10", "지도Link")</f>
        <v/>
      </c>
      <c r="Q226" s="3" t="inlineStr">
        <is>
          <t>세종베스트</t>
        </is>
      </c>
      <c r="R226" s="4" t="n">
        <v>1</v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다가구</t>
        </is>
      </c>
      <c r="F227" s="3" t="inlineStr">
        <is>
          <t>매매</t>
        </is>
      </c>
      <c r="G227" s="4" t="n">
        <v>70000</v>
      </c>
      <c r="H227" s="4" t="n">
        <v>0</v>
      </c>
      <c r="I227" s="4" t="n">
        <v>180</v>
      </c>
      <c r="J227" s="5" t="n">
        <v>388.9</v>
      </c>
      <c r="K227" s="4" t="n">
        <v>105</v>
      </c>
      <c r="L227" s="5" t="n">
        <v>666.7</v>
      </c>
      <c r="M227" s="3" t="inlineStr">
        <is>
          <t>남향</t>
        </is>
      </c>
      <c r="N227" s="3" t="inlineStr">
        <is>
          <t>서창역인근,주인세대전세끼고,수익형다가구매매,인근대학교,연수원</t>
        </is>
      </c>
      <c r="O227" s="6">
        <f>HYPERLINK("https://fin.land.naver.com/articles/2647021016", "매물Link")</f>
        <v/>
      </c>
      <c r="P227" s="6">
        <f>HYPERLINK("https://map.naver.com/p/search/조치원읍 신안리 197-3", "지도Link")</f>
        <v/>
      </c>
      <c r="Q227" s="3" t="inlineStr">
        <is>
          <t>에이팩시티지정</t>
        </is>
      </c>
      <c r="R227" s="4" t="n">
        <v>1</v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73</v>
      </c>
      <c r="J228" s="5" t="n">
        <v>1274</v>
      </c>
      <c r="K228" s="4" t="n">
        <v>90</v>
      </c>
      <c r="L228" s="5" t="n">
        <v>1033.3</v>
      </c>
      <c r="M228" s="3" t="inlineStr">
        <is>
          <t>남동향</t>
        </is>
      </c>
      <c r="N228" s="3" t="inlineStr">
        <is>
          <t>홍익대초인접 연세잘나오고 수익좋아요 공실없는 수익형다가구</t>
        </is>
      </c>
      <c r="O228" s="6">
        <f>HYPERLINK("https://fin.land.naver.com/articles/2646673124", "매물Link")</f>
        <v/>
      </c>
      <c r="P228" s="6">
        <f>HYPERLINK("https://map.naver.com/p/search/조치원읍 신안리 329-3", "지도Link")</f>
        <v/>
      </c>
      <c r="Q228" s="3" t="inlineStr">
        <is>
          <t>세종새빛</t>
        </is>
      </c>
      <c r="R228" s="4" t="n">
        <v>1</v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82</v>
      </c>
      <c r="J229" s="5" t="n">
        <v>731.7</v>
      </c>
      <c r="K229" s="4" t="n">
        <v>129</v>
      </c>
      <c r="L229" s="5" t="n">
        <v>465.1</v>
      </c>
      <c r="M229" s="3" t="inlineStr">
        <is>
          <t>남서향</t>
        </is>
      </c>
      <c r="N229" s="3" t="inlineStr">
        <is>
          <t>홍익대학생들의  입소문으로만 임대계약완료, 공실걱정 없음</t>
        </is>
      </c>
      <c r="O229" s="6">
        <f>HYPERLINK("https://fin.land.naver.com/articles/2647256496", "매물Link")</f>
        <v/>
      </c>
      <c r="P229" s="6">
        <f>HYPERLINK("https://map.naver.com/p/search/조치원읍 신안리 341-1", "지도Link")</f>
        <v/>
      </c>
      <c r="Q229" s="3" t="inlineStr">
        <is>
          <t>세종공감</t>
        </is>
      </c>
      <c r="R229" s="4" t="n">
        <v>1</v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단독</t>
        </is>
      </c>
      <c r="F230" s="3" t="inlineStr">
        <is>
          <t>매매</t>
        </is>
      </c>
      <c r="G230" s="4" t="n">
        <v>230000</v>
      </c>
      <c r="H230" s="4" t="n">
        <v>0</v>
      </c>
      <c r="I230" s="4" t="n">
        <v>92</v>
      </c>
      <c r="J230" s="5" t="n">
        <v>2500</v>
      </c>
      <c r="K230" s="4" t="n">
        <v>100</v>
      </c>
      <c r="L230" s="5" t="n">
        <v>2300</v>
      </c>
      <c r="M230" s="3" t="inlineStr">
        <is>
          <t>남동향</t>
        </is>
      </c>
      <c r="N230" s="3" t="inlineStr">
        <is>
          <t>고객만족1위, 앞상가 동시매매,세종시 홍익대, 고려대  인근, 투자 최상</t>
        </is>
      </c>
      <c r="O230" s="6">
        <f>HYPERLINK("https://fin.land.naver.com/articles/2646541554", "매물Link")</f>
        <v/>
      </c>
      <c r="P230" s="6">
        <f>HYPERLINK("https://map.naver.com/p/search/조치원읍 신안리 343-5", "지도Link")</f>
        <v/>
      </c>
      <c r="Q230" s="3" t="inlineStr">
        <is>
          <t>생생</t>
        </is>
      </c>
      <c r="R230" s="4" t="n">
        <v>1</v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다가구</t>
        </is>
      </c>
      <c r="F231" s="3" t="inlineStr">
        <is>
          <t>매매</t>
        </is>
      </c>
      <c r="G231" s="4" t="n">
        <v>72500</v>
      </c>
      <c r="H231" s="4" t="n">
        <v>0</v>
      </c>
      <c r="I231" s="4" t="n">
        <v>47</v>
      </c>
      <c r="J231" s="5" t="n">
        <v>1542.6</v>
      </c>
      <c r="K231" s="4" t="n">
        <v>80</v>
      </c>
      <c r="L231" s="5" t="n">
        <v>906.2</v>
      </c>
      <c r="M231" s="3" t="inlineStr">
        <is>
          <t>남동향</t>
        </is>
      </c>
      <c r="N231" s="3" t="inlineStr">
        <is>
          <t>고객만족1위, 홍익대부근세종캠, 고려대근방세종캠, 조치원역 부근</t>
        </is>
      </c>
      <c r="O231" s="6">
        <f>HYPERLINK("https://fin.land.naver.com/articles/2645913527", "매물Link")</f>
        <v/>
      </c>
      <c r="P231" s="6">
        <f>HYPERLINK("https://map.naver.com/p/search/조치원읍 신안리 353-19", "지도Link")</f>
        <v/>
      </c>
      <c r="Q231" s="3" t="inlineStr">
        <is>
          <t>생생</t>
        </is>
      </c>
      <c r="R231" s="4" t="n">
        <v>1</v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다가구</t>
        </is>
      </c>
      <c r="F232" s="3" t="inlineStr">
        <is>
          <t>매매</t>
        </is>
      </c>
      <c r="G232" s="4" t="n">
        <v>62000</v>
      </c>
      <c r="H232" s="4" t="n">
        <v>0</v>
      </c>
      <c r="I232" s="4" t="n">
        <v>48</v>
      </c>
      <c r="J232" s="5" t="n">
        <v>1291.7</v>
      </c>
      <c r="K232" s="4" t="n">
        <v>80</v>
      </c>
      <c r="L232" s="5" t="n">
        <v>775</v>
      </c>
      <c r="M232" s="3" t="inlineStr">
        <is>
          <t>남향</t>
        </is>
      </c>
      <c r="N232" s="3" t="inlineStr">
        <is>
          <t>nan</t>
        </is>
      </c>
      <c r="O232" s="6">
        <f>HYPERLINK("https://fin.land.naver.com/articles/2644120409", "매물Link")</f>
        <v/>
      </c>
      <c r="P232" s="6">
        <f>HYPERLINK("https://map.naver.com/p/search/조치원읍 신안리 353-19", "지도Link")</f>
        <v/>
      </c>
      <c r="Q232" s="3" t="inlineStr">
        <is>
          <t>바다</t>
        </is>
      </c>
      <c r="R232" s="4" t="n">
        <v>1</v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다가구</t>
        </is>
      </c>
      <c r="F233" s="3" t="inlineStr">
        <is>
          <t>매매</t>
        </is>
      </c>
      <c r="G233" s="4" t="n">
        <v>90000</v>
      </c>
      <c r="H233" s="4" t="n">
        <v>0</v>
      </c>
      <c r="I233" s="4" t="n">
        <v>105</v>
      </c>
      <c r="J233" s="5" t="n">
        <v>857.1</v>
      </c>
      <c r="K233" s="4" t="n">
        <v>186</v>
      </c>
      <c r="L233" s="5" t="n">
        <v>483.9</v>
      </c>
      <c r="M233" s="3" t="inlineStr">
        <is>
          <t>남동향</t>
        </is>
      </c>
      <c r="N233" s="3" t="inlineStr">
        <is>
          <t>대학생들에게 인기 있고 관리가 잘된 원룸입니다.</t>
        </is>
      </c>
      <c r="O233" s="6">
        <f>HYPERLINK("https://fin.land.naver.com/articles/2647249221", "매물Link")</f>
        <v/>
      </c>
      <c r="P233" s="6">
        <f>HYPERLINK("https://map.naver.com/p/search/조치원읍 신안리 354-40", "지도Link")</f>
        <v/>
      </c>
      <c r="Q233" s="3" t="inlineStr">
        <is>
          <t>세종공감</t>
        </is>
      </c>
      <c r="R233" s="4" t="n">
        <v>1</v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다가구</t>
        </is>
      </c>
      <c r="F234" s="3" t="inlineStr">
        <is>
          <t>매매</t>
        </is>
      </c>
      <c r="G234" s="4" t="n">
        <v>80000</v>
      </c>
      <c r="H234" s="4" t="n">
        <v>0</v>
      </c>
      <c r="I234" s="4" t="n">
        <v>162</v>
      </c>
      <c r="J234" s="5" t="n">
        <v>493.8</v>
      </c>
      <c r="K234" s="4" t="n">
        <v>158</v>
      </c>
      <c r="L234" s="5" t="n">
        <v>506.3</v>
      </c>
      <c r="M234" s="3" t="inlineStr">
        <is>
          <t>남서향</t>
        </is>
      </c>
      <c r="N234" s="3" t="inlineStr">
        <is>
          <t>nan</t>
        </is>
      </c>
      <c r="O234" s="6">
        <f>HYPERLINK("https://fin.land.naver.com/articles/2645782172", "매물Link")</f>
        <v/>
      </c>
      <c r="P234" s="6">
        <f>HYPERLINK("https://map.naver.com/p/search/조치원읍 신안리 373-1", "지도Link")</f>
        <v/>
      </c>
      <c r="Q234" s="3" t="inlineStr">
        <is>
          <t>척척</t>
        </is>
      </c>
      <c r="R234" s="4" t="n">
        <v>1</v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다가구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57</v>
      </c>
      <c r="J235" s="5" t="n">
        <v>789.5</v>
      </c>
      <c r="K235" s="4" t="n">
        <v>99</v>
      </c>
      <c r="L235" s="5" t="n">
        <v>454.5</v>
      </c>
      <c r="M235" s="3" t="inlineStr">
        <is>
          <t>남향</t>
        </is>
      </c>
      <c r="N235" s="3" t="inlineStr">
        <is>
          <t>리모델링 원룸 매매</t>
        </is>
      </c>
      <c r="O235" s="6">
        <f>HYPERLINK("https://fin.land.naver.com/articles/2648567043", "매물Link")</f>
        <v/>
      </c>
      <c r="P235" s="6">
        <f>HYPERLINK("https://map.naver.com/p/search/조치원읍 신안리 383-13", "지도Link")</f>
        <v/>
      </c>
      <c r="Q235" s="3" t="inlineStr">
        <is>
          <t>고래</t>
        </is>
      </c>
      <c r="R235" s="4" t="n">
        <v>1</v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단독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95</v>
      </c>
      <c r="J236" s="5" t="n">
        <v>473.7</v>
      </c>
      <c r="K236" s="4" t="n">
        <v>68</v>
      </c>
      <c r="L236" s="5" t="n">
        <v>661.8</v>
      </c>
      <c r="M236" s="3" t="inlineStr">
        <is>
          <t>남향</t>
        </is>
      </c>
      <c r="N236" s="3" t="inlineStr">
        <is>
          <t>남향, 고려대홍익대 인근 대지 넓은 2층 단독주택</t>
        </is>
      </c>
      <c r="O236" s="6">
        <f>HYPERLINK("https://fin.land.naver.com/articles/2647246878", "매물Link")</f>
        <v/>
      </c>
      <c r="P236" s="6">
        <f>HYPERLINK("https://map.naver.com/p/search/조치원읍 신안리 383-8", "지도Link")</f>
        <v/>
      </c>
      <c r="Q236" s="3" t="inlineStr">
        <is>
          <t>세종공감</t>
        </is>
      </c>
      <c r="R236" s="4" t="n">
        <v>1</v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70</v>
      </c>
      <c r="J237" s="5" t="n">
        <v>500</v>
      </c>
      <c r="K237" s="4" t="n">
        <v>47</v>
      </c>
      <c r="L237" s="5" t="n">
        <v>744.7</v>
      </c>
      <c r="M237" s="3" t="inlineStr">
        <is>
          <t>남동향</t>
        </is>
      </c>
      <c r="N237" s="3" t="inlineStr">
        <is>
          <t>세종시 홍익대 고려대 홍익대정책연구원 인근</t>
        </is>
      </c>
      <c r="O237" s="6">
        <f>HYPERLINK("https://fin.land.naver.com/articles/2647867345", "매물Link")</f>
        <v/>
      </c>
      <c r="P237" s="6">
        <f>HYPERLINK("https://map.naver.com/p/search/조치원읍 신안리 384-2", "지도Link")</f>
        <v/>
      </c>
      <c r="Q237" s="3" t="inlineStr">
        <is>
          <t>서울(단지내)</t>
        </is>
      </c>
      <c r="R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97</v>
      </c>
      <c r="J238" s="5" t="n">
        <v>618.6</v>
      </c>
      <c r="K238" s="4" t="n">
        <v>149</v>
      </c>
      <c r="L238" s="5" t="n">
        <v>402.7</v>
      </c>
      <c r="M238" s="3" t="inlineStr">
        <is>
          <t>남향</t>
        </is>
      </c>
      <c r="N238" s="3" t="inlineStr">
        <is>
          <t>홍익대학교 원룸 다가구매매.수익률잘나옴.</t>
        </is>
      </c>
      <c r="O238" s="6">
        <f>HYPERLINK("https://fin.land.naver.com/articles/2644111033", "매물Link")</f>
        <v/>
      </c>
      <c r="P238" s="6">
        <f>HYPERLINK("https://map.naver.com/p/search/조치원읍 신안리 385-12", "지도Link")</f>
        <v/>
      </c>
      <c r="Q238" s="3" t="inlineStr">
        <is>
          <t>바다</t>
        </is>
      </c>
      <c r="R238" s="4" t="n">
        <v>1</v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97</v>
      </c>
      <c r="J239" s="5" t="n">
        <v>618.6</v>
      </c>
      <c r="K239" s="4" t="n">
        <v>149</v>
      </c>
      <c r="L239" s="5" t="n">
        <v>402.7</v>
      </c>
      <c r="M239" s="3" t="inlineStr">
        <is>
          <t>남서향</t>
        </is>
      </c>
      <c r="N239" s="3" t="inlineStr">
        <is>
          <t>nan</t>
        </is>
      </c>
      <c r="O239" s="6">
        <f>HYPERLINK("https://fin.land.naver.com/articles/2645783015", "매물Link")</f>
        <v/>
      </c>
      <c r="P239" s="6">
        <f>HYPERLINK("https://map.naver.com/p/search/조치원읍 신안리 385-12", "지도Link")</f>
        <v/>
      </c>
      <c r="Q239" s="3" t="inlineStr">
        <is>
          <t>척척</t>
        </is>
      </c>
      <c r="R239" s="4" t="n">
        <v>1</v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97</v>
      </c>
      <c r="J240" s="5" t="n">
        <v>618.6</v>
      </c>
      <c r="K240" s="4" t="n">
        <v>149</v>
      </c>
      <c r="L240" s="5" t="n">
        <v>402.7</v>
      </c>
      <c r="M240" s="3" t="inlineStr">
        <is>
          <t>남향</t>
        </is>
      </c>
      <c r="N240" s="3" t="inlineStr">
        <is>
          <t>홍익대학교, 고려대학교 후문쪽 위치, 공실없음</t>
        </is>
      </c>
      <c r="O240" s="6">
        <f>HYPERLINK("https://fin.land.naver.com/articles/2647247647", "매물Link")</f>
        <v/>
      </c>
      <c r="P240" s="6">
        <f>HYPERLINK("https://map.naver.com/p/search/조치원읍 신안리 385-12", "지도Link")</f>
        <v/>
      </c>
      <c r="Q240" s="3" t="inlineStr">
        <is>
          <t>세종공감</t>
        </is>
      </c>
      <c r="R240" s="4" t="n">
        <v>1</v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다가구</t>
        </is>
      </c>
      <c r="F241" s="3" t="inlineStr">
        <is>
          <t>월세</t>
        </is>
      </c>
      <c r="G241" s="4" t="n">
        <v>100</v>
      </c>
      <c r="H241" s="4" t="n">
        <v>26</v>
      </c>
      <c r="I241" s="4" t="n">
        <v>8</v>
      </c>
      <c r="J241" s="5" t="n">
        <v>3.2</v>
      </c>
      <c r="K241" s="4" t="n">
        <v>8</v>
      </c>
      <c r="L241" s="5" t="n">
        <v>3.2</v>
      </c>
      <c r="M241" s="3" t="inlineStr">
        <is>
          <t>남향</t>
        </is>
      </c>
      <c r="N241" s="3" t="inlineStr">
        <is>
          <t>보증금과 월세가 저렴하고 넓은 방, 고려대, 홍익대 인근임</t>
        </is>
      </c>
      <c r="O241" s="6">
        <f>HYPERLINK("https://fin.land.naver.com/articles/2648513014", "매물Link")</f>
        <v/>
      </c>
      <c r="P241" s="6">
        <f>HYPERLINK("https://map.naver.com/p/search/조치원읍 신안리 386", "지도Link")</f>
        <v/>
      </c>
      <c r="Q241" s="3" t="inlineStr">
        <is>
          <t>세종베스트</t>
        </is>
      </c>
      <c r="R241" s="4" t="n">
        <v>1</v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106</v>
      </c>
      <c r="J242" s="5" t="n">
        <v>1009.4</v>
      </c>
      <c r="K242" s="4" t="n">
        <v>180</v>
      </c>
      <c r="L242" s="5" t="n">
        <v>594.4</v>
      </c>
      <c r="M242" s="3" t="inlineStr">
        <is>
          <t>남향</t>
        </is>
      </c>
      <c r="N242" s="3" t="inlineStr">
        <is>
          <t>고대홍대 매년 공실X 수익율 좋은 다가구</t>
        </is>
      </c>
      <c r="O242" s="6">
        <f>HYPERLINK("https://fin.land.naver.com/articles/2645237870", "매물Link")</f>
        <v/>
      </c>
      <c r="P242" s="6">
        <f>HYPERLINK("https://map.naver.com/p/search/조치원읍 신안리 387-5", "지도Link")</f>
        <v/>
      </c>
      <c r="Q242" s="3" t="inlineStr">
        <is>
          <t>무지개</t>
        </is>
      </c>
      <c r="R242" s="4" t="n">
        <v>1</v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다가구</t>
        </is>
      </c>
      <c r="F243" s="3" t="inlineStr">
        <is>
          <t>매매</t>
        </is>
      </c>
      <c r="G243" s="4" t="n">
        <v>110000</v>
      </c>
      <c r="H243" s="4" t="n">
        <v>0</v>
      </c>
      <c r="I243" s="4" t="n">
        <v>106</v>
      </c>
      <c r="J243" s="5" t="n">
        <v>1037.7</v>
      </c>
      <c r="K243" s="4" t="n">
        <v>180</v>
      </c>
      <c r="L243" s="5" t="n">
        <v>611.1</v>
      </c>
      <c r="M243" s="3" t="inlineStr">
        <is>
          <t>남동향</t>
        </is>
      </c>
      <c r="N243" s="3" t="inlineStr">
        <is>
          <t>고대와 홍대사이의 인기있는 원룸으로 공실없음</t>
        </is>
      </c>
      <c r="O243" s="6">
        <f>HYPERLINK("https://fin.land.naver.com/articles/2647249766", "매물Link")</f>
        <v/>
      </c>
      <c r="P243" s="6">
        <f>HYPERLINK("https://map.naver.com/p/search/조치원읍 신안리 387-5", "지도Link")</f>
        <v/>
      </c>
      <c r="Q243" s="3" t="inlineStr">
        <is>
          <t>세종공감</t>
        </is>
      </c>
      <c r="R243" s="4" t="n">
        <v>1</v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20</v>
      </c>
      <c r="I244" s="4" t="n">
        <v>5</v>
      </c>
      <c r="J244" s="5" t="n">
        <v>4</v>
      </c>
      <c r="K244" s="4" t="n">
        <v>5</v>
      </c>
      <c r="L244" s="5" t="n">
        <v>4</v>
      </c>
      <c r="M244" s="3" t="inlineStr">
        <is>
          <t>남동향</t>
        </is>
      </c>
      <c r="N244" s="3" t="inlineStr">
        <is>
          <t>한달28만원에 공과금 모두 포함, 추가금 없음</t>
        </is>
      </c>
      <c r="O244" s="6">
        <f>HYPERLINK("https://fin.land.naver.com/articles/2648554234", "매물Link")</f>
        <v/>
      </c>
      <c r="P244" s="6">
        <f>HYPERLINK("https://map.naver.com/p/search/조치원읍 신안리 389-8", "지도Link")</f>
        <v/>
      </c>
      <c r="Q244" s="3" t="inlineStr">
        <is>
          <t>부자터</t>
        </is>
      </c>
      <c r="R244" s="4" t="n">
        <v>1</v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일반원룸</t>
        </is>
      </c>
      <c r="F245" s="3" t="inlineStr">
        <is>
          <t>전세</t>
        </is>
      </c>
      <c r="G245" s="4" t="n">
        <v>4500</v>
      </c>
      <c r="H245" s="4" t="n">
        <v>0</v>
      </c>
      <c r="I245" s="4" t="n">
        <v>8</v>
      </c>
      <c r="J245" s="5" t="n">
        <v>562.5</v>
      </c>
      <c r="K245" s="4" t="n">
        <v>8</v>
      </c>
      <c r="L245" s="5" t="n">
        <v>562.5</v>
      </c>
      <c r="M245" s="3" t="inlineStr">
        <is>
          <t>남동향</t>
        </is>
      </c>
      <c r="N245" s="3" t="inlineStr">
        <is>
          <t>공과금 모두 포함하여 1달 15만원 추가비용없음</t>
        </is>
      </c>
      <c r="O245" s="6">
        <f>HYPERLINK("https://fin.land.naver.com/articles/2647185496", "매물Link")</f>
        <v/>
      </c>
      <c r="P245" s="6">
        <f>HYPERLINK("https://map.naver.com/p/search/조치원읍 신안리 389-8", "지도Link")</f>
        <v/>
      </c>
      <c r="Q245" s="3" t="inlineStr">
        <is>
          <t>부자터</t>
        </is>
      </c>
      <c r="R245" s="4" t="n">
        <v>1</v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</v>
      </c>
      <c r="H246" s="4" t="n">
        <v>38</v>
      </c>
      <c r="I246" s="4" t="n">
        <v>0</v>
      </c>
      <c r="J246" s="5" t="n">
        <v>0</v>
      </c>
      <c r="K246" s="4" t="n">
        <v>4</v>
      </c>
      <c r="L246" s="5" t="n">
        <v>9.5</v>
      </c>
      <c r="M246" s="3" t="inlineStr">
        <is>
          <t>서향</t>
        </is>
      </c>
      <c r="N246" s="3" t="inlineStr">
        <is>
          <t>출퇴근용으로 거주하기 좋은 저렴한 원룸단기가능모든공과금포함</t>
        </is>
      </c>
      <c r="O246" s="6">
        <f>HYPERLINK("https://fin.land.naver.com/articles/2647381579", "매물Link")</f>
        <v/>
      </c>
      <c r="P246" s="6">
        <f>HYPERLINK("https://map.naver.com/p/search/조치원읍 신안리 393-12", "지도Link")</f>
        <v/>
      </c>
      <c r="Q246" s="3" t="inlineStr">
        <is>
          <t>무지개</t>
        </is>
      </c>
      <c r="R246" s="4" t="n">
        <v>1</v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단독</t>
        </is>
      </c>
      <c r="F247" s="3" t="inlineStr">
        <is>
          <t>매매</t>
        </is>
      </c>
      <c r="G247" s="4" t="n">
        <v>90000</v>
      </c>
      <c r="H247" s="4" t="n">
        <v>0</v>
      </c>
      <c r="I247" s="4" t="n">
        <v>94</v>
      </c>
      <c r="J247" s="5" t="n">
        <v>957.4</v>
      </c>
      <c r="K247" s="4" t="n">
        <v>99</v>
      </c>
      <c r="L247" s="5" t="n">
        <v>909.1</v>
      </c>
      <c r="M247" s="3" t="inlineStr">
        <is>
          <t>남향</t>
        </is>
      </c>
      <c r="N247" s="3" t="inlineStr">
        <is>
          <t>수익률 10 년수익 5,145만원 원룸 통매매</t>
        </is>
      </c>
      <c r="O247" s="6">
        <f>HYPERLINK("https://fin.land.naver.com/articles/2648570400", "매물Link")</f>
        <v/>
      </c>
      <c r="P247" s="6">
        <f>HYPERLINK("https://map.naver.com/p/search/조치원읍 신안리 394-35", "지도Link")</f>
        <v/>
      </c>
      <c r="Q247" s="3" t="inlineStr">
        <is>
          <t>고래</t>
        </is>
      </c>
      <c r="R247" s="4" t="n">
        <v>1</v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다가구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87</v>
      </c>
      <c r="J248" s="5" t="n">
        <v>1149.4</v>
      </c>
      <c r="K248" s="4" t="n">
        <v>100</v>
      </c>
      <c r="L248" s="5" t="n">
        <v>1000</v>
      </c>
      <c r="M248" s="3" t="inlineStr">
        <is>
          <t>남향</t>
        </is>
      </c>
      <c r="N248" s="3" t="inlineStr">
        <is>
          <t>수익률8프로대,총세대수18가구,연세계약,공실없음</t>
        </is>
      </c>
      <c r="O248" s="6">
        <f>HYPERLINK("https://fin.land.naver.com/articles/2644625360", "매물Link")</f>
        <v/>
      </c>
      <c r="P248" s="6">
        <f>HYPERLINK("https://map.naver.com/p/search/조치원읍 신안리 394-38", "지도Link")</f>
        <v/>
      </c>
      <c r="Q248" s="3" t="inlineStr">
        <is>
          <t>오송올래</t>
        </is>
      </c>
      <c r="R248" s="4" t="n">
        <v>1</v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단독/다가구</t>
        </is>
      </c>
      <c r="E249" s="3" t="inlineStr">
        <is>
          <t>다가구</t>
        </is>
      </c>
      <c r="F249" s="3" t="inlineStr">
        <is>
          <t>매매</t>
        </is>
      </c>
      <c r="G249" s="4" t="n">
        <v>97000</v>
      </c>
      <c r="H249" s="4" t="n">
        <v>0</v>
      </c>
      <c r="I249" s="4" t="n">
        <v>76</v>
      </c>
      <c r="J249" s="5" t="n">
        <v>1276.3</v>
      </c>
      <c r="K249" s="4" t="n">
        <v>100</v>
      </c>
      <c r="L249" s="5" t="n">
        <v>970</v>
      </c>
      <c r="M249" s="3" t="inlineStr">
        <is>
          <t>남향</t>
        </is>
      </c>
      <c r="N249" s="3" t="inlineStr">
        <is>
          <t>수익율 최고 18세대, 연 9.5 프로 수익율,  관리상태 최상급</t>
        </is>
      </c>
      <c r="O249" s="6">
        <f>HYPERLINK("https://fin.land.naver.com/articles/2642995105", "매물Link")</f>
        <v/>
      </c>
      <c r="P249" s="6">
        <f>HYPERLINK("https://map.naver.com/p/search/조치원읍 신안리 394-8", "지도Link")</f>
        <v/>
      </c>
      <c r="Q249" s="3" t="inlineStr">
        <is>
          <t>기흥역미래</t>
        </is>
      </c>
      <c r="R249" s="4" t="n">
        <v>1</v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81</v>
      </c>
      <c r="J250" s="5" t="n">
        <v>604.9</v>
      </c>
      <c r="K250" s="4" t="n">
        <v>120</v>
      </c>
      <c r="L250" s="5" t="n">
        <v>408.3</v>
      </c>
      <c r="M250" s="3" t="inlineStr">
        <is>
          <t>서향</t>
        </is>
      </c>
      <c r="N250" s="3" t="inlineStr">
        <is>
          <t>홍대 후문 1분 거리로 선호하는 위치,수익률 좋고 투자 비용 낮음</t>
        </is>
      </c>
      <c r="O250" s="6">
        <f>HYPERLINK("https://fin.land.naver.com/articles/2643931071", "매물Link")</f>
        <v/>
      </c>
      <c r="P250" s="6">
        <f>HYPERLINK("https://map.naver.com/p/search/조치원읍 신안리 445-9", "지도Link")</f>
        <v/>
      </c>
      <c r="Q250" s="3" t="inlineStr">
        <is>
          <t>유정희</t>
        </is>
      </c>
      <c r="R250" s="4" t="n">
        <v>1</v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다가구</t>
        </is>
      </c>
      <c r="F251" s="3" t="inlineStr">
        <is>
          <t>매매</t>
        </is>
      </c>
      <c r="G251" s="4" t="n">
        <v>49000</v>
      </c>
      <c r="H251" s="4" t="n">
        <v>0</v>
      </c>
      <c r="I251" s="4" t="n">
        <v>81</v>
      </c>
      <c r="J251" s="5" t="n">
        <v>604.9</v>
      </c>
      <c r="K251" s="4" t="n">
        <v>120</v>
      </c>
      <c r="L251" s="5" t="n">
        <v>408.3</v>
      </c>
      <c r="M251" s="3" t="inlineStr">
        <is>
          <t>동향</t>
        </is>
      </c>
      <c r="N251" s="3" t="inlineStr">
        <is>
          <t>후문앞. 공실없는 원룸건물. 관리잘됨</t>
        </is>
      </c>
      <c r="O251" s="6">
        <f>HYPERLINK("https://fin.land.naver.com/articles/2644110570", "매물Link")</f>
        <v/>
      </c>
      <c r="P251" s="6">
        <f>HYPERLINK("https://map.naver.com/p/search/조치원읍 신안리 445-9", "지도Link")</f>
        <v/>
      </c>
      <c r="Q251" s="3" t="inlineStr">
        <is>
          <t>바다</t>
        </is>
      </c>
      <c r="R251" s="4" t="n">
        <v>1</v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단독/다가구</t>
        </is>
      </c>
      <c r="E252" s="3" t="inlineStr">
        <is>
          <t>다가구</t>
        </is>
      </c>
      <c r="F252" s="3" t="inlineStr">
        <is>
          <t>매매</t>
        </is>
      </c>
      <c r="G252" s="4" t="n">
        <v>49000</v>
      </c>
      <c r="H252" s="4" t="n">
        <v>0</v>
      </c>
      <c r="I252" s="4" t="n">
        <v>81</v>
      </c>
      <c r="J252" s="5" t="n">
        <v>604.9</v>
      </c>
      <c r="K252" s="4" t="n">
        <v>120</v>
      </c>
      <c r="L252" s="5" t="n">
        <v>408.3</v>
      </c>
      <c r="M252" s="3" t="inlineStr">
        <is>
          <t>동향</t>
        </is>
      </c>
      <c r="N252" s="3" t="inlineStr">
        <is>
          <t>홍익대학교 도보 2분거리, 임대놓기 좋은 위치, 공실없음</t>
        </is>
      </c>
      <c r="O252" s="6">
        <f>HYPERLINK("https://fin.land.naver.com/articles/2643121299", "매물Link")</f>
        <v/>
      </c>
      <c r="P252" s="6">
        <f>HYPERLINK("https://map.naver.com/p/search/조치원읍 신안리 445-9", "지도Link")</f>
        <v/>
      </c>
      <c r="Q252" s="3" t="inlineStr">
        <is>
          <t>세종공감</t>
        </is>
      </c>
      <c r="R252" s="4" t="n">
        <v>1</v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단독/다가구</t>
        </is>
      </c>
      <c r="E253" s="3" t="inlineStr">
        <is>
          <t>단독</t>
        </is>
      </c>
      <c r="F253" s="3" t="inlineStr">
        <is>
          <t>매매</t>
        </is>
      </c>
      <c r="G253" s="4" t="n">
        <v>15000</v>
      </c>
      <c r="H253" s="4" t="n">
        <v>0</v>
      </c>
      <c r="I253" s="4" t="n">
        <v>48</v>
      </c>
      <c r="J253" s="5" t="n">
        <v>312.5</v>
      </c>
      <c r="K253" s="4" t="n">
        <v>19</v>
      </c>
      <c r="L253" s="5" t="n">
        <v>789.5</v>
      </c>
      <c r="M253" s="3" t="inlineStr">
        <is>
          <t>남향</t>
        </is>
      </c>
      <c r="N253" s="3" t="inlineStr">
        <is>
          <t>단독주택 매매</t>
        </is>
      </c>
      <c r="O253" s="6">
        <f>HYPERLINK("https://fin.land.naver.com/articles/2643332906", "매물Link")</f>
        <v/>
      </c>
      <c r="P253" s="6">
        <f>HYPERLINK("https://map.naver.com/p/search/조치원읍 신흥리 20-8", "지도Link")</f>
        <v/>
      </c>
      <c r="Q253" s="3" t="inlineStr">
        <is>
          <t>세종베스트</t>
        </is>
      </c>
      <c r="R253" s="4" t="n">
        <v>1</v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86</v>
      </c>
      <c r="J254" s="5" t="n">
        <v>418.6</v>
      </c>
      <c r="K254" s="4" t="n">
        <v>22</v>
      </c>
      <c r="L254" s="5" t="n">
        <v>1636.4</v>
      </c>
      <c r="M254" s="3" t="inlineStr">
        <is>
          <t>남향</t>
        </is>
      </c>
      <c r="N254" s="3" t="inlineStr">
        <is>
          <t>신흥리 위치 좋은 곳 단독주택</t>
        </is>
      </c>
      <c r="O254" s="6">
        <f>HYPERLINK("https://fin.land.naver.com/articles/2647576467", "매물Link")</f>
        <v/>
      </c>
      <c r="P254" s="6">
        <f>HYPERLINK("https://map.naver.com/p/search/조치원읍 신흥리 26-1", "지도Link")</f>
        <v/>
      </c>
      <c r="Q254" s="3" t="inlineStr">
        <is>
          <t>KB세종</t>
        </is>
      </c>
      <c r="R254" s="4" t="n">
        <v>1</v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단독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104</v>
      </c>
      <c r="J255" s="5" t="n">
        <v>1057.7</v>
      </c>
      <c r="K255" s="4" t="n">
        <v>21</v>
      </c>
      <c r="L255" s="5" t="n">
        <v>5238.1</v>
      </c>
      <c r="M255" s="3" t="inlineStr">
        <is>
          <t>남향</t>
        </is>
      </c>
      <c r="N255" s="3" t="inlineStr">
        <is>
          <t>토지 가치가 돋보이는 주택입니다</t>
        </is>
      </c>
      <c r="O255" s="6">
        <f>HYPERLINK("https://fin.land.naver.com/articles/2647355842", "매물Link")</f>
        <v/>
      </c>
      <c r="P255" s="6">
        <f>HYPERLINK("https://map.naver.com/p/search/조치원읍 신흥리 63-10", "지도Link")</f>
        <v/>
      </c>
      <c r="Q255" s="3" t="inlineStr">
        <is>
          <t>캠퍼스</t>
        </is>
      </c>
      <c r="R255" s="4" t="n">
        <v>1</v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26000</v>
      </c>
      <c r="H256" s="4" t="n">
        <v>0</v>
      </c>
      <c r="I256" s="4" t="n">
        <v>13</v>
      </c>
      <c r="J256" s="5" t="n">
        <v>2000</v>
      </c>
      <c r="K256" s="4" t="n">
        <v>42</v>
      </c>
      <c r="L256" s="5" t="n">
        <v>619</v>
      </c>
      <c r="M256" s="3" t="inlineStr">
        <is>
          <t>동향</t>
        </is>
      </c>
      <c r="N256" s="3" t="inlineStr">
        <is>
          <t>소형 상가주택매매,장사하시면서 거주하시기 좋아요.</t>
        </is>
      </c>
      <c r="O256" s="6">
        <f>HYPERLINK("https://fin.land.naver.com/articles/2647881780", "매물Link")</f>
        <v/>
      </c>
      <c r="P256" s="6">
        <f>HYPERLINK("https://map.naver.com/p/search/조치원읍 원리 15-9", "지도Link")</f>
        <v/>
      </c>
      <c r="Q256" s="3" t="inlineStr">
        <is>
          <t>이음 사무소</t>
        </is>
      </c>
      <c r="R256" s="4" t="n">
        <v>1</v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26000</v>
      </c>
      <c r="H257" s="4" t="n">
        <v>0</v>
      </c>
      <c r="I257" s="4" t="n">
        <v>20</v>
      </c>
      <c r="J257" s="5" t="n">
        <v>1300</v>
      </c>
      <c r="K257" s="4" t="n">
        <v>42</v>
      </c>
      <c r="L257" s="5" t="n">
        <v>619</v>
      </c>
      <c r="M257" s="3" t="inlineStr">
        <is>
          <t>동향</t>
        </is>
      </c>
      <c r="N257" s="3" t="inlineStr">
        <is>
          <t>원리 서독안경원 골목 먹자골목내 자기상가하면서 거주하실분 추천</t>
        </is>
      </c>
      <c r="O257" s="6">
        <f>HYPERLINK("https://fin.land.naver.com/articles/2646830435", "매물Link")</f>
        <v/>
      </c>
      <c r="P257" s="6">
        <f>HYPERLINK("https://map.naver.com/p/search/조치원읍 원리 15-9", "지도Link")</f>
        <v/>
      </c>
      <c r="Q257" s="3" t="inlineStr">
        <is>
          <t>OK수</t>
        </is>
      </c>
      <c r="R257" s="4" t="n">
        <v>1</v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45</v>
      </c>
      <c r="J258" s="5" t="n">
        <v>2666.7</v>
      </c>
      <c r="K258" s="4" t="n">
        <v>109</v>
      </c>
      <c r="L258" s="5" t="n">
        <v>1100.9</v>
      </c>
      <c r="M258" s="3" t="inlineStr">
        <is>
          <t>남향</t>
        </is>
      </c>
      <c r="N258" s="3" t="inlineStr">
        <is>
          <t>조치원역 회전교차로 인근 최상위치</t>
        </is>
      </c>
      <c r="O258" s="6">
        <f>HYPERLINK("https://fin.land.naver.com/articles/2645226980", "매물Link")</f>
        <v/>
      </c>
      <c r="P258" s="6">
        <f>HYPERLINK("https://map.naver.com/p/search/조치원읍 원리 9-29", "지도Link")</f>
        <v/>
      </c>
      <c r="Q258" s="3" t="inlineStr">
        <is>
          <t>OK수</t>
        </is>
      </c>
      <c r="R258" s="4" t="n">
        <v>1</v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다가구</t>
        </is>
      </c>
      <c r="F259" s="3" t="inlineStr">
        <is>
          <t>전세</t>
        </is>
      </c>
      <c r="G259" s="4" t="n">
        <v>3000</v>
      </c>
      <c r="H259" s="4" t="n">
        <v>0</v>
      </c>
      <c r="I259" s="4" t="n">
        <v>9</v>
      </c>
      <c r="J259" s="5" t="n">
        <v>333.3</v>
      </c>
      <c r="K259" s="4" t="n">
        <v>7</v>
      </c>
      <c r="L259" s="5" t="n">
        <v>428.6</v>
      </c>
      <c r="M259" s="3" t="inlineStr">
        <is>
          <t>서향</t>
        </is>
      </c>
      <c r="N259" s="3" t="inlineStr">
        <is>
          <t>공실이라 즉시입주 가능한 분리형 원룸</t>
        </is>
      </c>
      <c r="O259" s="6">
        <f>HYPERLINK("https://fin.land.naver.com/articles/2642873641", "매물Link")</f>
        <v/>
      </c>
      <c r="P259" s="6">
        <f>HYPERLINK("https://map.naver.com/p/search/조치원읍 죽림리 206-2", "지도Link")</f>
        <v/>
      </c>
      <c r="Q259" s="3" t="inlineStr">
        <is>
          <t>KB세종</t>
        </is>
      </c>
      <c r="R259" s="4" t="n">
        <v>1</v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다가구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152</v>
      </c>
      <c r="J260" s="5" t="n">
        <v>855.3</v>
      </c>
      <c r="K260" s="4" t="n">
        <v>210</v>
      </c>
      <c r="L260" s="5" t="n">
        <v>619</v>
      </c>
      <c r="M260" s="3" t="inlineStr">
        <is>
          <t>남서향</t>
        </is>
      </c>
      <c r="N260" s="3" t="inlineStr">
        <is>
          <t>nan</t>
        </is>
      </c>
      <c r="O260" s="6">
        <f>HYPERLINK("https://fin.land.naver.com/articles/2645781590", "매물Link")</f>
        <v/>
      </c>
      <c r="P260" s="6">
        <f>HYPERLINK("https://map.naver.com/p/search/조치원읍 죽림리 338-2", "지도Link")</f>
        <v/>
      </c>
      <c r="Q260" s="3" t="inlineStr">
        <is>
          <t>척척</t>
        </is>
      </c>
      <c r="R260" s="4" t="n">
        <v>1</v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160000</v>
      </c>
      <c r="H261" s="4" t="n">
        <v>0</v>
      </c>
      <c r="I261" s="4" t="n">
        <v>152</v>
      </c>
      <c r="J261" s="5" t="n">
        <v>1052.6</v>
      </c>
      <c r="K261" s="4" t="n">
        <v>210</v>
      </c>
      <c r="L261" s="5" t="n">
        <v>761.9</v>
      </c>
      <c r="M261" s="3" t="inlineStr">
        <is>
          <t>동향</t>
        </is>
      </c>
      <c r="N261" s="3" t="inlineStr">
        <is>
          <t>o몽땅o수익률9프로</t>
        </is>
      </c>
      <c r="O261" s="6">
        <f>HYPERLINK("https://fin.land.naver.com/articles/2644377680", "매물Link")</f>
        <v/>
      </c>
      <c r="P261" s="6">
        <f>HYPERLINK("https://map.naver.com/p/search/조치원읍 죽림리 338-2", "지도Link")</f>
        <v/>
      </c>
      <c r="Q261" s="3" t="inlineStr">
        <is>
          <t>세종몽땅</t>
        </is>
      </c>
      <c r="R261" s="4" t="n">
        <v>1</v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단독</t>
        </is>
      </c>
      <c r="F262" s="3" t="inlineStr">
        <is>
          <t>매매</t>
        </is>
      </c>
      <c r="G262" s="4" t="n">
        <v>58000</v>
      </c>
      <c r="H262" s="4" t="n">
        <v>0</v>
      </c>
      <c r="I262" s="4" t="n">
        <v>68</v>
      </c>
      <c r="J262" s="5" t="n">
        <v>852.9</v>
      </c>
      <c r="K262" s="4" t="n">
        <v>55</v>
      </c>
      <c r="L262" s="5" t="n">
        <v>1054.5</v>
      </c>
      <c r="M262" s="3" t="inlineStr">
        <is>
          <t>남동향</t>
        </is>
      </c>
      <c r="N262" s="3" t="inlineStr">
        <is>
          <t>nan</t>
        </is>
      </c>
      <c r="O262" s="6">
        <f>HYPERLINK("https://fin.land.naver.com/articles/2643775652", "매물Link")</f>
        <v/>
      </c>
      <c r="P262" s="6">
        <f>HYPERLINK("https://map.naver.com/p/search/조치원읍 침산리 111-12", "지도Link")</f>
        <v/>
      </c>
      <c r="Q262" s="3" t="inlineStr">
        <is>
          <t>세종스타</t>
        </is>
      </c>
      <c r="R262" s="4" t="n">
        <v>1</v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단독</t>
        </is>
      </c>
      <c r="F263" s="3" t="inlineStr">
        <is>
          <t>매매</t>
        </is>
      </c>
      <c r="G263" s="4" t="n">
        <v>6500</v>
      </c>
      <c r="H263" s="4" t="n">
        <v>0</v>
      </c>
      <c r="I263" s="4" t="n">
        <v>43</v>
      </c>
      <c r="J263" s="5" t="n">
        <v>151.2</v>
      </c>
      <c r="K263" s="4" t="n">
        <v>13</v>
      </c>
      <c r="L263" s="5" t="n">
        <v>500</v>
      </c>
      <c r="M263" s="3" t="inlineStr">
        <is>
          <t>남동향</t>
        </is>
      </c>
      <c r="N263" s="3" t="inlineStr">
        <is>
          <t>nan</t>
        </is>
      </c>
      <c r="O263" s="6">
        <f>HYPERLINK("https://fin.land.naver.com/articles/2647881030", "매물Link")</f>
        <v/>
      </c>
      <c r="P263" s="6">
        <f>HYPERLINK("https://map.naver.com/p/search/조치원읍 침산리 130-20", "지도Link")</f>
        <v/>
      </c>
      <c r="Q263" s="3" t="inlineStr">
        <is>
          <t>새둥지</t>
        </is>
      </c>
      <c r="R263" s="4" t="n">
        <v>1</v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단독</t>
        </is>
      </c>
      <c r="F264" s="3" t="inlineStr">
        <is>
          <t>매매</t>
        </is>
      </c>
      <c r="G264" s="4" t="n">
        <v>8300</v>
      </c>
      <c r="H264" s="4" t="n">
        <v>0</v>
      </c>
      <c r="I264" s="4" t="n">
        <v>25</v>
      </c>
      <c r="J264" s="5" t="n">
        <v>332</v>
      </c>
      <c r="K264" s="4" t="n">
        <v>9</v>
      </c>
      <c r="L264" s="5" t="n">
        <v>922.2</v>
      </c>
      <c r="M264" s="3" t="inlineStr">
        <is>
          <t>북향</t>
        </is>
      </c>
      <c r="N264" s="3" t="inlineStr">
        <is>
          <t>급매</t>
        </is>
      </c>
      <c r="O264" s="6">
        <f>HYPERLINK("https://fin.land.naver.com/articles/2643972920", "매물Link")</f>
        <v/>
      </c>
      <c r="P264" s="6">
        <f>HYPERLINK("https://map.naver.com/p/search/조치원읍 침산리 131-7", "지도Link")</f>
        <v/>
      </c>
      <c r="Q264" s="3" t="inlineStr">
        <is>
          <t>진황금</t>
        </is>
      </c>
      <c r="R264" s="4" t="n">
        <v>1</v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23</v>
      </c>
      <c r="I265" s="4" t="n">
        <v>10</v>
      </c>
      <c r="J265" s="5" t="n">
        <v>2.3</v>
      </c>
      <c r="K265" s="4" t="n">
        <v>5</v>
      </c>
      <c r="L265" s="5" t="n">
        <v>4.6</v>
      </c>
      <c r="M265" s="3" t="inlineStr">
        <is>
          <t>동향</t>
        </is>
      </c>
      <c r="N265" s="3" t="inlineStr">
        <is>
          <t>뉴리모델링O조치원역부근O모두새것O햇살가득</t>
        </is>
      </c>
      <c r="O265" s="6">
        <f>HYPERLINK("https://fin.land.naver.com/articles/2646886305", "매물Link")</f>
        <v/>
      </c>
      <c r="P265" s="6">
        <f>HYPERLINK("https://map.naver.com/p/search/조치원읍 침산리 132-2", "지도Link")</f>
        <v/>
      </c>
      <c r="Q265" s="3" t="inlineStr">
        <is>
          <t>척척</t>
        </is>
      </c>
      <c r="R265" s="4" t="n">
        <v>1</v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52000</v>
      </c>
      <c r="H266" s="4" t="n">
        <v>0</v>
      </c>
      <c r="I266" s="4" t="n">
        <v>39</v>
      </c>
      <c r="J266" s="5" t="n">
        <v>1333.3</v>
      </c>
      <c r="K266" s="4" t="n">
        <v>44</v>
      </c>
      <c r="L266" s="5" t="n">
        <v>1181.8</v>
      </c>
      <c r="M266" s="3" t="inlineStr">
        <is>
          <t>남향</t>
        </is>
      </c>
      <c r="N266" s="3" t="inlineStr">
        <is>
          <t>조치원역 서쪽 4차선 도로접함 1층 상가 2층 주택이용하실분 추천</t>
        </is>
      </c>
      <c r="O266" s="6">
        <f>HYPERLINK("https://fin.land.naver.com/articles/2646832247", "매물Link")</f>
        <v/>
      </c>
      <c r="P266" s="6">
        <f>HYPERLINK("https://map.naver.com/p/search/조치원읍 침산리 144-9", "지도Link")</f>
        <v/>
      </c>
      <c r="Q266" s="3" t="inlineStr">
        <is>
          <t>OK수</t>
        </is>
      </c>
      <c r="R266" s="4" t="n">
        <v>2</v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빌라</t>
        </is>
      </c>
      <c r="F267" s="3" t="inlineStr">
        <is>
          <t>매매</t>
        </is>
      </c>
      <c r="G267" s="4" t="n">
        <v>7000</v>
      </c>
      <c r="H267" s="4" t="n">
        <v>0</v>
      </c>
      <c r="I267" s="4" t="n">
        <v>12</v>
      </c>
      <c r="J267" s="5" t="n">
        <v>583.3</v>
      </c>
      <c r="K267" s="4" t="n">
        <v>11</v>
      </c>
      <c r="L267" s="5" t="n">
        <v>636.4</v>
      </c>
      <c r="M267" s="3" t="inlineStr">
        <is>
          <t>남향</t>
        </is>
      </c>
      <c r="N267" s="3" t="inlineStr">
        <is>
          <t>nan</t>
        </is>
      </c>
      <c r="O267" s="6">
        <f>HYPERLINK("https://fin.land.naver.com/articles/2643973914", "매물Link")</f>
        <v/>
      </c>
      <c r="P267" s="6">
        <f>HYPERLINK("https://map.naver.com/p/search/조치원읍 침산리 148", "지도Link")</f>
        <v/>
      </c>
      <c r="Q267" s="3" t="inlineStr">
        <is>
          <t>진황금</t>
        </is>
      </c>
      <c r="R267" s="4" t="n">
        <v>1</v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빌라</t>
        </is>
      </c>
      <c r="F268" s="3" t="inlineStr">
        <is>
          <t>전세</t>
        </is>
      </c>
      <c r="G268" s="4" t="n">
        <v>6800</v>
      </c>
      <c r="H268" s="4" t="n">
        <v>0</v>
      </c>
      <c r="I268" s="4" t="n">
        <v>23</v>
      </c>
      <c r="J268" s="5" t="n">
        <v>295.7</v>
      </c>
      <c r="K268" s="4" t="n">
        <v>23</v>
      </c>
      <c r="L268" s="5" t="n">
        <v>295.7</v>
      </c>
      <c r="M268" s="3" t="inlineStr">
        <is>
          <t>남향</t>
        </is>
      </c>
      <c r="N268" s="3" t="inlineStr">
        <is>
          <t>공실,귀한 전세,보증보험가능,방이 큰 빌라</t>
        </is>
      </c>
      <c r="O268" s="6">
        <f>HYPERLINK("https://fin.land.naver.com/articles/2645805671", "매물Link")</f>
        <v/>
      </c>
      <c r="P268" s="6">
        <f>HYPERLINK("https://map.naver.com/p/search/조치원읍 침산리 148-3", "지도Link")</f>
        <v/>
      </c>
      <c r="Q268" s="3" t="inlineStr">
        <is>
          <t>이천하이닉스사무소</t>
        </is>
      </c>
      <c r="R268" s="4" t="n">
        <v>1</v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빌라</t>
        </is>
      </c>
      <c r="F269" s="3" t="inlineStr">
        <is>
          <t>매매</t>
        </is>
      </c>
      <c r="G269" s="4" t="n">
        <v>7000</v>
      </c>
      <c r="H269" s="4" t="n">
        <v>0</v>
      </c>
      <c r="I269" s="4" t="n">
        <v>23</v>
      </c>
      <c r="J269" s="5" t="n">
        <v>304.3</v>
      </c>
      <c r="K269" s="4" t="n">
        <v>23</v>
      </c>
      <c r="L269" s="5" t="n">
        <v>304.3</v>
      </c>
      <c r="M269" s="3" t="inlineStr">
        <is>
          <t>남향</t>
        </is>
      </c>
      <c r="N269" s="3" t="inlineStr">
        <is>
          <t>공실,역세권 빌라,막히지 않은 조망,방이 큰 빌라</t>
        </is>
      </c>
      <c r="O269" s="6">
        <f>HYPERLINK("https://fin.land.naver.com/articles/2647281789", "매물Link")</f>
        <v/>
      </c>
      <c r="P269" s="6">
        <f>HYPERLINK("https://map.naver.com/p/search/조치원읍 침산리 148-3", "지도Link")</f>
        <v/>
      </c>
      <c r="Q269" s="3" t="inlineStr">
        <is>
          <t>이천하이닉스사무소</t>
        </is>
      </c>
      <c r="R269" s="4" t="n">
        <v>1</v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55</v>
      </c>
      <c r="I270" s="4" t="n">
        <v>39</v>
      </c>
      <c r="J270" s="5" t="n">
        <v>1.4</v>
      </c>
      <c r="K270" s="4" t="n">
        <v>12</v>
      </c>
      <c r="L270" s="5" t="n">
        <v>4.6</v>
      </c>
      <c r="M270" s="3" t="inlineStr">
        <is>
          <t>북동향</t>
        </is>
      </c>
      <c r="N270" s="3" t="inlineStr">
        <is>
          <t>nan</t>
        </is>
      </c>
      <c r="O270" s="6">
        <f>HYPERLINK("https://fin.land.naver.com/articles/2647831340", "매물Link")</f>
        <v/>
      </c>
      <c r="P270" s="6">
        <f>HYPERLINK("https://map.naver.com/p/search/조치원읍 침산리 251-6", "지도Link")</f>
        <v/>
      </c>
      <c r="Q270" s="3" t="inlineStr">
        <is>
          <t>한뜰금빛</t>
        </is>
      </c>
      <c r="R270" s="4" t="n">
        <v>1</v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다가구</t>
        </is>
      </c>
      <c r="F271" s="3" t="inlineStr">
        <is>
          <t>월세</t>
        </is>
      </c>
      <c r="G271" s="4" t="n">
        <v>300</v>
      </c>
      <c r="H271" s="4" t="n">
        <v>50</v>
      </c>
      <c r="I271" s="4" t="n">
        <v>39</v>
      </c>
      <c r="J271" s="5" t="n">
        <v>1.3</v>
      </c>
      <c r="K271" s="4" t="n">
        <v>9</v>
      </c>
      <c r="L271" s="5" t="n">
        <v>5.6</v>
      </c>
      <c r="M271" s="3" t="inlineStr">
        <is>
          <t>북향</t>
        </is>
      </c>
      <c r="N271" s="3" t="inlineStr">
        <is>
          <t>투룸 방2 월세</t>
        </is>
      </c>
      <c r="O271" s="6">
        <f>HYPERLINK("https://fin.land.naver.com/articles/2647861513", "매물Link")</f>
        <v/>
      </c>
      <c r="P271" s="6">
        <f>HYPERLINK("https://map.naver.com/p/search/조치원읍 침산리 251-6", "지도Link")</f>
        <v/>
      </c>
      <c r="Q271" s="3" t="inlineStr">
        <is>
          <t>김준희</t>
        </is>
      </c>
      <c r="R271" s="4" t="n">
        <v>1</v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55</v>
      </c>
      <c r="I272" s="4" t="n">
        <v>12</v>
      </c>
      <c r="J272" s="5" t="n">
        <v>4.6</v>
      </c>
      <c r="K272" s="4" t="n">
        <v>12</v>
      </c>
      <c r="L272" s="5" t="n">
        <v>4.6</v>
      </c>
      <c r="M272" s="3" t="inlineStr">
        <is>
          <t>북향</t>
        </is>
      </c>
      <c r="N272" s="3" t="inlineStr">
        <is>
          <t>침산리 투룸 월세 고려대 인접 상권 인프라 완벽한 화성타운</t>
        </is>
      </c>
      <c r="O272" s="6">
        <f>HYPERLINK("https://fin.land.naver.com/articles/2647479834", "매물Link")</f>
        <v/>
      </c>
      <c r="P272" s="6">
        <f>HYPERLINK("https://map.naver.com/p/search/조치원읍 침산리 251-6", "지도Link")</f>
        <v/>
      </c>
      <c r="Q272" s="3" t="inlineStr">
        <is>
          <t>번암주공</t>
        </is>
      </c>
      <c r="R272" s="4" t="n">
        <v>1</v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0</v>
      </c>
      <c r="J273" s="5" t="n">
        <v>0</v>
      </c>
      <c r="K273" s="4" t="n">
        <v>8</v>
      </c>
      <c r="L273" s="5" t="n">
        <v>6</v>
      </c>
      <c r="M273" s="3" t="inlineStr">
        <is>
          <t>서향</t>
        </is>
      </c>
      <c r="N273" s="3" t="inlineStr">
        <is>
          <t>큰방2개 2룸</t>
        </is>
      </c>
      <c r="O273" s="6">
        <f>HYPERLINK("https://fin.land.naver.com/articles/2648310277", "매물Link")</f>
        <v/>
      </c>
      <c r="P273" s="6">
        <f>HYPERLINK("https://map.naver.com/p/search/조치원읍 침산리 251-6", "지도Link")</f>
        <v/>
      </c>
      <c r="Q273" s="3" t="inlineStr">
        <is>
          <t>척척</t>
        </is>
      </c>
      <c r="R273" s="4" t="n">
        <v>1</v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45</v>
      </c>
      <c r="I274" s="4" t="n">
        <v>0</v>
      </c>
      <c r="J274" s="5" t="n">
        <v>0</v>
      </c>
      <c r="K274" s="4" t="n">
        <v>8</v>
      </c>
      <c r="L274" s="5" t="n">
        <v>5.6</v>
      </c>
      <c r="M274" s="3" t="inlineStr">
        <is>
          <t>서향</t>
        </is>
      </c>
      <c r="N274" s="3" t="inlineStr">
        <is>
          <t>큰방2개 2룸</t>
        </is>
      </c>
      <c r="O274" s="6">
        <f>HYPERLINK("https://fin.land.naver.com/articles/2648309224", "매물Link")</f>
        <v/>
      </c>
      <c r="P274" s="6">
        <f>HYPERLINK("https://map.naver.com/p/search/조치원읍 침산리 251-6", "지도Link")</f>
        <v/>
      </c>
      <c r="Q274" s="3" t="inlineStr">
        <is>
          <t>척척</t>
        </is>
      </c>
      <c r="R274" s="4" t="n">
        <v>1</v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다가구</t>
        </is>
      </c>
      <c r="F275" s="3" t="inlineStr">
        <is>
          <t>월세</t>
        </is>
      </c>
      <c r="G275" s="4" t="n">
        <v>500</v>
      </c>
      <c r="H275" s="4" t="n">
        <v>55</v>
      </c>
      <c r="I275" s="4" t="n">
        <v>14</v>
      </c>
      <c r="J275" s="5" t="n">
        <v>3.9</v>
      </c>
      <c r="K275" s="4" t="n">
        <v>12</v>
      </c>
      <c r="L275" s="5" t="n">
        <v>4.6</v>
      </c>
      <c r="M275" s="3" t="inlineStr">
        <is>
          <t>남향</t>
        </is>
      </c>
      <c r="N275" s="3" t="inlineStr">
        <is>
          <t>2개.귀한투룸.상권좋고. 즉시입주가능</t>
        </is>
      </c>
      <c r="O275" s="6">
        <f>HYPERLINK("https://fin.land.naver.com/articles/2646624768", "매물Link")</f>
        <v/>
      </c>
      <c r="P275" s="6">
        <f>HYPERLINK("https://map.naver.com/p/search/조치원읍 침산리 258-1", "지도Link")</f>
        <v/>
      </c>
      <c r="Q275" s="3" t="inlineStr">
        <is>
          <t>척척</t>
        </is>
      </c>
      <c r="R275" s="4" t="n">
        <v>1</v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28</v>
      </c>
      <c r="I276" s="4" t="n">
        <v>0</v>
      </c>
      <c r="J276" s="5" t="n">
        <v>0</v>
      </c>
      <c r="K276" s="4" t="n">
        <v>7</v>
      </c>
      <c r="L276" s="5" t="n">
        <v>4</v>
      </c>
      <c r="M276" s="3" t="inlineStr">
        <is>
          <t>동향</t>
        </is>
      </c>
      <c r="N276" s="3" t="inlineStr">
        <is>
          <t>nan</t>
        </is>
      </c>
      <c r="O276" s="6">
        <f>HYPERLINK("https://fin.land.naver.com/articles/2648302133", "매물Link")</f>
        <v/>
      </c>
      <c r="P276" s="6">
        <f>HYPERLINK("https://map.naver.com/p/search/조치원읍 침산리 265-11", "지도Link")</f>
        <v/>
      </c>
      <c r="Q276" s="3" t="inlineStr">
        <is>
          <t>척척</t>
        </is>
      </c>
      <c r="R276" s="4" t="n">
        <v>1</v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9</v>
      </c>
      <c r="J277" s="5" t="n">
        <v>4.4</v>
      </c>
      <c r="K277" s="4" t="n">
        <v>9</v>
      </c>
      <c r="L277" s="5" t="n">
        <v>4.4</v>
      </c>
      <c r="M277" s="3" t="inlineStr">
        <is>
          <t>동향</t>
        </is>
      </c>
      <c r="N277" s="3" t="inlineStr">
        <is>
          <t>투베이 분리형 이사협의</t>
        </is>
      </c>
      <c r="O277" s="6">
        <f>HYPERLINK("https://fin.land.naver.com/articles/2648493335", "매물Link")</f>
        <v/>
      </c>
      <c r="P277" s="6">
        <f>HYPERLINK("https://map.naver.com/p/search/조치원읍 침산리 265-9", "지도Link")</f>
        <v/>
      </c>
      <c r="Q277" s="3" t="inlineStr">
        <is>
          <t>김준희</t>
        </is>
      </c>
      <c r="R277" s="4" t="n">
        <v>1</v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0</v>
      </c>
      <c r="J278" s="5" t="n">
        <v>0</v>
      </c>
      <c r="K278" s="4" t="n">
        <v>7</v>
      </c>
      <c r="L278" s="5" t="n">
        <v>4.3</v>
      </c>
      <c r="M278" s="3" t="inlineStr">
        <is>
          <t>동향</t>
        </is>
      </c>
      <c r="N278" s="3" t="inlineStr">
        <is>
          <t>투베이 사이즈 넓은방</t>
        </is>
      </c>
      <c r="O278" s="6">
        <f>HYPERLINK("https://fin.land.naver.com/articles/2648303645", "매물Link")</f>
        <v/>
      </c>
      <c r="P278" s="6">
        <f>HYPERLINK("https://map.naver.com/p/search/조치원읍 침산리 266-12", "지도Link")</f>
        <v/>
      </c>
      <c r="Q278" s="3" t="inlineStr">
        <is>
          <t>척척</t>
        </is>
      </c>
      <c r="R278" s="4" t="n">
        <v>1</v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41</v>
      </c>
      <c r="J279" s="5" t="n">
        <v>0.7</v>
      </c>
      <c r="K279" s="4" t="n">
        <v>7</v>
      </c>
      <c r="L279" s="5" t="n">
        <v>4.3</v>
      </c>
      <c r="M279" s="3" t="inlineStr">
        <is>
          <t>남향</t>
        </is>
      </c>
      <c r="N279" s="3" t="inlineStr">
        <is>
          <t>침산리 원룸 월세</t>
        </is>
      </c>
      <c r="O279" s="6">
        <f>HYPERLINK("https://fin.land.naver.com/articles/2648313053", "매물Link")</f>
        <v/>
      </c>
      <c r="P279" s="6">
        <f>HYPERLINK("https://map.naver.com/p/search/조치원읍 침산리 266-12", "지도Link")</f>
        <v/>
      </c>
      <c r="Q279" s="3" t="inlineStr">
        <is>
          <t>김준희</t>
        </is>
      </c>
      <c r="R279" s="4" t="n">
        <v>1</v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30</v>
      </c>
      <c r="I280" s="4" t="n">
        <v>7</v>
      </c>
      <c r="J280" s="5" t="n">
        <v>4.3</v>
      </c>
      <c r="K280" s="4" t="n">
        <v>7</v>
      </c>
      <c r="L280" s="5" t="n">
        <v>4.3</v>
      </c>
      <c r="M280" s="3" t="inlineStr">
        <is>
          <t>북향</t>
        </is>
      </c>
      <c r="N280" s="3" t="inlineStr">
        <is>
          <t>침산리 원룸 월세 보100 월30 관리비10</t>
        </is>
      </c>
      <c r="O280" s="6">
        <f>HYPERLINK("https://fin.land.naver.com/articles/2647838658", "매물Link")</f>
        <v/>
      </c>
      <c r="P280" s="6">
        <f>HYPERLINK("https://map.naver.com/p/search/조치원읍 침산리 267-11", "지도Link")</f>
        <v/>
      </c>
      <c r="Q280" s="3" t="inlineStr">
        <is>
          <t>김준희</t>
        </is>
      </c>
      <c r="R280" s="4" t="n">
        <v>1</v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500</v>
      </c>
      <c r="H281" s="4" t="n">
        <v>55</v>
      </c>
      <c r="I281" s="4" t="n">
        <v>15</v>
      </c>
      <c r="J281" s="5" t="n">
        <v>3.7</v>
      </c>
      <c r="K281" s="4" t="n">
        <v>13</v>
      </c>
      <c r="L281" s="5" t="n">
        <v>4.2</v>
      </c>
      <c r="M281" s="3" t="inlineStr">
        <is>
          <t>남향</t>
        </is>
      </c>
      <c r="N281" s="3" t="inlineStr">
        <is>
          <t>아주큰투룸.상권A급.에어컨2욕실2옵션.</t>
        </is>
      </c>
      <c r="O281" s="6">
        <f>HYPERLINK("https://fin.land.naver.com/articles/2647473993", "매물Link")</f>
        <v/>
      </c>
      <c r="P281" s="6">
        <f>HYPERLINK("https://map.naver.com/p/search/조치원읍 침산리 267-11", "지도Link")</f>
        <v/>
      </c>
      <c r="Q281" s="3" t="inlineStr">
        <is>
          <t>척척</t>
        </is>
      </c>
      <c r="R281" s="4" t="n">
        <v>1</v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5" t="n">
        <v>0</v>
      </c>
      <c r="K282" s="4" t="n">
        <v>7</v>
      </c>
      <c r="L282" s="5" t="n">
        <v>4.3</v>
      </c>
      <c r="M282" s="3" t="inlineStr">
        <is>
          <t>남서향</t>
        </is>
      </c>
      <c r="N282" s="3" t="inlineStr">
        <is>
          <t>욱일앞 생활편의 시설 좋은 위치</t>
        </is>
      </c>
      <c r="O282" s="6">
        <f>HYPERLINK("https://fin.land.naver.com/articles/2648305935", "매물Link")</f>
        <v/>
      </c>
      <c r="P282" s="6">
        <f>HYPERLINK("https://map.naver.com/p/search/조치원읍 침산리 267-11", "지도Link")</f>
        <v/>
      </c>
      <c r="Q282" s="3" t="inlineStr">
        <is>
          <t>척척</t>
        </is>
      </c>
      <c r="R282" s="4" t="n">
        <v>1</v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32</v>
      </c>
      <c r="I283" s="4" t="n">
        <v>0</v>
      </c>
      <c r="J283" s="5" t="n">
        <v>0</v>
      </c>
      <c r="K283" s="4" t="n">
        <v>8</v>
      </c>
      <c r="L283" s="5" t="n">
        <v>4</v>
      </c>
      <c r="M283" s="3" t="inlineStr">
        <is>
          <t>동향</t>
        </is>
      </c>
      <c r="N283" s="3" t="inlineStr">
        <is>
          <t>넓고 깔끔한 풀옵션 완비방  엘베는기본  주방분리  짐만 가져오세요</t>
        </is>
      </c>
      <c r="O283" s="6">
        <f>HYPERLINK("https://fin.land.naver.com/articles/2648333716", "매물Link")</f>
        <v/>
      </c>
      <c r="P283" s="6">
        <f>HYPERLINK("https://map.naver.com/p/search/조치원읍 침산리 267-7", "지도Link")</f>
        <v/>
      </c>
      <c r="Q283" s="3" t="inlineStr">
        <is>
          <t>연서으뜸</t>
        </is>
      </c>
      <c r="R283" s="4" t="n">
        <v>1</v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다가구</t>
        </is>
      </c>
      <c r="F284" s="3" t="inlineStr">
        <is>
          <t>매매</t>
        </is>
      </c>
      <c r="G284" s="4" t="n">
        <v>93000</v>
      </c>
      <c r="H284" s="4" t="n">
        <v>0</v>
      </c>
      <c r="I284" s="4" t="n">
        <v>69</v>
      </c>
      <c r="J284" s="5" t="n">
        <v>1347.8</v>
      </c>
      <c r="K284" s="4" t="n">
        <v>112</v>
      </c>
      <c r="L284" s="5" t="n">
        <v>830.4</v>
      </c>
      <c r="M284" s="3" t="inlineStr">
        <is>
          <t>동향</t>
        </is>
      </c>
      <c r="N284" s="3" t="inlineStr">
        <is>
          <t>Point연수익률 5프로 이상,공실 없음, 계약잘되는 입지,필로티 구조</t>
        </is>
      </c>
      <c r="O284" s="6">
        <f>HYPERLINK("https://fin.land.naver.com/articles/2642688790", "매물Link")</f>
        <v/>
      </c>
      <c r="P284" s="6">
        <f>HYPERLINK("https://map.naver.com/p/search/조치원읍 침산리 277-15", "지도Link")</f>
        <v/>
      </c>
      <c r="Q284" s="3" t="inlineStr">
        <is>
          <t>도마호반</t>
        </is>
      </c>
      <c r="R284" s="4" t="n">
        <v>1</v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다가구</t>
        </is>
      </c>
      <c r="F285" s="3" t="inlineStr">
        <is>
          <t>매매</t>
        </is>
      </c>
      <c r="G285" s="4" t="n">
        <v>93000</v>
      </c>
      <c r="H285" s="4" t="n">
        <v>0</v>
      </c>
      <c r="I285" s="4" t="n">
        <v>69</v>
      </c>
      <c r="J285" s="5" t="n">
        <v>1347.8</v>
      </c>
      <c r="K285" s="4" t="n">
        <v>112</v>
      </c>
      <c r="L285" s="5" t="n">
        <v>830.4</v>
      </c>
      <c r="M285" s="3" t="inlineStr">
        <is>
          <t>동향</t>
        </is>
      </c>
      <c r="N285" s="3" t="inlineStr">
        <is>
          <t>관리잘됨. 공실 걱정 없는 곳. 역5분</t>
        </is>
      </c>
      <c r="O285" s="6">
        <f>HYPERLINK("https://fin.land.naver.com/articles/2644120482", "매물Link")</f>
        <v/>
      </c>
      <c r="P285" s="6">
        <f>HYPERLINK("https://map.naver.com/p/search/조치원읍 침산리 277-15", "지도Link")</f>
        <v/>
      </c>
      <c r="Q285" s="3" t="inlineStr">
        <is>
          <t>바다</t>
        </is>
      </c>
      <c r="R285" s="4" t="n">
        <v>1</v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31</v>
      </c>
      <c r="I286" s="4" t="n">
        <v>8</v>
      </c>
      <c r="J286" s="5" t="n">
        <v>3.9</v>
      </c>
      <c r="K286" s="4" t="n">
        <v>8</v>
      </c>
      <c r="L286" s="5" t="n">
        <v>3.9</v>
      </c>
      <c r="M286" s="3" t="inlineStr">
        <is>
          <t>북향</t>
        </is>
      </c>
      <c r="N286" s="3" t="inlineStr">
        <is>
          <t>분리형원룸.즉시입주가능.</t>
        </is>
      </c>
      <c r="O286" s="6">
        <f>HYPERLINK("https://fin.land.naver.com/articles/2646875981", "매물Link")</f>
        <v/>
      </c>
      <c r="P286" s="6">
        <f>HYPERLINK("https://map.naver.com/p/search/조치원읍 침산리 277-15", "지도Link")</f>
        <v/>
      </c>
      <c r="Q286" s="3" t="inlineStr">
        <is>
          <t>이음</t>
        </is>
      </c>
      <c r="R286" s="4" t="n">
        <v>1</v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다가구</t>
        </is>
      </c>
      <c r="F287" s="3" t="inlineStr">
        <is>
          <t>매매</t>
        </is>
      </c>
      <c r="G287" s="4" t="n">
        <v>110000</v>
      </c>
      <c r="H287" s="4" t="n">
        <v>0</v>
      </c>
      <c r="I287" s="4" t="n">
        <v>78</v>
      </c>
      <c r="J287" s="5" t="n">
        <v>1410.3</v>
      </c>
      <c r="K287" s="4" t="n">
        <v>139</v>
      </c>
      <c r="L287" s="5" t="n">
        <v>791.4</v>
      </c>
      <c r="M287" s="3" t="inlineStr">
        <is>
          <t>남서향</t>
        </is>
      </c>
      <c r="N287" s="3" t="inlineStr">
        <is>
          <t>nan</t>
        </is>
      </c>
      <c r="O287" s="6">
        <f>HYPERLINK("https://fin.land.naver.com/articles/2645776356", "매물Link")</f>
        <v/>
      </c>
      <c r="P287" s="6">
        <f>HYPERLINK("https://map.naver.com/p/search/조치원읍 침산리 278-11", "지도Link")</f>
        <v/>
      </c>
      <c r="Q287" s="3" t="inlineStr">
        <is>
          <t>척척</t>
        </is>
      </c>
      <c r="R287" s="4" t="n">
        <v>1</v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2000</v>
      </c>
      <c r="H288" s="4" t="n">
        <v>20</v>
      </c>
      <c r="I288" s="4" t="n">
        <v>13</v>
      </c>
      <c r="J288" s="5" t="n">
        <v>1.5</v>
      </c>
      <c r="K288" s="4" t="n">
        <v>10</v>
      </c>
      <c r="L288" s="5" t="n">
        <v>2</v>
      </c>
      <c r="M288" s="3" t="inlineStr">
        <is>
          <t>남서향</t>
        </is>
      </c>
      <c r="N288" s="3" t="inlineStr">
        <is>
          <t>깔끔하고 귀한 1.5룸 월세</t>
        </is>
      </c>
      <c r="O288" s="6">
        <f>HYPERLINK("https://fin.land.naver.com/articles/2647996905", "매물Link")</f>
        <v/>
      </c>
      <c r="P288" s="6">
        <f>HYPERLINK("https://map.naver.com/p/search/조치원읍 침산리 278-11", "지도Link")</f>
        <v/>
      </c>
      <c r="Q288" s="3" t="inlineStr">
        <is>
          <t>척척</t>
        </is>
      </c>
      <c r="R288" s="4" t="n">
        <v>1</v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95</v>
      </c>
      <c r="J289" s="5" t="n">
        <v>1157.9</v>
      </c>
      <c r="K289" s="4" t="n">
        <v>165</v>
      </c>
      <c r="L289" s="5" t="n">
        <v>666.7</v>
      </c>
      <c r="M289" s="3" t="inlineStr">
        <is>
          <t>남향</t>
        </is>
      </c>
      <c r="N289" s="3" t="inlineStr">
        <is>
          <t>다가주주택 연수익률 8%</t>
        </is>
      </c>
      <c r="O289" s="6">
        <f>HYPERLINK("https://fin.land.naver.com/articles/2643332756", "매물Link")</f>
        <v/>
      </c>
      <c r="P289" s="6">
        <f>HYPERLINK("https://map.naver.com/p/search/조치원읍 침산리 279-15", "지도Link")</f>
        <v/>
      </c>
      <c r="Q289" s="3" t="inlineStr">
        <is>
          <t>세종베스트</t>
        </is>
      </c>
      <c r="R289" s="4" t="n">
        <v>1</v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27</v>
      </c>
      <c r="I290" s="4" t="n">
        <v>7</v>
      </c>
      <c r="J290" s="5" t="n">
        <v>3.9</v>
      </c>
      <c r="K290" s="4" t="n">
        <v>7</v>
      </c>
      <c r="L290" s="5" t="n">
        <v>3.9</v>
      </c>
      <c r="M290" s="3" t="inlineStr">
        <is>
          <t>남향</t>
        </is>
      </c>
      <c r="N290" s="3" t="inlineStr">
        <is>
          <t>침산리 세종예술회관 인근입니다</t>
        </is>
      </c>
      <c r="O290" s="6">
        <f>HYPERLINK("https://fin.land.naver.com/articles/2642907217", "매물Link")</f>
        <v/>
      </c>
      <c r="P290" s="6">
        <f>HYPERLINK("https://map.naver.com/p/search/조치원읍 침산리 280-5", "지도Link")</f>
        <v/>
      </c>
      <c r="Q290" s="3" t="inlineStr">
        <is>
          <t>OK수</t>
        </is>
      </c>
      <c r="R290" s="4" t="n">
        <v>1</v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다가구</t>
        </is>
      </c>
      <c r="F291" s="3" t="inlineStr">
        <is>
          <t>매매</t>
        </is>
      </c>
      <c r="G291" s="4" t="n">
        <v>98000</v>
      </c>
      <c r="H291" s="4" t="n">
        <v>0</v>
      </c>
      <c r="I291" s="4" t="n">
        <v>93</v>
      </c>
      <c r="J291" s="5" t="n">
        <v>1053.8</v>
      </c>
      <c r="K291" s="4" t="n">
        <v>152</v>
      </c>
      <c r="L291" s="5" t="n">
        <v>644.7</v>
      </c>
      <c r="M291" s="3" t="inlineStr">
        <is>
          <t>남서향</t>
        </is>
      </c>
      <c r="N291" s="3" t="inlineStr">
        <is>
          <t>nan</t>
        </is>
      </c>
      <c r="O291" s="6">
        <f>HYPERLINK("https://fin.land.naver.com/articles/2645775884", "매물Link")</f>
        <v/>
      </c>
      <c r="P291" s="6">
        <f>HYPERLINK("https://map.naver.com/p/search/조치원읍 침산리 280-5", "지도Link")</f>
        <v/>
      </c>
      <c r="Q291" s="3" t="inlineStr">
        <is>
          <t>척척</t>
        </is>
      </c>
      <c r="R291" s="4" t="n">
        <v>1</v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24</v>
      </c>
      <c r="J292" s="5" t="n">
        <v>375</v>
      </c>
      <c r="K292" s="4" t="n">
        <v>24</v>
      </c>
      <c r="L292" s="5" t="n">
        <v>375</v>
      </c>
      <c r="M292" s="3" t="inlineStr">
        <is>
          <t>남향</t>
        </is>
      </c>
      <c r="N292" s="3" t="inlineStr">
        <is>
          <t>다가구주택 주인세대 임대, 방3 욕실</t>
        </is>
      </c>
      <c r="O292" s="6">
        <f>HYPERLINK("https://fin.land.naver.com/articles/2645040430", "매물Link")</f>
        <v/>
      </c>
      <c r="P292" s="6">
        <f>HYPERLINK("https://map.naver.com/p/search/조치원읍 침산리 280-5", "지도Link")</f>
        <v/>
      </c>
      <c r="Q292" s="3" t="inlineStr">
        <is>
          <t>세종베스트</t>
        </is>
      </c>
      <c r="R292" s="4" t="n">
        <v>1</v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5" t="n">
        <v>0</v>
      </c>
      <c r="K293" s="4" t="n">
        <v>7</v>
      </c>
      <c r="L293" s="5" t="n">
        <v>4.6</v>
      </c>
      <c r="M293" s="3" t="inlineStr">
        <is>
          <t>남향</t>
        </is>
      </c>
      <c r="N293" s="3" t="inlineStr">
        <is>
          <t>인기좋은  풀옵션완비방   깔끔한 주거공간  넓은 수납공간  주차편함</t>
        </is>
      </c>
      <c r="O293" s="6">
        <f>HYPERLINK("https://fin.land.naver.com/articles/2647723114", "매물Link")</f>
        <v/>
      </c>
      <c r="P293" s="6">
        <f>HYPERLINK("https://map.naver.com/p/search/조치원읍 침산리 283-12", "지도Link")</f>
        <v/>
      </c>
      <c r="Q293" s="3" t="inlineStr">
        <is>
          <t>연서으뜸</t>
        </is>
      </c>
      <c r="R293" s="4" t="n">
        <v>1</v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3500</v>
      </c>
      <c r="H294" s="4" t="n">
        <v>0</v>
      </c>
      <c r="I294" s="4" t="n">
        <v>0</v>
      </c>
      <c r="J294" s="5" t="n">
        <v>0</v>
      </c>
      <c r="K294" s="4" t="n">
        <v>8</v>
      </c>
      <c r="L294" s="5" t="n">
        <v>437.5</v>
      </c>
      <c r="M294" s="3" t="inlineStr">
        <is>
          <t>동향</t>
        </is>
      </c>
      <c r="N294" s="3" t="inlineStr">
        <is>
          <t>넓고 깔끔한  풀옵션 완비방  주방분리  짐만 가져오세요  바로입주</t>
        </is>
      </c>
      <c r="O294" s="6">
        <f>HYPERLINK("https://fin.land.naver.com/articles/2648568156", "매물Link")</f>
        <v/>
      </c>
      <c r="P294" s="6">
        <f>HYPERLINK("https://map.naver.com/p/search/조치원읍 침산리 283-16", "지도Link")</f>
        <v/>
      </c>
      <c r="Q294" s="3" t="inlineStr">
        <is>
          <t>연서으뜸</t>
        </is>
      </c>
      <c r="R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85</v>
      </c>
      <c r="J295" s="5" t="n">
        <v>1152.9</v>
      </c>
      <c r="K295" s="4" t="n">
        <v>133</v>
      </c>
      <c r="L295" s="5" t="n">
        <v>736.8</v>
      </c>
      <c r="M295" s="3" t="inlineStr">
        <is>
          <t>남서향</t>
        </is>
      </c>
      <c r="N295" s="3" t="inlineStr">
        <is>
          <t>nan</t>
        </is>
      </c>
      <c r="O295" s="6">
        <f>HYPERLINK("https://fin.land.naver.com/articles/2645775408", "매물Link")</f>
        <v/>
      </c>
      <c r="P295" s="6">
        <f>HYPERLINK("https://map.naver.com/p/search/조치원읍 침산리 283-16", "지도Link")</f>
        <v/>
      </c>
      <c r="Q295" s="3" t="inlineStr">
        <is>
          <t>척척</t>
        </is>
      </c>
      <c r="R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단독</t>
        </is>
      </c>
      <c r="F296" s="3" t="inlineStr">
        <is>
          <t>매매</t>
        </is>
      </c>
      <c r="G296" s="4" t="n">
        <v>127000</v>
      </c>
      <c r="H296" s="4" t="n">
        <v>0</v>
      </c>
      <c r="I296" s="4" t="n">
        <v>100</v>
      </c>
      <c r="J296" s="5" t="n">
        <v>1270</v>
      </c>
      <c r="K296" s="4" t="n">
        <v>50</v>
      </c>
      <c r="L296" s="5" t="n">
        <v>2540</v>
      </c>
      <c r="M296" s="3" t="inlineStr">
        <is>
          <t>남향</t>
        </is>
      </c>
      <c r="N296" s="3" t="inlineStr">
        <is>
          <t>전용49.8p, 방3개 화장실2개, 사유지땅 사용가능</t>
        </is>
      </c>
      <c r="O296" s="6">
        <f>HYPERLINK("https://fin.land.naver.com/articles/2642686160", "매물Link")</f>
        <v/>
      </c>
      <c r="P296" s="6">
        <f>HYPERLINK("https://map.naver.com/p/search/한솔동 1118", "지도Link")</f>
        <v/>
      </c>
      <c r="Q296" s="3" t="inlineStr">
        <is>
          <t>세종무지개</t>
        </is>
      </c>
      <c r="R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100</v>
      </c>
      <c r="J297" s="5" t="n">
        <v>1270</v>
      </c>
      <c r="K297" s="4" t="n">
        <v>50</v>
      </c>
      <c r="L297" s="5" t="n">
        <v>2540</v>
      </c>
      <c r="M297" s="3" t="inlineStr">
        <is>
          <t>남향</t>
        </is>
      </c>
      <c r="N297" s="3" t="inlineStr">
        <is>
          <t>급매 주인거주할려고 초현대식 정성들여  대지넓어요 몸만들어가면 돼요</t>
        </is>
      </c>
      <c r="O297" s="6">
        <f>HYPERLINK("https://fin.land.naver.com/articles/2648616143", "매물Link")</f>
        <v/>
      </c>
      <c r="P297" s="6">
        <f>HYPERLINK("https://map.naver.com/p/search/한솔동 1118", "지도Link")</f>
        <v/>
      </c>
      <c r="Q297" s="3" t="inlineStr">
        <is>
          <t>세종시삼성래미안</t>
        </is>
      </c>
      <c r="R297" s="4" t="n">
        <v>3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100</v>
      </c>
      <c r="J298" s="5" t="n">
        <v>1270</v>
      </c>
      <c r="K298" s="4" t="n">
        <v>50</v>
      </c>
      <c r="L298" s="5" t="n">
        <v>2540</v>
      </c>
      <c r="M298" s="3" t="inlineStr">
        <is>
          <t>남향</t>
        </is>
      </c>
      <c r="N298" s="3" t="inlineStr">
        <is>
          <t>공원사유지 무상이용가능, 입지 좋은 한솔동 단독주택 매매</t>
        </is>
      </c>
      <c r="O298" s="6">
        <f>HYPERLINK("https://fin.land.naver.com/articles/2642889859", "매물Link")</f>
        <v/>
      </c>
      <c r="P298" s="6">
        <f>HYPERLINK("https://map.naver.com/p/search/한솔동 1118", "지도Link")</f>
        <v/>
      </c>
      <c r="Q298" s="3" t="inlineStr">
        <is>
          <t>명진</t>
        </is>
      </c>
      <c r="R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100</v>
      </c>
      <c r="J299" s="5" t="n">
        <v>1270</v>
      </c>
      <c r="K299" s="4" t="n">
        <v>50</v>
      </c>
      <c r="L299" s="5" t="n">
        <v>2540</v>
      </c>
      <c r="M299" s="3" t="inlineStr">
        <is>
          <t>남향</t>
        </is>
      </c>
      <c r="N299" s="3" t="inlineStr">
        <is>
          <t>세종시 상권이용편리한 단독주택  앞뒤뻥</t>
        </is>
      </c>
      <c r="O299" s="6">
        <f>HYPERLINK("https://fin.land.naver.com/articles/2646211687", "매물Link")</f>
        <v/>
      </c>
      <c r="P299" s="6">
        <f>HYPERLINK("https://map.naver.com/p/search/한솔동 1118", "지도Link")</f>
        <v/>
      </c>
      <c r="Q299" s="3" t="inlineStr">
        <is>
          <t>세종믿음</t>
        </is>
      </c>
      <c r="R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100</v>
      </c>
      <c r="J300" s="5" t="n">
        <v>1270</v>
      </c>
      <c r="K300" s="4" t="n">
        <v>50</v>
      </c>
      <c r="L300" s="5" t="n">
        <v>2540</v>
      </c>
      <c r="M300" s="3" t="inlineStr">
        <is>
          <t>남향</t>
        </is>
      </c>
      <c r="N300" s="3" t="inlineStr">
        <is>
          <t>착한매우급매 마당넓은공원 내집처럼사용 옆시유지땅 무상사용 꼭 해 달래요</t>
        </is>
      </c>
      <c r="O300" s="6">
        <f>HYPERLINK("https://fin.land.naver.com/articles/2646097576", "매물Link")</f>
        <v/>
      </c>
      <c r="P300" s="6">
        <f>HYPERLINK("https://map.naver.com/p/search/한솔동 1118", "지도Link")</f>
        <v/>
      </c>
      <c r="Q300" s="3" t="inlineStr">
        <is>
          <t>세종골드삼성</t>
        </is>
      </c>
      <c r="R300" s="4" t="n">
        <v>1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100</v>
      </c>
      <c r="J301" s="5" t="n">
        <v>1270</v>
      </c>
      <c r="K301" s="4" t="n">
        <v>50</v>
      </c>
      <c r="L301" s="5" t="n">
        <v>2540</v>
      </c>
      <c r="M301" s="3" t="inlineStr">
        <is>
          <t>남동향</t>
        </is>
      </c>
      <c r="N301" s="3" t="inlineStr">
        <is>
          <t>nan</t>
        </is>
      </c>
      <c r="O301" s="6">
        <f>HYPERLINK("https://fin.land.naver.com/articles/2643821176", "매물Link")</f>
        <v/>
      </c>
      <c r="P301" s="6">
        <f>HYPERLINK("https://map.naver.com/p/search/한솔동 1118", "지도Link")</f>
        <v/>
      </c>
      <c r="Q301" s="3" t="inlineStr">
        <is>
          <t>세종삼촌</t>
        </is>
      </c>
      <c r="R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단독</t>
        </is>
      </c>
      <c r="F302" s="3" t="inlineStr">
        <is>
          <t>매매</t>
        </is>
      </c>
      <c r="G302" s="4" t="n">
        <v>95000</v>
      </c>
      <c r="H302" s="4" t="n">
        <v>0</v>
      </c>
      <c r="I302" s="4" t="n">
        <v>89</v>
      </c>
      <c r="J302" s="5" t="n">
        <v>1067.4</v>
      </c>
      <c r="K302" s="4" t="n">
        <v>55</v>
      </c>
      <c r="L302" s="5" t="n">
        <v>1727.3</v>
      </c>
      <c r="M302" s="3" t="inlineStr">
        <is>
          <t>남동향</t>
        </is>
      </c>
      <c r="N302" s="3" t="inlineStr">
        <is>
          <t>막힘없이 좋아요 좋은 위치 brt 가까운 위치 입니다 방3, 화장실 2</t>
        </is>
      </c>
      <c r="O302" s="6">
        <f>HYPERLINK("https://fin.land.naver.com/articles/2645901594", "매물Link")</f>
        <v/>
      </c>
      <c r="P302" s="6">
        <f>HYPERLINK("https://map.naver.com/p/search/한솔동 867", "지도Link")</f>
        <v/>
      </c>
      <c r="Q302" s="3" t="inlineStr">
        <is>
          <t>은성</t>
        </is>
      </c>
      <c r="R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단독</t>
        </is>
      </c>
      <c r="F303" s="3" t="inlineStr">
        <is>
          <t>매매</t>
        </is>
      </c>
      <c r="G303" s="4" t="n">
        <v>120000</v>
      </c>
      <c r="H303" s="4" t="n">
        <v>0</v>
      </c>
      <c r="I303" s="4" t="n">
        <v>81</v>
      </c>
      <c r="J303" s="5" t="n">
        <v>1481.5</v>
      </c>
      <c r="K303" s="4" t="n">
        <v>61</v>
      </c>
      <c r="L303" s="5" t="n">
        <v>1967.2</v>
      </c>
      <c r="M303" s="3" t="inlineStr">
        <is>
          <t>남향</t>
        </is>
      </c>
      <c r="N303" s="3" t="inlineStr">
        <is>
          <t>입지 좋고 공간활용도가 높은 한솔동 단독주택 매매</t>
        </is>
      </c>
      <c r="O303" s="6">
        <f>HYPERLINK("https://fin.land.naver.com/articles/2644395820", "매물Link")</f>
        <v/>
      </c>
      <c r="P303" s="6">
        <f>HYPERLINK("https://map.naver.com/p/search/한솔동 899", "지도Link")</f>
        <v/>
      </c>
      <c r="Q303" s="3" t="inlineStr">
        <is>
          <t>명진</t>
        </is>
      </c>
      <c r="R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단독</t>
        </is>
      </c>
      <c r="F304" s="3" t="inlineStr">
        <is>
          <t>매매</t>
        </is>
      </c>
      <c r="G304" s="4" t="n">
        <v>120000</v>
      </c>
      <c r="H304" s="4" t="n">
        <v>0</v>
      </c>
      <c r="I304" s="4" t="n">
        <v>81</v>
      </c>
      <c r="J304" s="5" t="n">
        <v>1481.5</v>
      </c>
      <c r="K304" s="4" t="n">
        <v>61</v>
      </c>
      <c r="L304" s="5" t="n">
        <v>1967.2</v>
      </c>
      <c r="M304" s="3" t="inlineStr">
        <is>
          <t>남향</t>
        </is>
      </c>
      <c r="N304" s="3" t="inlineStr">
        <is>
          <t>공원옆 코너각지 남향 가격조절가 태양열 전기차충전기 정원에카페사용공간있음</t>
        </is>
      </c>
      <c r="O304" s="6">
        <f>HYPERLINK("https://fin.land.naver.com/articles/2642906236", "매물Link")</f>
        <v/>
      </c>
      <c r="P304" s="6">
        <f>HYPERLINK("https://map.naver.com/p/search/한솔동 899", "지도Link")</f>
        <v/>
      </c>
      <c r="Q304" s="3" t="inlineStr">
        <is>
          <t>세종시해냄</t>
        </is>
      </c>
      <c r="R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81</v>
      </c>
      <c r="J305" s="5" t="n">
        <v>1481.5</v>
      </c>
      <c r="K305" s="4" t="n">
        <v>61</v>
      </c>
      <c r="L305" s="5" t="n">
        <v>1967.2</v>
      </c>
      <c r="M305" s="3" t="inlineStr">
        <is>
          <t>남향</t>
        </is>
      </c>
      <c r="N305" s="3" t="inlineStr">
        <is>
          <t>태양광, 풀에어컨, 주차2대, 한솔동 입지 좋은 주택 매매</t>
        </is>
      </c>
      <c r="O305" s="6">
        <f>HYPERLINK("https://fin.land.naver.com/articles/2644084278", "매물Link")</f>
        <v/>
      </c>
      <c r="P305" s="6">
        <f>HYPERLINK("https://map.naver.com/p/search/한솔동 899", "지도Link")</f>
        <v/>
      </c>
      <c r="Q305" s="3" t="inlineStr">
        <is>
          <t>세종무지개</t>
        </is>
      </c>
      <c r="R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81</v>
      </c>
      <c r="J306" s="5" t="n">
        <v>1481.5</v>
      </c>
      <c r="K306" s="4" t="n">
        <v>61</v>
      </c>
      <c r="L306" s="5" t="n">
        <v>1967.2</v>
      </c>
      <c r="M306" s="3" t="inlineStr">
        <is>
          <t>남향</t>
        </is>
      </c>
      <c r="N306" s="3" t="inlineStr">
        <is>
          <t>입지 좋고 튼튼하게 지어서 실거주로 거주하기 좋은집</t>
        </is>
      </c>
      <c r="O306" s="6">
        <f>HYPERLINK("https://fin.land.naver.com/articles/2646538585", "매물Link")</f>
        <v/>
      </c>
      <c r="P306" s="6">
        <f>HYPERLINK("https://map.naver.com/p/search/한솔동 899", "지도Link")</f>
        <v/>
      </c>
      <c r="Q306" s="3" t="inlineStr">
        <is>
          <t>현대탑</t>
        </is>
      </c>
      <c r="R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단독</t>
        </is>
      </c>
      <c r="F307" s="3" t="inlineStr">
        <is>
          <t>매매</t>
        </is>
      </c>
      <c r="G307" s="4" t="n">
        <v>130000</v>
      </c>
      <c r="H307" s="4" t="n">
        <v>0</v>
      </c>
      <c r="I307" s="4" t="n">
        <v>119</v>
      </c>
      <c r="J307" s="5" t="n">
        <v>1092.4</v>
      </c>
      <c r="K307" s="4" t="n">
        <v>59</v>
      </c>
      <c r="L307" s="5" t="n">
        <v>2203.4</v>
      </c>
      <c r="M307" s="3" t="inlineStr">
        <is>
          <t>남향</t>
        </is>
      </c>
      <c r="N307" s="3" t="inlineStr">
        <is>
          <t>급매 1년차 최신축 현대식 세련된 내부인테리어 방3개 욕실3개</t>
        </is>
      </c>
      <c r="O307" s="6">
        <f>HYPERLINK("https://fin.land.naver.com/articles/2647126217", "매물Link")</f>
        <v/>
      </c>
      <c r="P307" s="6">
        <f>HYPERLINK("https://map.naver.com/p/search/한솔동 997", "지도Link")</f>
        <v/>
      </c>
      <c r="Q307" s="3" t="inlineStr">
        <is>
          <t>세종스타</t>
        </is>
      </c>
      <c r="R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단독</t>
        </is>
      </c>
      <c r="F308" s="3" t="inlineStr">
        <is>
          <t>전세</t>
        </is>
      </c>
      <c r="G308" s="4" t="n">
        <v>100000</v>
      </c>
      <c r="H308" s="4" t="n">
        <v>0</v>
      </c>
      <c r="I308" s="4" t="n">
        <v>169</v>
      </c>
      <c r="J308" s="5" t="n">
        <v>591.7</v>
      </c>
      <c r="K308" s="4" t="n">
        <v>67</v>
      </c>
      <c r="L308" s="5" t="n">
        <v>1492.5</v>
      </c>
      <c r="M308" s="3" t="inlineStr">
        <is>
          <t>남향</t>
        </is>
      </c>
      <c r="N308" s="3" t="inlineStr">
        <is>
          <t>해밀동 고급 타운하우스 시그니매종 전세 010 3819 3805</t>
        </is>
      </c>
      <c r="O308" s="6">
        <f>HYPERLINK("https://fin.land.naver.com/articles/2646491942", "매물Link")</f>
        <v/>
      </c>
      <c r="P308" s="6">
        <f>HYPERLINK("https://map.naver.com/p/search/해밀동 692", "지도Link")</f>
        <v/>
      </c>
      <c r="Q308" s="3" t="inlineStr">
        <is>
          <t>국제</t>
        </is>
      </c>
      <c r="R308" s="4" t="n">
        <v>1</v>
      </c>
    </row>
  </sheetData>
  <autoFilter ref="A1:R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2026-09-08T23:16:13Z</dcterms:created>
  <dcterms:modified xsi:type="dcterms:W3CDTF">2026-09-08T23:16:18Z</dcterms:modified>
</cp:coreProperties>
</file>