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'공장창고매물'!$A$1:$AD$282</definedName>
    <definedName name="_xlnm._FilterDatabase" localSheetId="1" hidden="1">'주택매물'!$A$1:$AA$282</definedName>
    <definedName name="_xlnm._FilterDatabase" localSheetId="2" hidden="1">'토지매물'!$A$1:$V$1613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더원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HYPERLINK("https://fin.land.naver.com/articles/2646198000",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HYPERLINK("https://fin.land.naver.com/articles/2646668834",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45085</v>
      </c>
      <c r="I34" s="4" t="n">
        <v>13638</v>
      </c>
      <c r="J34" s="5" t="n">
        <v>146.6</v>
      </c>
      <c r="K34" s="4" t="n">
        <v>1656</v>
      </c>
      <c r="L34" s="4" t="n">
        <v>501</v>
      </c>
      <c r="M34" s="5" t="n">
        <v>3992</v>
      </c>
      <c r="N34" s="3" t="inlineStr">
        <is>
          <t>3</t>
        </is>
      </c>
      <c r="O34" s="3" t="inlineStr">
        <is>
          <t>B3</t>
        </is>
      </c>
      <c r="P34" s="3" t="inlineStr">
        <is>
          <t>nan</t>
        </is>
      </c>
      <c r="Q34" s="6">
        <f>HYPERLINK("https://fin.land.naver.com/articles/2648501365",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주식회사정우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블록구조</t>
        </is>
      </c>
      <c r="AA56" s="3" t="inlineStr">
        <is>
          <t>동물및식물관련시설</t>
        </is>
      </c>
      <c r="AB56" s="3" t="inlineStr">
        <is>
          <t>5.6m</t>
        </is>
      </c>
      <c r="AC56" s="3" t="inlineStr">
        <is>
          <t>1997-05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9623</v>
      </c>
      <c r="I57" s="4" t="n">
        <v>2911</v>
      </c>
      <c r="J57" s="5" t="n">
        <v>412.2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청주IC와 오송역 인근 4차선 대로변, 예식장,대형카페,요양원 추천</t>
        </is>
      </c>
      <c r="Q57" s="6">
        <f>HYPERLINK("https://fin.land.naver.com/articles/2650624649",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(주)미르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강내면 태성리 청주하이테크밸리산업단지 바로 옆 공장 매매</t>
        </is>
      </c>
      <c r="Q63" s="6">
        <f>HYPERLINK("https://fin.land.naver.com/articles/2650897729",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태성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HYPERLINK("https://fin.land.naver.com/articles/2645432684",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2000</v>
      </c>
      <c r="H117" s="4" t="n">
        <v>8030</v>
      </c>
      <c r="I117" s="4" t="n">
        <v>2429</v>
      </c>
      <c r="J117" s="5" t="n">
        <v>0.8</v>
      </c>
      <c r="K117" s="4" t="n">
        <v>3206</v>
      </c>
      <c r="L117" s="4" t="n">
        <v>970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 10분  대형차 진출입 편리 마당 넓어 야적 가능 공장 물류창고</t>
        </is>
      </c>
      <c r="Q117" s="6">
        <f>HYPERLINK("https://fin.land.naver.com/articles/2645311324", "매물Link")</f>
        <v/>
      </c>
      <c r="R117" s="6">
        <f>HYPERLINK("https://map.naver.com/p/search/강내면 황탄리 52-7", "지도Link")</f>
        <v/>
      </c>
      <c r="S117" s="6">
        <f>HYPERLINK("http://www.eum.go.kr/web/ar/lu/luLandDet.jsp?pnu=4311331029100520007&amp;isNoScr=script&amp;mode=search",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50.7</v>
      </c>
      <c r="W117" s="4" t="n">
        <v>222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11.55m</t>
        </is>
      </c>
      <c r="AC117" s="3" t="inlineStr">
        <is>
          <t>2021-03</t>
        </is>
      </c>
      <c r="AD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8027</v>
      </c>
      <c r="I118" s="4" t="n">
        <v>2428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2</t>
        </is>
      </c>
      <c r="O118" s="3" t="inlineStr">
        <is>
          <t>-</t>
        </is>
      </c>
      <c r="P118" s="3" t="inlineStr">
        <is>
          <t>층고 높고 관리 잘 된 신축급 공장, 활용도 좋은 포장된 넓은 마당</t>
        </is>
      </c>
      <c r="Q118" s="6">
        <f>HYPERLINK("https://fin.land.naver.com/articles/2647144575", "매물Link")</f>
        <v/>
      </c>
      <c r="R118" s="6">
        <f>HYPERLINK("https://map.naver.com/p/search/강내면 황탄리 55-7", "지도Link")</f>
        <v/>
      </c>
      <c r="S118" s="6">
        <f>HYPERLINK("http://www.eum.go.kr/web/ar/lu/luLandDet.jsp?pnu=4311331029100550007&amp;isNoScr=script&amp;mode=search",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50.7</v>
      </c>
      <c r="W118" s="4" t="n">
        <v>7805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미표기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8.0m</t>
        </is>
      </c>
      <c r="AC122" s="3" t="inlineStr">
        <is>
          <t>2001-09</t>
        </is>
      </c>
      <c r="AD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493</v>
      </c>
      <c r="L123" s="4" t="n">
        <v>149</v>
      </c>
      <c r="M123" s="5" t="n">
        <v>3</v>
      </c>
      <c r="N123" s="3" t="inlineStr">
        <is>
          <t>2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HYPERLINK("https://fin.land.naver.com/articles/2648397794",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e플러스</t>
        </is>
      </c>
      <c r="U123" s="4" t="n">
        <v>1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 편리한 부강면 공장창고임대, 대형차 출입용이</t>
        </is>
      </c>
      <c r="Q124" s="6">
        <f>HYPERLINK("https://fin.land.naver.com/articles/2650629262",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신탄진다온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제2종근생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9분 세종 부강일반산업단지 옆 단독 소형 공장임대</t>
        </is>
      </c>
      <c r="Q128" s="6">
        <f>HYPERLINK("https://fin.land.naver.com/articles/2650873411",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더원</t>
        </is>
      </c>
      <c r="U128" s="4" t="n">
        <v>3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주4동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자원순환관련시설</t>
        </is>
      </c>
      <c r="AB131" s="3" t="inlineStr">
        <is>
          <t>5.65m</t>
        </is>
      </c>
      <c r="AC131" s="3" t="inlineStr">
        <is>
          <t>2020-06</t>
        </is>
      </c>
      <c r="AD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HYPERLINK("https://fin.land.naver.com/articles/2651041474",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제2종근생</t>
        </is>
      </c>
      <c r="AB132" s="3" t="inlineStr">
        <is>
          <t>4.7m</t>
        </is>
      </c>
      <c r="AC132" s="3" t="inlineStr">
        <is>
          <t>2014-12</t>
        </is>
      </c>
      <c r="AD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3700</v>
      </c>
      <c r="H133" s="4" t="n">
        <v>13866</v>
      </c>
      <c r="I133" s="4" t="n">
        <v>4194</v>
      </c>
      <c r="J133" s="5" t="n">
        <v>0.9</v>
      </c>
      <c r="K133" s="4" t="n">
        <v>6367</v>
      </c>
      <c r="L133" s="4" t="n">
        <v>1926</v>
      </c>
      <c r="M133" s="5" t="n">
        <v>1.9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10.0m</t>
        </is>
      </c>
      <c r="AC133" s="3" t="inlineStr">
        <is>
          <t>1997-09</t>
        </is>
      </c>
      <c r="AD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부강 산업단지 인접한 공장 및 창고 입니다</t>
        </is>
      </c>
      <c r="Q134" s="6">
        <f>HYPERLINK("https://fin.land.naver.com/articles/2645402463",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더행복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제2종근생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자원순환관련시설</t>
        </is>
      </c>
      <c r="AB137" s="3" t="inlineStr">
        <is>
          <t>8.1m</t>
        </is>
      </c>
      <c r="AC137" s="3" t="inlineStr">
        <is>
          <t>2001-06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부강산업단지인근 도로옆 단독공장 2년전 리모델링완비</t>
        </is>
      </c>
      <c r="Q138" s="6">
        <f>HYPERLINK("https://fin.land.naver.com/articles/2650938924",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1500</v>
      </c>
      <c r="H143" s="4" t="n">
        <v>8600</v>
      </c>
      <c r="I143" s="4" t="n">
        <v>2602</v>
      </c>
      <c r="J143" s="5" t="n">
        <v>0.6</v>
      </c>
      <c r="K143" s="4" t="n">
        <v>1793</v>
      </c>
      <c r="L143" s="4" t="n">
        <v>542</v>
      </c>
      <c r="M143" s="5" t="n">
        <v>2.8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5000</v>
      </c>
      <c r="G146" s="4" t="n">
        <v>500</v>
      </c>
      <c r="H146" s="4" t="n">
        <v>9585</v>
      </c>
      <c r="I146" s="4" t="n">
        <v>2899</v>
      </c>
      <c r="J146" s="5" t="n">
        <v>0.2</v>
      </c>
      <c r="K146" s="4" t="n">
        <v>716</v>
      </c>
      <c r="L146" s="4" t="n">
        <v>217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신탄진ic 접근성 우수 호이스트 설치된 공장</t>
        </is>
      </c>
      <c r="Q146" s="6">
        <f>HYPERLINK("https://fin.land.naver.com/articles/2650205472",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HYPERLINK("https://fin.land.naver.com/articles/2650625680",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5513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 대형차 진출입이 편리 민원없는 공장,창고 추천</t>
        </is>
      </c>
      <c r="Q160" s="6">
        <f>HYPERLINK("https://fin.land.naver.com/articles/2651081215",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(주)미르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 5분 거리이며 2차선도로 접한 대형물류창고 도크시설 완비</t>
        </is>
      </c>
      <c r="Q161" s="6">
        <f>HYPERLINK("https://fin.land.naver.com/articles/2648089946",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HYPERLINK("https://fin.land.naver.com/articles/2649933957",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953-7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1000</v>
      </c>
      <c r="G176" s="4" t="n">
        <v>100</v>
      </c>
      <c r="H176" s="4" t="n">
        <v>425</v>
      </c>
      <c r="I176" s="4" t="n">
        <v>129</v>
      </c>
      <c r="J176" s="5" t="n">
        <v>0.8</v>
      </c>
      <c r="K176" s="4" t="n">
        <v>168</v>
      </c>
      <c r="L176" s="4" t="n">
        <v>51</v>
      </c>
      <c r="M176" s="5" t="n">
        <v>2</v>
      </c>
      <c r="N176" s="3" t="inlineStr">
        <is>
          <t>1</t>
        </is>
      </c>
      <c r="O176" s="3" t="inlineStr">
        <is>
          <t>B1</t>
        </is>
      </c>
      <c r="P176" s="3" t="inlineStr">
        <is>
          <t>남청주 ic부근의 2차선변접한 교통좋고 위치좋은 창고</t>
        </is>
      </c>
      <c r="Q176" s="6">
        <f>HYPERLINK("https://fin.land.naver.com/articles/2651029325", "매물Link")</f>
        <v/>
      </c>
      <c r="R176" s="6">
        <f>HYPERLINK("https://map.naver.com/p/search/부강면 문곡리 953-7", "지도Link")</f>
        <v/>
      </c>
      <c r="S176" s="6">
        <f>HYPERLINK("http://www.eum.go.kr/web/ar/lu/luLandDet.jsp?pnu=3611033025109530007&amp;isNoScr=script&amp;mode=search", "토지이음")</f>
        <v/>
      </c>
      <c r="T176" s="3" t="inlineStr">
        <is>
          <t>연동스카이</t>
        </is>
      </c>
      <c r="U176" s="4" t="n">
        <v>1</v>
      </c>
      <c r="V176" s="5" t="n">
        <v>137.6</v>
      </c>
      <c r="W176" s="4" t="n">
        <v>425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7.99m</t>
        </is>
      </c>
      <c r="AC176" s="3" t="inlineStr">
        <is>
          <t>1999-12</t>
        </is>
      </c>
      <c r="AD176" s="3" t="inlineStr">
        <is>
          <t>소로한면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6446</v>
      </c>
      <c r="I184" s="4" t="n">
        <v>1950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세종 청주 접근성 우수 2차선도로변 호이스트 3기 완비된 공장 임대</t>
        </is>
      </c>
      <c r="Q184" s="6">
        <f>HYPERLINK("https://fin.land.naver.com/articles/2649493657",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436</v>
      </c>
      <c r="L188" s="4" t="n">
        <v>132</v>
      </c>
      <c r="M188" s="5" t="n">
        <v>909.1</v>
      </c>
      <c r="N188" s="3" t="inlineStr">
        <is>
          <t>2</t>
        </is>
      </c>
      <c r="O188" s="3" t="inlineStr">
        <is>
          <t>-</t>
        </is>
      </c>
      <c r="P188" s="3" t="inlineStr">
        <is>
          <t>성업중인공장.진입도로확장예정.매도후재임대가능.남청주IC인근.중부물류터미널</t>
        </is>
      </c>
      <c r="Q188" s="6">
        <f>HYPERLINK("https://fin.land.naver.com/articles/2650318649",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돈방석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602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400000</v>
      </c>
      <c r="G192" s="4" t="n">
        <v>0</v>
      </c>
      <c r="H192" s="4" t="n">
        <v>3004</v>
      </c>
      <c r="I192" s="4" t="n">
        <v>909</v>
      </c>
      <c r="J192" s="5" t="n">
        <v>440</v>
      </c>
      <c r="K192" s="4" t="n">
        <v>1328</v>
      </c>
      <c r="L192" s="4" t="n">
        <v>402</v>
      </c>
      <c r="M192" s="5" t="n">
        <v>995</v>
      </c>
      <c r="N192" s="3" t="inlineStr">
        <is>
          <t>2</t>
        </is>
      </c>
      <c r="O192" s="3" t="inlineStr">
        <is>
          <t>-</t>
        </is>
      </c>
      <c r="P192" s="3" t="inlineStr">
        <is>
          <t>연동면 내판리 공장 매매, 5생활권 및 명학산단 인근 위치, 국유지 사용</t>
        </is>
      </c>
      <c r="Q192" s="6">
        <f>HYPERLINK("https://fin.land.naver.com/articles/2649816046", "매물Link")</f>
        <v/>
      </c>
      <c r="R192" s="6">
        <f>HYPERLINK("https://map.naver.com/p/search/연동면 내판리 602", "지도Link")</f>
        <v/>
      </c>
      <c r="S192" s="6">
        <f>HYPERLINK("http://www.eum.go.kr/web/ar/lu/luLandDet.jsp?pnu=3611032021106020000&amp;isNoScr=script&amp;mode=search", "토지이음")</f>
        <v/>
      </c>
      <c r="T192" s="3" t="inlineStr">
        <is>
          <t>스카이</t>
        </is>
      </c>
      <c r="U192" s="4" t="n">
        <v>2</v>
      </c>
      <c r="V192" s="5" t="n">
        <v>65.40000000000001</v>
      </c>
      <c r="W192" s="4" t="n">
        <v>3004</v>
      </c>
      <c r="X192" s="3" t="inlineStr">
        <is>
          <t>주건축물제1동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8.2m</t>
        </is>
      </c>
      <c r="AC192" s="3" t="inlineStr">
        <is>
          <t>2002-12</t>
        </is>
      </c>
      <c r="AD192" s="3" t="inlineStr">
        <is>
          <t>세로한면(가)</t>
        </is>
      </c>
    </row>
    <row r="193">
      <c r="A193" s="3" t="inlineStr">
        <is>
          <t>연동면 내판리 711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640000</v>
      </c>
      <c r="G193" s="4" t="n">
        <v>0</v>
      </c>
      <c r="H193" s="4" t="n">
        <v>4511</v>
      </c>
      <c r="I193" s="4" t="n">
        <v>1365</v>
      </c>
      <c r="J193" s="5" t="n">
        <v>468.9</v>
      </c>
      <c r="K193" s="4" t="n">
        <v>987</v>
      </c>
      <c r="L193" s="4" t="n">
        <v>299</v>
      </c>
      <c r="M193" s="5" t="n">
        <v>2140.5</v>
      </c>
      <c r="N193" s="3" t="inlineStr">
        <is>
          <t>2</t>
        </is>
      </c>
      <c r="O193" s="3" t="inlineStr">
        <is>
          <t>-</t>
        </is>
      </c>
      <c r="P193" s="3" t="inlineStr">
        <is>
          <t>명학산업단지 귀한 공장 급매</t>
        </is>
      </c>
      <c r="Q193" s="6">
        <f>HYPERLINK("https://fin.land.naver.com/articles/2646246944", "매물Link")</f>
        <v/>
      </c>
      <c r="R193" s="6">
        <f>HYPERLINK("https://map.naver.com/p/search/연동면 내판리 711", "지도Link")</f>
        <v/>
      </c>
      <c r="S193" s="6">
        <f>HYPERLINK("http://www.eum.go.kr/web/ar/lu/luLandDet.jsp?pnu=3611032021107110000&amp;isNoScr=script&amp;mode=search",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106.6</v>
      </c>
      <c r="W193" s="4" t="n">
        <v>4511.2</v>
      </c>
      <c r="X193" s="3" t="inlineStr">
        <is>
          <t>주1동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9.5m</t>
        </is>
      </c>
      <c r="AC193" s="3" t="inlineStr">
        <is>
          <t>2017-12</t>
        </is>
      </c>
      <c r="AD193" s="3" t="inlineStr">
        <is>
          <t>중로한면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HYPERLINK("https://fin.land.naver.com/articles/2650955285",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169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2000</v>
      </c>
      <c r="G209" s="4" t="n">
        <v>330</v>
      </c>
      <c r="H209" s="4" t="n">
        <v>3389</v>
      </c>
      <c r="I209" s="4" t="n">
        <v>1025</v>
      </c>
      <c r="J209" s="5" t="n">
        <v>0.3</v>
      </c>
      <c r="K209" s="4" t="n">
        <v>492</v>
      </c>
      <c r="L209" s="4" t="n">
        <v>149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HYPERLINK("https://fin.land.naver.com/articles/2646425990", "매물Link")</f>
        <v/>
      </c>
      <c r="R209" s="6">
        <f>HYPERLINK("https://map.naver.com/p/search/연서면 국촌리 169", "지도Link")</f>
        <v/>
      </c>
      <c r="S209" s="6">
        <f>HYPERLINK("http://www.eum.go.kr/web/ar/lu/luLandDet.jsp?pnu=3611036030101690000&amp;isNoScr=script&amp;mode=search", "토지이음")</f>
        <v/>
      </c>
      <c r="T209" s="3" t="inlineStr">
        <is>
          <t>지성</t>
        </is>
      </c>
      <c r="U209" s="4" t="n">
        <v>1</v>
      </c>
      <c r="V209" s="5" t="n">
        <v>97</v>
      </c>
      <c r="W209" s="4" t="n">
        <v>3389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10.15m</t>
        </is>
      </c>
      <c r="AC209" s="3" t="inlineStr">
        <is>
          <t>2015-03</t>
        </is>
      </c>
      <c r="AD209" s="3" t="inlineStr">
        <is>
          <t>소로각지</t>
        </is>
      </c>
    </row>
    <row r="210">
      <c r="A210" s="3" t="inlineStr">
        <is>
          <t>연서면 국촌리 7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1057000</v>
      </c>
      <c r="G210" s="4" t="n">
        <v>0</v>
      </c>
      <c r="H210" s="4" t="n">
        <v>6989</v>
      </c>
      <c r="I210" s="4" t="n">
        <v>2114</v>
      </c>
      <c r="J210" s="5" t="n">
        <v>500</v>
      </c>
      <c r="K210" s="4" t="n">
        <v>1217</v>
      </c>
      <c r="L210" s="4" t="n">
        <v>368</v>
      </c>
      <c r="M210" s="5" t="n">
        <v>2872.3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HYPERLINK("https://fin.land.naver.com/articles/2648077609", "매물Link")</f>
        <v/>
      </c>
      <c r="R210" s="6">
        <f>HYPERLINK("https://map.naver.com/p/search/연서면 국촌리 7", "지도Link")</f>
        <v/>
      </c>
      <c r="S210" s="6">
        <f>HYPERLINK("http://www.eum.go.kr/web/ar/lu/luLandDet.jsp?pnu=3611036030100070000&amp;isNoScr=script&amp;mode=search", "토지이음")</f>
        <v/>
      </c>
      <c r="T210" s="3" t="inlineStr">
        <is>
          <t>푸른들</t>
        </is>
      </c>
      <c r="U210" s="4" t="n">
        <v>1</v>
      </c>
      <c r="V210" s="5" t="n">
        <v>102.1</v>
      </c>
      <c r="W210" s="4" t="n">
        <v>4723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8.7m</t>
        </is>
      </c>
      <c r="AC210" s="3" t="inlineStr">
        <is>
          <t>2002-07</t>
        </is>
      </c>
      <c r="AD210" s="3" t="inlineStr">
        <is>
          <t>소로한면</t>
        </is>
      </c>
    </row>
    <row r="211">
      <c r="A211" s="3" t="inlineStr">
        <is>
          <t>연서면 봉암리 620-133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5000</v>
      </c>
      <c r="G211" s="4" t="n">
        <v>400</v>
      </c>
      <c r="H211" s="4" t="n">
        <v>2764</v>
      </c>
      <c r="I211" s="4" t="n">
        <v>836</v>
      </c>
      <c r="J211" s="5" t="n">
        <v>0.5</v>
      </c>
      <c r="K211" s="4" t="n">
        <v>655</v>
      </c>
      <c r="L211" s="4" t="n">
        <v>198</v>
      </c>
      <c r="M211" s="5" t="n">
        <v>2</v>
      </c>
      <c r="N211" s="3" t="inlineStr">
        <is>
          <t>1</t>
        </is>
      </c>
      <c r="O211" s="3" t="inlineStr">
        <is>
          <t>-</t>
        </is>
      </c>
      <c r="P211" s="3" t="inlineStr">
        <is>
          <t>월세조정가.6차선대로변접.화물차진입및회전가.대원네스트빌바로옆.SK주유소접</t>
        </is>
      </c>
      <c r="Q211" s="6">
        <f>HYPERLINK("https://fin.land.naver.com/articles/2649818490", "매물Link")</f>
        <v/>
      </c>
      <c r="R211" s="6">
        <f>HYPERLINK("https://map.naver.com/p/search/연서면 봉암리 620-133", "지도Link")</f>
        <v/>
      </c>
      <c r="S211" s="6">
        <f>HYPERLINK("http://www.eum.go.kr/web/ar/lu/luLandDet.jsp?pnu=3611036033106200133&amp;isNoScr=script&amp;mode=search", "토지이음")</f>
        <v/>
      </c>
      <c r="T211" s="3" t="inlineStr">
        <is>
          <t>돈방석</t>
        </is>
      </c>
      <c r="U211" s="4" t="n">
        <v>1</v>
      </c>
      <c r="V211" s="5" t="n">
        <v>171.6</v>
      </c>
      <c r="W211" s="4" t="n">
        <v>2764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제2종근생</t>
        </is>
      </c>
      <c r="AB211" s="3" t="inlineStr">
        <is>
          <t>6.0m</t>
        </is>
      </c>
      <c r="AC211" s="3" t="inlineStr">
        <is>
          <t>2007-04</t>
        </is>
      </c>
      <c r="AD211" s="3" t="inlineStr">
        <is>
          <t>세로한면(가)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1857</v>
      </c>
      <c r="I220" s="4" t="n">
        <v>562</v>
      </c>
      <c r="J220" s="5" t="n">
        <v>0.9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HYPERLINK("https://fin.land.naver.com/articles/2646178088",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1616</v>
      </c>
      <c r="I221" s="4" t="n">
        <v>489</v>
      </c>
      <c r="J221" s="5" t="n">
        <v>1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 임대 입니다</t>
        </is>
      </c>
      <c r="Q221" s="6">
        <f>HYPERLINK("https://fin.land.naver.com/articles/2647433809",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HYPERLINK("https://fin.land.naver.com/articles/2645609117",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위험물저장및처리시설</t>
        </is>
      </c>
      <c r="AB226" s="3" t="inlineStr">
        <is>
          <t>6.85m</t>
        </is>
      </c>
      <c r="AC226" s="3" t="inlineStr">
        <is>
          <t>2002-12</t>
        </is>
      </c>
      <c r="AD226" s="3" t="inlineStr">
        <is>
          <t>소로한면</t>
        </is>
      </c>
    </row>
    <row r="227">
      <c r="A227" s="3" t="inlineStr">
        <is>
          <t>연서면 신대리 484-8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190000</v>
      </c>
      <c r="G227" s="4" t="n">
        <v>0</v>
      </c>
      <c r="H227" s="4" t="n">
        <v>3067</v>
      </c>
      <c r="I227" s="4" t="n">
        <v>928</v>
      </c>
      <c r="J227" s="5" t="n">
        <v>204.7</v>
      </c>
      <c r="K227" s="4" t="n">
        <v>550</v>
      </c>
      <c r="L227" s="4" t="n">
        <v>166</v>
      </c>
      <c r="M227" s="5" t="n">
        <v>1144.6</v>
      </c>
      <c r="N227" s="3" t="inlineStr">
        <is>
          <t>1</t>
        </is>
      </c>
      <c r="O227" s="3" t="inlineStr">
        <is>
          <t>B1</t>
        </is>
      </c>
      <c r="P227" s="3" t="inlineStr">
        <is>
          <t>세종시 개발 수혜지물류 및 제조 최적입지공장,창고,주택포함</t>
        </is>
      </c>
      <c r="Q227" s="6">
        <f>HYPERLINK("https://fin.land.naver.com/articles/2645644910", "매물Link")</f>
        <v/>
      </c>
      <c r="R227" s="6">
        <f>HYPERLINK("https://map.naver.com/p/search/연서면 신대리 484-8", "지도Link")</f>
        <v/>
      </c>
      <c r="S227" s="6">
        <f>HYPERLINK("http://www.eum.go.kr/web/ar/lu/luLandDet.jsp?pnu=3611036029104840008&amp;isNoScr=script&amp;mode=search",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52.6</v>
      </c>
      <c r="W227" s="4" t="n">
        <v>1370</v>
      </c>
      <c r="X227" s="3" t="inlineStr">
        <is>
          <t>주1동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5.4m</t>
        </is>
      </c>
      <c r="AC227" s="3" t="inlineStr">
        <is>
          <t>2003-02</t>
        </is>
      </c>
      <c r="AD227" s="3" t="inlineStr">
        <is>
          <t>세로한면(가)</t>
        </is>
      </c>
    </row>
    <row r="228">
      <c r="A228" s="3" t="inlineStr">
        <is>
          <t>연서면 쌍류리 332-3</t>
        </is>
      </c>
      <c r="B228" s="3" t="inlineStr">
        <is>
          <t>생산관리지역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90</v>
      </c>
      <c r="H228" s="4" t="n">
        <v>1491</v>
      </c>
      <c r="I228" s="4" t="n">
        <v>451</v>
      </c>
      <c r="J228" s="5" t="n">
        <v>0.2</v>
      </c>
      <c r="K228" s="4" t="n">
        <v>199</v>
      </c>
      <c r="L228" s="4" t="n">
        <v>60</v>
      </c>
      <c r="M228" s="5" t="n">
        <v>1.5</v>
      </c>
      <c r="N228" s="3" t="inlineStr">
        <is>
          <t>1</t>
        </is>
      </c>
      <c r="O228" s="3" t="inlineStr">
        <is>
          <t>-</t>
        </is>
      </c>
      <c r="P228" s="3" t="inlineStr">
        <is>
          <t>도로에 접한 창고 임대카페,창고,시무실 등 용도</t>
        </is>
      </c>
      <c r="Q228" s="6">
        <f>HYPERLINK("https://fin.land.naver.com/articles/2650858536", "매물Link")</f>
        <v/>
      </c>
      <c r="R228" s="6">
        <f>HYPERLINK("https://map.naver.com/p/search/연서면 쌍류리 332-3", "지도Link")</f>
        <v/>
      </c>
      <c r="S228" s="6">
        <f>HYPERLINK("http://www.eum.go.kr/web/ar/lu/luLandDet.jsp?pnu=3611036026103320003&amp;isNoScr=script&amp;mode=search", "토지이음")</f>
        <v/>
      </c>
      <c r="T228" s="3" t="inlineStr">
        <is>
          <t>세종대박</t>
        </is>
      </c>
      <c r="U228" s="4" t="n">
        <v>1</v>
      </c>
      <c r="V228" s="5" t="n">
        <v>47.6</v>
      </c>
      <c r="W228" s="4" t="n">
        <v>1000</v>
      </c>
      <c r="X228" s="3" t="inlineStr">
        <is>
          <t>2동</t>
        </is>
      </c>
      <c r="Y228" s="7" t="inlineStr">
        <is>
          <t>1층</t>
        </is>
      </c>
      <c r="Z228" s="3" t="inlineStr">
        <is>
          <t>경량철골구조</t>
        </is>
      </c>
      <c r="AA228" s="3" t="inlineStr">
        <is>
          <t>제1종근생</t>
        </is>
      </c>
      <c r="AB228" s="3" t="inlineStr">
        <is>
          <t>4.7m</t>
        </is>
      </c>
      <c r="AC228" s="3" t="inlineStr">
        <is>
          <t>2011-12</t>
        </is>
      </c>
      <c r="AD228" s="3" t="inlineStr">
        <is>
          <t>세로한면(가)</t>
        </is>
      </c>
    </row>
    <row r="229">
      <c r="A229" s="3" t="inlineStr">
        <is>
          <t>연서면 와촌리 1119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1010000</v>
      </c>
      <c r="G229" s="4" t="n">
        <v>0</v>
      </c>
      <c r="H229" s="4" t="n">
        <v>22539</v>
      </c>
      <c r="I229" s="4" t="n">
        <v>6818</v>
      </c>
      <c r="J229" s="5" t="n">
        <v>148.1</v>
      </c>
      <c r="K229" s="4" t="n">
        <v>2654</v>
      </c>
      <c r="L229" s="4" t="n">
        <v>803</v>
      </c>
      <c r="M229" s="5" t="n">
        <v>1257.8</v>
      </c>
      <c r="N229" s="3" t="inlineStr">
        <is>
          <t>2</t>
        </is>
      </c>
      <c r="O229" s="3" t="inlineStr">
        <is>
          <t>-</t>
        </is>
      </c>
      <c r="P229" s="3" t="inlineStr">
        <is>
          <t>초급매 계획관리 공장용지 세종스마트국가산단 인근</t>
        </is>
      </c>
      <c r="Q229" s="6">
        <f>HYPERLINK("https://fin.land.naver.com/articles/2649918694", "매물Link")</f>
        <v/>
      </c>
      <c r="R229" s="6">
        <f>HYPERLINK("https://map.naver.com/p/search/연서면 와촌리 1119", "지도Link")</f>
        <v/>
      </c>
      <c r="S229" s="6">
        <f>HYPERLINK("http://www.eum.go.kr/web/ar/lu/luLandDet.jsp?pnu=3611036031111190000&amp;isNoScr=script&amp;mode=search", "토지이음")</f>
        <v/>
      </c>
      <c r="T229" s="3" t="inlineStr">
        <is>
          <t>미스터홈즈강남지사</t>
        </is>
      </c>
      <c r="U229" s="4" t="n">
        <v>1</v>
      </c>
      <c r="V229" s="5" t="n">
        <v>79.7</v>
      </c>
      <c r="W229" s="4" t="n">
        <v>6533</v>
      </c>
      <c r="X229" s="3" t="inlineStr">
        <is>
          <t>A동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8.9m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세종시 저렴한 공장 임대</t>
        </is>
      </c>
      <c r="Q230" s="6">
        <f>HYPERLINK("https://fin.land.naver.com/articles/2645610097",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북세종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3250</v>
      </c>
      <c r="I231" s="4" t="n">
        <v>983</v>
      </c>
      <c r="J231" s="5" t="n">
        <v>356.1</v>
      </c>
      <c r="K231" s="4" t="n">
        <v>1552</v>
      </c>
      <c r="L231" s="4" t="n">
        <v>469</v>
      </c>
      <c r="M231" s="5" t="n">
        <v>746.3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매매</t>
        </is>
      </c>
      <c r="Q231" s="6">
        <f>HYPERLINK("https://fin.land.naver.com/articles/2649602994",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79.7</v>
      </c>
      <c r="W231" s="4" t="n">
        <v>3250</v>
      </c>
      <c r="X231" s="3" t="inlineStr">
        <is>
          <t>C동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-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852-5</t>
        </is>
      </c>
      <c r="B232" s="3" t="inlineStr">
        <is>
          <t>계획관리지역</t>
        </is>
      </c>
      <c r="C232" s="3" t="inlineStr">
        <is>
          <t>잡종지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150</v>
      </c>
      <c r="H232" s="4" t="n">
        <v>928</v>
      </c>
      <c r="I232" s="4" t="n">
        <v>281</v>
      </c>
      <c r="J232" s="5" t="n">
        <v>0.5</v>
      </c>
      <c r="K232" s="4" t="n">
        <v>485</v>
      </c>
      <c r="L232" s="4" t="n">
        <v>147</v>
      </c>
      <c r="M232" s="5" t="n">
        <v>1</v>
      </c>
      <c r="N232" s="3" t="inlineStr">
        <is>
          <t>1</t>
        </is>
      </c>
      <c r="O232" s="3" t="inlineStr">
        <is>
          <t>-</t>
        </is>
      </c>
      <c r="P232" s="3" t="inlineStr">
        <is>
          <t>와촌리 창고임대 세종 초근접</t>
        </is>
      </c>
      <c r="Q232" s="6">
        <f>HYPERLINK("https://fin.land.naver.com/articles/2645642352", "매물Link")</f>
        <v/>
      </c>
      <c r="R232" s="6">
        <f>HYPERLINK("https://map.naver.com/p/search/연서면 와촌리 852-5", "지도Link")</f>
        <v/>
      </c>
      <c r="S232" s="6">
        <f>HYPERLINK("http://www.eum.go.kr/web/ar/lu/luLandDet.jsp?pnu=3611036031108520005&amp;isNoScr=script&amp;mode=search", "토지이음")</f>
        <v/>
      </c>
      <c r="T232" s="3" t="inlineStr">
        <is>
          <t>엄지척</t>
        </is>
      </c>
      <c r="U232" s="4" t="n">
        <v>1</v>
      </c>
      <c r="V232" s="5" t="n">
        <v>82.59999999999999</v>
      </c>
      <c r="W232" s="4" t="n">
        <v>932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제1종근생</t>
        </is>
      </c>
      <c r="AB232" s="3" t="inlineStr">
        <is>
          <t>6.15m</t>
        </is>
      </c>
      <c r="AC232" s="3" t="inlineStr">
        <is>
          <t>1997-05</t>
        </is>
      </c>
      <c r="AD232" s="3" t="inlineStr">
        <is>
          <t>세로한면(가)</t>
        </is>
      </c>
    </row>
    <row r="233">
      <c r="A233" s="3" t="inlineStr">
        <is>
          <t>연서면 와촌리 852-5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150</v>
      </c>
      <c r="H233" s="4" t="n">
        <v>932</v>
      </c>
      <c r="I233" s="4" t="n">
        <v>282</v>
      </c>
      <c r="J233" s="5" t="n">
        <v>0.5</v>
      </c>
      <c r="K233" s="4" t="n">
        <v>488</v>
      </c>
      <c r="L233" s="4" t="n">
        <v>148</v>
      </c>
      <c r="M233" s="5" t="n">
        <v>1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HYPERLINK("https://fin.land.naver.com/articles/2645723804", "매물Link")</f>
        <v/>
      </c>
      <c r="R233" s="6">
        <f>HYPERLINK("https://map.naver.com/p/search/연서면 와촌리 852-5", "지도Link")</f>
        <v/>
      </c>
      <c r="S233" s="6">
        <f>HYPERLINK("http://www.eum.go.kr/web/ar/lu/luLandDet.jsp?pnu=3611036031108520005&amp;isNoScr=script&amp;mode=search", "토지이음")</f>
        <v/>
      </c>
      <c r="T233" s="3" t="inlineStr">
        <is>
          <t>지성</t>
        </is>
      </c>
      <c r="U233" s="4" t="n">
        <v>1</v>
      </c>
      <c r="V233" s="5" t="n">
        <v>82.59999999999999</v>
      </c>
      <c r="W233" s="4" t="n">
        <v>932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제1종근생</t>
        </is>
      </c>
      <c r="AB233" s="3" t="inlineStr">
        <is>
          <t>6.15m</t>
        </is>
      </c>
      <c r="AC233" s="3" t="inlineStr">
        <is>
          <t>1997-05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월하리 902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4000</v>
      </c>
      <c r="G235" s="4" t="n">
        <v>180</v>
      </c>
      <c r="H235" s="4" t="n">
        <v>3244</v>
      </c>
      <c r="I235" s="4" t="n">
        <v>981</v>
      </c>
      <c r="J235" s="5" t="n">
        <v>0.2</v>
      </c>
      <c r="K235" s="4" t="n">
        <v>53</v>
      </c>
      <c r="L235" s="4" t="n">
        <v>16</v>
      </c>
      <c r="M235" s="5" t="n">
        <v>11.2</v>
      </c>
      <c r="N235" s="3" t="inlineStr">
        <is>
          <t>1</t>
        </is>
      </c>
      <c r="O235" s="3" t="inlineStr">
        <is>
          <t>-</t>
        </is>
      </c>
      <c r="P235" s="3" t="inlineStr">
        <is>
          <t>즉시입주 신축 2종근생  활용도 높은 건물임대</t>
        </is>
      </c>
      <c r="Q235" s="6">
        <f>HYPERLINK("https://fin.land.naver.com/articles/2647898557", "매물Link")</f>
        <v/>
      </c>
      <c r="R235" s="6">
        <f>HYPERLINK("https://map.naver.com/p/search/연서면 월하리 902", "지도Link")</f>
        <v/>
      </c>
      <c r="S235" s="6">
        <f>HYPERLINK("http://www.eum.go.kr/web/ar/lu/luLandDet.jsp?pnu=3611036021109020000&amp;isNoScr=script&amp;mode=search", "토지이음")</f>
        <v/>
      </c>
      <c r="T235" s="3" t="inlineStr">
        <is>
          <t>THE행복</t>
        </is>
      </c>
      <c r="U235" s="4" t="n">
        <v>1</v>
      </c>
      <c r="V235" s="5" t="n">
        <v>156.1</v>
      </c>
      <c r="W235" s="4" t="n">
        <v>3244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단독주택</t>
        </is>
      </c>
      <c r="AB235" s="3" t="inlineStr">
        <is>
          <t>4.57m</t>
        </is>
      </c>
      <c r="AC235" s="3" t="inlineStr">
        <is>
          <t>2022-04</t>
        </is>
      </c>
      <c r="AD235" s="3" t="inlineStr">
        <is>
          <t>소로한면</t>
        </is>
      </c>
    </row>
    <row r="236">
      <c r="A236" s="3" t="inlineStr">
        <is>
          <t>연서면 월하리 902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12000</v>
      </c>
      <c r="G236" s="4" t="n">
        <v>500</v>
      </c>
      <c r="H236" s="4" t="n">
        <v>3224</v>
      </c>
      <c r="I236" s="4" t="n">
        <v>975</v>
      </c>
      <c r="J236" s="5" t="n">
        <v>0.5</v>
      </c>
      <c r="K236" s="4" t="n">
        <v>594</v>
      </c>
      <c r="L236" s="4" t="n">
        <v>180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세종신도심, 조치원, 오송 접근성 좋은 2차선도로변 준신축 창고임대</t>
        </is>
      </c>
      <c r="Q236" s="6">
        <f>HYPERLINK("https://fin.land.naver.com/articles/2646264277", "매물Link")</f>
        <v/>
      </c>
      <c r="R236" s="6">
        <f>HYPERLINK("https://map.naver.com/p/search/연서면 월하리 902", "지도Link")</f>
        <v/>
      </c>
      <c r="S236" s="6">
        <f>HYPERLINK("http://www.eum.go.kr/web/ar/lu/luLandDet.jsp?pnu=3611036021109020000&amp;isNoScr=script&amp;mode=search",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156.1</v>
      </c>
      <c r="W236" s="4" t="n">
        <v>3244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제2종근생</t>
        </is>
      </c>
      <c r="AB236" s="3" t="inlineStr">
        <is>
          <t>7.0m</t>
        </is>
      </c>
      <c r="AC236" s="3" t="inlineStr">
        <is>
          <t>2022-04</t>
        </is>
      </c>
      <c r="AD236" s="3" t="inlineStr">
        <is>
          <t>소로한면</t>
        </is>
      </c>
    </row>
    <row r="237">
      <c r="A237" s="3" t="inlineStr">
        <is>
          <t>연서면 월하리 973-2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80000</v>
      </c>
      <c r="G237" s="4" t="n">
        <v>0</v>
      </c>
      <c r="H237" s="4" t="n">
        <v>644</v>
      </c>
      <c r="I237" s="4" t="n">
        <v>195</v>
      </c>
      <c r="J237" s="5" t="n">
        <v>410.3</v>
      </c>
      <c r="K237" s="4" t="n">
        <v>212</v>
      </c>
      <c r="L237" s="4" t="n">
        <v>64</v>
      </c>
      <c r="M237" s="5" t="n">
        <v>1250</v>
      </c>
      <c r="N237" s="3" t="inlineStr">
        <is>
          <t>2</t>
        </is>
      </c>
      <c r="O237" s="3" t="inlineStr">
        <is>
          <t>-</t>
        </is>
      </c>
      <c r="P237" s="3" t="inlineStr">
        <is>
          <t>공공택지 예정지역내 공장매매</t>
        </is>
      </c>
      <c r="Q237" s="6">
        <f>HYPERLINK("https://fin.land.naver.com/articles/2648746844", "매물Link")</f>
        <v/>
      </c>
      <c r="R237" s="6">
        <f>HYPERLINK("https://map.naver.com/p/search/연서면 월하리 973-2", "지도Link")</f>
        <v/>
      </c>
      <c r="S237" s="6">
        <f>HYPERLINK("http://www.eum.go.kr/web/ar/lu/luLandDet.jsp?pnu=3611036021109730002&amp;isNoScr=script&amp;mode=search", "토지이음")</f>
        <v/>
      </c>
      <c r="T237" s="3" t="inlineStr">
        <is>
          <t>KB세종</t>
        </is>
      </c>
      <c r="U237" s="4" t="n">
        <v>1</v>
      </c>
      <c r="V237" s="5" t="n">
        <v>158.3</v>
      </c>
      <c r="W237" s="4" t="n">
        <v>644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8.94m</t>
        </is>
      </c>
      <c r="AC237" s="3" t="inlineStr">
        <is>
          <t>2003-05</t>
        </is>
      </c>
      <c r="AD237" s="3" t="inlineStr">
        <is>
          <t>세로한면(가)</t>
        </is>
      </c>
    </row>
    <row r="238">
      <c r="A238" s="3" t="inlineStr">
        <is>
          <t>오송읍 공북리 271-4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1000</v>
      </c>
      <c r="G238" s="4" t="n">
        <v>150</v>
      </c>
      <c r="H238" s="4" t="n">
        <v>660</v>
      </c>
      <c r="I238" s="4" t="n">
        <v>200</v>
      </c>
      <c r="J238" s="5" t="n">
        <v>0.8</v>
      </c>
      <c r="K238" s="4" t="n">
        <v>330</v>
      </c>
      <c r="L238" s="4" t="n">
        <v>100</v>
      </c>
      <c r="M238" s="5" t="n">
        <v>1.5</v>
      </c>
      <c r="N238" s="3" t="inlineStr">
        <is>
          <t>1</t>
        </is>
      </c>
      <c r="O238" s="3" t="inlineStr">
        <is>
          <t>-</t>
        </is>
      </c>
      <c r="P238" s="3" t="inlineStr">
        <is>
          <t>저렴한 금액으로 대형 창고를 사용할수 있는 기회를 잡으세요</t>
        </is>
      </c>
      <c r="Q238" s="6">
        <f>HYPERLINK("https://fin.land.naver.com/articles/2651108355", "매물Link")</f>
        <v/>
      </c>
      <c r="R238" s="6">
        <f>HYPERLINK("https://map.naver.com/p/search/오송읍 공북리 271-4", "지도Link")</f>
        <v/>
      </c>
      <c r="S238" s="6">
        <f>HYPERLINK("http://www.eum.go.kr/web/ar/lu/luLandDet.jsp?pnu=4311325023102710004&amp;isNoScr=script&amp;mode=search", "토지이음")</f>
        <v/>
      </c>
      <c r="T238" s="3" t="inlineStr">
        <is>
          <t>오송2단지창조</t>
        </is>
      </c>
      <c r="U238" s="4" t="n">
        <v>1</v>
      </c>
      <c r="V238" s="5" t="n">
        <v>77</v>
      </c>
      <c r="W238" s="4" t="n">
        <v>660</v>
      </c>
      <c r="X238" s="3" t="inlineStr">
        <is>
          <t>미표기</t>
        </is>
      </c>
      <c r="Y238" s="7" t="inlineStr">
        <is>
          <t>1층</t>
        </is>
      </c>
      <c r="Z238" s="3" t="inlineStr">
        <is>
          <t>철근콘크리트구조</t>
        </is>
      </c>
      <c r="AA238" s="3" t="inlineStr">
        <is>
          <t>창고시설</t>
        </is>
      </c>
      <c r="AB238" s="3" t="inlineStr">
        <is>
          <t>-</t>
        </is>
      </c>
      <c r="AC238" s="3" t="inlineStr">
        <is>
          <t>1979</t>
        </is>
      </c>
      <c r="AD238" s="3" t="inlineStr">
        <is>
          <t>세로한면(가)</t>
        </is>
      </c>
    </row>
    <row r="239">
      <c r="A239" s="3" t="inlineStr">
        <is>
          <t>오송읍 공북리 271-4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1000</v>
      </c>
      <c r="G239" s="4" t="n">
        <v>150</v>
      </c>
      <c r="H239" s="4" t="n">
        <v>660</v>
      </c>
      <c r="I239" s="4" t="n">
        <v>200</v>
      </c>
      <c r="J239" s="5" t="n">
        <v>0.8</v>
      </c>
      <c r="K239" s="4" t="n">
        <v>330</v>
      </c>
      <c r="L239" s="4" t="n">
        <v>100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층고 높고 넓은 창고전용,2차선도로옆</t>
        </is>
      </c>
      <c r="Q239" s="6">
        <f>HYPERLINK("https://fin.land.naver.com/articles/2645585592", "매물Link")</f>
        <v/>
      </c>
      <c r="R239" s="6">
        <f>HYPERLINK("https://map.naver.com/p/search/오송읍 공북리 271-4", "지도Link")</f>
        <v/>
      </c>
      <c r="S239" s="6">
        <f>HYPERLINK("http://www.eum.go.kr/web/ar/lu/luLandDet.jsp?pnu=4311325023102710004&amp;isNoScr=script&amp;mode=search", "토지이음")</f>
        <v/>
      </c>
      <c r="T239" s="3" t="inlineStr">
        <is>
          <t>오송올래</t>
        </is>
      </c>
      <c r="U239" s="4" t="n">
        <v>2</v>
      </c>
      <c r="V239" s="5" t="n">
        <v>77</v>
      </c>
      <c r="W239" s="4" t="n">
        <v>660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철근콘크리트구조</t>
        </is>
      </c>
      <c r="AA239" s="3" t="inlineStr">
        <is>
          <t>창고시설</t>
        </is>
      </c>
      <c r="AB239" s="3" t="inlineStr">
        <is>
          <t>-</t>
        </is>
      </c>
      <c r="AC239" s="3" t="inlineStr">
        <is>
          <t>1979</t>
        </is>
      </c>
      <c r="AD239" s="3" t="inlineStr">
        <is>
          <t>세로한면(가)</t>
        </is>
      </c>
    </row>
    <row r="240">
      <c r="A240" s="3" t="inlineStr">
        <is>
          <t>오송읍 쌍청리 108-11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140000</v>
      </c>
      <c r="G240" s="4" t="n">
        <v>0</v>
      </c>
      <c r="H240" s="4" t="n">
        <v>2382</v>
      </c>
      <c r="I240" s="4" t="n">
        <v>721</v>
      </c>
      <c r="J240" s="5" t="n">
        <v>194.2</v>
      </c>
      <c r="K240" s="4" t="n">
        <v>696</v>
      </c>
      <c r="L240" s="4" t="n">
        <v>211</v>
      </c>
      <c r="M240" s="5" t="n">
        <v>663.5</v>
      </c>
      <c r="N240" s="3" t="inlineStr">
        <is>
          <t>1</t>
        </is>
      </c>
      <c r="O240" s="3" t="inlineStr">
        <is>
          <t>B1</t>
        </is>
      </c>
      <c r="P240" s="3" t="inlineStr">
        <is>
          <t>진입로6미터도로.주택,빌라,연립주택적합,투자적지</t>
        </is>
      </c>
      <c r="Q240" s="6">
        <f>HYPERLINK("https://fin.land.naver.com/articles/2649051237", "매물Link")</f>
        <v/>
      </c>
      <c r="R240" s="6">
        <f>HYPERLINK("https://map.naver.com/p/search/오송읍 쌍청리 108-11", "지도Link")</f>
        <v/>
      </c>
      <c r="S240" s="6">
        <f>HYPERLINK("http://www.eum.go.kr/web/ar/lu/luLandDet.jsp?pnu=4311325024101080011&amp;isNoScr=script&amp;mode=search", "토지이음")</f>
        <v/>
      </c>
      <c r="T240" s="3" t="inlineStr">
        <is>
          <t>이박사</t>
        </is>
      </c>
      <c r="U240" s="4" t="n">
        <v>1</v>
      </c>
      <c r="V240" s="5" t="n">
        <v>70.09999999999999</v>
      </c>
      <c r="W240" s="4" t="n">
        <v>68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연제리 610-1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199000</v>
      </c>
      <c r="G241" s="4" t="n">
        <v>0</v>
      </c>
      <c r="H241" s="4" t="n">
        <v>2307</v>
      </c>
      <c r="I241" s="4" t="n">
        <v>698</v>
      </c>
      <c r="J241" s="5" t="n">
        <v>285.1</v>
      </c>
      <c r="K241" s="4" t="n">
        <v>410</v>
      </c>
      <c r="L241" s="4" t="n">
        <v>124</v>
      </c>
      <c r="M241" s="5" t="n">
        <v>1604.8</v>
      </c>
      <c r="N241" s="3" t="inlineStr">
        <is>
          <t>1</t>
        </is>
      </c>
      <c r="O241" s="3" t="inlineStr">
        <is>
          <t>-</t>
        </is>
      </c>
      <c r="P241" s="3" t="inlineStr">
        <is>
          <t>오송제1생명과학단지내 저렴한 공장 급매</t>
        </is>
      </c>
      <c r="Q241" s="6">
        <f>HYPERLINK("https://fin.land.naver.com/articles/2648395242", "매물Link")</f>
        <v/>
      </c>
      <c r="R241" s="6">
        <f>HYPERLINK("https://map.naver.com/p/search/오송읍 연제리 610-1", "지도Link")</f>
        <v/>
      </c>
      <c r="S241" s="6">
        <f>HYPERLINK("http://www.eum.go.kr/web/ar/lu/luLandDet.jsp?pnu=4311325026106100001&amp;isNoScr=script&amp;mode=search", "토지이음")</f>
        <v/>
      </c>
      <c r="T241" s="3" t="inlineStr">
        <is>
          <t>청담</t>
        </is>
      </c>
      <c r="U241" s="4" t="n">
        <v>2</v>
      </c>
      <c r="V241" s="5" t="n">
        <v>70.3</v>
      </c>
      <c r="W241" s="4" t="n">
        <v>2307.9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10.15m</t>
        </is>
      </c>
      <c r="AC241" s="3" t="inlineStr">
        <is>
          <t>2013-10</t>
        </is>
      </c>
      <c r="AD241" s="3" t="inlineStr">
        <is>
          <t>중로한면</t>
        </is>
      </c>
    </row>
    <row r="242">
      <c r="A242" s="3" t="inlineStr">
        <is>
          <t>오송읍 연제리 610-1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200000</v>
      </c>
      <c r="G242" s="4" t="n">
        <v>0</v>
      </c>
      <c r="H242" s="4" t="n">
        <v>2307</v>
      </c>
      <c r="I242" s="4" t="n">
        <v>698</v>
      </c>
      <c r="J242" s="5" t="n">
        <v>286.5</v>
      </c>
      <c r="K242" s="4" t="n">
        <v>410</v>
      </c>
      <c r="L242" s="4" t="n">
        <v>124</v>
      </c>
      <c r="M242" s="5" t="n">
        <v>1612.9</v>
      </c>
      <c r="N242" s="3" t="inlineStr">
        <is>
          <t>1</t>
        </is>
      </c>
      <c r="O242" s="3" t="inlineStr">
        <is>
          <t>-</t>
        </is>
      </c>
      <c r="P242" s="3" t="inlineStr">
        <is>
          <t>오송역인근 산업단지의 층고 10m. 증축 가능한 야드 넓은 공장매매</t>
        </is>
      </c>
      <c r="Q242" s="6">
        <f>HYPERLINK("https://fin.land.naver.com/articles/2647859718", "매물Link")</f>
        <v/>
      </c>
      <c r="R242" s="6">
        <f>HYPERLINK("https://map.naver.com/p/search/오송읍 연제리 610-1", "지도Link")</f>
        <v/>
      </c>
      <c r="S242" s="6">
        <f>HYPERLINK("http://www.eum.go.kr/web/ar/lu/luLandDet.jsp?pnu=4311325026106100001&amp;isNoScr=script&amp;mode=search",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70.3</v>
      </c>
      <c r="W242" s="4" t="n">
        <v>2307.9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10.15m</t>
        </is>
      </c>
      <c r="AC242" s="3" t="inlineStr">
        <is>
          <t>2013-10</t>
        </is>
      </c>
      <c r="AD242" s="3" t="inlineStr">
        <is>
          <t>중로한면</t>
        </is>
      </c>
    </row>
    <row r="243">
      <c r="A243" s="3" t="inlineStr">
        <is>
          <t>오송읍 연제리 610-2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550000</v>
      </c>
      <c r="G243" s="4" t="n">
        <v>0</v>
      </c>
      <c r="H243" s="4" t="n">
        <v>6481</v>
      </c>
      <c r="I243" s="4" t="n">
        <v>1961</v>
      </c>
      <c r="J243" s="5" t="n">
        <v>280.5</v>
      </c>
      <c r="K243" s="4" t="n">
        <v>996</v>
      </c>
      <c r="L243" s="4" t="n">
        <v>301</v>
      </c>
      <c r="M243" s="5" t="n">
        <v>1827.2</v>
      </c>
      <c r="N243" s="3" t="inlineStr">
        <is>
          <t>1</t>
        </is>
      </c>
      <c r="O243" s="3" t="inlineStr">
        <is>
          <t>-</t>
        </is>
      </c>
      <c r="P243" s="3" t="inlineStr">
        <is>
          <t>옥산IC인근, 화학코드, 화장품, 바이오, 첨단업종 가능, 야드 넓음</t>
        </is>
      </c>
      <c r="Q243" s="6">
        <f>HYPERLINK("https://fin.land.naver.com/articles/2649948345", "매물Link")</f>
        <v/>
      </c>
      <c r="R243" s="6">
        <f>HYPERLINK("https://map.naver.com/p/search/오송읍 연제리 610-2", "지도Link")</f>
        <v/>
      </c>
      <c r="S243" s="6">
        <f>HYPERLINK("http://www.eum.go.kr/web/ar/lu/luLandDet.jsp?pnu=4311325026106100002&amp;isNoScr=script&amp;mode=search",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70.40000000000001</v>
      </c>
      <c r="W243" s="4" t="n">
        <v>2165.9</v>
      </c>
      <c r="X243" s="3" t="inlineStr">
        <is>
          <t>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2016-11</t>
        </is>
      </c>
      <c r="AD243" s="3" t="inlineStr">
        <is>
          <t>중로각지</t>
        </is>
      </c>
    </row>
    <row r="244">
      <c r="A244" s="3" t="inlineStr">
        <is>
          <t>오송읍 오송리 115-11</t>
        </is>
      </c>
      <c r="B244" s="3" t="inlineStr">
        <is>
          <t>농림지역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80</v>
      </c>
      <c r="H244" s="4" t="n">
        <v>780</v>
      </c>
      <c r="I244" s="4" t="n">
        <v>236</v>
      </c>
      <c r="J244" s="5" t="n">
        <v>0.3</v>
      </c>
      <c r="K244" s="4" t="n">
        <v>171</v>
      </c>
      <c r="L244" s="4" t="n">
        <v>52</v>
      </c>
      <c r="M244" s="5" t="n">
        <v>1.5</v>
      </c>
      <c r="N244" s="3" t="inlineStr">
        <is>
          <t>1</t>
        </is>
      </c>
      <c r="O244" s="3" t="inlineStr">
        <is>
          <t>B1</t>
        </is>
      </c>
      <c r="P244" s="3" t="inlineStr">
        <is>
          <t>171㎡창고 오송역세권 주차 교통편리</t>
        </is>
      </c>
      <c r="Q244" s="6">
        <f>HYPERLINK("https://fin.land.naver.com/articles/2647027276", "매물Link")</f>
        <v/>
      </c>
      <c r="R244" s="6">
        <f>HYPERLINK("https://map.naver.com/p/search/오송읍 오송리 115-11", "지도Link")</f>
        <v/>
      </c>
      <c r="S244" s="6">
        <f>HYPERLINK("http://www.eum.go.kr/web/ar/lu/luLandDet.jsp?pnu=4311325028101150011&amp;isNoScr=script&amp;mode=search", "토지이음")</f>
        <v/>
      </c>
      <c r="T244" s="3" t="inlineStr">
        <is>
          <t>하림</t>
        </is>
      </c>
      <c r="U244" s="4" t="n">
        <v>1</v>
      </c>
      <c r="V244" s="5" t="n">
        <v>82.2</v>
      </c>
      <c r="W244" s="4" t="n">
        <v>780</v>
      </c>
      <c r="X244" s="3" t="inlineStr">
        <is>
          <t>주건축물제2동</t>
        </is>
      </c>
      <c r="Y244" s="7" t="inlineStr">
        <is>
          <t>1층</t>
        </is>
      </c>
      <c r="Z244" s="3" t="inlineStr">
        <is>
          <t>경량철골구조</t>
        </is>
      </c>
      <c r="AA244" s="3" t="inlineStr">
        <is>
          <t>창고시설</t>
        </is>
      </c>
      <c r="AB244" s="3" t="inlineStr">
        <is>
          <t>3.6m</t>
        </is>
      </c>
      <c r="AC244" s="3" t="inlineStr">
        <is>
          <t>2011-12</t>
        </is>
      </c>
      <c r="AD244" s="3" t="inlineStr">
        <is>
          <t>세로한면(가)</t>
        </is>
      </c>
    </row>
    <row r="245">
      <c r="A245" s="3" t="inlineStr">
        <is>
          <t>오송읍 오송리 242-18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10000</v>
      </c>
      <c r="G245" s="4" t="n">
        <v>1500</v>
      </c>
      <c r="H245" s="4" t="n">
        <v>1807</v>
      </c>
      <c r="I245" s="4" t="n">
        <v>547</v>
      </c>
      <c r="J245" s="5" t="n">
        <v>2.7</v>
      </c>
      <c r="K245" s="4" t="n">
        <v>825</v>
      </c>
      <c r="L245" s="4" t="n">
        <v>250</v>
      </c>
      <c r="M245" s="5" t="n">
        <v>6</v>
      </c>
      <c r="N245" s="3" t="inlineStr">
        <is>
          <t>2</t>
        </is>
      </c>
      <c r="O245" s="3" t="inlineStr">
        <is>
          <t>-</t>
        </is>
      </c>
      <c r="P245" s="3" t="inlineStr">
        <is>
          <t>대지 1180. 기존 택배자리. 물류 창고 적합</t>
        </is>
      </c>
      <c r="Q245" s="6">
        <f>HYPERLINK("https://fin.land.naver.com/articles/2648710674", "매물Link")</f>
        <v/>
      </c>
      <c r="R245" s="6">
        <f>HYPERLINK("https://map.naver.com/p/search/오송읍 오송리 242-18", "지도Link")</f>
        <v/>
      </c>
      <c r="S245" s="6">
        <f>HYPERLINK("http://www.eum.go.kr/web/ar/lu/luLandDet.jsp?pnu=4311325028102420018&amp;isNoScr=script&amp;mode=search",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129.4</v>
      </c>
      <c r="W245" s="4" t="n">
        <v>1807</v>
      </c>
      <c r="X245" s="3" t="inlineStr">
        <is>
          <t>미표기</t>
        </is>
      </c>
      <c r="Y245" s="7" t="inlineStr">
        <is>
          <t>2층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9.2m</t>
        </is>
      </c>
      <c r="AC245" s="3" t="inlineStr">
        <is>
          <t>2013-08</t>
        </is>
      </c>
      <c r="AD245" s="3" t="inlineStr">
        <is>
          <t>세로한면(가)</t>
        </is>
      </c>
    </row>
    <row r="246">
      <c r="A246" s="3" t="inlineStr">
        <is>
          <t>오송읍 오송리 242-18</t>
        </is>
      </c>
      <c r="B246" s="3" t="inlineStr">
        <is>
          <t>계획관리지역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10000</v>
      </c>
      <c r="G246" s="4" t="n">
        <v>1500</v>
      </c>
      <c r="H246" s="4" t="n">
        <v>1807</v>
      </c>
      <c r="I246" s="4" t="n">
        <v>547</v>
      </c>
      <c r="J246" s="5" t="n">
        <v>2.7</v>
      </c>
      <c r="K246" s="4" t="n">
        <v>825</v>
      </c>
      <c r="L246" s="4" t="n">
        <v>250</v>
      </c>
      <c r="M246" s="5" t="n">
        <v>6</v>
      </c>
      <c r="N246" s="3" t="inlineStr">
        <is>
          <t>2</t>
        </is>
      </c>
      <c r="O246" s="3" t="inlineStr">
        <is>
          <t>-</t>
        </is>
      </c>
      <c r="P246" s="3" t="inlineStr">
        <is>
          <t>건물1층206형 2층 44형 대지1180형 택배하던자리</t>
        </is>
      </c>
      <c r="Q246" s="6">
        <f>HYPERLINK("https://fin.land.naver.com/articles/2649343320", "매물Link")</f>
        <v/>
      </c>
      <c r="R246" s="6">
        <f>HYPERLINK("https://map.naver.com/p/search/오송읍 오송리 242-18", "지도Link")</f>
        <v/>
      </c>
      <c r="S246" s="6">
        <f>HYPERLINK("http://www.eum.go.kr/web/ar/lu/luLandDet.jsp?pnu=4311325028102420018&amp;isNoScr=script&amp;mode=search",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129.4</v>
      </c>
      <c r="W246" s="4" t="n">
        <v>1807</v>
      </c>
      <c r="X246" s="3" t="inlineStr">
        <is>
          <t>미표기</t>
        </is>
      </c>
      <c r="Y246" s="7" t="inlineStr">
        <is>
          <t>2층</t>
        </is>
      </c>
      <c r="Z246" s="3" t="inlineStr">
        <is>
          <t>일반철골구조</t>
        </is>
      </c>
      <c r="AA246" s="3" t="inlineStr">
        <is>
          <t>창고시설</t>
        </is>
      </c>
      <c r="AB246" s="3" t="inlineStr">
        <is>
          <t>9.2m</t>
        </is>
      </c>
      <c r="AC246" s="3" t="inlineStr">
        <is>
          <t>2013-08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246-45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1739</v>
      </c>
      <c r="I248" s="4" t="n">
        <v>526</v>
      </c>
      <c r="J248" s="5" t="n">
        <v>0.6</v>
      </c>
      <c r="K248" s="4" t="n">
        <v>440</v>
      </c>
      <c r="L248" s="4" t="n">
        <v>133</v>
      </c>
      <c r="M248" s="5" t="n">
        <v>2.3</v>
      </c>
      <c r="N248" s="3" t="inlineStr">
        <is>
          <t>2</t>
        </is>
      </c>
      <c r="O248" s="3" t="inlineStr">
        <is>
          <t>-</t>
        </is>
      </c>
      <c r="P248" s="3" t="inlineStr">
        <is>
          <t>오송 교차로 인근 공장.</t>
        </is>
      </c>
      <c r="Q248" s="6">
        <f>HYPERLINK("https://fin.land.naver.com/articles/2648710493", "매물Link")</f>
        <v/>
      </c>
      <c r="R248" s="6">
        <f>HYPERLINK("https://map.naver.com/p/search/오송읍 오송리 246-45", "지도Link")</f>
        <v/>
      </c>
      <c r="S248" s="6">
        <f>HYPERLINK("http://www.eum.go.kr/web/ar/lu/luLandDet.jsp?pnu=4311325028102460045&amp;isNoScr=script&amp;mode=search",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152.1</v>
      </c>
      <c r="W248" s="4" t="n">
        <v>1739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벽돌구조</t>
        </is>
      </c>
      <c r="AA248" s="3" t="inlineStr">
        <is>
          <t>공장</t>
        </is>
      </c>
      <c r="AB248" s="3" t="inlineStr">
        <is>
          <t>-</t>
        </is>
      </c>
      <c r="AC248" s="3" t="inlineStr">
        <is>
          <t>1980</t>
        </is>
      </c>
      <c r="AD248" s="3" t="inlineStr">
        <is>
          <t>세로한면(가)</t>
        </is>
      </c>
    </row>
    <row r="249">
      <c r="A249" s="3" t="inlineStr">
        <is>
          <t>오송읍 오송리 246-45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250</v>
      </c>
      <c r="H249" s="4" t="n">
        <v>1739</v>
      </c>
      <c r="I249" s="4" t="n">
        <v>526</v>
      </c>
      <c r="J249" s="5" t="n">
        <v>0.5</v>
      </c>
      <c r="K249" s="4" t="n">
        <v>440</v>
      </c>
      <c r="L249" s="4" t="n">
        <v>133</v>
      </c>
      <c r="M249" s="5" t="n">
        <v>1.9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공장, 창고 l 교통 편리 l 6개동 일괄 임대</t>
        </is>
      </c>
      <c r="Q249" s="6">
        <f>HYPERLINK("https://fin.land.naver.com/articles/2650437203", "매물Link")</f>
        <v/>
      </c>
      <c r="R249" s="6">
        <f>HYPERLINK("https://map.naver.com/p/search/오송읍 오송리 246-45", "지도Link")</f>
        <v/>
      </c>
      <c r="S249" s="6">
        <f>HYPERLINK("http://www.eum.go.kr/web/ar/lu/luLandDet.jsp?pnu=4311325028102460045&amp;isNoScr=script&amp;mode=search", "토지이음")</f>
        <v/>
      </c>
      <c r="T249" s="3" t="inlineStr">
        <is>
          <t>에이스</t>
        </is>
      </c>
      <c r="U249" s="4" t="n">
        <v>1</v>
      </c>
      <c r="V249" s="5" t="n">
        <v>152.1</v>
      </c>
      <c r="W249" s="4" t="n">
        <v>1739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벽돌구조</t>
        </is>
      </c>
      <c r="AA249" s="3" t="inlineStr">
        <is>
          <t>공장</t>
        </is>
      </c>
      <c r="AB249" s="3" t="inlineStr">
        <is>
          <t>-</t>
        </is>
      </c>
      <c r="AC249" s="3" t="inlineStr">
        <is>
          <t>1980</t>
        </is>
      </c>
      <c r="AD249" s="3" t="inlineStr">
        <is>
          <t>세로한면(가)</t>
        </is>
      </c>
    </row>
    <row r="250">
      <c r="A250" s="3" t="inlineStr">
        <is>
          <t>오송읍 오송리 246-51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180</v>
      </c>
      <c r="H250" s="4" t="n">
        <v>1524</v>
      </c>
      <c r="I250" s="4" t="n">
        <v>461</v>
      </c>
      <c r="J250" s="5" t="n">
        <v>0.4</v>
      </c>
      <c r="K250" s="4" t="n">
        <v>536</v>
      </c>
      <c r="L250" s="4" t="n">
        <v>162</v>
      </c>
      <c r="M250" s="5" t="n">
        <v>1.1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HYPERLINK("https://fin.land.naver.com/articles/2645321144", "매물Link")</f>
        <v/>
      </c>
      <c r="R250" s="6">
        <f>HYPERLINK("https://map.naver.com/p/search/오송읍 오송리 246-51", "지도Link")</f>
        <v/>
      </c>
      <c r="S250" s="6">
        <f>HYPERLINK("http://www.eum.go.kr/web/ar/lu/luLandDet.jsp?pnu=4311325028102460051&amp;isNoScr=script&amp;mode=search", "토지이음")</f>
        <v/>
      </c>
      <c r="T250" s="3" t="inlineStr">
        <is>
          <t>365</t>
        </is>
      </c>
      <c r="U250" s="4" t="n">
        <v>2</v>
      </c>
      <c r="V250" s="5" t="n">
        <v>163.6</v>
      </c>
      <c r="W250" s="4" t="n">
        <v>1447</v>
      </c>
      <c r="X250" s="3" t="inlineStr">
        <is>
          <t>미표기</t>
        </is>
      </c>
      <c r="Y250" s="7" t="inlineStr">
        <is>
          <t>1층</t>
        </is>
      </c>
      <c r="Z250" s="3" t="inlineStr">
        <is>
          <t>블록구조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1981-11</t>
        </is>
      </c>
      <c r="AD250" s="3" t="inlineStr">
        <is>
          <t>세로한면(가)</t>
        </is>
      </c>
    </row>
    <row r="251">
      <c r="A251" s="3" t="inlineStr">
        <is>
          <t>오송읍 오송리 246-71</t>
        </is>
      </c>
      <c r="B251" s="3" t="inlineStr">
        <is>
          <t>계획관리지역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1000</v>
      </c>
      <c r="G251" s="4" t="n">
        <v>100</v>
      </c>
      <c r="H251" s="4" t="n">
        <v>565</v>
      </c>
      <c r="I251" s="4" t="n">
        <v>171</v>
      </c>
      <c r="J251" s="5" t="n">
        <v>0.6</v>
      </c>
      <c r="K251" s="4" t="n">
        <v>227</v>
      </c>
      <c r="L251" s="4" t="n">
        <v>69</v>
      </c>
      <c r="M251" s="5" t="n">
        <v>1.4</v>
      </c>
      <c r="N251" s="3" t="inlineStr">
        <is>
          <t>1</t>
        </is>
      </c>
      <c r="O251" s="3" t="inlineStr">
        <is>
          <t>-</t>
        </is>
      </c>
      <c r="P251" s="3" t="inlineStr">
        <is>
          <t>창고와 별도 사무실이 있음</t>
        </is>
      </c>
      <c r="Q251" s="6">
        <f>HYPERLINK("https://fin.land.naver.com/articles/2649702312", "매물Link")</f>
        <v/>
      </c>
      <c r="R251" s="6">
        <f>HYPERLINK("https://map.naver.com/p/search/오송읍 오송리 246-71", "지도Link")</f>
        <v/>
      </c>
      <c r="S251" s="6">
        <f>HYPERLINK("http://www.eum.go.kr/web/ar/lu/luLandDet.jsp?pnu=4311325028102460071&amp;isNoScr=script&amp;mode=search", "토지이음")</f>
        <v/>
      </c>
      <c r="T251" s="3" t="inlineStr">
        <is>
          <t>금송</t>
        </is>
      </c>
      <c r="U251" s="4" t="n">
        <v>1</v>
      </c>
      <c r="V251" s="5" t="n">
        <v>152.1</v>
      </c>
      <c r="W251" s="4" t="n">
        <v>320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세로한면(불)</t>
        </is>
      </c>
    </row>
    <row r="252">
      <c r="A252" s="3" t="inlineStr">
        <is>
          <t>오송읍 오송리 63-8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매매</t>
        </is>
      </c>
      <c r="F252" s="4" t="n">
        <v>155000</v>
      </c>
      <c r="G252" s="4" t="n">
        <v>0</v>
      </c>
      <c r="H252" s="4" t="n">
        <v>1100</v>
      </c>
      <c r="I252" s="4" t="n">
        <v>333</v>
      </c>
      <c r="J252" s="5" t="n">
        <v>465.5</v>
      </c>
      <c r="K252" s="4" t="n">
        <v>464</v>
      </c>
      <c r="L252" s="4" t="n">
        <v>140</v>
      </c>
      <c r="M252" s="5" t="n">
        <v>1107.1</v>
      </c>
      <c r="N252" s="3" t="inlineStr">
        <is>
          <t>1</t>
        </is>
      </c>
      <c r="O252" s="3" t="inlineStr">
        <is>
          <t>-</t>
        </is>
      </c>
      <c r="P252" s="3" t="inlineStr">
        <is>
          <t>오송 역세권 위치좋은 창고시설</t>
        </is>
      </c>
      <c r="Q252" s="6">
        <f>HYPERLINK("https://fin.land.naver.com/articles/2648538814", "매물Link")</f>
        <v/>
      </c>
      <c r="R252" s="6">
        <f>HYPERLINK("https://map.naver.com/p/search/오송읍 오송리 63-8", "지도Link")</f>
        <v/>
      </c>
      <c r="S252" s="6">
        <f>HYPERLINK("http://www.eum.go.kr/web/ar/lu/luLandDet.jsp?pnu=4311325028100630008&amp;isNoScr=script&amp;mode=search", "토지이음")</f>
        <v/>
      </c>
      <c r="T252" s="3" t="inlineStr">
        <is>
          <t>동남조은집</t>
        </is>
      </c>
      <c r="U252" s="4" t="n">
        <v>1</v>
      </c>
      <c r="V252" s="5" t="n">
        <v>283.4</v>
      </c>
      <c r="W252" s="4" t="n">
        <v>1041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창고시설</t>
        </is>
      </c>
      <c r="AB252" s="3" t="inlineStr">
        <is>
          <t>7.15m</t>
        </is>
      </c>
      <c r="AC252" s="3" t="inlineStr">
        <is>
          <t>2006-09</t>
        </is>
      </c>
      <c r="AD252" s="3" t="inlineStr">
        <is>
          <t>중로각지</t>
        </is>
      </c>
    </row>
    <row r="253">
      <c r="A253" s="3" t="inlineStr">
        <is>
          <t>오송읍 정중리 636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400000</v>
      </c>
      <c r="G253" s="4" t="n">
        <v>0</v>
      </c>
      <c r="H253" s="4" t="n">
        <v>2000</v>
      </c>
      <c r="I253" s="4" t="n">
        <v>605</v>
      </c>
      <c r="J253" s="5" t="n">
        <v>661.2</v>
      </c>
      <c r="K253" s="4" t="n">
        <v>501</v>
      </c>
      <c r="L253" s="4" t="n">
        <v>152</v>
      </c>
      <c r="M253" s="5" t="n">
        <v>2631.6</v>
      </c>
      <c r="N253" s="3" t="inlineStr">
        <is>
          <t>1</t>
        </is>
      </c>
      <c r="O253" s="3" t="inlineStr">
        <is>
          <t>-</t>
        </is>
      </c>
      <c r="P253" s="3" t="inlineStr">
        <is>
          <t>비금속광물,금속,기계,장비,자동차,운송장비 제조업 등 첨단관련 입주가능</t>
        </is>
      </c>
      <c r="Q253" s="6">
        <f>HYPERLINK("https://fin.land.naver.com/articles/2645345120", "매물Link")</f>
        <v/>
      </c>
      <c r="R253" s="6">
        <f>HYPERLINK("https://map.naver.com/p/search/오송읍 정중리 636", "지도Link")</f>
        <v/>
      </c>
      <c r="S253" s="6">
        <f>HYPERLINK("http://www.eum.go.kr/web/ar/lu/luLandDet.jsp?pnu=4311325032106360000&amp;isNoScr=script&amp;mode=search",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66.90000000000001</v>
      </c>
      <c r="W253" s="4" t="n">
        <v>2000.1</v>
      </c>
      <c r="X253" s="3" t="inlineStr">
        <is>
          <t>주2동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9.1m</t>
        </is>
      </c>
      <c r="AC253" s="3" t="inlineStr">
        <is>
          <t>2021-10</t>
        </is>
      </c>
      <c r="AD253" s="3" t="inlineStr">
        <is>
          <t>중로한면</t>
        </is>
      </c>
    </row>
    <row r="254">
      <c r="A254" s="3" t="inlineStr">
        <is>
          <t>오송읍 정중리 651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300</v>
      </c>
      <c r="H254" s="4" t="n">
        <v>16494</v>
      </c>
      <c r="I254" s="4" t="n">
        <v>4989</v>
      </c>
      <c r="J254" s="5" t="n">
        <v>0.1</v>
      </c>
      <c r="K254" s="4" t="n">
        <v>337</v>
      </c>
      <c r="L254" s="4" t="n">
        <v>102</v>
      </c>
      <c r="M254" s="5" t="n">
        <v>2.9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오송바이오폴리스지구,식품관련업종,사무실,공장 다 가능</t>
        </is>
      </c>
      <c r="Q254" s="6">
        <f>HYPERLINK("https://fin.land.naver.com/articles/2647583393", "매물Link")</f>
        <v/>
      </c>
      <c r="R254" s="6">
        <f>HYPERLINK("https://map.naver.com/p/search/오송읍 정중리 651", "지도Link")</f>
        <v/>
      </c>
      <c r="S254" s="6">
        <f>HYPERLINK("http://www.eum.go.kr/web/ar/lu/luLandDet.jsp?pnu=4311325032106510000&amp;isNoScr=script&amp;mode=search", "토지이음")</f>
        <v/>
      </c>
      <c r="T254" s="3" t="inlineStr">
        <is>
          <t>오송올래</t>
        </is>
      </c>
      <c r="U254" s="4" t="n">
        <v>1</v>
      </c>
      <c r="V254" s="5" t="n">
        <v>68.40000000000001</v>
      </c>
      <c r="W254" s="4" t="n">
        <v>16494.5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3.79m</t>
        </is>
      </c>
      <c r="AC254" s="3" t="inlineStr">
        <is>
          <t>2020-06</t>
        </is>
      </c>
      <c r="AD254" s="3" t="inlineStr">
        <is>
          <t>광대로한면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1000</v>
      </c>
      <c r="H256" s="4" t="n">
        <v>2169</v>
      </c>
      <c r="I256" s="4" t="n">
        <v>656</v>
      </c>
      <c r="J256" s="5" t="n">
        <v>1.5</v>
      </c>
      <c r="K256" s="4" t="n">
        <v>999</v>
      </c>
      <c r="L256" s="4" t="n">
        <v>302</v>
      </c>
      <c r="M256" s="5" t="n">
        <v>3.3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HYPERLINK("https://fin.land.naver.com/articles/2650586118",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(주)미르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주건축물제1동</t>
        </is>
      </c>
      <c r="Y256" s="7" t="inlineStr">
        <is>
          <t>1층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6.9m</t>
        </is>
      </c>
      <c r="AC256" s="3" t="inlineStr">
        <is>
          <t>2019-12</t>
        </is>
      </c>
      <c r="AD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오송바이오폴리스 산업단지 사옥형 공장 임대 입주협의</t>
        </is>
      </c>
      <c r="Q259" s="6">
        <f>HYPERLINK("https://fin.land.naver.com/articles/2650873410",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HYPERLINK("https://fin.land.naver.com/articles/2649253999",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(주)미르</t>
        </is>
      </c>
      <c r="U261" s="4" t="n">
        <v>3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592</v>
      </c>
      <c r="L262" s="4" t="n">
        <v>179</v>
      </c>
      <c r="M262" s="5" t="n">
        <v>5.6</v>
      </c>
      <c r="N262" s="3" t="inlineStr">
        <is>
          <t>1</t>
        </is>
      </c>
      <c r="O262" s="3" t="inlineStr">
        <is>
          <t>-</t>
        </is>
      </c>
      <c r="P262" s="3" t="inlineStr">
        <is>
          <t>시설이 완벽하게 갖춰져 있는 건물,공장 월세 임대 가능한 매물입니다</t>
        </is>
      </c>
      <c r="Q262" s="6">
        <f>HYPERLINK("https://fin.land.naver.com/articles/2651110067",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오송2단지창조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14761</v>
      </c>
      <c r="L263" s="4" t="n">
        <v>4465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3층,4층 공장, 창고 임대.전층공조시설완비,바닥 콘크리트마감, 신축</t>
        </is>
      </c>
      <c r="Q264" s="6">
        <f>HYPERLINK("https://fin.land.naver.com/articles/2648733525",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부속건축물제1동</t>
        </is>
      </c>
      <c r="Y264" s="7" t="inlineStr">
        <is>
          <t>1층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8.0m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15064</v>
      </c>
      <c r="L267" s="4" t="n">
        <v>4557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오송산업단지 공장  오송역 ,청주ic 10분이내  분할 임대가능</t>
        </is>
      </c>
      <c r="Q267" s="6">
        <f>HYPERLINK("https://fin.land.naver.com/articles/2649039082",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오송산업단지 공장  오송역 ,청주ic 10분이내  분할 임대가능</t>
        </is>
      </c>
      <c r="Q268" s="6">
        <f>HYPERLINK("https://fin.land.naver.com/articles/2649016336",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전층공조시설완비,바닥 유크리트마감, 신축공장,건기식,제약,화장품 추천</t>
        </is>
      </c>
      <c r="Q270" s="6">
        <f>HYPERLINK("https://fin.land.naver.com/articles/2650525742",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15064</v>
      </c>
      <c r="L271" s="4" t="n">
        <v>4557</v>
      </c>
      <c r="M271" s="5" t="n">
        <v>0.8</v>
      </c>
      <c r="N271" s="3" t="inlineStr">
        <is>
          <t>5</t>
        </is>
      </c>
      <c r="O271" s="3" t="inlineStr">
        <is>
          <t>-</t>
        </is>
      </c>
      <c r="P271" s="3" t="inlineStr">
        <is>
          <t>크린룸,폐수처리,위험물저장소,전층공조시설,화물엘베 각층3개,신축급 공장</t>
        </is>
      </c>
      <c r="Q271" s="6">
        <f>HYPERLINK("https://fin.land.naver.com/articles/2650398819",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1476</v>
      </c>
      <c r="L272" s="4" t="n">
        <v>446</v>
      </c>
      <c r="M272" s="5" t="n">
        <v>22.4</v>
      </c>
      <c r="N272" s="3" t="inlineStr">
        <is>
          <t>5</t>
        </is>
      </c>
      <c r="O272" s="3" t="inlineStr">
        <is>
          <t>-</t>
        </is>
      </c>
      <c r="P272" s="3" t="inlineStr">
        <is>
          <t>전층공조시설완비,바닥 크리트마감, 신축공장,건기식,제약,화장품 추천</t>
        </is>
      </c>
      <c r="Q272" s="6">
        <f>HYPERLINK("https://fin.land.naver.com/articles/2650624911",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부속건축물제1동</t>
        </is>
      </c>
      <c r="Y272" s="7" t="inlineStr">
        <is>
          <t>1층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8.0m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2800</v>
      </c>
      <c r="H273" s="4" t="n">
        <v>4999</v>
      </c>
      <c r="I273" s="4" t="n">
        <v>1512</v>
      </c>
      <c r="J273" s="5" t="n">
        <v>1.9</v>
      </c>
      <c r="K273" s="4" t="n">
        <v>9796</v>
      </c>
      <c r="L273" s="4" t="n">
        <v>2963</v>
      </c>
      <c r="M273" s="5" t="n">
        <v>0.9</v>
      </c>
      <c r="N273" s="3" t="inlineStr">
        <is>
          <t>3</t>
        </is>
      </c>
      <c r="O273" s="3" t="inlineStr">
        <is>
          <t>-</t>
        </is>
      </c>
      <c r="P273" s="3" t="inlineStr">
        <is>
          <t>신축급,전기,화학,화장품,의약품 등 입주가능,각층별 과 전체 임대가능</t>
        </is>
      </c>
      <c r="Q273" s="6">
        <f>HYPERLINK("https://fin.land.naver.com/articles/2650190812",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72.90000000000001</v>
      </c>
      <c r="W273" s="4" t="n">
        <v>4999.8</v>
      </c>
      <c r="X273" s="3" t="inlineStr">
        <is>
          <t>주1</t>
        </is>
      </c>
      <c r="Y273" s="7" t="inlineStr">
        <is>
          <t>3층</t>
        </is>
      </c>
      <c r="Z273" s="3" t="inlineStr">
        <is>
          <t>일반철골구조</t>
        </is>
      </c>
      <c r="AA273" s="3" t="inlineStr">
        <is>
          <t>공장</t>
        </is>
      </c>
      <c r="AB273" s="3" t="inlineStr">
        <is>
          <t>16.68m</t>
        </is>
      </c>
      <c r="AC273" s="3" t="inlineStr">
        <is>
          <t>2019-10</t>
        </is>
      </c>
      <c r="AD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4500</v>
      </c>
      <c r="H274" s="4" t="n">
        <v>4999</v>
      </c>
      <c r="I274" s="4" t="n">
        <v>1512</v>
      </c>
      <c r="J274" s="5" t="n">
        <v>3</v>
      </c>
      <c r="K274" s="4" t="n">
        <v>9796</v>
      </c>
      <c r="L274" s="4" t="n">
        <v>2963</v>
      </c>
      <c r="M274" s="5" t="n">
        <v>1.5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주1</t>
        </is>
      </c>
      <c r="Y274" s="7" t="inlineStr">
        <is>
          <t>3층</t>
        </is>
      </c>
      <c r="Z274" s="3" t="inlineStr">
        <is>
          <t>일반철골구조</t>
        </is>
      </c>
      <c r="AA274" s="3" t="inlineStr">
        <is>
          <t>공장</t>
        </is>
      </c>
      <c r="AB274" s="3" t="inlineStr">
        <is>
          <t>16.68m</t>
        </is>
      </c>
      <c r="AC274" s="3" t="inlineStr">
        <is>
          <t>2019-10</t>
        </is>
      </c>
      <c r="AD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조치원읍 번암리 53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2500000</v>
      </c>
      <c r="G277" s="4" t="n">
        <v>0</v>
      </c>
      <c r="H277" s="4" t="n">
        <v>9721</v>
      </c>
      <c r="I277" s="4" t="n">
        <v>2941</v>
      </c>
      <c r="J277" s="5" t="n">
        <v>850.1</v>
      </c>
      <c r="K277" s="4" t="n">
        <v>13496</v>
      </c>
      <c r="L277" s="4" t="n">
        <v>4083</v>
      </c>
      <c r="M277" s="5" t="n">
        <v>612.3</v>
      </c>
      <c r="N277" s="3" t="inlineStr">
        <is>
          <t>3</t>
        </is>
      </c>
      <c r="O277" s="3" t="inlineStr">
        <is>
          <t>B2</t>
        </is>
      </c>
      <c r="P277" s="3" t="inlineStr">
        <is>
          <t>데이터센터 물류창고 가능</t>
        </is>
      </c>
      <c r="Q277" s="6">
        <f>HYPERLINK("https://fin.land.naver.com/articles/2648311397", "매물Link")</f>
        <v/>
      </c>
      <c r="R277" s="6">
        <f>HYPERLINK("https://map.naver.com/p/search/조치원읍 번암리 53", "지도Link")</f>
        <v/>
      </c>
      <c r="S277" s="6">
        <f>HYPERLINK("http://www.eum.go.kr/web/ar/lu/luLandDet.jsp?pnu=3611025031100530000&amp;isNoScr=script&amp;mode=search",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298</v>
      </c>
      <c r="W277" s="4" t="n">
        <v>9721</v>
      </c>
      <c r="X277" s="3" t="inlineStr">
        <is>
          <t>미표기</t>
        </is>
      </c>
      <c r="Y277" s="7" t="inlineStr">
        <is>
          <t>3층</t>
        </is>
      </c>
      <c r="Z277" s="3" t="inlineStr">
        <is>
          <t>철근콘크리트구조</t>
        </is>
      </c>
      <c r="AA277" s="3" t="inlineStr">
        <is>
          <t>판매시설</t>
        </is>
      </c>
      <c r="AB277" s="3" t="inlineStr">
        <is>
          <t>22.31m</t>
        </is>
      </c>
      <c r="AC277" s="3" t="inlineStr">
        <is>
          <t>2008-04</t>
        </is>
      </c>
      <c r="AD277" s="3" t="inlineStr">
        <is>
          <t>광대로한면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666</v>
      </c>
      <c r="I278" s="4" t="n">
        <v>201</v>
      </c>
      <c r="J278" s="5" t="n">
        <v>696.5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단독사용  2종근생  하수 직관  근생 창고 매매</t>
        </is>
      </c>
      <c r="Q278" s="6">
        <f>HYPERLINK("https://fin.land.naver.com/articles/2646109707",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THE행복</t>
        </is>
      </c>
      <c r="U278" s="4" t="n">
        <v>1</v>
      </c>
      <c r="V278" s="5" t="n">
        <v>344.8</v>
      </c>
      <c r="W278" s="4" t="n">
        <v>666</v>
      </c>
      <c r="X278" s="3" t="inlineStr">
        <is>
          <t>주건축물제1동</t>
        </is>
      </c>
      <c r="Y278" s="7" t="inlineStr">
        <is>
          <t>2층</t>
        </is>
      </c>
      <c r="Z278" s="3" t="inlineStr">
        <is>
          <t>일반철골구조</t>
        </is>
      </c>
      <c r="AA278" s="3" t="inlineStr">
        <is>
          <t>제2종근생</t>
        </is>
      </c>
      <c r="AB278" s="3" t="inlineStr">
        <is>
          <t>6.35m</t>
        </is>
      </c>
      <c r="AC278" s="3" t="inlineStr">
        <is>
          <t>2015-11</t>
        </is>
      </c>
      <c r="AD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창고 급매</t>
        </is>
      </c>
      <c r="Q279" s="6">
        <f>HYPERLINK("https://fin.land.naver.com/articles/2645608920",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주건축물제1동</t>
        </is>
      </c>
      <c r="Y279" s="7" t="inlineStr">
        <is>
          <t>2층</t>
        </is>
      </c>
      <c r="Z279" s="3" t="inlineStr">
        <is>
          <t>일반철골구조</t>
        </is>
      </c>
      <c r="AA279" s="3" t="inlineStr">
        <is>
          <t>제2종근생</t>
        </is>
      </c>
      <c r="AB279" s="3" t="inlineStr">
        <is>
          <t>6.35m</t>
        </is>
      </c>
      <c r="AC279" s="3" t="inlineStr">
        <is>
          <t>2015-11</t>
        </is>
      </c>
      <c r="AD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집현동 1106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20000</v>
      </c>
      <c r="G281" s="4" t="n">
        <v>1500</v>
      </c>
      <c r="H281" s="4" t="n">
        <v>1915</v>
      </c>
      <c r="I281" s="4" t="n">
        <v>579</v>
      </c>
      <c r="J281" s="5" t="n">
        <v>2.6</v>
      </c>
      <c r="K281" s="4" t="n">
        <v>2130</v>
      </c>
      <c r="L281" s="4" t="n">
        <v>644</v>
      </c>
      <c r="M281" s="5" t="n">
        <v>2.3</v>
      </c>
      <c r="N281" s="3" t="inlineStr">
        <is>
          <t>4</t>
        </is>
      </c>
      <c r="O281" s="3" t="inlineStr">
        <is>
          <t>-</t>
        </is>
      </c>
      <c r="P281" s="3" t="inlineStr">
        <is>
          <t>건물통임대, 공장임대 각 층별 임대가능</t>
        </is>
      </c>
      <c r="Q281" s="6">
        <f>HYPERLINK("https://fin.land.naver.com/articles/2650822447", "매물Link")</f>
        <v/>
      </c>
      <c r="R281" s="6">
        <f>HYPERLINK("https://map.naver.com/p/search/집현동 1106", "지도Link")</f>
        <v/>
      </c>
      <c r="S281" s="6">
        <f>HYPERLINK("http://www.eum.go.kr/web/ar/lu/luLandDet.jsp?pnu=3611011800111060000&amp;isNoScr=script&amp;mode=search", "토지이음")</f>
        <v/>
      </c>
      <c r="T281" s="3" t="inlineStr">
        <is>
          <t>국제</t>
        </is>
      </c>
      <c r="U281" s="4" t="n">
        <v>1</v>
      </c>
      <c r="V281" s="5" t="n">
        <v>232.5</v>
      </c>
      <c r="W281" s="4" t="n">
        <v>1916.1</v>
      </c>
      <c r="X281" s="3" t="inlineStr">
        <is>
          <t>주 1동</t>
        </is>
      </c>
      <c r="Y281" s="7" t="inlineStr">
        <is>
          <t>4층</t>
        </is>
      </c>
      <c r="Z281" s="3" t="inlineStr">
        <is>
          <t>일반철골구조</t>
        </is>
      </c>
      <c r="AA281" s="3" t="inlineStr">
        <is>
          <t>공장</t>
        </is>
      </c>
      <c r="AB281" s="3" t="inlineStr">
        <is>
          <t>17.7m</t>
        </is>
      </c>
      <c r="AC281" s="3" t="inlineStr">
        <is>
          <t>2024-12</t>
        </is>
      </c>
      <c r="AD281" s="3" t="inlineStr">
        <is>
          <t>중로각지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HYPERLINK("https://fin.land.naver.com/articles/2650482875",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중로각지</t>
        </is>
      </c>
    </row>
  </sheetData>
  <autoFilter ref="A1:AD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협의입주, 시스템에어컨풀, 풀옵션, 조용한동으로 뷰좋은집</t>
        </is>
      </c>
      <c r="P38" s="6">
        <f>HYPERLINK("https://fin.land.naver.com/articles/2649373448",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리브</t>
        </is>
      </c>
      <c r="T38" s="4" t="n">
        <v>2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335</v>
      </c>
      <c r="J39" s="4" t="n">
        <v>101</v>
      </c>
      <c r="K39" s="5" t="n">
        <v>1584.2</v>
      </c>
      <c r="L39" s="4" t="n">
        <v>253</v>
      </c>
      <c r="M39" s="4" t="n">
        <v>77</v>
      </c>
      <c r="N39" s="5" t="n">
        <v>2077.9</v>
      </c>
      <c r="O39" s="3" t="inlineStr">
        <is>
          <t>프라이빗한 정원,  인네리어</t>
        </is>
      </c>
      <c r="P39" s="6">
        <f>HYPERLINK("https://fin.land.naver.com/articles/2649457044",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세종삼촌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단지 가장 안쪽 사생활보호 잘되는 위치 뒷마당이 산과 접한 좋은위치</t>
        </is>
      </c>
      <c r="P50" s="6">
        <f>HYPERLINK("https://fin.land.naver.com/articles/2646479200",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HYPERLINK("https://fin.land.naver.com/articles/2650653657",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357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팬트하우스 형 주택 최고급</t>
        </is>
      </c>
      <c r="P61" s="6">
        <f>HYPERLINK("https://fin.land.naver.com/articles/2646427454",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세종삼촌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최신축 위치최상 말발굽 귀한주택 매물 추가협의가능</t>
        </is>
      </c>
      <c r="P64" s="6">
        <f>HYPERLINK("https://fin.land.naver.com/articles/2646907371",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세종스타</t>
        </is>
      </c>
      <c r="T64" s="4" t="n">
        <v>3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마당이 넓은 예쁜 집, 텃밭, 남향</t>
        </is>
      </c>
      <c r="P65" s="6">
        <f>HYPERLINK("https://fin.land.naver.com/articles/2645492924",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HYPERLINK("https://fin.land.naver.com/articles/2645583986",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전용 89p, 조율가능, 급매물, 2세대가능, 전세도가능</t>
        </is>
      </c>
      <c r="P71" s="6">
        <f>HYPERLINK("https://fin.land.naver.com/articles/2648836474",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HYPERLINK("https://fin.land.naver.com/articles/2650066777",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HYPERLINK("https://fin.land.naver.com/articles/2645757264",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성성타운(041-553-3911)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HYPERLINK("https://fin.land.naver.com/articles/2645479915",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939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32</v>
      </c>
      <c r="I91" s="4" t="n">
        <v>28</v>
      </c>
      <c r="J91" s="4" t="n">
        <v>8</v>
      </c>
      <c r="K91" s="5" t="n">
        <v>4</v>
      </c>
      <c r="L91" s="4" t="n">
        <v>18</v>
      </c>
      <c r="M91" s="4" t="n">
        <v>5</v>
      </c>
      <c r="N91" s="5" t="n">
        <v>6.4</v>
      </c>
      <c r="O91" s="3" t="inlineStr">
        <is>
          <t>단기가능한 조용하고 살기좋은 위치의 저렴한 풀옵션 원룸</t>
        </is>
      </c>
      <c r="P91" s="6">
        <f>HYPERLINK("https://fin.land.naver.com/articles/2648410762", "매물Link")</f>
        <v/>
      </c>
      <c r="Q91" s="6">
        <f>HYPERLINK("https://map.naver.com/p/search/부강면 부강리 939", "지도Link")</f>
        <v/>
      </c>
      <c r="R91" s="6">
        <f>HYPERLINK("http://www.eum.go.kr/web/ar/lu/luLandDet.jsp?pnu=3611033021109390000&amp;isNoScr=script&amp;mode=search",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204.4</v>
      </c>
      <c r="V91" s="4" t="n">
        <v>285</v>
      </c>
      <c r="W91" s="3" t="inlineStr">
        <is>
          <t>지정되지않음</t>
        </is>
      </c>
      <c r="X91" s="3" t="inlineStr">
        <is>
          <t>연립</t>
        </is>
      </c>
      <c r="Y91" s="3" t="inlineStr">
        <is>
          <t>평지</t>
        </is>
      </c>
      <c r="Z91" s="3" t="inlineStr">
        <is>
          <t>부정형</t>
        </is>
      </c>
      <c r="AA91" s="3" t="inlineStr">
        <is>
          <t>세로한면(가)</t>
        </is>
      </c>
    </row>
    <row r="92">
      <c r="A92" s="3" t="inlineStr">
        <is>
          <t>부강면 부강리 970-11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2000</v>
      </c>
      <c r="H92" s="4" t="n">
        <v>40</v>
      </c>
      <c r="I92" s="4" t="n">
        <v>50</v>
      </c>
      <c r="J92" s="4" t="n">
        <v>15</v>
      </c>
      <c r="K92" s="5" t="n">
        <v>2.7</v>
      </c>
      <c r="L92" s="4" t="n">
        <v>40</v>
      </c>
      <c r="M92" s="4" t="n">
        <v>12</v>
      </c>
      <c r="N92" s="5" t="n">
        <v>3.3</v>
      </c>
      <c r="O92" s="3" t="inlineStr">
        <is>
          <t>지원l편세권.5룸lo멋진인테리어o위치최상</t>
        </is>
      </c>
      <c r="P92" s="6">
        <f>HYPERLINK("https://fin.land.naver.com/articles/2650948792", "매물Link")</f>
        <v/>
      </c>
      <c r="Q92" s="6">
        <f>HYPERLINK("https://map.naver.com/p/search/부강면 부강리 970-11", "지도Link")</f>
        <v/>
      </c>
      <c r="R92" s="6">
        <f>HYPERLINK("http://www.eum.go.kr/web/ar/lu/luLandDet.jsp?pnu=3611033021109700011&amp;isNoScr=script&amp;mode=search", "토지이음")</f>
        <v/>
      </c>
      <c r="S92" s="3" t="inlineStr">
        <is>
          <t>지원</t>
        </is>
      </c>
      <c r="T92" s="4" t="n">
        <v>1</v>
      </c>
      <c r="U92" s="5" t="n">
        <v>212.9</v>
      </c>
      <c r="V92" s="4" t="n">
        <v>392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세로한면(가)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벽난로,태양광, 어린이 를 위한 공간, 가격절충</t>
        </is>
      </c>
      <c r="P94" s="6">
        <f>HYPERLINK("https://fin.land.naver.com/articles/2646426563",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세종삼촌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남향집으로 따뜻한 집 입니다. 입주는 협의 가능하며 가격절충가능합니다.</t>
        </is>
      </c>
      <c r="P95" s="6">
        <f>HYPERLINK("https://fin.land.naver.com/articles/2647499785",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주황푸르지오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 리모델링. 풀에어컨, 코너 입지</t>
        </is>
      </c>
      <c r="P106" s="6">
        <f>HYPERLINK("https://fin.land.naver.com/articles/2649459333",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세종삼촌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최근 리모델링한 단독주택 매매, 방3개, 욕실2개</t>
        </is>
      </c>
      <c r="P107" s="6">
        <f>HYPERLINK("https://fin.land.naver.com/articles/2649020493",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HYPERLINK("https://fin.land.naver.com/articles/2650696710",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HYPERLINK("https://fin.land.naver.com/articles/2651088324",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HYPERLINK("https://fin.land.naver.com/articles/2651024368",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420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다가구 매매 .위치.방 컨디션 매우좋은 건물</t>
        </is>
      </c>
      <c r="P126" s="6">
        <f>HYPERLINK("https://fin.land.naver.com/articles/2646956117",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HYPERLINK("https://fin.land.naver.com/articles/2651025375",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HYPERLINK("https://fin.land.naver.com/articles/2650936198",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HYPERLINK("https://fin.land.naver.com/articles/2651088122",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HYPERLINK("https://fin.land.naver.com/articles/2651059296",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HYPERLINK("https://fin.land.naver.com/articles/2646592114",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45000</v>
      </c>
      <c r="H146" s="4" t="n">
        <v>0</v>
      </c>
      <c r="I146" s="4" t="n">
        <v>327</v>
      </c>
      <c r="J146" s="4" t="n">
        <v>99</v>
      </c>
      <c r="K146" s="5" t="n">
        <v>454.5</v>
      </c>
      <c r="L146" s="4" t="n">
        <v>168</v>
      </c>
      <c r="M146" s="4" t="n">
        <v>51</v>
      </c>
      <c r="N146" s="5" t="n">
        <v>882.4</v>
      </c>
      <c r="O146" s="3" t="inlineStr">
        <is>
          <t>급매 조정가능 연서중인근 고속도로 나들목 가깝고 텃밭있음</t>
        </is>
      </c>
      <c r="P146" s="6">
        <f>HYPERLINK("https://fin.land.naver.com/articles/2651059772",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그래그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쌍전리 159-2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624</v>
      </c>
      <c r="J148" s="4" t="n">
        <v>189</v>
      </c>
      <c r="K148" s="5" t="n">
        <v>291</v>
      </c>
      <c r="L148" s="4" t="n">
        <v>140</v>
      </c>
      <c r="M148" s="4" t="n">
        <v>42</v>
      </c>
      <c r="N148" s="5" t="n">
        <v>1309.5</v>
      </c>
      <c r="O148" s="3" t="inlineStr">
        <is>
          <t>급매. 쌍전리 뷰 좋고 관리 잘 된 2층 단독주택. 입주일 협의.</t>
        </is>
      </c>
      <c r="P148" s="6">
        <f>HYPERLINK("https://fin.land.naver.com/articles/2648074660", "매물Link")</f>
        <v/>
      </c>
      <c r="Q148" s="6">
        <f>HYPERLINK("https://map.naver.com/p/search/연서면 쌍전리 159-2", "지도Link")</f>
        <v/>
      </c>
      <c r="R148" s="6">
        <f>HYPERLINK("http://www.eum.go.kr/web/ar/lu/luLandDet.jsp?pnu=3611036022101590002&amp;isNoScr=script&amp;mode=search", "토지이음")</f>
        <v/>
      </c>
      <c r="S148" s="3" t="inlineStr">
        <is>
          <t>세종대장</t>
        </is>
      </c>
      <c r="T148" s="4" t="n">
        <v>1</v>
      </c>
      <c r="U148" s="5" t="n">
        <v>111.2</v>
      </c>
      <c r="V148" s="4" t="n">
        <v>635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33</v>
      </c>
      <c r="J153" s="4" t="n">
        <v>10</v>
      </c>
      <c r="K153" s="5" t="n">
        <v>2.7</v>
      </c>
      <c r="L153" s="4" t="n">
        <v>19</v>
      </c>
      <c r="M153" s="4" t="n">
        <v>6</v>
      </c>
      <c r="N153" s="5" t="n">
        <v>4.5</v>
      </c>
      <c r="O153" s="3" t="inlineStr">
        <is>
          <t>조치원역도보거리O막힘없는O깨끗한 원룸</t>
        </is>
      </c>
      <c r="P153" s="6">
        <f>HYPERLINK("https://fin.land.naver.com/articles/2651069139",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119-10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33</v>
      </c>
      <c r="J154" s="4" t="n">
        <v>10</v>
      </c>
      <c r="K154" s="5" t="n">
        <v>2.5</v>
      </c>
      <c r="L154" s="4" t="n">
        <v>5</v>
      </c>
      <c r="M154" s="4" t="n">
        <v>2</v>
      </c>
      <c r="N154" s="5" t="n">
        <v>12.5</v>
      </c>
      <c r="O154" s="3" t="inlineStr">
        <is>
          <t>조치원역도보거리 저렴한 원룸 즉시입주</t>
        </is>
      </c>
      <c r="P154" s="6">
        <f>HYPERLINK("https://fin.land.naver.com/articles/2650728690", "매물Link")</f>
        <v/>
      </c>
      <c r="Q154" s="6">
        <f>HYPERLINK("https://map.naver.com/p/search/조치원읍 남리 119-10", "지도Link")</f>
        <v/>
      </c>
      <c r="R154" s="6">
        <f>HYPERLINK("http://www.eum.go.kr/web/ar/lu/luLandDet.jsp?pnu=3611025027101190010&amp;isNoScr=script&amp;mode=search",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242.2</v>
      </c>
      <c r="V154" s="4" t="n">
        <v>280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자루형</t>
        </is>
      </c>
      <c r="AA154" s="3" t="inlineStr">
        <is>
          <t>세로한면(가)</t>
        </is>
      </c>
    </row>
    <row r="155">
      <c r="A155" s="3" t="inlineStr">
        <is>
          <t>조치원읍 남리 119-12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20</v>
      </c>
      <c r="J155" s="4" t="n">
        <v>6</v>
      </c>
      <c r="K155" s="5" t="n">
        <v>5</v>
      </c>
      <c r="L155" s="4" t="n">
        <v>20</v>
      </c>
      <c r="M155" s="4" t="n">
        <v>6</v>
      </c>
      <c r="N155" s="5" t="n">
        <v>5</v>
      </c>
      <c r="O155" s="3" t="inlineStr">
        <is>
          <t>원룸 남향  조치원역 도보가능합니다</t>
        </is>
      </c>
      <c r="P155" s="6">
        <f>HYPERLINK("https://fin.land.naver.com/articles/2647321662", "매물Link")</f>
        <v/>
      </c>
      <c r="Q155" s="6">
        <f>HYPERLINK("https://map.naver.com/p/search/조치원읍 남리 119-12", "지도Link")</f>
        <v/>
      </c>
      <c r="R155" s="6">
        <f>HYPERLINK("http://www.eum.go.kr/web/ar/lu/luLandDet.jsp?pnu=3611025027101190012&amp;isNoScr=script&amp;mode=search",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282.8</v>
      </c>
      <c r="V155" s="4" t="n">
        <v>485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남리 119-6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0</v>
      </c>
      <c r="J156" s="4" t="n">
        <v>0</v>
      </c>
      <c r="K156" s="5" t="n">
        <v>0</v>
      </c>
      <c r="L156" s="4" t="n">
        <v>19</v>
      </c>
      <c r="M156" s="4" t="n">
        <v>6</v>
      </c>
      <c r="N156" s="5" t="n">
        <v>4.2</v>
      </c>
      <c r="O156" s="3" t="inlineStr">
        <is>
          <t>남리 버스정류장 가까운 위치</t>
        </is>
      </c>
      <c r="P156" s="6">
        <f>HYPERLINK("https://fin.land.naver.com/articles/2648317995", "매물Link")</f>
        <v/>
      </c>
      <c r="Q156" s="6">
        <f>HYPERLINK("https://map.naver.com/p/search/조치원읍 남리 119-6", "지도Link")</f>
        <v/>
      </c>
      <c r="R156" s="6">
        <f>HYPERLINK("http://www.eum.go.kr/web/ar/lu/luLandDet.jsp?pnu=3611025027101190006&amp;isNoScr=script&amp;mode=search",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285.5</v>
      </c>
      <c r="V156" s="4" t="n">
        <v>249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소로한면</t>
        </is>
      </c>
    </row>
    <row r="157">
      <c r="A157" s="3" t="inlineStr">
        <is>
          <t>조치원읍 남리 299-2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26</v>
      </c>
      <c r="J157" s="4" t="n">
        <v>8</v>
      </c>
      <c r="K157" s="5" t="n">
        <v>500</v>
      </c>
      <c r="L157" s="4" t="n">
        <v>19</v>
      </c>
      <c r="M157" s="4" t="n">
        <v>6</v>
      </c>
      <c r="N157" s="5" t="n">
        <v>666.7</v>
      </c>
      <c r="O157" s="3" t="inlineStr">
        <is>
          <t>LH 가능.주방분리형.보증보험가능.시장1분. 역3분.깔끔한방</t>
        </is>
      </c>
      <c r="P157" s="6">
        <f>HYPERLINK("https://fin.land.naver.com/articles/2647870045", "매물Link")</f>
        <v/>
      </c>
      <c r="Q157" s="6">
        <f>HYPERLINK("https://map.naver.com/p/search/조치원읍 남리 299-2", "지도Link")</f>
        <v/>
      </c>
      <c r="R157" s="6">
        <f>HYPERLINK("http://www.eum.go.kr/web/ar/lu/luLandDet.jsp?pnu=3611025027102990002&amp;isNoScr=script&amp;mode=search",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223.9</v>
      </c>
      <c r="V157" s="4" t="n">
        <v>407.8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소로각지</t>
        </is>
      </c>
    </row>
    <row r="158">
      <c r="A158" s="3" t="inlineStr">
        <is>
          <t>조치원읍 남리 368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단독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46</v>
      </c>
      <c r="J158" s="4" t="n">
        <v>14</v>
      </c>
      <c r="K158" s="5" t="n">
        <v>300</v>
      </c>
      <c r="L158" s="4" t="n">
        <v>33</v>
      </c>
      <c r="M158" s="4" t="n">
        <v>10</v>
      </c>
      <c r="N158" s="5" t="n">
        <v>420</v>
      </c>
      <c r="O158" s="3" t="inlineStr">
        <is>
          <t>nan</t>
        </is>
      </c>
      <c r="P158" s="6">
        <f>HYPERLINK("https://fin.land.naver.com/articles/2646917268", "매물Link")</f>
        <v/>
      </c>
      <c r="Q158" s="6">
        <f>HYPERLINK("https://map.naver.com/p/search/조치원읍 남리 368", "지도Link")</f>
        <v/>
      </c>
      <c r="R158" s="6">
        <f>HYPERLINK("http://www.eum.go.kr/web/ar/lu/luLandDet.jsp?pnu=3611025027103680000&amp;isNoScr=script&amp;mode=search",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280.4</v>
      </c>
      <c r="V158" s="4" t="n">
        <v>549.4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중로한면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62-19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매매</t>
        </is>
      </c>
      <c r="G160" s="4" t="n">
        <v>29500</v>
      </c>
      <c r="H160" s="4" t="n">
        <v>0</v>
      </c>
      <c r="I160" s="4" t="n">
        <v>180</v>
      </c>
      <c r="J160" s="4" t="n">
        <v>54</v>
      </c>
      <c r="K160" s="5" t="n">
        <v>546.3</v>
      </c>
      <c r="L160" s="4" t="n">
        <v>163</v>
      </c>
      <c r="M160" s="4" t="n">
        <v>49</v>
      </c>
      <c r="N160" s="5" t="n">
        <v>602</v>
      </c>
      <c r="O160" s="3" t="inlineStr">
        <is>
          <t>조치원시내 관공서와 버스정류장 조치원역 도보로 가능한 조용한 주택,</t>
        </is>
      </c>
      <c r="P160" s="6">
        <f>HYPERLINK("https://fin.land.naver.com/articles/2651053326", "매물Link")</f>
        <v/>
      </c>
      <c r="Q160" s="6">
        <f>HYPERLINK("https://map.naver.com/p/search/조치원읍 남리 62-19", "지도Link")</f>
        <v/>
      </c>
      <c r="R160" s="6">
        <f>HYPERLINK("http://www.eum.go.kr/web/ar/lu/luLandDet.jsp?pnu=3611025027100620019&amp;isNoScr=script&amp;mode=search", "토지이음")</f>
        <v/>
      </c>
      <c r="S160" s="3" t="inlineStr">
        <is>
          <t>담뜰</t>
        </is>
      </c>
      <c r="T160" s="4" t="n">
        <v>1</v>
      </c>
      <c r="U160" s="5" t="n">
        <v>178.8</v>
      </c>
      <c r="V160" s="4" t="n">
        <v>180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세로한면(불)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4500</v>
      </c>
      <c r="H173" s="4" t="n">
        <v>12</v>
      </c>
      <c r="I173" s="4" t="n">
        <v>0</v>
      </c>
      <c r="J173" s="4" t="n">
        <v>0</v>
      </c>
      <c r="K173" s="5" t="n">
        <v>0</v>
      </c>
      <c r="L173" s="4" t="n">
        <v>18</v>
      </c>
      <c r="M173" s="4" t="n">
        <v>5</v>
      </c>
      <c r="N173" s="5" t="n">
        <v>2.4</v>
      </c>
      <c r="O173" s="3" t="inlineStr">
        <is>
          <t>L 즉시입주가능  O엘베 O정남향 O역10분내</t>
        </is>
      </c>
      <c r="P173" s="6">
        <f>HYPERLINK("https://fin.land.naver.com/articles/2648531034",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바다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300</v>
      </c>
      <c r="H174" s="4" t="n">
        <v>36</v>
      </c>
      <c r="I174" s="4" t="n">
        <v>30</v>
      </c>
      <c r="J174" s="4" t="n">
        <v>9</v>
      </c>
      <c r="K174" s="5" t="n">
        <v>4</v>
      </c>
      <c r="L174" s="4" t="n">
        <v>20</v>
      </c>
      <c r="M174" s="4" t="n">
        <v>6</v>
      </c>
      <c r="N174" s="5" t="n">
        <v>6</v>
      </c>
      <c r="O174" s="3" t="inlineStr">
        <is>
          <t>깨끗한원룸.실사진.보안철저.주차시설완비</t>
        </is>
      </c>
      <c r="P174" s="6">
        <f>HYPERLINK("https://fin.land.naver.com/articles/2651069563",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6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300</v>
      </c>
      <c r="H175" s="4" t="n">
        <v>37</v>
      </c>
      <c r="I175" s="4" t="n">
        <v>26</v>
      </c>
      <c r="J175" s="4" t="n">
        <v>8</v>
      </c>
      <c r="K175" s="5" t="n">
        <v>4.6</v>
      </c>
      <c r="L175" s="4" t="n">
        <v>18</v>
      </c>
      <c r="M175" s="4" t="n">
        <v>5</v>
      </c>
      <c r="N175" s="5" t="n">
        <v>7.4</v>
      </c>
      <c r="O175" s="3" t="inlineStr">
        <is>
          <t>풀옵션 원룸 도시형생활주택 넓고 깔끔해요</t>
        </is>
      </c>
      <c r="P175" s="6">
        <f>HYPERLINK("https://fin.land.naver.com/articles/2650836138",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상리 79-3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5</t>
        </is>
      </c>
      <c r="E176" s="3" t="inlineStr">
        <is>
          <t>도시형생활주택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26</v>
      </c>
      <c r="J176" s="4" t="n">
        <v>8</v>
      </c>
      <c r="K176" s="5" t="n">
        <v>525</v>
      </c>
      <c r="L176" s="4" t="n">
        <v>18</v>
      </c>
      <c r="M176" s="4" t="n">
        <v>5</v>
      </c>
      <c r="N176" s="5" t="n">
        <v>840</v>
      </c>
      <c r="O176" s="3" t="inlineStr">
        <is>
          <t>풀옵션 깔끔한 도시형생활주택 무융자조건</t>
        </is>
      </c>
      <c r="P176" s="6">
        <f>HYPERLINK("https://fin.land.naver.com/articles/2650834927", "매물Link")</f>
        <v/>
      </c>
      <c r="Q176" s="6">
        <f>HYPERLINK("https://map.naver.com/p/search/조치원읍 상리 79-3", "지도Link")</f>
        <v/>
      </c>
      <c r="R176" s="6">
        <f>HYPERLINK("http://www.eum.go.kr/web/ar/lu/luLandDet.jsp?pnu=3611025022100790003&amp;isNoScr=script&amp;mode=search", "토지이음")</f>
        <v/>
      </c>
      <c r="S176" s="3" t="inlineStr">
        <is>
          <t>용죽부자</t>
        </is>
      </c>
      <c r="T176" s="4" t="n">
        <v>1</v>
      </c>
      <c r="U176" s="5" t="n">
        <v>318.4</v>
      </c>
      <c r="V176" s="4" t="n">
        <v>465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133-28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52000</v>
      </c>
      <c r="H177" s="4" t="n">
        <v>0</v>
      </c>
      <c r="I177" s="4" t="n">
        <v>233</v>
      </c>
      <c r="J177" s="4" t="n">
        <v>70</v>
      </c>
      <c r="K177" s="5" t="n">
        <v>742.9</v>
      </c>
      <c r="L177" s="4" t="n">
        <v>312</v>
      </c>
      <c r="M177" s="4" t="n">
        <v>94</v>
      </c>
      <c r="N177" s="5" t="n">
        <v>553.2</v>
      </c>
      <c r="O177" s="3" t="inlineStr">
        <is>
          <t>nan</t>
        </is>
      </c>
      <c r="P177" s="6">
        <f>HYPERLINK("https://fin.land.naver.com/articles/2645784295", "매물Link")</f>
        <v/>
      </c>
      <c r="Q177" s="6">
        <f>HYPERLINK("https://map.naver.com/p/search/조치원읍 서창리 133-28", "지도Link")</f>
        <v/>
      </c>
      <c r="R177" s="6">
        <f>HYPERLINK("http://www.eum.go.kr/web/ar/lu/luLandDet.jsp?pnu=3611025034101330028&amp;isNoScr=script&amp;mode=search",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243.7</v>
      </c>
      <c r="V177" s="4" t="n">
        <v>233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조치원읍 서창리 203-10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49000</v>
      </c>
      <c r="H178" s="4" t="n">
        <v>0</v>
      </c>
      <c r="I178" s="4" t="n">
        <v>654</v>
      </c>
      <c r="J178" s="4" t="n">
        <v>198</v>
      </c>
      <c r="K178" s="5" t="n">
        <v>247.5</v>
      </c>
      <c r="L178" s="4" t="n">
        <v>581</v>
      </c>
      <c r="M178" s="4" t="n">
        <v>176</v>
      </c>
      <c r="N178" s="5" t="n">
        <v>278.4</v>
      </c>
      <c r="O178" s="3" t="inlineStr">
        <is>
          <t>.급매. o수익률잘나옴 o관리잘되었어요</t>
        </is>
      </c>
      <c r="P178" s="6">
        <f>HYPERLINK("https://fin.land.naver.com/articles/2650552259", "매물Link")</f>
        <v/>
      </c>
      <c r="Q178" s="6">
        <f>HYPERLINK("https://map.naver.com/p/search/조치원읍 서창리 203-10", "지도Link")</f>
        <v/>
      </c>
      <c r="R178" s="6">
        <f>HYPERLINK("http://www.eum.go.kr/web/ar/lu/luLandDet.jsp?pnu=3611025034102030010&amp;isNoScr=script&amp;mode=search", "토지이음")</f>
        <v/>
      </c>
      <c r="S178" s="3" t="inlineStr">
        <is>
          <t>바다</t>
        </is>
      </c>
      <c r="T178" s="4" t="n">
        <v>2</v>
      </c>
      <c r="U178" s="5" t="n">
        <v>205.7</v>
      </c>
      <c r="V178" s="4" t="n">
        <v>415</v>
      </c>
      <c r="W178" s="3" t="inlineStr">
        <is>
          <t>자연녹지지역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66-35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76000</v>
      </c>
      <c r="H184" s="4" t="n">
        <v>0</v>
      </c>
      <c r="I184" s="4" t="n">
        <v>189</v>
      </c>
      <c r="J184" s="4" t="n">
        <v>57</v>
      </c>
      <c r="K184" s="5" t="n">
        <v>1333.3</v>
      </c>
      <c r="L184" s="4" t="n">
        <v>259</v>
      </c>
      <c r="M184" s="4" t="n">
        <v>78</v>
      </c>
      <c r="N184" s="5" t="n">
        <v>974.4</v>
      </c>
      <c r="O184" s="3" t="inlineStr">
        <is>
          <t>대학가 2억7천 투자 수익률7.5</t>
        </is>
      </c>
      <c r="P184" s="6">
        <f>HYPERLINK("https://fin.land.naver.com/articles/2648572698", "매물Link")</f>
        <v/>
      </c>
      <c r="Q184" s="6">
        <f>HYPERLINK("https://map.naver.com/p/search/조치원읍 서창리 66-35", "지도Link")</f>
        <v/>
      </c>
      <c r="R184" s="6">
        <f>HYPERLINK("http://www.eum.go.kr/web/ar/lu/luLandDet.jsp?pnu=3611025034100660035&amp;isNoScr=script&amp;mode=search", "토지이음")</f>
        <v/>
      </c>
      <c r="S184" s="3" t="inlineStr">
        <is>
          <t>고래</t>
        </is>
      </c>
      <c r="T184" s="4" t="n">
        <v>1</v>
      </c>
      <c r="U184" s="5" t="n">
        <v>401.7</v>
      </c>
      <c r="V184" s="4" t="n">
        <v>189</v>
      </c>
      <c r="W184" s="3" t="inlineStr">
        <is>
          <t>지정되지않음</t>
        </is>
      </c>
      <c r="X184" s="3" t="inlineStr">
        <is>
          <t>주상용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48000</v>
      </c>
      <c r="H185" s="4" t="n">
        <v>0</v>
      </c>
      <c r="I185" s="4" t="n">
        <v>283</v>
      </c>
      <c r="J185" s="4" t="n">
        <v>86</v>
      </c>
      <c r="K185" s="5" t="n">
        <v>558.1</v>
      </c>
      <c r="L185" s="4" t="n">
        <v>95</v>
      </c>
      <c r="M185" s="4" t="n">
        <v>29</v>
      </c>
      <c r="N185" s="5" t="n">
        <v>1655.2</v>
      </c>
      <c r="O185" s="3" t="inlineStr">
        <is>
          <t>편의성과 안락함을 다 갖춘 단독주택</t>
        </is>
      </c>
      <c r="P185" s="6">
        <f>HYPERLINK("https://fin.land.naver.com/articles/2647877367", "매물Link")</f>
        <v/>
      </c>
      <c r="Q185" s="6">
        <f>HYPERLINK("https://map.naver.com/p/search/조치원읍 신안리 146-2", "지도Link")</f>
        <v/>
      </c>
      <c r="R185" s="6">
        <f>HYPERLINK("http://www.eum.go.kr/web/ar/lu/luLandDet.jsp?pnu=3611025032101460002&amp;isNoScr=script&amp;mode=search",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188.1</v>
      </c>
      <c r="V185" s="4" t="n">
        <v>247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168-4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</v>
      </c>
      <c r="H186" s="4" t="n">
        <v>23</v>
      </c>
      <c r="I186" s="4" t="n">
        <v>20</v>
      </c>
      <c r="J186" s="4" t="n">
        <v>6</v>
      </c>
      <c r="K186" s="5" t="n">
        <v>3.8</v>
      </c>
      <c r="L186" s="4" t="n">
        <v>20</v>
      </c>
      <c r="M186" s="4" t="n">
        <v>6</v>
      </c>
      <c r="N186" s="5" t="n">
        <v>3.8</v>
      </c>
      <c r="O186" s="3" t="inlineStr">
        <is>
          <t>신안리 홍대국제연수원인근 저렴한원룸 즉시 입주가능합니다</t>
        </is>
      </c>
      <c r="P186" s="6">
        <f>HYPERLINK("https://fin.land.naver.com/articles/2649980274", "매물Link")</f>
        <v/>
      </c>
      <c r="Q186" s="6">
        <f>HYPERLINK("https://map.naver.com/p/search/조치원읍 신안리 168-4", "지도Link")</f>
        <v/>
      </c>
      <c r="R186" s="6">
        <f>HYPERLINK("http://www.eum.go.kr/web/ar/lu/luLandDet.jsp?pnu=3611025032101680004&amp;isNoScr=script&amp;mode=search", "토지이음")</f>
        <v/>
      </c>
      <c r="S186" s="3" t="inlineStr">
        <is>
          <t>OK수</t>
        </is>
      </c>
      <c r="T186" s="4" t="n">
        <v>1</v>
      </c>
      <c r="U186" s="5" t="n">
        <v>171.6</v>
      </c>
      <c r="V186" s="4" t="n">
        <v>217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168-5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50000</v>
      </c>
      <c r="H187" s="4" t="n">
        <v>0</v>
      </c>
      <c r="I187" s="4" t="n">
        <v>208</v>
      </c>
      <c r="J187" s="4" t="n">
        <v>63</v>
      </c>
      <c r="K187" s="5" t="n">
        <v>793.7</v>
      </c>
      <c r="L187" s="4" t="n">
        <v>207</v>
      </c>
      <c r="M187" s="4" t="n">
        <v>63</v>
      </c>
      <c r="N187" s="5" t="n">
        <v>793.7</v>
      </c>
      <c r="O187" s="3" t="inlineStr">
        <is>
          <t>홍익대 조치원캠퍼스 인근 임대료 수익, 11호실</t>
        </is>
      </c>
      <c r="P187" s="6">
        <f>HYPERLINK("https://fin.land.naver.com/articles/2648906557", "매물Link")</f>
        <v/>
      </c>
      <c r="Q187" s="6">
        <f>HYPERLINK("https://map.naver.com/p/search/조치원읍 신안리 168-5", "지도Link")</f>
        <v/>
      </c>
      <c r="R187" s="6">
        <f>HYPERLINK("http://www.eum.go.kr/web/ar/lu/luLandDet.jsp?pnu=3611025032101680005&amp;isNoScr=script&amp;mode=search", "토지이음")</f>
        <v/>
      </c>
      <c r="S187" s="3" t="inlineStr">
        <is>
          <t>웰스플랜</t>
        </is>
      </c>
      <c r="T187" s="4" t="n">
        <v>1</v>
      </c>
      <c r="U187" s="5" t="n">
        <v>171.6</v>
      </c>
      <c r="V187" s="4" t="n">
        <v>208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홍익대학교 연수원앞, 숲이 우거진 아름다운 집임.</t>
        </is>
      </c>
      <c r="P191" s="6">
        <f>HYPERLINK("https://fin.land.naver.com/articles/2649178224",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꿈드림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올리모델링 30p 빌라.복선전철 수혜 기대.즉시입주 가능</t>
        </is>
      </c>
      <c r="P194" s="6">
        <f>HYPERLINK("https://fin.land.naver.com/articles/2647419659",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하늘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nan</t>
        </is>
      </c>
      <c r="P196" s="6">
        <f>HYPERLINK("https://fin.land.naver.com/articles/2650337382",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웰스플랜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28000</v>
      </c>
      <c r="H198" s="4" t="n">
        <v>0</v>
      </c>
      <c r="I198" s="4" t="n">
        <v>360</v>
      </c>
      <c r="J198" s="4" t="n">
        <v>109</v>
      </c>
      <c r="K198" s="5" t="n">
        <v>256.9</v>
      </c>
      <c r="L198" s="4" t="n">
        <v>61</v>
      </c>
      <c r="M198" s="4" t="n">
        <v>18</v>
      </c>
      <c r="N198" s="5" t="n">
        <v>1555.6</v>
      </c>
      <c r="O198" s="3" t="inlineStr">
        <is>
          <t>세종시 홍익대 주변 농가주택 급매</t>
        </is>
      </c>
      <c r="P198" s="6">
        <f>HYPERLINK("https://fin.land.naver.com/articles/2646577453", "매물Link")</f>
        <v/>
      </c>
      <c r="Q198" s="6">
        <f>HYPERLINK("https://map.naver.com/p/search/조치원읍 신안리 179-2", "지도Link")</f>
        <v/>
      </c>
      <c r="R198" s="6">
        <f>HYPERLINK("http://www.eum.go.kr/web/ar/lu/luLandDet.jsp?pnu=3611025032101790002&amp;isNoScr=script&amp;mode=search", "토지이음")</f>
        <v/>
      </c>
      <c r="S198" s="3" t="inlineStr">
        <is>
          <t>강우림</t>
        </is>
      </c>
      <c r="T198" s="4" t="n">
        <v>1</v>
      </c>
      <c r="U198" s="5" t="n">
        <v>175</v>
      </c>
      <c r="V198" s="4" t="n">
        <v>360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조치원읍 신안리 193-10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전세</t>
        </is>
      </c>
      <c r="G199" s="4" t="n">
        <v>3000</v>
      </c>
      <c r="H199" s="4" t="n">
        <v>0</v>
      </c>
      <c r="I199" s="4" t="n">
        <v>36</v>
      </c>
      <c r="J199" s="4" t="n">
        <v>11</v>
      </c>
      <c r="K199" s="5" t="n">
        <v>272.7</v>
      </c>
      <c r="L199" s="4" t="n">
        <v>36</v>
      </c>
      <c r="M199" s="4" t="n">
        <v>11</v>
      </c>
      <c r="N199" s="5" t="n">
        <v>272.7</v>
      </c>
      <c r="O199" s="3" t="inlineStr">
        <is>
          <t>리모델링된 깨끗한 원룸</t>
        </is>
      </c>
      <c r="P199" s="6">
        <f>HYPERLINK("https://fin.land.naver.com/articles/2645458074", "매물Link")</f>
        <v/>
      </c>
      <c r="Q199" s="6">
        <f>HYPERLINK("https://map.naver.com/p/search/조치원읍 신안리 193-10", "지도Link")</f>
        <v/>
      </c>
      <c r="R199" s="6">
        <f>HYPERLINK("http://www.eum.go.kr/web/ar/lu/luLandDet.jsp?pnu=3611025032101930010&amp;isNoScr=script&amp;mode=search", "토지이음")</f>
        <v/>
      </c>
      <c r="S199" s="3" t="inlineStr">
        <is>
          <t>세종베스트</t>
        </is>
      </c>
      <c r="T199" s="4" t="n">
        <v>1</v>
      </c>
      <c r="U199" s="5" t="n">
        <v>167.4</v>
      </c>
      <c r="V199" s="4" t="n">
        <v>195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소로한면</t>
        </is>
      </c>
    </row>
    <row r="200">
      <c r="A200" s="3" t="inlineStr">
        <is>
          <t>조치원읍 신안리 197-3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매매</t>
        </is>
      </c>
      <c r="G200" s="4" t="n">
        <v>70000</v>
      </c>
      <c r="H200" s="4" t="n">
        <v>0</v>
      </c>
      <c r="I200" s="4" t="n">
        <v>595</v>
      </c>
      <c r="J200" s="4" t="n">
        <v>180</v>
      </c>
      <c r="K200" s="5" t="n">
        <v>388.9</v>
      </c>
      <c r="L200" s="4" t="n">
        <v>346</v>
      </c>
      <c r="M200" s="4" t="n">
        <v>105</v>
      </c>
      <c r="N200" s="5" t="n">
        <v>666.7</v>
      </c>
      <c r="O200" s="3" t="inlineStr">
        <is>
          <t>서창역인근,주인세대전세끼고,수익형다가구매매,인근대학교,연수원</t>
        </is>
      </c>
      <c r="P200" s="6">
        <f>HYPERLINK("https://fin.land.naver.com/articles/2647021016", "매물Link")</f>
        <v/>
      </c>
      <c r="Q200" s="6">
        <f>HYPERLINK("https://map.naver.com/p/search/조치원읍 신안리 197-3", "지도Link")</f>
        <v/>
      </c>
      <c r="R200" s="6">
        <f>HYPERLINK("http://www.eum.go.kr/web/ar/lu/luLandDet.jsp?pnu=3611025032101970003&amp;isNoScr=script&amp;mode=search", "토지이음")</f>
        <v/>
      </c>
      <c r="S200" s="3" t="inlineStr">
        <is>
          <t>에이팩시티지정</t>
        </is>
      </c>
      <c r="T200" s="4" t="n">
        <v>1</v>
      </c>
      <c r="U200" s="5" t="n">
        <v>171.6</v>
      </c>
      <c r="V200" s="4" t="n">
        <v>595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329-3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단독</t>
        </is>
      </c>
      <c r="F201" s="3" t="inlineStr">
        <is>
          <t>매매</t>
        </is>
      </c>
      <c r="G201" s="4" t="n">
        <v>93000</v>
      </c>
      <c r="H201" s="4" t="n">
        <v>0</v>
      </c>
      <c r="I201" s="4" t="n">
        <v>241</v>
      </c>
      <c r="J201" s="4" t="n">
        <v>73</v>
      </c>
      <c r="K201" s="5" t="n">
        <v>1274</v>
      </c>
      <c r="L201" s="4" t="n">
        <v>299</v>
      </c>
      <c r="M201" s="4" t="n">
        <v>90</v>
      </c>
      <c r="N201" s="5" t="n">
        <v>1033.3</v>
      </c>
      <c r="O201" s="3" t="inlineStr">
        <is>
          <t>홍익대초인접 연세잘나오고 수익좋아요 공실없는 수익형다가구</t>
        </is>
      </c>
      <c r="P201" s="6">
        <f>HYPERLINK("https://fin.land.naver.com/articles/2646673124", "매물Link")</f>
        <v/>
      </c>
      <c r="Q201" s="6">
        <f>HYPERLINK("https://map.naver.com/p/search/조치원읍 신안리 329-3", "지도Link")</f>
        <v/>
      </c>
      <c r="R201" s="6">
        <f>HYPERLINK("http://www.eum.go.kr/web/ar/lu/luLandDet.jsp?pnu=3611025032103290003&amp;isNoScr=script&amp;mode=search", "토지이음")</f>
        <v/>
      </c>
      <c r="S201" s="3" t="inlineStr">
        <is>
          <t>세종새빛</t>
        </is>
      </c>
      <c r="T201" s="4" t="n">
        <v>1</v>
      </c>
      <c r="U201" s="5" t="n">
        <v>193.5</v>
      </c>
      <c r="V201" s="4" t="n">
        <v>241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341-1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271</v>
      </c>
      <c r="J202" s="4" t="n">
        <v>82</v>
      </c>
      <c r="K202" s="5" t="n">
        <v>731.7</v>
      </c>
      <c r="L202" s="4" t="n">
        <v>428</v>
      </c>
      <c r="M202" s="4" t="n">
        <v>129</v>
      </c>
      <c r="N202" s="5" t="n">
        <v>465.1</v>
      </c>
      <c r="O202" s="3" t="inlineStr">
        <is>
          <t>홍익대학생들의  입소문으로만 임대계약완료, 공실걱정 없음</t>
        </is>
      </c>
      <c r="P202" s="6">
        <f>HYPERLINK("https://fin.land.naver.com/articles/2647256496", "매물Link")</f>
        <v/>
      </c>
      <c r="Q202" s="6">
        <f>HYPERLINK("https://map.naver.com/p/search/조치원읍 신안리 341-1", "지도Link")</f>
        <v/>
      </c>
      <c r="R202" s="6">
        <f>HYPERLINK("http://www.eum.go.kr/web/ar/lu/luLandDet.jsp?pnu=3611025032103410001&amp;isNoScr=script&amp;mode=search",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227</v>
      </c>
      <c r="V202" s="4" t="n">
        <v>271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343-5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단독</t>
        </is>
      </c>
      <c r="F203" s="3" t="inlineStr">
        <is>
          <t>매매</t>
        </is>
      </c>
      <c r="G203" s="4" t="n">
        <v>230000</v>
      </c>
      <c r="H203" s="4" t="n">
        <v>0</v>
      </c>
      <c r="I203" s="4" t="n">
        <v>304</v>
      </c>
      <c r="J203" s="4" t="n">
        <v>92</v>
      </c>
      <c r="K203" s="5" t="n">
        <v>2500</v>
      </c>
      <c r="L203" s="4" t="n">
        <v>331</v>
      </c>
      <c r="M203" s="4" t="n">
        <v>100</v>
      </c>
      <c r="N203" s="5" t="n">
        <v>2300</v>
      </c>
      <c r="O203" s="3" t="inlineStr">
        <is>
          <t>고객만족1위, 앞상가 동시매매,세종시 홍익대, 고려대  인근, 투자 최상</t>
        </is>
      </c>
      <c r="P203" s="6">
        <f>HYPERLINK("https://fin.land.naver.com/articles/2646541554", "매물Link")</f>
        <v/>
      </c>
      <c r="Q203" s="6">
        <f>HYPERLINK("https://map.naver.com/p/search/조치원읍 신안리 343-5", "지도Link")</f>
        <v/>
      </c>
      <c r="R203" s="6">
        <f>HYPERLINK("http://www.eum.go.kr/web/ar/lu/luLandDet.jsp?pnu=3611025032103430005&amp;isNoScr=script&amp;mode=search", "토지이음")</f>
        <v/>
      </c>
      <c r="S203" s="3" t="inlineStr">
        <is>
          <t>생생</t>
        </is>
      </c>
      <c r="T203" s="4" t="n">
        <v>1</v>
      </c>
      <c r="U203" s="5" t="n">
        <v>299.6</v>
      </c>
      <c r="V203" s="4" t="n">
        <v>304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353-19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72500</v>
      </c>
      <c r="H204" s="4" t="n">
        <v>0</v>
      </c>
      <c r="I204" s="4" t="n">
        <v>156</v>
      </c>
      <c r="J204" s="4" t="n">
        <v>47</v>
      </c>
      <c r="K204" s="5" t="n">
        <v>1542.6</v>
      </c>
      <c r="L204" s="4" t="n">
        <v>264</v>
      </c>
      <c r="M204" s="4" t="n">
        <v>80</v>
      </c>
      <c r="N204" s="5" t="n">
        <v>906.2</v>
      </c>
      <c r="O204" s="3" t="inlineStr">
        <is>
          <t>고객만족1위, 홍익대부근세종캠, 고려대근방세종캠, 조치원역 부근</t>
        </is>
      </c>
      <c r="P204" s="6">
        <f>HYPERLINK("https://fin.land.naver.com/articles/2645913527", "매물Link")</f>
        <v/>
      </c>
      <c r="Q204" s="6">
        <f>HYPERLINK("https://map.naver.com/p/search/조치원읍 신안리 353-19", "지도Link")</f>
        <v/>
      </c>
      <c r="R204" s="6">
        <f>HYPERLINK("http://www.eum.go.kr/web/ar/lu/luLandDet.jsp?pnu=3611025032103530019&amp;isNoScr=script&amp;mode=search",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210.3</v>
      </c>
      <c r="V204" s="4" t="n">
        <v>156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354-40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다가구</t>
        </is>
      </c>
      <c r="F206" s="3" t="inlineStr">
        <is>
          <t>매매</t>
        </is>
      </c>
      <c r="G206" s="4" t="n">
        <v>90000</v>
      </c>
      <c r="H206" s="4" t="n">
        <v>0</v>
      </c>
      <c r="I206" s="4" t="n">
        <v>347</v>
      </c>
      <c r="J206" s="4" t="n">
        <v>105</v>
      </c>
      <c r="K206" s="5" t="n">
        <v>857.1</v>
      </c>
      <c r="L206" s="4" t="n">
        <v>615</v>
      </c>
      <c r="M206" s="4" t="n">
        <v>186</v>
      </c>
      <c r="N206" s="5" t="n">
        <v>483.9</v>
      </c>
      <c r="O206" s="3" t="inlineStr">
        <is>
          <t>대학생들에게 인기 있고 관리가 잘된 원룸입니다.</t>
        </is>
      </c>
      <c r="P206" s="6">
        <f>HYPERLINK("https://fin.land.naver.com/articles/2647249221", "매물Link")</f>
        <v/>
      </c>
      <c r="Q206" s="6">
        <f>HYPERLINK("https://map.naver.com/p/search/조치원읍 신안리 354-40", "지도Link")</f>
        <v/>
      </c>
      <c r="R206" s="6">
        <f>HYPERLINK("http://www.eum.go.kr/web/ar/lu/luLandDet.jsp?pnu=3611025032103540040&amp;isNoScr=script&amp;mode=search",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204</v>
      </c>
      <c r="V206" s="4" t="n">
        <v>273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373-1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80000</v>
      </c>
      <c r="H207" s="4" t="n">
        <v>0</v>
      </c>
      <c r="I207" s="4" t="n">
        <v>537</v>
      </c>
      <c r="J207" s="4" t="n">
        <v>162</v>
      </c>
      <c r="K207" s="5" t="n">
        <v>493.8</v>
      </c>
      <c r="L207" s="4" t="n">
        <v>521</v>
      </c>
      <c r="M207" s="4" t="n">
        <v>158</v>
      </c>
      <c r="N207" s="5" t="n">
        <v>506.3</v>
      </c>
      <c r="O207" s="3" t="inlineStr">
        <is>
          <t>nan</t>
        </is>
      </c>
      <c r="P207" s="6">
        <f>HYPERLINK("https://fin.land.naver.com/articles/2645782172", "매물Link")</f>
        <v/>
      </c>
      <c r="Q207" s="6">
        <f>HYPERLINK("https://map.naver.com/p/search/조치원읍 신안리 373-1", "지도Link")</f>
        <v/>
      </c>
      <c r="R207" s="6">
        <f>HYPERLINK("http://www.eum.go.kr/web/ar/lu/luLandDet.jsp?pnu=3611025032103730001&amp;isNoScr=script&amp;mode=search", "토지이음")</f>
        <v/>
      </c>
      <c r="S207" s="3" t="inlineStr">
        <is>
          <t>척척</t>
        </is>
      </c>
      <c r="T207" s="4" t="n">
        <v>1</v>
      </c>
      <c r="U207" s="5" t="n">
        <v>197.1</v>
      </c>
      <c r="V207" s="4" t="n">
        <v>588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383-13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188</v>
      </c>
      <c r="J208" s="4" t="n">
        <v>57</v>
      </c>
      <c r="K208" s="5" t="n">
        <v>789.5</v>
      </c>
      <c r="L208" s="4" t="n">
        <v>326</v>
      </c>
      <c r="M208" s="4" t="n">
        <v>99</v>
      </c>
      <c r="N208" s="5" t="n">
        <v>454.5</v>
      </c>
      <c r="O208" s="3" t="inlineStr">
        <is>
          <t>리모델링 원룸 매매</t>
        </is>
      </c>
      <c r="P208" s="6">
        <f>HYPERLINK("https://fin.land.naver.com/articles/2648567043", "매물Link")</f>
        <v/>
      </c>
      <c r="Q208" s="6">
        <f>HYPERLINK("https://map.naver.com/p/search/조치원읍 신안리 383-13", "지도Link")</f>
        <v/>
      </c>
      <c r="R208" s="6">
        <f>HYPERLINK("http://www.eum.go.kr/web/ar/lu/luLandDet.jsp?pnu=3611025032103830013&amp;isNoScr=script&amp;mode=search",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208.6</v>
      </c>
      <c r="V208" s="4" t="n">
        <v>188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신안리 383-8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314</v>
      </c>
      <c r="J209" s="4" t="n">
        <v>95</v>
      </c>
      <c r="K209" s="5" t="n">
        <v>473.7</v>
      </c>
      <c r="L209" s="4" t="n">
        <v>224</v>
      </c>
      <c r="M209" s="4" t="n">
        <v>68</v>
      </c>
      <c r="N209" s="5" t="n">
        <v>661.8</v>
      </c>
      <c r="O209" s="3" t="inlineStr">
        <is>
          <t>남향, 고려대홍익대 인근 대지 넓은 2층 단독주택</t>
        </is>
      </c>
      <c r="P209" s="6">
        <f>HYPERLINK("https://fin.land.naver.com/articles/2647246878", "매물Link")</f>
        <v/>
      </c>
      <c r="Q209" s="6">
        <f>HYPERLINK("https://map.naver.com/p/search/조치원읍 신안리 383-8", "지도Link")</f>
        <v/>
      </c>
      <c r="R209" s="6">
        <f>HYPERLINK("http://www.eum.go.kr/web/ar/lu/luLandDet.jsp?pnu=3611025032103830008&amp;isNoScr=script&amp;mode=search",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200.1</v>
      </c>
      <c r="V209" s="4" t="n">
        <v>302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32</v>
      </c>
      <c r="I224" s="4" t="n">
        <v>0</v>
      </c>
      <c r="J224" s="4" t="n">
        <v>0</v>
      </c>
      <c r="K224" s="5" t="n">
        <v>0</v>
      </c>
      <c r="L224" s="4" t="n">
        <v>23</v>
      </c>
      <c r="M224" s="4" t="n">
        <v>7</v>
      </c>
      <c r="N224" s="5" t="n">
        <v>4.6</v>
      </c>
      <c r="O224" s="3" t="inlineStr">
        <is>
          <t>심플하고 예쁜방 풀옵션완비  바로입주 짐만 가져오세요  전동 전의면10분</t>
        </is>
      </c>
      <c r="P224" s="6">
        <f>HYPERLINK("https://fin.land.naver.com/articles/2649995608",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연서으뜸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정리 112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도시형생활주택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30</v>
      </c>
      <c r="J233" s="4" t="n">
        <v>9</v>
      </c>
      <c r="K233" s="5" t="n">
        <v>3.6</v>
      </c>
      <c r="L233" s="4" t="n">
        <v>11</v>
      </c>
      <c r="M233" s="4" t="n">
        <v>3</v>
      </c>
      <c r="N233" s="5" t="n">
        <v>10.7</v>
      </c>
      <c r="O233" s="3" t="inlineStr">
        <is>
          <t>정리 조치원역 2분  깨끗한 원룸입니다</t>
        </is>
      </c>
      <c r="P233" s="6">
        <f>HYPERLINK("https://fin.land.naver.com/articles/2649986088", "매물Link")</f>
        <v/>
      </c>
      <c r="Q233" s="6">
        <f>HYPERLINK("https://map.naver.com/p/search/조치원읍 정리 112", "지도Link")</f>
        <v/>
      </c>
      <c r="R233" s="6">
        <f>HYPERLINK("http://www.eum.go.kr/web/ar/lu/luLandDet.jsp?pnu=3611025025101120000&amp;isNoScr=script&amp;mode=search",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184.1</v>
      </c>
      <c r="V233" s="4" t="n">
        <v>1013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소로각지</t>
        </is>
      </c>
    </row>
    <row r="234">
      <c r="A234" s="3" t="inlineStr">
        <is>
          <t>조치원읍 죽림리 206-2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전세</t>
        </is>
      </c>
      <c r="G234" s="4" t="n">
        <v>3000</v>
      </c>
      <c r="H234" s="4" t="n">
        <v>0</v>
      </c>
      <c r="I234" s="4" t="n">
        <v>30</v>
      </c>
      <c r="J234" s="4" t="n">
        <v>9</v>
      </c>
      <c r="K234" s="5" t="n">
        <v>333.3</v>
      </c>
      <c r="L234" s="4" t="n">
        <v>22</v>
      </c>
      <c r="M234" s="4" t="n">
        <v>7</v>
      </c>
      <c r="N234" s="5" t="n">
        <v>428.6</v>
      </c>
      <c r="O234" s="3" t="inlineStr">
        <is>
          <t>공실이라 즉시입주 가능한 분리형 원룸</t>
        </is>
      </c>
      <c r="P234" s="6">
        <f>HYPERLINK("https://fin.land.naver.com/articles/2648997531", "매물Link")</f>
        <v/>
      </c>
      <c r="Q234" s="6">
        <f>HYPERLINK("https://map.naver.com/p/search/조치원읍 죽림리 206-2", "지도Link")</f>
        <v/>
      </c>
      <c r="R234" s="6">
        <f>HYPERLINK("http://www.eum.go.kr/web/ar/lu/luLandDet.jsp?pnu=3611025030102060002&amp;isNoScr=script&amp;mode=search",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208.5</v>
      </c>
      <c r="V234" s="4" t="n">
        <v>190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죽림리 333-3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240000</v>
      </c>
      <c r="H235" s="4" t="n">
        <v>0</v>
      </c>
      <c r="I235" s="4" t="n">
        <v>1243</v>
      </c>
      <c r="J235" s="4" t="n">
        <v>376</v>
      </c>
      <c r="K235" s="5" t="n">
        <v>638.3</v>
      </c>
      <c r="L235" s="4" t="n">
        <v>740</v>
      </c>
      <c r="M235" s="4" t="n">
        <v>224</v>
      </c>
      <c r="N235" s="5" t="n">
        <v>1071.4</v>
      </c>
      <c r="O235" s="3" t="inlineStr">
        <is>
          <t>nan</t>
        </is>
      </c>
      <c r="P235" s="6">
        <f>HYPERLINK("https://fin.land.naver.com/articles/2648694246", "매물Link")</f>
        <v/>
      </c>
      <c r="Q235" s="6">
        <f>HYPERLINK("https://map.naver.com/p/search/조치원읍 죽림리 333-3", "지도Link")</f>
        <v/>
      </c>
      <c r="R235" s="6">
        <f>HYPERLINK("http://www.eum.go.kr/web/ar/lu/luLandDet.jsp?pnu=3611025030103330003&amp;isNoScr=script&amp;mode=search", "토지이음")</f>
        <v/>
      </c>
      <c r="S235" s="3" t="inlineStr">
        <is>
          <t>가온마을</t>
        </is>
      </c>
      <c r="T235" s="4" t="n">
        <v>1</v>
      </c>
      <c r="U235" s="5" t="n">
        <v>311.8</v>
      </c>
      <c r="V235" s="4" t="n">
        <v>945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광대소각</t>
        </is>
      </c>
    </row>
    <row r="236">
      <c r="A236" s="3" t="inlineStr">
        <is>
          <t>조치원읍 죽림리 338-2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130000</v>
      </c>
      <c r="H236" s="4" t="n">
        <v>0</v>
      </c>
      <c r="I236" s="4" t="n">
        <v>502</v>
      </c>
      <c r="J236" s="4" t="n">
        <v>152</v>
      </c>
      <c r="K236" s="5" t="n">
        <v>855.3</v>
      </c>
      <c r="L236" s="4" t="n">
        <v>693</v>
      </c>
      <c r="M236" s="4" t="n">
        <v>210</v>
      </c>
      <c r="N236" s="5" t="n">
        <v>619</v>
      </c>
      <c r="O236" s="3" t="inlineStr">
        <is>
          <t>nan</t>
        </is>
      </c>
      <c r="P236" s="6">
        <f>HYPERLINK("https://fin.land.naver.com/articles/2645781590", "매물Link")</f>
        <v/>
      </c>
      <c r="Q236" s="6">
        <f>HYPERLINK("https://map.naver.com/p/search/조치원읍 죽림리 338-2", "지도Link")</f>
        <v/>
      </c>
      <c r="R236" s="6">
        <f>HYPERLINK("http://www.eum.go.kr/web/ar/lu/luLandDet.jsp?pnu=3611025030103380002&amp;isNoScr=script&amp;mode=search",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273.3</v>
      </c>
      <c r="V236" s="4" t="n">
        <v>502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130-20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6500</v>
      </c>
      <c r="H237" s="4" t="n">
        <v>0</v>
      </c>
      <c r="I237" s="4" t="n">
        <v>142</v>
      </c>
      <c r="J237" s="4" t="n">
        <v>43</v>
      </c>
      <c r="K237" s="5" t="n">
        <v>151.2</v>
      </c>
      <c r="L237" s="4" t="n">
        <v>43</v>
      </c>
      <c r="M237" s="4" t="n">
        <v>13</v>
      </c>
      <c r="N237" s="5" t="n">
        <v>500</v>
      </c>
      <c r="O237" s="3" t="inlineStr">
        <is>
          <t>nan</t>
        </is>
      </c>
      <c r="P237" s="6">
        <f>HYPERLINK("https://fin.land.naver.com/articles/2647881030", "매물Link")</f>
        <v/>
      </c>
      <c r="Q237" s="6">
        <f>HYPERLINK("https://map.naver.com/p/search/조치원읍 침산리 130-20", "지도Link")</f>
        <v/>
      </c>
      <c r="R237" s="6">
        <f>HYPERLINK("http://www.eum.go.kr/web/ar/lu/luLandDet.jsp?pnu=3611025028101300020&amp;isNoScr=script&amp;mode=search", "토지이음")</f>
        <v/>
      </c>
      <c r="S237" s="3" t="inlineStr">
        <is>
          <t>새둥지</t>
        </is>
      </c>
      <c r="T237" s="4" t="n">
        <v>1</v>
      </c>
      <c r="U237" s="5" t="n">
        <v>173</v>
      </c>
      <c r="V237" s="4" t="n">
        <v>142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세로한면(불)</t>
        </is>
      </c>
    </row>
    <row r="238">
      <c r="A238" s="3" t="inlineStr">
        <is>
          <t>조치원읍 침산리 132-2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23</v>
      </c>
      <c r="I238" s="4" t="n">
        <v>33</v>
      </c>
      <c r="J238" s="4" t="n">
        <v>10</v>
      </c>
      <c r="K238" s="5" t="n">
        <v>2.3</v>
      </c>
      <c r="L238" s="4" t="n">
        <v>16</v>
      </c>
      <c r="M238" s="4" t="n">
        <v>5</v>
      </c>
      <c r="N238" s="5" t="n">
        <v>4.6</v>
      </c>
      <c r="O238" s="3" t="inlineStr">
        <is>
          <t>뉴리모델링O조치원역부근O모두새것O햇살가득</t>
        </is>
      </c>
      <c r="P238" s="6">
        <f>HYPERLINK("https://fin.land.naver.com/articles/2646886305", "매물Link")</f>
        <v/>
      </c>
      <c r="Q238" s="6">
        <f>HYPERLINK("https://map.naver.com/p/search/조치원읍 침산리 132-2", "지도Link")</f>
        <v/>
      </c>
      <c r="R238" s="6">
        <f>HYPERLINK("http://www.eum.go.kr/web/ar/lu/luLandDet.jsp?pnu=3611025028101320002&amp;isNoScr=script&amp;mode=search",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303.2</v>
      </c>
      <c r="V238" s="4" t="n">
        <v>209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중로각지</t>
        </is>
      </c>
    </row>
    <row r="239">
      <c r="A239" s="3" t="inlineStr">
        <is>
          <t>조치원읍 침산리 144-9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129</v>
      </c>
      <c r="J239" s="4" t="n">
        <v>39</v>
      </c>
      <c r="K239" s="5" t="n">
        <v>1333.3</v>
      </c>
      <c r="L239" s="4" t="n">
        <v>144</v>
      </c>
      <c r="M239" s="4" t="n">
        <v>44</v>
      </c>
      <c r="N239" s="5" t="n">
        <v>1181.8</v>
      </c>
      <c r="O239" s="3" t="inlineStr">
        <is>
          <t>조치원역 서쪽 4차선 도로접함 1층 상가 2층 주택이용하실분 추천</t>
        </is>
      </c>
      <c r="P239" s="6">
        <f>HYPERLINK("https://fin.land.naver.com/articles/2646832247", "매물Link")</f>
        <v/>
      </c>
      <c r="Q239" s="6">
        <f>HYPERLINK("https://map.naver.com/p/search/조치원읍 침산리 144-9", "지도Link")</f>
        <v/>
      </c>
      <c r="R239" s="6">
        <f>HYPERLINK("http://www.eum.go.kr/web/ar/lu/luLandDet.jsp?pnu=3611025028101440009&amp;isNoScr=script&amp;mode=search",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404.6</v>
      </c>
      <c r="V239" s="4" t="n">
        <v>129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중로한면</t>
        </is>
      </c>
    </row>
    <row r="240">
      <c r="A240" s="3" t="inlineStr">
        <is>
          <t>조치원읍 침산리 148-3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빌라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76</v>
      </c>
      <c r="J240" s="4" t="n">
        <v>23</v>
      </c>
      <c r="K240" s="5" t="n">
        <v>304.3</v>
      </c>
      <c r="L240" s="4" t="n">
        <v>76</v>
      </c>
      <c r="M240" s="4" t="n">
        <v>23</v>
      </c>
      <c r="N240" s="5" t="n">
        <v>304.3</v>
      </c>
      <c r="O240" s="3" t="inlineStr">
        <is>
          <t>공실,역세권 빌라,막히지 않은 조망,방이 큰 빌라</t>
        </is>
      </c>
      <c r="P240" s="6">
        <f>HYPERLINK("https://fin.land.naver.com/articles/2647281789", "매물Link")</f>
        <v/>
      </c>
      <c r="Q240" s="6">
        <f>HYPERLINK("https://map.naver.com/p/search/조치원읍 침산리 148-3", "지도Link")</f>
        <v/>
      </c>
      <c r="R240" s="6">
        <f>HYPERLINK("http://www.eum.go.kr/web/ar/lu/luLandDet.jsp?pnu=3611025028101480003&amp;isNoScr=script&amp;mode=search", "토지이음")</f>
        <v/>
      </c>
      <c r="S240" s="3" t="inlineStr">
        <is>
          <t>이천하이닉스사무소</t>
        </is>
      </c>
      <c r="T240" s="4" t="n">
        <v>1</v>
      </c>
      <c r="U240" s="5" t="n">
        <v>210.4</v>
      </c>
      <c r="V240" s="4" t="n">
        <v>645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침산리 148-3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빌라</t>
        </is>
      </c>
      <c r="F241" s="3" t="inlineStr">
        <is>
          <t>전세</t>
        </is>
      </c>
      <c r="G241" s="4" t="n">
        <v>6800</v>
      </c>
      <c r="H241" s="4" t="n">
        <v>0</v>
      </c>
      <c r="I241" s="4" t="n">
        <v>76</v>
      </c>
      <c r="J241" s="4" t="n">
        <v>23</v>
      </c>
      <c r="K241" s="5" t="n">
        <v>295.7</v>
      </c>
      <c r="L241" s="4" t="n">
        <v>76</v>
      </c>
      <c r="M241" s="4" t="n">
        <v>23</v>
      </c>
      <c r="N241" s="5" t="n">
        <v>295.7</v>
      </c>
      <c r="O241" s="3" t="inlineStr">
        <is>
          <t>공실,귀한 전세,보증보험가능,방이 큰 빌라</t>
        </is>
      </c>
      <c r="P241" s="6">
        <f>HYPERLINK("https://fin.land.naver.com/articles/2645805671", "매물Link")</f>
        <v/>
      </c>
      <c r="Q241" s="6">
        <f>HYPERLINK("https://map.naver.com/p/search/조치원읍 침산리 148-3", "지도Link")</f>
        <v/>
      </c>
      <c r="R241" s="6">
        <f>HYPERLINK("http://www.eum.go.kr/web/ar/lu/luLandDet.jsp?pnu=3611025028101480003&amp;isNoScr=script&amp;mode=search", "토지이음")</f>
        <v/>
      </c>
      <c r="S241" s="3" t="inlineStr">
        <is>
          <t>이천하이닉스사무소</t>
        </is>
      </c>
      <c r="T241" s="4" t="n">
        <v>1</v>
      </c>
      <c r="U241" s="5" t="n">
        <v>210.4</v>
      </c>
      <c r="V241" s="4" t="n">
        <v>645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219-5</t>
        </is>
      </c>
      <c r="B243" s="3" t="inlineStr">
        <is>
          <t>제1종일반주거지역</t>
        </is>
      </c>
      <c r="C243" s="3" t="inlineStr">
        <is>
          <t>답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월세</t>
        </is>
      </c>
      <c r="G243" s="4" t="n">
        <v>500</v>
      </c>
      <c r="H243" s="4" t="n">
        <v>55</v>
      </c>
      <c r="I243" s="4" t="n">
        <v>0</v>
      </c>
      <c r="J243" s="4" t="n">
        <v>0</v>
      </c>
      <c r="K243" s="5" t="n">
        <v>0</v>
      </c>
      <c r="L243" s="4" t="n">
        <v>39</v>
      </c>
      <c r="M243" s="4" t="n">
        <v>12</v>
      </c>
      <c r="N243" s="5" t="n">
        <v>4.6</v>
      </c>
      <c r="O243" s="3" t="inlineStr">
        <is>
          <t>침산리 조용한 투룸</t>
        </is>
      </c>
      <c r="P243" s="6">
        <f>HYPERLINK("https://fin.land.naver.com/articles/2650116041", "매물Link")</f>
        <v/>
      </c>
      <c r="Q243" s="6">
        <f>HYPERLINK("https://map.naver.com/p/search/조치원읍 침산리 219-5", "지도Link")</f>
        <v/>
      </c>
      <c r="R243" s="6">
        <f>HYPERLINK("http://www.eum.go.kr/web/ar/lu/luLandDet.jsp?pnu=3611025028102190005&amp;isNoScr=script&amp;mode=search", "토지이음")</f>
        <v/>
      </c>
      <c r="S243" s="3" t="inlineStr">
        <is>
          <t>고래</t>
        </is>
      </c>
      <c r="T243" s="4" t="n">
        <v>1</v>
      </c>
      <c r="U243" s="5" t="n">
        <v>210.2</v>
      </c>
      <c r="V243" s="4" t="n">
        <v>380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55</v>
      </c>
      <c r="I245" s="4" t="n">
        <v>39</v>
      </c>
      <c r="J245" s="4" t="n">
        <v>12</v>
      </c>
      <c r="K245" s="5" t="n">
        <v>4.6</v>
      </c>
      <c r="L245" s="4" t="n">
        <v>39</v>
      </c>
      <c r="M245" s="4" t="n">
        <v>12</v>
      </c>
      <c r="N245" s="5" t="n">
        <v>4.6</v>
      </c>
      <c r="O245" s="3" t="inlineStr">
        <is>
          <t>침산리 투룸 월세 고려대 인접 상권 인프라 완벽한 화성타운</t>
        </is>
      </c>
      <c r="P245" s="6">
        <f>HYPERLINK("https://fin.land.naver.com/articles/2647479834",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번암주공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130</v>
      </c>
      <c r="J246" s="4" t="n">
        <v>39</v>
      </c>
      <c r="K246" s="5" t="n">
        <v>1.4</v>
      </c>
      <c r="L246" s="4" t="n">
        <v>39</v>
      </c>
      <c r="M246" s="4" t="n">
        <v>12</v>
      </c>
      <c r="N246" s="5" t="n">
        <v>4.6</v>
      </c>
      <c r="O246" s="3" t="inlineStr">
        <is>
          <t>nan</t>
        </is>
      </c>
      <c r="P246" s="6">
        <f>HYPERLINK("https://fin.land.naver.com/articles/2647831340",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한뜰금빛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50</v>
      </c>
      <c r="I247" s="4" t="n">
        <v>130</v>
      </c>
      <c r="J247" s="4" t="n">
        <v>39</v>
      </c>
      <c r="K247" s="5" t="n">
        <v>1.3</v>
      </c>
      <c r="L247" s="4" t="n">
        <v>30</v>
      </c>
      <c r="M247" s="4" t="n">
        <v>9</v>
      </c>
      <c r="N247" s="5" t="n">
        <v>5.6</v>
      </c>
      <c r="O247" s="3" t="inlineStr">
        <is>
          <t>투룸 방2 월세</t>
        </is>
      </c>
      <c r="P247" s="6">
        <f>HYPERLINK("https://fin.land.naver.com/articles/2647861513",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39</v>
      </c>
      <c r="M249" s="4" t="n">
        <v>12</v>
      </c>
      <c r="N249" s="5" t="n">
        <v>3.8</v>
      </c>
      <c r="O249" s="3" t="inlineStr">
        <is>
          <t>원룸 2개구조. 2인숙소 강추.</t>
        </is>
      </c>
      <c r="P249" s="6">
        <f>HYPERLINK("https://fin.land.naver.com/articles/2649229081",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129</v>
      </c>
      <c r="J250" s="4" t="n">
        <v>39</v>
      </c>
      <c r="K250" s="5" t="n">
        <v>1.2</v>
      </c>
      <c r="L250" s="4" t="n">
        <v>40</v>
      </c>
      <c r="M250" s="4" t="n">
        <v>12</v>
      </c>
      <c r="N250" s="5" t="n">
        <v>3.8</v>
      </c>
      <c r="O250" s="3" t="inlineStr">
        <is>
          <t>방2 화장실2</t>
        </is>
      </c>
      <c r="P250" s="6">
        <f>HYPERLINK("https://fin.land.naver.com/articles/2650123958",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258-1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500</v>
      </c>
      <c r="H252" s="4" t="n">
        <v>55</v>
      </c>
      <c r="I252" s="4" t="n">
        <v>46</v>
      </c>
      <c r="J252" s="4" t="n">
        <v>14</v>
      </c>
      <c r="K252" s="5" t="n">
        <v>3.9</v>
      </c>
      <c r="L252" s="4" t="n">
        <v>39</v>
      </c>
      <c r="M252" s="4" t="n">
        <v>12</v>
      </c>
      <c r="N252" s="5" t="n">
        <v>4.6</v>
      </c>
      <c r="O252" s="3" t="inlineStr">
        <is>
          <t>2개.귀한투룸.상권좋고. 즉시입주가능</t>
        </is>
      </c>
      <c r="P252" s="6">
        <f>HYPERLINK("https://fin.land.naver.com/articles/2646624768", "매물Link")</f>
        <v/>
      </c>
      <c r="Q252" s="6">
        <f>HYPERLINK("https://map.naver.com/p/search/조치원읍 침산리 258-1", "지도Link")</f>
        <v/>
      </c>
      <c r="R252" s="6">
        <f>HYPERLINK("http://www.eum.go.kr/web/ar/lu/luLandDet.jsp?pnu=3611025028102580001&amp;isNoScr=script&amp;mode=search",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346.8</v>
      </c>
      <c r="V252" s="4" t="n">
        <v>237.5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소로각지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150</v>
      </c>
      <c r="H254" s="4" t="n">
        <v>25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3.6</v>
      </c>
      <c r="O254" s="3" t="inlineStr">
        <is>
          <t>nan</t>
        </is>
      </c>
      <c r="P254" s="6">
        <f>HYPERLINK("https://fin.land.naver.com/articles/2649877584", "매물Link")</f>
        <v/>
      </c>
      <c r="Q254" s="6">
        <f>HYPERLINK("https://map.naver.com/p/search/조치원읍 침산리 265-11", "지도Link")</f>
        <v/>
      </c>
      <c r="R254" s="6">
        <f>HYPERLINK("http://www.eum.go.kr/web/ar/lu/luLandDet.jsp?pnu=3611025028102650011&amp;isNoScr=script&amp;mode=search",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415.5</v>
      </c>
      <c r="V254" s="4" t="n">
        <v>190.7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265-9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40</v>
      </c>
      <c r="I255" s="4" t="n">
        <v>30</v>
      </c>
      <c r="J255" s="4" t="n">
        <v>9</v>
      </c>
      <c r="K255" s="5" t="n">
        <v>4.4</v>
      </c>
      <c r="L255" s="4" t="n">
        <v>30</v>
      </c>
      <c r="M255" s="4" t="n">
        <v>9</v>
      </c>
      <c r="N255" s="5" t="n">
        <v>4.4</v>
      </c>
      <c r="O255" s="3" t="inlineStr">
        <is>
          <t>투베이 분리형 이사협의</t>
        </is>
      </c>
      <c r="P255" s="6">
        <f>HYPERLINK("https://fin.land.naver.com/articles/2648493335", "매물Link")</f>
        <v/>
      </c>
      <c r="Q255" s="6">
        <f>HYPERLINK("https://map.naver.com/p/search/조치원읍 침산리 265-9", "지도Link")</f>
        <v/>
      </c>
      <c r="R255" s="6">
        <f>HYPERLINK("http://www.eum.go.kr/web/ar/lu/luLandDet.jsp?pnu=3611025028102650009&amp;isNoScr=script&amp;mode=search",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419.8</v>
      </c>
      <c r="V255" s="4" t="n">
        <v>274.8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266-12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매매</t>
        </is>
      </c>
      <c r="G256" s="4" t="n">
        <v>100000</v>
      </c>
      <c r="H256" s="4" t="n">
        <v>0</v>
      </c>
      <c r="I256" s="4" t="n">
        <v>259</v>
      </c>
      <c r="J256" s="4" t="n">
        <v>78</v>
      </c>
      <c r="K256" s="5" t="n">
        <v>1282.1</v>
      </c>
      <c r="L256" s="4" t="n">
        <v>473</v>
      </c>
      <c r="M256" s="4" t="n">
        <v>143</v>
      </c>
      <c r="N256" s="5" t="n">
        <v>699.3</v>
      </c>
      <c r="O256" s="3" t="inlineStr">
        <is>
          <t>nan</t>
        </is>
      </c>
      <c r="P256" s="6">
        <f>HYPERLINK("https://fin.land.naver.com/articles/2649229764", "매물Link")</f>
        <v/>
      </c>
      <c r="Q256" s="6">
        <f>HYPERLINK("https://map.naver.com/p/search/조치원읍 침산리 266-12", "지도Link")</f>
        <v/>
      </c>
      <c r="R256" s="6">
        <f>HYPERLINK("http://www.eum.go.kr/web/ar/lu/luLandDet.jsp?pnu=3611025028102660012&amp;isNoScr=script&amp;mode=search",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318.2</v>
      </c>
      <c r="V256" s="4" t="n">
        <v>259.5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267-11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4.3</v>
      </c>
      <c r="O258" s="3" t="inlineStr">
        <is>
          <t>욱일앞 생활편의 시설 좋은 위치</t>
        </is>
      </c>
      <c r="P258" s="6">
        <f>HYPERLINK("https://fin.land.naver.com/articles/2648305935", "매물Link")</f>
        <v/>
      </c>
      <c r="Q258" s="6">
        <f>HYPERLINK("https://map.naver.com/p/search/조치원읍 침산리 267-11", "지도Link")</f>
        <v/>
      </c>
      <c r="R258" s="6">
        <f>HYPERLINK("http://www.eum.go.kr/web/ar/lu/luLandDet.jsp?pnu=3611025028102670011&amp;isNoScr=script&amp;mode=search",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286.8</v>
      </c>
      <c r="V258" s="4" t="n">
        <v>254.5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267-7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25</v>
      </c>
      <c r="M259" s="4" t="n">
        <v>8</v>
      </c>
      <c r="N259" s="5" t="n">
        <v>4</v>
      </c>
      <c r="O259" s="3" t="inlineStr">
        <is>
          <t>넓고 깔끔한 풀옵션 완비방  엘베는기본  주방분리  주차편함 바로입주</t>
        </is>
      </c>
      <c r="P259" s="6">
        <f>HYPERLINK("https://fin.land.naver.com/articles/2650930837", "매물Link")</f>
        <v/>
      </c>
      <c r="Q259" s="6">
        <f>HYPERLINK("https://map.naver.com/p/search/조치원읍 침산리 267-7", "지도Link")</f>
        <v/>
      </c>
      <c r="R259" s="6">
        <f>HYPERLINK("http://www.eum.go.kr/web/ar/lu/luLandDet.jsp?pnu=3611025028102670007&amp;isNoScr=script&amp;mode=search",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428.4</v>
      </c>
      <c r="V259" s="4" t="n">
        <v>337.6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소로각지</t>
        </is>
      </c>
    </row>
    <row r="260">
      <c r="A260" s="3" t="inlineStr">
        <is>
          <t>조치원읍 침산리 267-9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112</v>
      </c>
      <c r="J260" s="4" t="n">
        <v>34</v>
      </c>
      <c r="K260" s="5" t="n">
        <v>0.9</v>
      </c>
      <c r="L260" s="4" t="n">
        <v>22</v>
      </c>
      <c r="M260" s="4" t="n">
        <v>7</v>
      </c>
      <c r="N260" s="5" t="n">
        <v>4.3</v>
      </c>
      <c r="O260" s="3" t="inlineStr">
        <is>
          <t>계약 후 즉시 입주 가능 원룸</t>
        </is>
      </c>
      <c r="P260" s="6">
        <f>HYPERLINK("https://fin.land.naver.com/articles/2651069877", "매물Link")</f>
        <v/>
      </c>
      <c r="Q260" s="6">
        <f>HYPERLINK("https://map.naver.com/p/search/조치원읍 침산리 267-9", "지도Link")</f>
        <v/>
      </c>
      <c r="R260" s="6">
        <f>HYPERLINK("http://www.eum.go.kr/web/ar/lu/luLandDet.jsp?pnu=3611025028102670009&amp;isNoScr=script&amp;mode=search",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220.1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278-11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257</v>
      </c>
      <c r="J261" s="4" t="n">
        <v>78</v>
      </c>
      <c r="K261" s="5" t="n">
        <v>1410.3</v>
      </c>
      <c r="L261" s="4" t="n">
        <v>459</v>
      </c>
      <c r="M261" s="4" t="n">
        <v>139</v>
      </c>
      <c r="N261" s="5" t="n">
        <v>791.4</v>
      </c>
      <c r="O261" s="3" t="inlineStr">
        <is>
          <t>nan</t>
        </is>
      </c>
      <c r="P261" s="6">
        <f>HYPERLINK("https://fin.land.naver.com/articles/2645776356", "매물Link")</f>
        <v/>
      </c>
      <c r="Q261" s="6">
        <f>HYPERLINK("https://map.naver.com/p/search/조치원읍 침산리 278-11", "지도Link")</f>
        <v/>
      </c>
      <c r="R261" s="6">
        <f>HYPERLINK("http://www.eum.go.kr/web/ar/lu/luLandDet.jsp?pnu=3611025028102780011&amp;isNoScr=script&amp;mode=search",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296.4</v>
      </c>
      <c r="V261" s="4" t="n">
        <v>257.9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29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4.8</v>
      </c>
      <c r="O262" s="3" t="inlineStr">
        <is>
          <t>L 역5분. 분리형원룸. 풀옵션. 즉시입주가능</t>
        </is>
      </c>
      <c r="P262" s="6">
        <f>HYPERLINK("https://fin.land.naver.com/articles/2650104336", "매물Link")</f>
        <v/>
      </c>
      <c r="Q262" s="6">
        <f>HYPERLINK("https://map.naver.com/p/search/조치원읍 침산리 279-1", "지도Link")</f>
        <v/>
      </c>
      <c r="R262" s="6">
        <f>HYPERLINK("http://www.eum.go.kr/web/ar/lu/luLandDet.jsp?pnu=3611025028102790001&amp;isNoScr=script&amp;mode=search", "토지이음")</f>
        <v/>
      </c>
      <c r="S262" s="3" t="inlineStr">
        <is>
          <t>바다</t>
        </is>
      </c>
      <c r="T262" s="4" t="n">
        <v>1</v>
      </c>
      <c r="U262" s="5" t="n">
        <v>290.8</v>
      </c>
      <c r="V262" s="4" t="n">
        <v>328.1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소로한면</t>
        </is>
      </c>
    </row>
    <row r="263">
      <c r="A263" s="3" t="inlineStr">
        <is>
          <t>조치원읍 침산리 279-15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315</v>
      </c>
      <c r="J263" s="4" t="n">
        <v>95</v>
      </c>
      <c r="K263" s="5" t="n">
        <v>1157.9</v>
      </c>
      <c r="L263" s="4" t="n">
        <v>545</v>
      </c>
      <c r="M263" s="4" t="n">
        <v>165</v>
      </c>
      <c r="N263" s="5" t="n">
        <v>666.7</v>
      </c>
      <c r="O263" s="3" t="inlineStr">
        <is>
          <t>다가주주택 연수익률 8%</t>
        </is>
      </c>
      <c r="P263" s="6">
        <f>HYPERLINK("https://fin.land.naver.com/articles/2649673971", "매물Link")</f>
        <v/>
      </c>
      <c r="Q263" s="6">
        <f>HYPERLINK("https://map.naver.com/p/search/조치원읍 침산리 279-15", "지도Link")</f>
        <v/>
      </c>
      <c r="R263" s="6">
        <f>HYPERLINK("http://www.eum.go.kr/web/ar/lu/luLandDet.jsp?pnu=3611025028102790015&amp;isNoScr=script&amp;mode=search", "토지이음")</f>
        <v/>
      </c>
      <c r="S263" s="3" t="inlineStr">
        <is>
          <t>세종베스트</t>
        </is>
      </c>
      <c r="T263" s="4" t="n">
        <v>1</v>
      </c>
      <c r="U263" s="5" t="n">
        <v>299.6</v>
      </c>
      <c r="V263" s="4" t="n">
        <v>315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23</v>
      </c>
      <c r="I264" s="4" t="n">
        <v>20</v>
      </c>
      <c r="J264" s="4" t="n">
        <v>6</v>
      </c>
      <c r="K264" s="5" t="n">
        <v>3.8</v>
      </c>
      <c r="L264" s="4" t="n">
        <v>18</v>
      </c>
      <c r="M264" s="4" t="n">
        <v>5</v>
      </c>
      <c r="N264" s="5" t="n">
        <v>4.6</v>
      </c>
      <c r="O264" s="3" t="inlineStr">
        <is>
          <t>시원하고 따뜻한집전기가스30절감 깔끔한집</t>
        </is>
      </c>
      <c r="P264" s="6">
        <f>HYPERLINK("https://fin.land.naver.com/articles/2649080565", "매물Link")</f>
        <v/>
      </c>
      <c r="Q264" s="6">
        <f>HYPERLINK("https://map.naver.com/p/search/조치원읍 침산리 279-16", "지도Link")</f>
        <v/>
      </c>
      <c r="R264" s="6">
        <f>HYPERLINK("http://www.eum.go.kr/web/ar/lu/luLandDet.jsp?pnu=3611025028102790016&amp;isNoScr=script&amp;mode=search", "토지이음")</f>
        <v/>
      </c>
      <c r="S264" s="3" t="inlineStr">
        <is>
          <t>마이룸</t>
        </is>
      </c>
      <c r="T264" s="4" t="n">
        <v>1</v>
      </c>
      <c r="U264" s="5" t="n">
        <v>299.6</v>
      </c>
      <c r="V264" s="4" t="n">
        <v>315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280-5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98000</v>
      </c>
      <c r="H265" s="4" t="n">
        <v>0</v>
      </c>
      <c r="I265" s="4" t="n">
        <v>309</v>
      </c>
      <c r="J265" s="4" t="n">
        <v>93</v>
      </c>
      <c r="K265" s="5" t="n">
        <v>1053.8</v>
      </c>
      <c r="L265" s="4" t="n">
        <v>504</v>
      </c>
      <c r="M265" s="4" t="n">
        <v>152</v>
      </c>
      <c r="N265" s="5" t="n">
        <v>644.7</v>
      </c>
      <c r="O265" s="3" t="inlineStr">
        <is>
          <t>nan</t>
        </is>
      </c>
      <c r="P265" s="6">
        <f>HYPERLINK("https://fin.land.naver.com/articles/2645775884", "매물Link")</f>
        <v/>
      </c>
      <c r="Q265" s="6">
        <f>HYPERLINK("https://map.naver.com/p/search/조치원읍 침산리 280-5", "지도Link")</f>
        <v/>
      </c>
      <c r="R265" s="6">
        <f>HYPERLINK("http://www.eum.go.kr/web/ar/lu/luLandDet.jsp?pnu=3611025028102800005&amp;isNoScr=script&amp;mode=search",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288.8</v>
      </c>
      <c r="V265" s="4" t="n">
        <v>309.4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조치원읍 침산리 283-12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24</v>
      </c>
      <c r="M266" s="4" t="n">
        <v>7</v>
      </c>
      <c r="N266" s="5" t="n">
        <v>4.6</v>
      </c>
      <c r="O266" s="3" t="inlineStr">
        <is>
          <t>인기좋은  풀옵션완비방   깔끔한 주거공간  넓은 수납공간  주차편함</t>
        </is>
      </c>
      <c r="P266" s="6">
        <f>HYPERLINK("https://fin.land.naver.com/articles/2650932375", "매물Link")</f>
        <v/>
      </c>
      <c r="Q266" s="6">
        <f>HYPERLINK("https://map.naver.com/p/search/조치원읍 침산리 283-12", "지도Link")</f>
        <v/>
      </c>
      <c r="R266" s="6">
        <f>HYPERLINK("http://www.eum.go.kr/web/ar/lu/luLandDet.jsp?pnu=3611025028102830012&amp;isNoScr=script&amp;mode=search",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263.5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283-16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98000</v>
      </c>
      <c r="H268" s="4" t="n">
        <v>0</v>
      </c>
      <c r="I268" s="4" t="n">
        <v>281</v>
      </c>
      <c r="J268" s="4" t="n">
        <v>85</v>
      </c>
      <c r="K268" s="5" t="n">
        <v>1152.9</v>
      </c>
      <c r="L268" s="4" t="n">
        <v>440</v>
      </c>
      <c r="M268" s="4" t="n">
        <v>133</v>
      </c>
      <c r="N268" s="5" t="n">
        <v>736.8</v>
      </c>
      <c r="O268" s="3" t="inlineStr">
        <is>
          <t>nan</t>
        </is>
      </c>
      <c r="P268" s="6">
        <f>HYPERLINK("https://fin.land.naver.com/articles/2645775408", "매물Link")</f>
        <v/>
      </c>
      <c r="Q268" s="6">
        <f>HYPERLINK("https://map.naver.com/p/search/조치원읍 침산리 283-16", "지도Link")</f>
        <v/>
      </c>
      <c r="R268" s="6">
        <f>HYPERLINK("http://www.eum.go.kr/web/ar/lu/luLandDet.jsp?pnu=3611025028102830016&amp;isNoScr=script&amp;mode=search",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283.1</v>
      </c>
      <c r="V268" s="4" t="n">
        <v>281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공원사유지 무상이용가능, 입지 좋은 한솔동 단독주택 매매</t>
        </is>
      </c>
      <c r="P270" s="6">
        <f>HYPERLINK("https://fin.land.naver.com/articles/2649007409",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명진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세종시 상권이용편리한 단독주택  앞뒤뻥</t>
        </is>
      </c>
      <c r="P271" s="6">
        <f>HYPERLINK("https://fin.land.naver.com/articles/2646211687",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세종믿음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착한매우급매 마당넓은공원 내집처럼사용 옆시유지땅 무상사용 꼭 해 달래요</t>
        </is>
      </c>
      <c r="P272" s="6">
        <f>HYPERLINK("https://fin.land.naver.com/articles/2646097576",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세종골드삼성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HYPERLINK("https://fin.land.naver.com/articles/2645901594",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입지 좋고 튼튼하게 지어서 실거주로 거주하기 좋은집</t>
        </is>
      </c>
      <c r="P278" s="6">
        <f>HYPERLINK("https://fin.land.naver.com/articles/2646538585",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현대탑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997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130000</v>
      </c>
      <c r="H280" s="4" t="n">
        <v>0</v>
      </c>
      <c r="I280" s="4" t="n">
        <v>393</v>
      </c>
      <c r="J280" s="4" t="n">
        <v>119</v>
      </c>
      <c r="K280" s="5" t="n">
        <v>1092.4</v>
      </c>
      <c r="L280" s="4" t="n">
        <v>196</v>
      </c>
      <c r="M280" s="4" t="n">
        <v>59</v>
      </c>
      <c r="N280" s="5" t="n">
        <v>2203.4</v>
      </c>
      <c r="O280" s="3" t="inlineStr">
        <is>
          <t>급매 1년차 최신축 현대식 세련된 내부인테리어 방3개 욕실3개</t>
        </is>
      </c>
      <c r="P280" s="6">
        <f>HYPERLINK("https://fin.land.naver.com/articles/2647126217", "매물Link")</f>
        <v/>
      </c>
      <c r="Q280" s="6">
        <f>HYPERLINK("https://map.naver.com/p/search/한솔동 997", "지도Link")</f>
        <v/>
      </c>
      <c r="R280" s="6">
        <f>HYPERLINK("http://www.eum.go.kr/web/ar/lu/luLandDet.jsp?pnu=3611010600109970000&amp;isNoScr=script&amp;mode=search", "토지이음")</f>
        <v/>
      </c>
      <c r="S280" s="3" t="inlineStr">
        <is>
          <t>세종스타</t>
        </is>
      </c>
      <c r="T280" s="4" t="n">
        <v>1</v>
      </c>
      <c r="U280" s="5" t="n">
        <v>302.8</v>
      </c>
      <c r="V280" s="4" t="n">
        <v>393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해밀동 665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월세</t>
        </is>
      </c>
      <c r="G281" s="4" t="n">
        <v>13000</v>
      </c>
      <c r="H281" s="4" t="n">
        <v>160</v>
      </c>
      <c r="I281" s="4" t="n">
        <v>34</v>
      </c>
      <c r="J281" s="4" t="n">
        <v>10</v>
      </c>
      <c r="K281" s="5" t="n">
        <v>16</v>
      </c>
      <c r="L281" s="4" t="n">
        <v>933</v>
      </c>
      <c r="M281" s="4" t="n">
        <v>282</v>
      </c>
      <c r="N281" s="5" t="n">
        <v>0.6</v>
      </c>
      <c r="O281" s="3" t="inlineStr">
        <is>
          <t>해밀동 라포르테 단독주택 월세</t>
        </is>
      </c>
      <c r="P281" s="6">
        <f>HYPERLINK("https://fin.land.naver.com/articles/2649244700", "매물Link")</f>
        <v/>
      </c>
      <c r="Q281" s="6">
        <f>HYPERLINK("https://map.naver.com/p/search/해밀동 665", "지도Link")</f>
        <v/>
      </c>
      <c r="R281" s="6">
        <f>HYPERLINK("http://www.eum.go.kr/web/ar/lu/luLandDet.jsp?pnu=3611011600106650000&amp;isNoScr=script&amp;mode=search", "토지이음")</f>
        <v/>
      </c>
      <c r="S281" s="3" t="inlineStr">
        <is>
          <t>태양</t>
        </is>
      </c>
      <c r="T281" s="4" t="n">
        <v>1</v>
      </c>
      <c r="U281" s="5" t="n">
        <v>215.1</v>
      </c>
      <c r="V281" s="4" t="n">
        <v>34519</v>
      </c>
      <c r="W281" s="3" t="inlineStr">
        <is>
          <t>지정되지않음</t>
        </is>
      </c>
      <c r="X281" s="3" t="inlineStr">
        <is>
          <t>연립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광대소각</t>
        </is>
      </c>
    </row>
    <row r="282">
      <c r="A282" s="3" t="inlineStr">
        <is>
          <t>해밀동 692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전세</t>
        </is>
      </c>
      <c r="G282" s="4" t="n">
        <v>100000</v>
      </c>
      <c r="H282" s="4" t="n">
        <v>0</v>
      </c>
      <c r="I282" s="4" t="n">
        <v>558</v>
      </c>
      <c r="J282" s="4" t="n">
        <v>169</v>
      </c>
      <c r="K282" s="5" t="n">
        <v>591.7</v>
      </c>
      <c r="L282" s="4" t="n">
        <v>222</v>
      </c>
      <c r="M282" s="4" t="n">
        <v>67</v>
      </c>
      <c r="N282" s="5" t="n">
        <v>1492.5</v>
      </c>
      <c r="O282" s="3" t="inlineStr">
        <is>
          <t>해밀동 고급 타운하우스 시그니매종 전세 010 3819 3805</t>
        </is>
      </c>
      <c r="P282" s="6">
        <f>HYPERLINK("https://fin.land.naver.com/articles/2646491942", "매물Link")</f>
        <v/>
      </c>
      <c r="Q282" s="6">
        <f>HYPERLINK("https://map.naver.com/p/search/해밀동 692", "지도Link")</f>
        <v/>
      </c>
      <c r="R282" s="6">
        <f>HYPERLINK("http://www.eum.go.kr/web/ar/lu/luLandDet.jsp?pnu=3611011600106920000&amp;isNoScr=script&amp;mode=search", "토지이음")</f>
        <v/>
      </c>
      <c r="S282" s="3" t="inlineStr">
        <is>
          <t>국제</t>
        </is>
      </c>
      <c r="T282" s="4" t="n">
        <v>1</v>
      </c>
      <c r="U282" s="5" t="n">
        <v>243.4</v>
      </c>
      <c r="V282" s="4" t="n">
        <v>6242.7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중로각지</t>
        </is>
      </c>
    </row>
  </sheetData>
  <autoFilter ref="A1:AA2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HYPERLINK("http://www.eum.go.kr/web/ar/lu/luLandDet.jsp?pnu=4311331028104170008&amp;isNoScr=script&amp;mode=search",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HYPERLINK("https://fin.land.naver.com/articles/2650293981",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HYPERLINK("https://fin.land.naver.com/articles/2651061747",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HYPERLINK("http://www.eum.go.kr/web/ar/lu/luLandDet.jsp?pnu=4311331032101930005&amp;isNoScr=script&amp;mode=search",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HYPERLINK("https://fin.land.naver.com/articles/2648862562",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HYPERLINK("https://fin.land.naver.com/articles/2651086909",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HYPERLINK("https://fin.land.naver.com/articles/2646674342",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HYPERLINK("https://fin.land.naver.com/articles/2648856546",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HYPERLINK("https://fin.land.naver.com/articles/2649588199",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HYPERLINK("https://fin.land.naver.com/articles/2649766878",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HYPERLINK("https://fin.land.naver.com/articles/2650136338",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2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HYPERLINK("https://fin.land.naver.com/articles/2648145150",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HYPERLINK("https://fin.land.naver.com/articles/2646656483",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HYPERLINK("https://fin.land.naver.com/articles/2650914307",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HYPERLINK("https://fin.land.naver.com/articles/2649617360",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HYPERLINK("http://www.eum.go.kr/web/ar/lu/luLandDet.jsp?pnu=4311331023104800000&amp;isNoScr=script&amp;mode=search",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HYPERLINK("https://fin.land.naver.com/articles/2648137521",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HYPERLINK("https://fin.land.naver.com/articles/2645318382",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HYPERLINK("https://fin.land.naver.com/articles/2645881618",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330-9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1200000</v>
      </c>
      <c r="G140" s="4" t="n">
        <v>9564</v>
      </c>
      <c r="H140" s="4" t="n">
        <v>2893</v>
      </c>
      <c r="I140" s="5" t="n">
        <v>414.8</v>
      </c>
      <c r="J140" s="5" t="n">
        <v>147.8</v>
      </c>
      <c r="K140" s="3" t="inlineStr">
        <is>
          <t>M 해당토지외 15필지 포함. 공장 및 토지 매매 M</t>
        </is>
      </c>
      <c r="L140" s="6">
        <f>HYPERLINK("https://fin.land.naver.com/articles/2651128763", "매물Link")</f>
        <v/>
      </c>
      <c r="M140" s="6">
        <f>HYPERLINK("https://map.naver.com/p/search/강내면 탑연리 330-9", "지도Link")</f>
        <v/>
      </c>
      <c r="N140" s="6">
        <f>HYPERLINK("http://www.eum.go.kr/web/ar/lu/luLandDet.jsp?pnu=4311331031103300009&amp;isNoScr=script&amp;mode=search", "토지이음")</f>
        <v/>
      </c>
      <c r="O140" s="3" t="inlineStr">
        <is>
          <t>채움</t>
        </is>
      </c>
      <c r="P140" s="4" t="n">
        <v>1</v>
      </c>
      <c r="Q140" s="4" t="n">
        <v>1590</v>
      </c>
      <c r="R140" s="3" t="inlineStr">
        <is>
          <t>자연녹지지역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HYPERLINK("https://fin.land.naver.com/articles/2647720562",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HYPERLINK("https://fin.land.naver.com/articles/2647601462",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84900</v>
      </c>
      <c r="G156" s="4" t="n">
        <v>1871</v>
      </c>
      <c r="H156" s="4" t="n">
        <v>566</v>
      </c>
      <c r="I156" s="5" t="n">
        <v>150</v>
      </c>
      <c r="J156" s="5" t="n">
        <v>36.3</v>
      </c>
      <c r="K156" s="3" t="inlineStr">
        <is>
          <t>2차선 포장도로 접한 토지로 공장,창고부지로 적합</t>
        </is>
      </c>
      <c r="L156" s="6">
        <f>HYPERLINK("https://fin.land.naver.com/articles/2645438275",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고은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HYPERLINK("https://fin.land.naver.com/articles/2648141981",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2040</v>
      </c>
      <c r="H170" s="4" t="n">
        <v>617</v>
      </c>
      <c r="I170" s="5" t="n">
        <v>119.9</v>
      </c>
      <c r="J170" s="5" t="n">
        <v>16.9</v>
      </c>
      <c r="K170" s="3" t="inlineStr">
        <is>
          <t>흥덕구청 뒷편 체육관예정지 인근 저수지 앞 1종근생 허가 득한 토지</t>
        </is>
      </c>
      <c r="L170" s="6">
        <f>HYPERLINK("https://fin.land.naver.com/articles/2650898101", "매물Link")</f>
        <v/>
      </c>
      <c r="M170" s="6">
        <f>HYPERLINK("https://map.naver.com/p/search/강내면 학천리 380", "지도Link")</f>
        <v/>
      </c>
      <c r="N170" s="6">
        <f>HYPERLINK("http://www.eum.go.kr/web/ar/lu/luLandDet.jsp?pnu=4311331035103800000&amp;isNoScr=script&amp;mode=search",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2040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5670</v>
      </c>
      <c r="H176" s="4" t="n">
        <v>1715</v>
      </c>
      <c r="I176" s="5" t="n">
        <v>50.1</v>
      </c>
      <c r="J176" s="5" t="n">
        <v>17.2</v>
      </c>
      <c r="K176" s="3" t="inlineStr">
        <is>
          <t>생산녹지지역</t>
        </is>
      </c>
      <c r="L176" s="6">
        <f>HYPERLINK("https://fin.land.naver.com/articles/2647427471", "매물Link")</f>
        <v/>
      </c>
      <c r="M176" s="6">
        <f>HYPERLINK("https://map.naver.com/p/search/강내면 학천리 549-1", "지도Link")</f>
        <v/>
      </c>
      <c r="N176" s="6">
        <f>HYPERLINK("http://www.eum.go.kr/web/ar/lu/luLandDet.jsp?pnu=4311331035105490001&amp;isNoScr=script&amp;mode=search", "토지이음")</f>
        <v/>
      </c>
      <c r="O176" s="3" t="inlineStr">
        <is>
          <t>수풀림</t>
        </is>
      </c>
      <c r="P176" s="4" t="n">
        <v>1</v>
      </c>
      <c r="Q176" s="4" t="n">
        <v>1884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학천리 565-1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25662</v>
      </c>
      <c r="G177" s="4" t="n">
        <v>1805</v>
      </c>
      <c r="H177" s="4" t="n">
        <v>546</v>
      </c>
      <c r="I177" s="5" t="n">
        <v>47</v>
      </c>
      <c r="J177" s="5" t="n">
        <v>16.1</v>
      </c>
      <c r="K177" s="3" t="inlineStr">
        <is>
          <t>nan</t>
        </is>
      </c>
      <c r="L177" s="6">
        <f>HYPERLINK("https://fin.land.naver.com/articles/2649943022", "매물Link")</f>
        <v/>
      </c>
      <c r="M177" s="6">
        <f>HYPERLINK("https://map.naver.com/p/search/강내면 학천리 565-1", "지도Link")</f>
        <v/>
      </c>
      <c r="N177" s="6">
        <f>HYPERLINK("http://www.eum.go.kr/web/ar/lu/luLandDet.jsp?pnu=4311331035105650001&amp;isNoScr=script&amp;mode=search", "토지이음")</f>
        <v/>
      </c>
      <c r="O177" s="3" t="inlineStr">
        <is>
          <t>달인무소</t>
        </is>
      </c>
      <c r="P177" s="4" t="n">
        <v>1</v>
      </c>
      <c r="Q177" s="4" t="n">
        <v>1369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2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HYPERLINK("https://fin.land.naver.com/articles/2645720982",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51500</v>
      </c>
      <c r="G196" s="4" t="n">
        <v>341</v>
      </c>
      <c r="H196" s="4" t="n">
        <v>103</v>
      </c>
      <c r="I196" s="5" t="n">
        <v>500</v>
      </c>
      <c r="J196" s="5" t="n">
        <v>330.5</v>
      </c>
      <c r="K196" s="3" t="inlineStr">
        <is>
          <t>급매매,단독주택밀집.건너편 공원뷰</t>
        </is>
      </c>
      <c r="L196" s="6">
        <f>HYPERLINK("https://fin.land.naver.com/articles/2650539320",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킹세종</t>
        </is>
      </c>
      <c r="P196" s="4" t="n">
        <v>3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입지좋은단독택지학군상권이용편리공원바로옆위치</t>
        </is>
      </c>
      <c r="L198" s="6">
        <f>HYPERLINK("https://fin.land.naver.com/articles/2645684375",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고운동 입지 좋은 단독주택 매매, 공원 근처</t>
        </is>
      </c>
      <c r="L199" s="6">
        <f>HYPERLINK("https://fin.land.naver.com/articles/2645677232",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HYPERLINK("https://fin.land.naver.com/articles/2645686722",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343</v>
      </c>
      <c r="H215" s="4" t="n">
        <v>104</v>
      </c>
      <c r="I215" s="5" t="n">
        <v>576.9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HYPERLINK("https://fin.land.naver.com/articles/2645386600",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HYPERLINK("https://fin.land.naver.com/articles/2647141300",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세종특별시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HYPERLINK("https://fin.land.naver.com/articles/2646570985",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HYPERLINK("https://fin.land.naver.com/articles/2650516285",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HYPERLINK("https://fin.land.naver.com/articles/2648615465",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HYPERLINK("http://www.eum.go.kr/web/ar/lu/luLandDet.jsp?pnu=3611011200113190000&amp;isNoScr=script&amp;mode=search",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HYPERLINK("https://fin.land.naver.com/articles/2648840359",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HYPERLINK("https://fin.land.naver.com/articles/2649613023",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HYPERLINK("https://fin.land.naver.com/articles/2651034506",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HYPERLINK("https://fin.land.naver.com/articles/2651034907",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HYPERLINK("https://fin.land.naver.com/articles/2649698053",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HYPERLINK("https://fin.land.naver.com/articles/2649698505",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HYPERLINK("https://fin.land.naver.com/articles/2649699764",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nan</t>
        </is>
      </c>
      <c r="L254" s="6">
        <f>HYPERLINK("https://fin.land.naver.com/articles/2649619098",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조율가능 넓은평수 지대높음</t>
        </is>
      </c>
      <c r="L255" s="6">
        <f>HYPERLINK("https://fin.land.naver.com/articles/2648615564",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HYPERLINK("https://fin.land.naver.com/articles/2648967212",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HYPERLINK("http://www.eum.go.kr/web/ar/lu/luLandDet.jsp?pnu=3611011200114630000&amp;isNoScr=script&amp;mode=search",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HYPERLINK("https://fin.land.naver.com/articles/2649416314",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HYPERLINK("https://fin.land.naver.com/articles/2649795902",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HYPERLINK("https://fin.land.naver.com/articles/2648523071",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HYPERLINK("https://fin.land.naver.com/articles/2648615408",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401</v>
      </c>
      <c r="H276" s="4" t="n">
        <v>121</v>
      </c>
      <c r="I276" s="5" t="n">
        <v>661.2</v>
      </c>
      <c r="J276" s="5" t="n">
        <v>326.7</v>
      </c>
      <c r="K276" s="3" t="inlineStr">
        <is>
          <t>조율가능 남향 실개천옆 최선호위치</t>
        </is>
      </c>
      <c r="L276" s="6">
        <f>HYPERLINK("https://fin.land.naver.com/articles/2649618762", "매물Link")</f>
        <v/>
      </c>
      <c r="M276" s="6">
        <f>HYPERLINK("https://map.naver.com/p/search/고운동 1618", "지도Link")</f>
        <v/>
      </c>
      <c r="N276" s="6">
        <f>HYPERLINK("http://www.eum.go.kr/web/ar/lu/luLandDet.jsp?pnu=3611011200116180000&amp;isNoScr=script&amp;mode=search",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401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자루형</t>
        </is>
      </c>
      <c r="V276" s="3" t="inlineStr">
        <is>
          <t>소로각지</t>
        </is>
      </c>
    </row>
    <row r="277">
      <c r="A277" s="3" t="inlineStr">
        <is>
          <t>고운동 1629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51000</v>
      </c>
      <c r="G277" s="4" t="n">
        <v>347</v>
      </c>
      <c r="H277" s="4" t="n">
        <v>105</v>
      </c>
      <c r="I277" s="5" t="n">
        <v>485.7</v>
      </c>
      <c r="J277" s="5" t="n">
        <v>336.2</v>
      </c>
      <c r="K277" s="3" t="inlineStr">
        <is>
          <t>전원주택을 지을수있는 위치좋은 대지</t>
        </is>
      </c>
      <c r="L277" s="6">
        <f>HYPERLINK("https://fin.land.naver.com/articles/2649719558", "매물Link")</f>
        <v/>
      </c>
      <c r="M277" s="6">
        <f>HYPERLINK("https://map.naver.com/p/search/고운동 1629", "지도Link")</f>
        <v/>
      </c>
      <c r="N277" s="6">
        <f>HYPERLINK("http://www.eum.go.kr/web/ar/lu/luLandDet.jsp?pnu=3611011200116290000&amp;isNoScr=script&amp;mode=search", "토지이음")</f>
        <v/>
      </c>
      <c r="O277" s="3" t="inlineStr">
        <is>
          <t>대한</t>
        </is>
      </c>
      <c r="P277" s="4" t="n">
        <v>1</v>
      </c>
      <c r="Q277" s="4" t="n">
        <v>347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HYPERLINK("https://fin.land.naver.com/articles/2650427880",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1653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337</v>
      </c>
      <c r="H279" s="4" t="n">
        <v>102</v>
      </c>
      <c r="I279" s="5" t="n">
        <v>568.6</v>
      </c>
      <c r="J279" s="5" t="n">
        <v>312.9</v>
      </c>
      <c r="K279" s="3" t="inlineStr">
        <is>
          <t>총 102.1p, 사거리 코너, 입지 좋은 단독주택지</t>
        </is>
      </c>
      <c r="L279" s="6">
        <f>HYPERLINK("https://fin.land.naver.com/articles/2645495934", "매물Link")</f>
        <v/>
      </c>
      <c r="M279" s="6">
        <f>HYPERLINK("https://map.naver.com/p/search/고운동 1653", "지도Link")</f>
        <v/>
      </c>
      <c r="N279" s="6">
        <f>HYPERLINK("http://www.eum.go.kr/web/ar/lu/luLandDet.jsp?pnu=3611011200116530000&amp;isNoScr=script&amp;mode=search",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337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1682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49000</v>
      </c>
      <c r="G283" s="4" t="n">
        <v>317</v>
      </c>
      <c r="H283" s="4" t="n">
        <v>96</v>
      </c>
      <c r="I283" s="5" t="n">
        <v>510.4</v>
      </c>
      <c r="J283" s="5" t="n">
        <v>312.7</v>
      </c>
      <c r="K283" s="3" t="inlineStr">
        <is>
          <t>96.1p, 고운동 코너자리 단독주택 토지매매</t>
        </is>
      </c>
      <c r="L283" s="6">
        <f>HYPERLINK("https://fin.land.naver.com/articles/2649004997", "매물Link")</f>
        <v/>
      </c>
      <c r="M283" s="6">
        <f>HYPERLINK("https://map.naver.com/p/search/고운동 1682", "지도Link")</f>
        <v/>
      </c>
      <c r="N283" s="6">
        <f>HYPERLINK("http://www.eum.go.kr/web/ar/lu/luLandDet.jsp?pnu=3611011200116820000&amp;isNoScr=script&amp;mode=search",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317.2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고운동 1684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330</v>
      </c>
      <c r="H284" s="4" t="n">
        <v>100</v>
      </c>
      <c r="I284" s="5" t="n">
        <v>550</v>
      </c>
      <c r="J284" s="5" t="n">
        <v>299.2</v>
      </c>
      <c r="K284" s="3" t="inlineStr">
        <is>
          <t>공원인접,상가인접,초중고인접,조율가능</t>
        </is>
      </c>
      <c r="L284" s="6">
        <f>HYPERLINK("https://fin.land.naver.com/articles/2648942488", "매물Link")</f>
        <v/>
      </c>
      <c r="M284" s="6">
        <f>HYPERLINK("https://map.naver.com/p/search/고운동 1684", "지도Link")</f>
        <v/>
      </c>
      <c r="N284" s="6">
        <f>HYPERLINK("http://www.eum.go.kr/web/ar/lu/luLandDet.jsp?pnu=3611011200116840000&amp;isNoScr=script&amp;mode=search", "토지이음")</f>
        <v/>
      </c>
      <c r="O284" s="3" t="inlineStr">
        <is>
          <t>똑똑</t>
        </is>
      </c>
      <c r="P284" s="4" t="n">
        <v>1</v>
      </c>
      <c r="Q284" s="4" t="n">
        <v>330.1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1702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233000</v>
      </c>
      <c r="G285" s="4" t="n">
        <v>1544</v>
      </c>
      <c r="H285" s="4" t="n">
        <v>467</v>
      </c>
      <c r="I285" s="5" t="n">
        <v>498.9</v>
      </c>
      <c r="J285" s="5" t="n">
        <v>336.2</v>
      </c>
      <c r="K285" s="3" t="inlineStr">
        <is>
          <t>보육시설용지 유치원 어린이집 부지</t>
        </is>
      </c>
      <c r="L285" s="6">
        <f>HYPERLINK("https://fin.land.naver.com/articles/2648978969", "매물Link")</f>
        <v/>
      </c>
      <c r="M285" s="6">
        <f>HYPERLINK("https://map.naver.com/p/search/고운동 1702", "지도Link")</f>
        <v/>
      </c>
      <c r="N285" s="6">
        <f>HYPERLINK("http://www.eum.go.kr/web/ar/lu/luLandDet.jsp?pnu=3611011200117020000&amp;isNoScr=script&amp;mode=search",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1544</v>
      </c>
      <c r="R285" s="3" t="inlineStr">
        <is>
          <t>지정되지않음</t>
        </is>
      </c>
      <c r="S285" s="3" t="inlineStr">
        <is>
          <t>주거기타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중로각지</t>
        </is>
      </c>
    </row>
    <row r="286">
      <c r="A286" s="3" t="inlineStr">
        <is>
          <t>고운동 1742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345</v>
      </c>
      <c r="H286" s="4" t="n">
        <v>104</v>
      </c>
      <c r="I286" s="5" t="n">
        <v>576.9</v>
      </c>
      <c r="J286" s="5" t="n">
        <v>297.1</v>
      </c>
      <c r="K286" s="3" t="inlineStr">
        <is>
          <t>조율가능 남향 해잘드는곳 학교 상권 가까운위치</t>
        </is>
      </c>
      <c r="L286" s="6">
        <f>HYPERLINK("https://fin.land.naver.com/articles/2651087896", "매물Link")</f>
        <v/>
      </c>
      <c r="M286" s="6">
        <f>HYPERLINK("https://map.naver.com/p/search/고운동 1742", "지도Link")</f>
        <v/>
      </c>
      <c r="N286" s="6">
        <f>HYPERLINK("http://www.eum.go.kr/web/ar/lu/luLandDet.jsp?pnu=3611011200117420000&amp;isNoScr=script&amp;mode=search",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HYPERLINK("https://fin.land.naver.com/articles/2649008695",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HYPERLINK("https://fin.land.naver.com/articles/2650653474",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HYPERLINK("https://fin.land.naver.com/articles/2647094510",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HYPERLINK("https://fin.land.naver.com/articles/2649748261",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HYPERLINK("https://fin.land.naver.com/articles/2646710175",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HYPERLINK("https://fin.land.naver.com/articles/2650369741",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HYPERLINK("https://fin.land.naver.com/articles/2648024777",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HYPERLINK("https://fin.land.naver.com/articles/2645003696",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급매. 고급주택이 가능한 넓은 택지, 정남향</t>
        </is>
      </c>
      <c r="L297" s="6">
        <f>HYPERLINK("https://fin.land.naver.com/articles/2649456450",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세종삼촌</t>
        </is>
      </c>
      <c r="P297" s="4" t="n">
        <v>1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HYPERLINK("https://fin.land.naver.com/articles/2647094929",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nan</t>
        </is>
      </c>
      <c r="L300" s="6">
        <f>HYPERLINK("https://fin.land.naver.com/articles/2648367069",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급매,전원형 주택단지 남향필지</t>
        </is>
      </c>
      <c r="L304" s="6">
        <f>HYPERLINK("https://fin.land.naver.com/articles/2649745305", "매물Link")</f>
        <v/>
      </c>
      <c r="M304" s="6">
        <f>HYPERLINK("https://map.naver.com/p/search/고운동 1954", "지도Link")</f>
        <v/>
      </c>
      <c r="N304" s="6">
        <f>HYPERLINK("http://www.eum.go.kr/web/ar/lu/luLandDet.jsp?pnu=3611011200119540000&amp;isNoScr=script&amp;mode=search",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남향,  공원인접,  학교 및 편의시설</t>
        </is>
      </c>
      <c r="L305" s="6">
        <f>HYPERLINK("https://fin.land.naver.com/articles/2649038204", "매물Link")</f>
        <v/>
      </c>
      <c r="M305" s="6">
        <f>HYPERLINK("https://map.naver.com/p/search/고운동 1955", "지도Link")</f>
        <v/>
      </c>
      <c r="N305" s="6">
        <f>HYPERLINK("http://www.eum.go.kr/web/ar/lu/luLandDet.jsp?pnu=3611011200119550000&amp;isNoScr=script&amp;mode=search", "토지이음")</f>
        <v/>
      </c>
      <c r="O305" s="3" t="inlineStr">
        <is>
          <t>백프로</t>
        </is>
      </c>
      <c r="P305" s="4" t="n">
        <v>3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352</v>
      </c>
      <c r="H306" s="4" t="n">
        <v>106</v>
      </c>
      <c r="I306" s="5" t="n">
        <v>613.2</v>
      </c>
      <c r="J306" s="5" t="n">
        <v>297.1</v>
      </c>
      <c r="K306" s="3" t="inlineStr">
        <is>
          <t>공원조망 정남향 최고위치 조율가능</t>
        </is>
      </c>
      <c r="L306" s="6">
        <f>HYPERLINK("https://fin.land.naver.com/articles/2651087463", "매물Link")</f>
        <v/>
      </c>
      <c r="M306" s="6">
        <f>HYPERLINK("https://map.naver.com/p/search/고운동 1959", "지도Link")</f>
        <v/>
      </c>
      <c r="N306" s="6">
        <f>HYPERLINK("http://www.eum.go.kr/web/ar/lu/luLandDet.jsp?pnu=3611011200119590000&amp;isNoScr=script&amp;mode=search",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352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1967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64900</v>
      </c>
      <c r="G307" s="4" t="n">
        <v>390</v>
      </c>
      <c r="H307" s="4" t="n">
        <v>118</v>
      </c>
      <c r="I307" s="5" t="n">
        <v>550</v>
      </c>
      <c r="J307" s="5" t="n">
        <v>297.2</v>
      </c>
      <c r="K307" s="3" t="inlineStr">
        <is>
          <t>위치 좋은 큰 면적 단독주택지 매매</t>
        </is>
      </c>
      <c r="L307" s="6">
        <f>HYPERLINK("https://fin.land.naver.com/articles/2646674386", "매물Link")</f>
        <v/>
      </c>
      <c r="M307" s="6">
        <f>HYPERLINK("https://map.naver.com/p/search/고운동 1967", "지도Link")</f>
        <v/>
      </c>
      <c r="N307" s="6">
        <f>HYPERLINK("http://www.eum.go.kr/web/ar/lu/luLandDet.jsp?pnu=3611011200119670000&amp;isNoScr=script&amp;mode=search", "토지이음")</f>
        <v/>
      </c>
      <c r="O307" s="3" t="inlineStr">
        <is>
          <t>로데오상가</t>
        </is>
      </c>
      <c r="P307" s="4" t="n">
        <v>1</v>
      </c>
      <c r="Q307" s="4" t="n">
        <v>390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1980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75000</v>
      </c>
      <c r="G308" s="4" t="n">
        <v>362</v>
      </c>
      <c r="H308" s="4" t="n">
        <v>110</v>
      </c>
      <c r="I308" s="5" t="n">
        <v>681.8</v>
      </c>
      <c r="J308" s="5" t="n">
        <v>297.2</v>
      </c>
      <c r="K308" s="3" t="inlineStr">
        <is>
          <t>I 신한 I 일조권 최상, 햇살 가득한 정남향 단독주택 필지</t>
        </is>
      </c>
      <c r="L308" s="6">
        <f>HYPERLINK("https://fin.land.naver.com/articles/2645748156", "매물Link")</f>
        <v/>
      </c>
      <c r="M308" s="6">
        <f>HYPERLINK("https://map.naver.com/p/search/고운동 1980", "지도Link")</f>
        <v/>
      </c>
      <c r="N308" s="6">
        <f>HYPERLINK("http://www.eum.go.kr/web/ar/lu/luLandDet.jsp?pnu=3611011200119800000&amp;isNoScr=script&amp;mode=search", "토지이음")</f>
        <v/>
      </c>
      <c r="O308" s="3" t="inlineStr">
        <is>
          <t>세종신한</t>
        </is>
      </c>
      <c r="P308" s="4" t="n">
        <v>1</v>
      </c>
      <c r="Q308" s="4" t="n">
        <v>362.1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2014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389</v>
      </c>
      <c r="H309" s="4" t="n">
        <v>118</v>
      </c>
      <c r="I309" s="5" t="n">
        <v>550.8</v>
      </c>
      <c r="J309" s="5" t="n">
        <v>297.2</v>
      </c>
      <c r="K309" s="3" t="inlineStr">
        <is>
          <t>급매매,전원형 주택단지 ,남향에 보행자도로 접</t>
        </is>
      </c>
      <c r="L309" s="6">
        <f>HYPERLINK("https://fin.land.naver.com/articles/2649627304", "매물Link")</f>
        <v/>
      </c>
      <c r="M309" s="6">
        <f>HYPERLINK("https://map.naver.com/p/search/고운동 2014", "지도Link")</f>
        <v/>
      </c>
      <c r="N309" s="6">
        <f>HYPERLINK("http://www.eum.go.kr/web/ar/lu/luLandDet.jsp?pnu=3611011200120140000&amp;isNoScr=script&amp;mode=search",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389.7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HYPERLINK("https://fin.land.naver.com/articles/2645721125",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HYPERLINK("https://fin.land.naver.com/articles/2646440107",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HYPERLINK("https://fin.land.naver.com/articles/2650459401",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수자인시티</t>
        </is>
      </c>
      <c r="P315" s="4" t="n">
        <v>2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HYPERLINK("https://fin.land.naver.com/articles/2649493417",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HYPERLINK("https://fin.land.naver.com/articles/2649812012",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HYPERLINK("https://fin.land.naver.com/articles/2647095292",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HYPERLINK("https://fin.land.naver.com/articles/2649812113",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117.2p, 벙커주차장 가능한 단독토지, 고급타운하우스</t>
        </is>
      </c>
      <c r="L328" s="6">
        <f>HYPERLINK("https://fin.land.naver.com/articles/2650892488",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세종무지개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HYPERLINK("https://fin.land.naver.com/articles/2650891045",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HYPERLINK("https://fin.land.naver.com/articles/2646479186",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2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HYPERLINK("https://fin.land.naver.com/articles/2649017269",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HYPERLINK("https://fin.land.naver.com/articles/2646061697",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HYPERLINK("https://fin.land.naver.com/articles/2649595000",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288</v>
      </c>
      <c r="H372" s="4" t="n">
        <v>87</v>
      </c>
      <c r="I372" s="5" t="n">
        <v>505.7</v>
      </c>
      <c r="J372" s="5" t="n">
        <v>319.6</v>
      </c>
      <c r="K372" s="3" t="inlineStr">
        <is>
          <t>급매, 코지빌 단독주택지 토지매매</t>
        </is>
      </c>
      <c r="L372" s="6">
        <f>HYPERLINK("https://fin.land.naver.com/articles/2645493715",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HYPERLINK("https://fin.land.naver.com/articles/2650003835",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HYPERLINK("https://fin.land.naver.com/articles/2648716448",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344</v>
      </c>
      <c r="H386" s="4" t="n">
        <v>104</v>
      </c>
      <c r="I386" s="5" t="n">
        <v>528.8</v>
      </c>
      <c r="J386" s="5" t="n">
        <v>328.2</v>
      </c>
      <c r="K386" s="3" t="inlineStr">
        <is>
          <t>가락마을18단지 인접 단독주택지, 상권 인접한 코너로 위치 최상</t>
        </is>
      </c>
      <c r="L386" s="6">
        <f>HYPERLINK("https://fin.land.naver.com/articles/2648966696",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힐스테이트으뜸원</t>
        </is>
      </c>
      <c r="P386" s="4" t="n">
        <v>5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HYPERLINK("https://fin.land.naver.com/articles/2648318178",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벙커주차장 가능, 귀한 조경수 식재, 접근성 좋은 위치, 귀한 택지</t>
        </is>
      </c>
      <c r="L390" s="6">
        <f>HYPERLINK("https://fin.land.naver.com/articles/2650101642",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다정한길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3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HYPERLINK("https://fin.land.naver.com/articles/2647421229",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지대높아 전망좋은 토지</t>
        </is>
      </c>
      <c r="L395" s="6">
        <f>HYPERLINK("https://fin.land.naver.com/articles/2649578017",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킹세종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HYPERLINK("https://fin.land.naver.com/articles/2645677581",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코너각지,복합커뮤니티센터,항아리중심상권 생활권 편리,가격조정가능</t>
        </is>
      </c>
      <c r="L397" s="6">
        <f>HYPERLINK("https://fin.land.naver.com/articles/2650947653",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HYPERLINK("https://fin.land.naver.com/articles/2646026108",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HYPERLINK("https://fin.land.naver.com/articles/2647488846",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조절가능  위치좋은코너자리</t>
        </is>
      </c>
      <c r="L402" s="6">
        <f>HYPERLINK("https://fin.land.naver.com/articles/2650103114",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세종시토지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409</v>
      </c>
      <c r="H403" s="4" t="n">
        <v>124</v>
      </c>
      <c r="I403" s="5" t="n">
        <v>483.9</v>
      </c>
      <c r="J403" s="5" t="n">
        <v>324.8</v>
      </c>
      <c r="K403" s="3" t="inlineStr">
        <is>
          <t>3면코너각지 대형필지 조율가능</t>
        </is>
      </c>
      <c r="L403" s="6">
        <f>HYPERLINK("https://fin.land.naver.com/articles/2647658777", "매물Link")</f>
        <v/>
      </c>
      <c r="M403" s="6">
        <f>HYPERLINK("https://map.naver.com/p/search/다정동 641", "지도Link")</f>
        <v/>
      </c>
      <c r="N403" s="6">
        <f>HYPERLINK("http://www.eum.go.kr/web/ar/lu/luLandDet.jsp?pnu=3611010900106410000&amp;isNoScr=script&amp;mode=search", "토지이음")</f>
        <v/>
      </c>
      <c r="O403" s="3" t="inlineStr">
        <is>
          <t>세종스타</t>
        </is>
      </c>
      <c r="P403" s="4" t="n">
        <v>2</v>
      </c>
      <c r="Q403" s="4" t="n">
        <v>408.8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643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68000</v>
      </c>
      <c r="G406" s="4" t="n">
        <v>534</v>
      </c>
      <c r="H406" s="4" t="n">
        <v>162</v>
      </c>
      <c r="I406" s="5" t="n">
        <v>419.8</v>
      </c>
      <c r="J406" s="5" t="n">
        <v>278</v>
      </c>
      <c r="K406" s="3" t="inlineStr">
        <is>
          <t>공원 인근 다정동 단독주택지, 넓은 면적 추천</t>
        </is>
      </c>
      <c r="L406" s="6">
        <f>HYPERLINK("https://fin.land.naver.com/articles/2650427943", "매물Link")</f>
        <v/>
      </c>
      <c r="M406" s="6">
        <f>HYPERLINK("https://map.naver.com/p/search/다정동 643", "지도Link")</f>
        <v/>
      </c>
      <c r="N406" s="6">
        <f>HYPERLINK("http://www.eum.go.kr/web/ar/lu/luLandDet.jsp?pnu=3611010900106430000&amp;isNoScr=script&amp;mode=search",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535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가격조정가능 공원옆으로 남향 입지최고</t>
        </is>
      </c>
      <c r="L407" s="6">
        <f>HYPERLINK("https://fin.land.naver.com/articles/2648976575",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고운동리치세종</t>
        </is>
      </c>
      <c r="P407" s="4" t="n">
        <v>2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총 90.9p, 다정동 가격좋은 조용한 위치 토지매매</t>
        </is>
      </c>
      <c r="L408" s="6">
        <f>HYPERLINK("https://fin.land.naver.com/articles/2648902119",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651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300</v>
      </c>
      <c r="H409" s="4" t="n">
        <v>91</v>
      </c>
      <c r="I409" s="5" t="n">
        <v>659.3</v>
      </c>
      <c r="J409" s="5" t="n">
        <v>292.7</v>
      </c>
      <c r="K409" s="3" t="inlineStr">
        <is>
          <t>총 90.9p, 다정동 조용한 단독주택지, 정남향</t>
        </is>
      </c>
      <c r="L409" s="6">
        <f>HYPERLINK("https://fin.land.naver.com/articles/2646690725", "매물Link")</f>
        <v/>
      </c>
      <c r="M409" s="6">
        <f>HYPERLINK("https://map.naver.com/p/search/다정동 651", "지도Link")</f>
        <v/>
      </c>
      <c r="N409" s="6">
        <f>HYPERLINK("http://www.eum.go.kr/web/ar/lu/luLandDet.jsp?pnu=3611010900106510000&amp;isNoScr=script&amp;mode=search",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300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655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47000</v>
      </c>
      <c r="G410" s="4" t="n">
        <v>327</v>
      </c>
      <c r="H410" s="4" t="n">
        <v>99</v>
      </c>
      <c r="I410" s="5" t="n">
        <v>474.7</v>
      </c>
      <c r="J410" s="5" t="n">
        <v>292.7</v>
      </c>
      <c r="K410" s="3" t="inlineStr">
        <is>
          <t>급매 정남향 뒤로5천평 공원접함</t>
        </is>
      </c>
      <c r="L410" s="6">
        <f>HYPERLINK("https://fin.land.naver.com/articles/2646405783", "매물Link")</f>
        <v/>
      </c>
      <c r="M410" s="6">
        <f>HYPERLINK("https://map.naver.com/p/search/다정동 655", "지도Link")</f>
        <v/>
      </c>
      <c r="N410" s="6">
        <f>HYPERLINK("http://www.eum.go.kr/web/ar/lu/luLandDet.jsp?pnu=3611010900106550000&amp;isNoScr=script&amp;mode=search",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327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667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336</v>
      </c>
      <c r="H411" s="4" t="n">
        <v>102</v>
      </c>
      <c r="I411" s="5" t="n">
        <v>607.8</v>
      </c>
      <c r="J411" s="5" t="n">
        <v>324.8</v>
      </c>
      <c r="K411" s="3" t="inlineStr">
        <is>
          <t>다정동 단독상가 매매, 입지 좋은 조용한 위치</t>
        </is>
      </c>
      <c r="L411" s="6">
        <f>HYPERLINK("https://fin.land.naver.com/articles/2647425840", "매물Link")</f>
        <v/>
      </c>
      <c r="M411" s="6">
        <f>HYPERLINK("https://map.naver.com/p/search/다정동 667", "지도Link")</f>
        <v/>
      </c>
      <c r="N411" s="6">
        <f>HYPERLINK("http://www.eum.go.kr/web/ar/lu/luLandDet.jsp?pnu=3611010900106670000&amp;isNoScr=script&amp;mode=search",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토지 초급매, 추천매물</t>
        </is>
      </c>
      <c r="L413" s="6">
        <f>HYPERLINK("https://fin.land.naver.com/articles/2649020955",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43000</v>
      </c>
      <c r="G414" s="4" t="n">
        <v>290</v>
      </c>
      <c r="H414" s="4" t="n">
        <v>88</v>
      </c>
      <c r="I414" s="5" t="n">
        <v>488.6</v>
      </c>
      <c r="J414" s="5" t="n">
        <v>292.7</v>
      </c>
      <c r="K414" s="3" t="inlineStr">
        <is>
          <t>총 87.9p, 다정동 저렴한 단독주택지 매매</t>
        </is>
      </c>
      <c r="L414" s="6">
        <f>HYPERLINK("https://fin.land.naver.com/articles/2646694984", "매물Link")</f>
        <v/>
      </c>
      <c r="M414" s="6">
        <f>HYPERLINK("https://map.naver.com/p/search/다정동 674", "지도Link")</f>
        <v/>
      </c>
      <c r="N414" s="6">
        <f>HYPERLINK("http://www.eum.go.kr/web/ar/lu/luLandDet.jsp?pnu=3611010900106740000&amp;isNoScr=script&amp;mode=search",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290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677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270</v>
      </c>
      <c r="H415" s="4" t="n">
        <v>82</v>
      </c>
      <c r="I415" s="5" t="n">
        <v>756.1</v>
      </c>
      <c r="J415" s="5" t="n">
        <v>292.7</v>
      </c>
      <c r="K415" s="3" t="inlineStr">
        <is>
          <t>단독주택부지. 교통, 상권 편리한 귀한 필지</t>
        </is>
      </c>
      <c r="L415" s="6">
        <f>HYPERLINK("https://fin.land.naver.com/articles/2649018519", "매물Link")</f>
        <v/>
      </c>
      <c r="M415" s="6">
        <f>HYPERLINK("https://map.naver.com/p/search/다정동 677", "지도Link")</f>
        <v/>
      </c>
      <c r="N415" s="6">
        <f>HYPERLINK("http://www.eum.go.kr/web/ar/lu/luLandDet.jsp?pnu=3611010900106770000&amp;isNoScr=script&amp;mode=search", "토지이음")</f>
        <v/>
      </c>
      <c r="O415" s="3" t="inlineStr">
        <is>
          <t>라이프</t>
        </is>
      </c>
      <c r="P415" s="4" t="n">
        <v>2</v>
      </c>
      <c r="Q415" s="4" t="n">
        <v>270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조용한 단독주택지,급매</t>
        </is>
      </c>
      <c r="L416" s="6">
        <f>HYPERLINK("https://fin.land.naver.com/articles/2648806860",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세종금주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688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45000</v>
      </c>
      <c r="G417" s="4" t="n">
        <v>273</v>
      </c>
      <c r="H417" s="4" t="n">
        <v>83</v>
      </c>
      <c r="I417" s="5" t="n">
        <v>542.2</v>
      </c>
      <c r="J417" s="5" t="n">
        <v>313.1</v>
      </c>
      <c r="K417" s="3" t="inlineStr">
        <is>
          <t>조율가능 편의시설옆 건축하기 좋은 모양</t>
        </is>
      </c>
      <c r="L417" s="6">
        <f>HYPERLINK("https://fin.land.naver.com/articles/2651087752", "매물Link")</f>
        <v/>
      </c>
      <c r="M417" s="6">
        <f>HYPERLINK("https://map.naver.com/p/search/다정동 688", "지도Link")</f>
        <v/>
      </c>
      <c r="N417" s="6">
        <f>HYPERLINK("http://www.eum.go.kr/web/ar/lu/luLandDet.jsp?pnu=3611010900106880000&amp;isNoScr=script&amp;mode=search",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273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368</v>
      </c>
      <c r="H418" s="4" t="n">
        <v>111</v>
      </c>
      <c r="I418" s="5" t="n">
        <v>603.6</v>
      </c>
      <c r="J418" s="5" t="n">
        <v>341.2</v>
      </c>
      <c r="K418" s="3" t="inlineStr">
        <is>
          <t>111.8p, 삼거리 코너, 정남향, 다정동 단독주택 토지매매</t>
        </is>
      </c>
      <c r="L418" s="6">
        <f>HYPERLINK("https://fin.land.naver.com/articles/2648138253",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369</v>
      </c>
      <c r="H419" s="4" t="n">
        <v>112</v>
      </c>
      <c r="I419" s="5" t="n">
        <v>598.2</v>
      </c>
      <c r="J419" s="5" t="n">
        <v>341.2</v>
      </c>
      <c r="K419" s="3" t="inlineStr">
        <is>
          <t>2면도로 접,주변 60m가로 공원근접함</t>
        </is>
      </c>
      <c r="L419" s="6">
        <f>HYPERLINK("https://fin.land.naver.com/articles/2649639476",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킹세종</t>
        </is>
      </c>
      <c r="P419" s="4" t="n">
        <v>2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729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369</v>
      </c>
      <c r="H420" s="4" t="n">
        <v>112</v>
      </c>
      <c r="I420" s="5" t="n">
        <v>598.2</v>
      </c>
      <c r="J420" s="5" t="n">
        <v>341.2</v>
      </c>
      <c r="K420" s="3" t="inlineStr">
        <is>
          <t>다정동 단독주택토지, 코너입지, 111.8p</t>
        </is>
      </c>
      <c r="L420" s="6">
        <f>HYPERLINK("https://fin.land.naver.com/articles/2646692103", "매물Link")</f>
        <v/>
      </c>
      <c r="M420" s="6">
        <f>HYPERLINK("https://map.naver.com/p/search/다정동 729", "지도Link")</f>
        <v/>
      </c>
      <c r="N420" s="6">
        <f>HYPERLINK("http://www.eum.go.kr/web/ar/lu/luLandDet.jsp?pnu=3611010900107290000&amp;isNoScr=script&amp;mode=search",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369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83000</v>
      </c>
      <c r="G421" s="4" t="n">
        <v>368</v>
      </c>
      <c r="H421" s="4" t="n">
        <v>111</v>
      </c>
      <c r="I421" s="5" t="n">
        <v>747.7</v>
      </c>
      <c r="J421" s="5" t="n">
        <v>326</v>
      </c>
      <c r="K421" s="3" t="inlineStr">
        <is>
          <t>다정동 조용한 위치 단독주택 매매, 코너위치</t>
        </is>
      </c>
      <c r="L421" s="6">
        <f>HYPERLINK("https://fin.land.naver.com/articles/2650890648",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756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83625</v>
      </c>
      <c r="G422" s="4" t="n">
        <v>368</v>
      </c>
      <c r="H422" s="4" t="n">
        <v>111</v>
      </c>
      <c r="I422" s="5" t="n">
        <v>753.4</v>
      </c>
      <c r="J422" s="5" t="n">
        <v>326</v>
      </c>
      <c r="K422" s="3" t="inlineStr">
        <is>
          <t>코너자리 위치 좋음, 넓은토지</t>
        </is>
      </c>
      <c r="L422" s="6">
        <f>HYPERLINK("https://fin.land.naver.com/articles/2648152245", "매물Link")</f>
        <v/>
      </c>
      <c r="M422" s="6">
        <f>HYPERLINK("https://map.naver.com/p/search/다정동 756", "지도Link")</f>
        <v/>
      </c>
      <c r="N422" s="6">
        <f>HYPERLINK("http://www.eum.go.kr/web/ar/lu/luLandDet.jsp?pnu=3611010900107560000&amp;isNoScr=script&amp;mode=search",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368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769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269</v>
      </c>
      <c r="H423" s="4" t="n">
        <v>81</v>
      </c>
      <c r="I423" s="5" t="n">
        <v>617.3</v>
      </c>
      <c r="J423" s="5" t="n">
        <v>313.8</v>
      </c>
      <c r="K423" s="3" t="inlineStr">
        <is>
          <t>세종시 다정동 안쪽 코너각지 나대지</t>
        </is>
      </c>
      <c r="L423" s="6">
        <f>HYPERLINK("https://fin.land.naver.com/articles/2645629137", "매물Link")</f>
        <v/>
      </c>
      <c r="M423" s="6">
        <f>HYPERLINK("https://map.naver.com/p/search/다정동 769", "지도Link")</f>
        <v/>
      </c>
      <c r="N423" s="6">
        <f>HYPERLINK("http://www.eum.go.kr/web/ar/lu/luLandDet.jsp?pnu=3611010900107690000&amp;isNoScr=script&amp;mode=search", "토지이음")</f>
        <v/>
      </c>
      <c r="O423" s="3" t="inlineStr">
        <is>
          <t>청명</t>
        </is>
      </c>
      <c r="P423" s="4" t="n">
        <v>1</v>
      </c>
      <c r="Q423" s="4" t="n">
        <v>269.7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총 84.8p, 다정동 입지 좋은 단독주태 토지</t>
        </is>
      </c>
      <c r="L425" s="6">
        <f>HYPERLINK("https://fin.land.naver.com/articles/2649004372",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55000</v>
      </c>
      <c r="G426" s="4" t="n">
        <v>297</v>
      </c>
      <c r="H426" s="4" t="n">
        <v>90</v>
      </c>
      <c r="I426" s="5" t="n">
        <v>611.1</v>
      </c>
      <c r="J426" s="5" t="n">
        <v>304.6</v>
      </c>
      <c r="K426" s="3" t="inlineStr">
        <is>
          <t>단독주택 부지  착한 매매가로 추천드립니다.</t>
        </is>
      </c>
      <c r="L426" s="6">
        <f>HYPERLINK("https://fin.land.naver.com/articles/2648168344",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HYPERLINK("http://www.eum.go.kr/web/ar/lu/luLandDet.jsp?pnu=3611010900107720000&amp;isNoScr=script&amp;mode=search", "토지이음")</f>
        <v/>
      </c>
      <c r="O426" s="3" t="inlineStr">
        <is>
          <t>세종가온채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304.6</v>
      </c>
      <c r="K427" s="3" t="inlineStr">
        <is>
          <t>nan</t>
        </is>
      </c>
      <c r="L427" s="6">
        <f>HYPERLINK("https://fin.land.naver.com/articles/2651035742", "매물Link")</f>
        <v/>
      </c>
      <c r="M427" s="6">
        <f>HYPERLINK("https://map.naver.com/p/search/다정동 773", "지도Link")</f>
        <v/>
      </c>
      <c r="N427" s="6">
        <f>HYPERLINK("http://www.eum.go.kr/web/ar/lu/luLandDet.jsp?pnu=3611010900107730000&amp;isNoScr=script&amp;mode=search",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HYPERLINK("https://fin.land.naver.com/articles/2649375100",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HYPERLINK("https://fin.land.naver.com/articles/2650851726",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HYPERLINK("http://www.eum.go.kr/web/ar/lu/luLandDet.jsp?pnu=3611010900107790000&amp;isNoScr=script&amp;mode=search",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HYPERLINK("https://fin.land.naver.com/articles/2649812025",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HYPERLINK("http://www.eum.go.kr/web/ar/lu/luLandDet.jsp?pnu=3611010900107930000&amp;isNoScr=script&amp;mode=search",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HYPERLINK("https://fin.land.naver.com/articles/2648716215",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HYPERLINK("https://fin.land.naver.com/articles/2649618939",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HYPERLINK("http://www.eum.go.kr/web/ar/lu/luLandDet.jsp?pnu=3611010900108100000&amp;isNoScr=script&amp;mode=search",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83500</v>
      </c>
      <c r="G437" s="4" t="n">
        <v>394</v>
      </c>
      <c r="H437" s="4" t="n">
        <v>119</v>
      </c>
      <c r="I437" s="5" t="n">
        <v>701.7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95.5p, 유치원 맞은편, 가운데 토지</t>
        </is>
      </c>
      <c r="L439" s="6">
        <f>HYPERLINK("https://fin.land.naver.com/articles/2648833463",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총 95.5p, 조율가능, 다정동 단독주택지</t>
        </is>
      </c>
      <c r="L440" s="6">
        <f>HYPERLINK("https://fin.land.naver.com/articles/2649022530",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HYPERLINK("https://fin.land.naver.com/articles/2649571368",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HYPERLINK("http://www.eum.go.kr/web/ar/lu/luLandDet.jsp?pnu=3611010900108420000&amp;isNoScr=script&amp;mode=search",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852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298</v>
      </c>
      <c r="H445" s="4" t="n">
        <v>90</v>
      </c>
      <c r="I445" s="5" t="n">
        <v>533.3</v>
      </c>
      <c r="J445" s="5" t="n">
        <v>298.2</v>
      </c>
      <c r="K445" s="3" t="inlineStr">
        <is>
          <t>nan</t>
        </is>
      </c>
      <c r="L445" s="6">
        <f>HYPERLINK("https://fin.land.naver.com/articles/2649625468", "매물Link")</f>
        <v/>
      </c>
      <c r="M445" s="6">
        <f>HYPERLINK("https://map.naver.com/p/search/다정동 852", "지도Link")</f>
        <v/>
      </c>
      <c r="N445" s="6">
        <f>HYPERLINK("http://www.eum.go.kr/web/ar/lu/luLandDet.jsp?pnu=3611010900108520000&amp;isNoScr=script&amp;mode=search", "토지이음")</f>
        <v/>
      </c>
      <c r="O445" s="3" t="inlineStr">
        <is>
          <t>세종리더스</t>
        </is>
      </c>
      <c r="P445" s="4" t="n">
        <v>1</v>
      </c>
      <c r="Q445" s="4" t="n">
        <v>293.7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급매 추가조율가능 삼면 코너각지 큰평수</t>
        </is>
      </c>
      <c r="L446" s="6">
        <f>HYPERLINK("https://fin.land.naver.com/articles/2651088030",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HYPERLINK("http://www.eum.go.kr/web/ar/lu/luLandDet.jsp?pnu=3611010900108850000&amp;isNoScr=script&amp;mode=search", "토지이음")</f>
        <v/>
      </c>
      <c r="O446" s="3" t="inlineStr">
        <is>
          <t>세종스타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48000</v>
      </c>
      <c r="G447" s="4" t="n">
        <v>397</v>
      </c>
      <c r="H447" s="4" t="n">
        <v>120</v>
      </c>
      <c r="I447" s="5" t="n">
        <v>400</v>
      </c>
      <c r="J447" s="5" t="n">
        <v>353.7</v>
      </c>
      <c r="K447" s="3" t="inlineStr">
        <is>
          <t>nan</t>
        </is>
      </c>
      <c r="L447" s="6">
        <f>HYPERLINK("https://fin.land.naver.com/articles/2647198581", "매물Link")</f>
        <v/>
      </c>
      <c r="M447" s="6">
        <f>HYPERLINK("https://map.naver.com/p/search/다정동 885", "지도Link")</f>
        <v/>
      </c>
      <c r="N447" s="6">
        <f>HYPERLINK("http://www.eum.go.kr/web/ar/lu/luLandDet.jsp?pnu=3611010900108850000&amp;isNoScr=script&amp;mode=search",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397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HYPERLINK("https://fin.land.naver.com/articles/2650944049",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HYPERLINK("http://www.eum.go.kr/web/ar/lu/luLandDet.jsp?pnu=3611010900108870000&amp;isNoScr=script&amp;mode=search",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53000</v>
      </c>
      <c r="G451" s="4" t="n">
        <v>374</v>
      </c>
      <c r="H451" s="4" t="n">
        <v>113</v>
      </c>
      <c r="I451" s="5" t="n">
        <v>469</v>
      </c>
      <c r="J451" s="5" t="n">
        <v>353.7</v>
      </c>
      <c r="K451" s="3" t="inlineStr">
        <is>
          <t>총 113.3p, 조율가능, 주유소인근, 다정동 단독주택지</t>
        </is>
      </c>
      <c r="L451" s="6">
        <f>HYPERLINK("https://fin.land.naver.com/articles/2646690590", "매물Link")</f>
        <v/>
      </c>
      <c r="M451" s="6">
        <f>HYPERLINK("https://map.naver.com/p/search/다정동 887", "지도Link")</f>
        <v/>
      </c>
      <c r="N451" s="6">
        <f>HYPERLINK("http://www.eum.go.kr/web/ar/lu/luLandDet.jsp?pnu=3611010900108870000&amp;isNoScr=script&amp;mode=search",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374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3면코너각지 지하건축가능 귀한큰필지 큰생부지</t>
        </is>
      </c>
      <c r="L453" s="6">
        <f>HYPERLINK("https://fin.land.naver.com/articles/2650366482",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HYPERLINK("http://www.eum.go.kr/web/ar/lu/luLandDet.jsp?pnu=3611010900108970000&amp;isNoScr=script&amp;mode=search", "토지이음")</f>
        <v/>
      </c>
      <c r="O453" s="3" t="inlineStr">
        <is>
          <t>세종스타</t>
        </is>
      </c>
      <c r="P453" s="4" t="n">
        <v>4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897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194000</v>
      </c>
      <c r="G454" s="4" t="n">
        <v>641</v>
      </c>
      <c r="H454" s="4" t="n">
        <v>194</v>
      </c>
      <c r="I454" s="5" t="n">
        <v>1000</v>
      </c>
      <c r="J454" s="5" t="n">
        <v>763</v>
      </c>
      <c r="K454" s="3" t="inlineStr">
        <is>
          <t>총 194.2p, 코너자리, 다정동 위치좋은 근생토지</t>
        </is>
      </c>
      <c r="L454" s="6">
        <f>HYPERLINK("https://fin.land.naver.com/articles/2646747500", "매물Link")</f>
        <v/>
      </c>
      <c r="M454" s="6">
        <f>HYPERLINK("https://map.naver.com/p/search/다정동 897", "지도Link")</f>
        <v/>
      </c>
      <c r="N454" s="6">
        <f>HYPERLINK("http://www.eum.go.kr/web/ar/lu/luLandDet.jsp?pnu=3611010900108970000&amp;isNoScr=script&amp;mode=search",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641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250000</v>
      </c>
      <c r="G455" s="4" t="n">
        <v>594</v>
      </c>
      <c r="H455" s="4" t="n">
        <v>180</v>
      </c>
      <c r="I455" s="5" t="n">
        <v>1388.9</v>
      </c>
      <c r="J455" s="5" t="n">
        <v>763</v>
      </c>
      <c r="K455" s="3" t="inlineStr">
        <is>
          <t>대단지아파트 주변 근린생활시설용지,근생단독건물건축용지</t>
        </is>
      </c>
      <c r="L455" s="6">
        <f>HYPERLINK("https://fin.land.naver.com/articles/2646127972", "매물Link")</f>
        <v/>
      </c>
      <c r="M455" s="6">
        <f>HYPERLINK("https://map.naver.com/p/search/다정동 900", "지도Link")</f>
        <v/>
      </c>
      <c r="N455" s="6">
        <f>HYPERLINK("http://www.eum.go.kr/web/ar/lu/luLandDet.jsp?pnu=3611010900109000000&amp;isNoScr=script&amp;mode=search", "토지이음")</f>
        <v/>
      </c>
      <c r="O455" s="3" t="inlineStr">
        <is>
          <t>어반통</t>
        </is>
      </c>
      <c r="P455" s="4" t="n">
        <v>1</v>
      </c>
      <c r="Q455" s="4" t="n">
        <v>594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HYPERLINK("https://fin.land.naver.com/articles/2649789570",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HYPERLINK("http://www.eum.go.kr/web/ar/lu/luLandDet.jsp?pnu=3611010900109020000&amp;isNoScr=script&amp;mode=search",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902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396000</v>
      </c>
      <c r="G457" s="4" t="n">
        <v>654</v>
      </c>
      <c r="H457" s="4" t="n">
        <v>198</v>
      </c>
      <c r="I457" s="5" t="n">
        <v>2000</v>
      </c>
      <c r="J457" s="5" t="n">
        <v>763</v>
      </c>
      <c r="K457" s="3" t="inlineStr">
        <is>
          <t>코너 입지한 근린생활용지 토지 매매, 위치 좋음</t>
        </is>
      </c>
      <c r="L457" s="6">
        <f>HYPERLINK("https://fin.land.naver.com/articles/2650893996", "매물Link")</f>
        <v/>
      </c>
      <c r="M457" s="6">
        <f>HYPERLINK("https://map.naver.com/p/search/다정동 902", "지도Link")</f>
        <v/>
      </c>
      <c r="N457" s="6">
        <f>HYPERLINK("http://www.eum.go.kr/web/ar/lu/luLandDet.jsp?pnu=3611010900109020000&amp;isNoScr=script&amp;mode=search",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654.6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조율가능 남향 코너각지 천조망가능 최상입지</t>
        </is>
      </c>
      <c r="L459" s="6">
        <f>HYPERLINK("https://fin.land.naver.com/articles/2649296102",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330</v>
      </c>
      <c r="H460" s="4" t="n">
        <v>100</v>
      </c>
      <c r="I460" s="5" t="n">
        <v>1000</v>
      </c>
      <c r="J460" s="5" t="n">
        <v>362</v>
      </c>
      <c r="K460" s="3" t="inlineStr">
        <is>
          <t>총 100p, 주민휴게광장옆, 위치좋은 토지</t>
        </is>
      </c>
      <c r="L460" s="6">
        <f>HYPERLINK("https://fin.land.naver.com/articles/2648902958", "매물Link")</f>
        <v/>
      </c>
      <c r="M460" s="6">
        <f>HYPERLINK("https://map.naver.com/p/search/도담동 410", "지도Link")</f>
        <v/>
      </c>
      <c r="N460" s="6">
        <f>HYPERLINK("http://www.eum.go.kr/web/ar/lu/luLandDet.jsp?pnu=3611011400104100000&amp;isNoScr=script&amp;mode=search",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330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 정남향 귀한 토지, 조율가능</t>
        </is>
      </c>
      <c r="L461" s="6">
        <f>HYPERLINK("https://fin.land.naver.com/articles/2645666141",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419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327</v>
      </c>
      <c r="H463" s="4" t="n">
        <v>99</v>
      </c>
      <c r="I463" s="5" t="n">
        <v>1010.1</v>
      </c>
      <c r="J463" s="5" t="n">
        <v>358.3</v>
      </c>
      <c r="K463" s="3" t="inlineStr">
        <is>
          <t>말발굽지에 정남향 위치좋음, 조율가능</t>
        </is>
      </c>
      <c r="L463" s="6">
        <f>HYPERLINK("https://fin.land.naver.com/articles/2650178437", "매물Link")</f>
        <v/>
      </c>
      <c r="M463" s="6">
        <f>HYPERLINK("https://map.naver.com/p/search/도담동 419", "지도Link")</f>
        <v/>
      </c>
      <c r="N463" s="6">
        <f>HYPERLINK("http://www.eum.go.kr/web/ar/lu/luLandDet.jsp?pnu=3611011400104190000&amp;isNoScr=script&amp;mode=search", "토지이음")</f>
        <v/>
      </c>
      <c r="O463" s="3" t="inlineStr">
        <is>
          <t>연동스카이</t>
        </is>
      </c>
      <c r="P463" s="4" t="n">
        <v>1</v>
      </c>
      <c r="Q463" s="4" t="n">
        <v>327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115000</v>
      </c>
      <c r="G464" s="4" t="n">
        <v>305</v>
      </c>
      <c r="H464" s="4" t="n">
        <v>92</v>
      </c>
      <c r="I464" s="5" t="n">
        <v>1250</v>
      </c>
      <c r="J464" s="5" t="n">
        <v>358.3</v>
      </c>
      <c r="K464" s="3" t="inlineStr">
        <is>
          <t>조율가능 공원접함 최선호 반원호내 단독주택지</t>
        </is>
      </c>
      <c r="L464" s="6">
        <f>HYPERLINK("https://fin.land.naver.com/articles/2645720791", "매물Link")</f>
        <v/>
      </c>
      <c r="M464" s="6">
        <f>HYPERLINK("https://map.naver.com/p/search/도담동 424", "지도Link")</f>
        <v/>
      </c>
      <c r="N464" s="6">
        <f>HYPERLINK("http://www.eum.go.kr/web/ar/lu/luLandDet.jsp?pnu=3611011400104240000&amp;isNoScr=script&amp;mode=search",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305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HYPERLINK("https://fin.land.naver.com/articles/2650427607",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총 92.1p, 말발굽 최고입지, 넓은 공원 인근</t>
        </is>
      </c>
      <c r="L466" s="6">
        <f>HYPERLINK("https://fin.land.naver.com/articles/2647421924",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425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110000</v>
      </c>
      <c r="G467" s="4" t="n">
        <v>304</v>
      </c>
      <c r="H467" s="4" t="n">
        <v>92</v>
      </c>
      <c r="I467" s="5" t="n">
        <v>1195.7</v>
      </c>
      <c r="J467" s="5" t="n">
        <v>358.3</v>
      </c>
      <c r="K467" s="3" t="inlineStr">
        <is>
          <t>조율가능 도담동 말발굽내 반달모양 최선호위치</t>
        </is>
      </c>
      <c r="L467" s="6">
        <f>HYPERLINK("https://fin.land.naver.com/articles/2649479522", "매물Link")</f>
        <v/>
      </c>
      <c r="M467" s="6">
        <f>HYPERLINK("https://map.naver.com/p/search/도담동 425", "지도Link")</f>
        <v/>
      </c>
      <c r="N467" s="6">
        <f>HYPERLINK("http://www.eum.go.kr/web/ar/lu/luLandDet.jsp?pnu=3611011400104250000&amp;isNoScr=script&amp;mode=search",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304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HYPERLINK("https://fin.land.naver.com/articles/2648898954",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HYPERLINK("https://fin.land.naver.com/articles/2649296288",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455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93000</v>
      </c>
      <c r="G470" s="4" t="n">
        <v>335</v>
      </c>
      <c r="H470" s="4" t="n">
        <v>101</v>
      </c>
      <c r="I470" s="5" t="n">
        <v>920.8</v>
      </c>
      <c r="J470" s="5" t="n">
        <v>358.3</v>
      </c>
      <c r="K470" s="3" t="inlineStr">
        <is>
          <t>조율가능한 말발굽 위치 좋은 토지 매매, 코너각지</t>
        </is>
      </c>
      <c r="L470" s="6">
        <f>HYPERLINK("https://fin.land.naver.com/articles/2650427728", "매물Link")</f>
        <v/>
      </c>
      <c r="M470" s="6">
        <f>HYPERLINK("https://map.naver.com/p/search/도담동 455", "지도Link")</f>
        <v/>
      </c>
      <c r="N470" s="6">
        <f>HYPERLINK("http://www.eum.go.kr/web/ar/lu/luLandDet.jsp?pnu=3611011400104550000&amp;isNoScr=script&amp;mode=search",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337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급매 양지초인근 땅모양좋음 공원용지 접함</t>
        </is>
      </c>
      <c r="L471" s="6">
        <f>HYPERLINK("https://fin.land.naver.com/articles/2649479469",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75000</v>
      </c>
      <c r="G472" s="4" t="n">
        <v>319</v>
      </c>
      <c r="H472" s="4" t="n">
        <v>96</v>
      </c>
      <c r="I472" s="5" t="n">
        <v>781.2</v>
      </c>
      <c r="J472" s="5" t="n">
        <v>366.9</v>
      </c>
      <c r="K472" s="3" t="inlineStr">
        <is>
          <t>96.9p, 유.초등학교 인근, 삼거리 입지 좋은 토지</t>
        </is>
      </c>
      <c r="L472" s="6">
        <f>HYPERLINK("https://fin.land.naver.com/articles/2648832742", "매물Link")</f>
        <v/>
      </c>
      <c r="M472" s="6">
        <f>HYPERLINK("https://map.naver.com/p/search/도담동 496", "지도Link")</f>
        <v/>
      </c>
      <c r="N472" s="6">
        <f>HYPERLINK("http://www.eum.go.kr/web/ar/lu/luLandDet.jsp?pnu=3611011400104960000&amp;isNoScr=script&amp;mode=search",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319.9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HYPERLINK("https://fin.land.naver.com/articles/2649479494",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HYPERLINK("https://fin.land.naver.com/articles/2648839579",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329</v>
      </c>
      <c r="H475" s="4" t="n">
        <v>100</v>
      </c>
      <c r="I475" s="5" t="n">
        <v>800</v>
      </c>
      <c r="J475" s="5" t="n">
        <v>366.9</v>
      </c>
      <c r="K475" s="3" t="inlineStr">
        <is>
          <t>99.9p, 도담동 말발굽택지 중 급매</t>
        </is>
      </c>
      <c r="L475" s="6">
        <f>HYPERLINK("https://fin.land.naver.com/articles/2649021645", "매물Link")</f>
        <v/>
      </c>
      <c r="M475" s="6">
        <f>HYPERLINK("https://map.naver.com/p/search/도담동 546", "지도Link")</f>
        <v/>
      </c>
      <c r="N475" s="6">
        <f>HYPERLINK("http://www.eum.go.kr/web/ar/lu/luLandDet.jsp?pnu=3611011400105460000&amp;isNoScr=script&amp;mode=search",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80000</v>
      </c>
      <c r="G476" s="4" t="n">
        <v>329</v>
      </c>
      <c r="H476" s="4" t="n">
        <v>100</v>
      </c>
      <c r="I476" s="5" t="n">
        <v>800</v>
      </c>
      <c r="J476" s="5" t="n">
        <v>366.9</v>
      </c>
      <c r="K476" s="3" t="inlineStr">
        <is>
          <t>도담동 택지. 초등학교,충남대병원 가까운거리 위치</t>
        </is>
      </c>
      <c r="L476" s="6">
        <f>HYPERLINK("https://fin.land.naver.com/articles/2650945757", "매물Link")</f>
        <v/>
      </c>
      <c r="M476" s="6">
        <f>HYPERLINK("https://map.naver.com/p/search/도담동 546", "지도Link")</f>
        <v/>
      </c>
      <c r="N476" s="6">
        <f>HYPERLINK("http://www.eum.go.kr/web/ar/lu/luLandDet.jsp?pnu=3611011400105460000&amp;isNoScr=script&amp;mode=search", "토지이음")</f>
        <v/>
      </c>
      <c r="O476" s="3" t="inlineStr">
        <is>
          <t>OK세종 사무소</t>
        </is>
      </c>
      <c r="P476" s="4" t="n">
        <v>1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조율가능 코너각지 넓은면적 독립된 사이드위치</t>
        </is>
      </c>
      <c r="L477" s="6">
        <f>HYPERLINK("https://fin.land.naver.com/articles/2648716346",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382</v>
      </c>
      <c r="H478" s="4" t="n">
        <v>116</v>
      </c>
      <c r="I478" s="5" t="n">
        <v>732.8</v>
      </c>
      <c r="J478" s="5" t="n">
        <v>363</v>
      </c>
      <c r="K478" s="3" t="inlineStr">
        <is>
          <t>급매, 총 116p, 대형토지, 도담동 말발굽토지, 조율가능</t>
        </is>
      </c>
      <c r="L478" s="6">
        <f>HYPERLINK("https://fin.land.naver.com/articles/2645496050", "매물Link")</f>
        <v/>
      </c>
      <c r="M478" s="6">
        <f>HYPERLINK("https://map.naver.com/p/search/도담동 561", "지도Link")</f>
        <v/>
      </c>
      <c r="N478" s="6">
        <f>HYPERLINK("http://www.eum.go.kr/web/ar/lu/luLandDet.jsp?pnu=3611011400105610000&amp;isNoScr=script&amp;mode=search",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382.9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561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382</v>
      </c>
      <c r="H479" s="4" t="n">
        <v>116</v>
      </c>
      <c r="I479" s="5" t="n">
        <v>732.8</v>
      </c>
      <c r="J479" s="5" t="n">
        <v>363</v>
      </c>
      <c r="K479" s="3" t="inlineStr">
        <is>
          <t>말발굽토지 급매, 사거리 코너 최고 입지, 총 116p</t>
        </is>
      </c>
      <c r="L479" s="6">
        <f>HYPERLINK("https://fin.land.naver.com/articles/2650892606", "매물Link")</f>
        <v/>
      </c>
      <c r="M479" s="6">
        <f>HYPERLINK("https://map.naver.com/p/search/도담동 561", "지도Link")</f>
        <v/>
      </c>
      <c r="N479" s="6">
        <f>HYPERLINK("http://www.eum.go.kr/web/ar/lu/luLandDet.jsp?pnu=3611011400105610000&amp;isNoScr=script&amp;mode=search",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382.9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562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329</v>
      </c>
      <c r="H480" s="4" t="n">
        <v>100</v>
      </c>
      <c r="I480" s="5" t="n">
        <v>1100</v>
      </c>
      <c r="J480" s="5" t="n">
        <v>366.9</v>
      </c>
      <c r="K480" s="3" t="inlineStr">
        <is>
          <t>명성공인, 도담 말발굽자리 위치 좋은 명당 추천 매물</t>
        </is>
      </c>
      <c r="L480" s="6">
        <f>HYPERLINK("https://fin.land.naver.com/articles/2648974784", "매물Link")</f>
        <v/>
      </c>
      <c r="M480" s="6">
        <f>HYPERLINK("https://map.naver.com/p/search/도담동 562", "지도Link")</f>
        <v/>
      </c>
      <c r="N480" s="6">
        <f>HYPERLINK("http://www.eum.go.kr/web/ar/lu/luLandDet.jsp?pnu=3611011400105620000&amp;isNoScr=script&amp;mode=search", "토지이음")</f>
        <v/>
      </c>
      <c r="O480" s="3" t="inlineStr">
        <is>
          <t>명성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316</v>
      </c>
      <c r="H481" s="4" t="n">
        <v>96</v>
      </c>
      <c r="I481" s="5" t="n">
        <v>885.4</v>
      </c>
      <c r="J481" s="5" t="n">
        <v>366.9</v>
      </c>
      <c r="K481" s="3" t="inlineStr">
        <is>
          <t>양지초,양지유치원 가깝고 brt 도로 가까운 위치좋은 말발굽택지</t>
        </is>
      </c>
      <c r="L481" s="6">
        <f>HYPERLINK("https://fin.land.naver.com/articles/2648273972", "매물Link")</f>
        <v/>
      </c>
      <c r="M481" s="6">
        <f>HYPERLINK("https://map.naver.com/p/search/도담동 566", "지도Link")</f>
        <v/>
      </c>
      <c r="N481" s="6">
        <f>HYPERLINK("http://www.eum.go.kr/web/ar/lu/luLandDet.jsp?pnu=3611011400105660000&amp;isNoScr=script&amp;mode=search", "토지이음")</f>
        <v/>
      </c>
      <c r="O481" s="3" t="inlineStr">
        <is>
          <t>마마</t>
        </is>
      </c>
      <c r="P481" s="4" t="n">
        <v>1</v>
      </c>
      <c r="Q481" s="4" t="n">
        <v>316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HYPERLINK("http://www.eum.go.kr/web/ar/lu/luLandDet.jsp?pnu=3611011400105800000&amp;isNoScr=script&amp;mode=search",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320000</v>
      </c>
      <c r="G483" s="4" t="n">
        <v>500</v>
      </c>
      <c r="H483" s="4" t="n">
        <v>151</v>
      </c>
      <c r="I483" s="5" t="n">
        <v>2119.2</v>
      </c>
      <c r="J483" s="5" t="n">
        <v>735.9</v>
      </c>
      <c r="K483" s="3" t="inlineStr">
        <is>
          <t>명성공인, 도담동 근생용지 추천 매물</t>
        </is>
      </c>
      <c r="L483" s="6">
        <f>HYPERLINK("https://fin.land.naver.com/articles/2646317788", "매물Link")</f>
        <v/>
      </c>
      <c r="M483" s="6">
        <f>HYPERLINK("https://map.naver.com/p/search/도담동 580", "지도Link")</f>
        <v/>
      </c>
      <c r="N483" s="6">
        <f>HYPERLINK("http://www.eum.go.kr/web/ar/lu/luLandDet.jsp?pnu=3611011400105800000&amp;isNoScr=script&amp;mode=search",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500.6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도담동 580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263000</v>
      </c>
      <c r="G484" s="4" t="n">
        <v>500</v>
      </c>
      <c r="H484" s="4" t="n">
        <v>151</v>
      </c>
      <c r="I484" s="5" t="n">
        <v>1741.7</v>
      </c>
      <c r="J484" s="5" t="n">
        <v>735.9</v>
      </c>
      <c r="K484" s="3" t="inlineStr">
        <is>
          <t>도담동 근린생활용지 토지매매, 사거리 코너입지</t>
        </is>
      </c>
      <c r="L484" s="6">
        <f>HYPERLINK("https://fin.land.naver.com/articles/2649607332", "매물Link")</f>
        <v/>
      </c>
      <c r="M484" s="6">
        <f>HYPERLINK("https://map.naver.com/p/search/도담동 580", "지도Link")</f>
        <v/>
      </c>
      <c r="N484" s="6">
        <f>HYPERLINK("http://www.eum.go.kr/web/ar/lu/luLandDet.jsp?pnu=3611011400105800000&amp;isNoScr=script&amp;mode=search",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500.6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도담동 588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348</v>
      </c>
      <c r="H485" s="4" t="n">
        <v>105</v>
      </c>
      <c r="I485" s="5" t="n">
        <v>809.5</v>
      </c>
      <c r="J485" s="5" t="n">
        <v>433.7</v>
      </c>
      <c r="K485" s="3" t="inlineStr">
        <is>
          <t>도로에 접해 있으며, 위치좋은 단독주택자리, 충남대병원인근</t>
        </is>
      </c>
      <c r="L485" s="6">
        <f>HYPERLINK("https://fin.land.naver.com/articles/2647116681", "매물Link")</f>
        <v/>
      </c>
      <c r="M485" s="6">
        <f>HYPERLINK("https://map.naver.com/p/search/도담동 588", "지도Link")</f>
        <v/>
      </c>
      <c r="N485" s="6">
        <f>HYPERLINK("http://www.eum.go.kr/web/ar/lu/luLandDet.jsp?pnu=3611011400105880000&amp;isNoScr=script&amp;mode=search", "토지이음")</f>
        <v/>
      </c>
      <c r="O485" s="3" t="inlineStr">
        <is>
          <t>사이다</t>
        </is>
      </c>
      <c r="P485" s="4" t="n">
        <v>1</v>
      </c>
      <c r="Q485" s="4" t="n">
        <v>348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620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326</v>
      </c>
      <c r="H487" s="4" t="n">
        <v>99</v>
      </c>
      <c r="I487" s="5" t="n">
        <v>858.6</v>
      </c>
      <c r="J487" s="5" t="n">
        <v>453.2</v>
      </c>
      <c r="K487" s="3" t="inlineStr">
        <is>
          <t>적극조율가능 충대병원인근 BRT도보가능</t>
        </is>
      </c>
      <c r="L487" s="6">
        <f>HYPERLINK("https://fin.land.naver.com/articles/2651110785", "매물Link")</f>
        <v/>
      </c>
      <c r="M487" s="6">
        <f>HYPERLINK("https://map.naver.com/p/search/도담동 620", "지도Link")</f>
        <v/>
      </c>
      <c r="N487" s="6">
        <f>HYPERLINK("http://www.eum.go.kr/web/ar/lu/luLandDet.jsp?pnu=3611011400106200000&amp;isNoScr=script&amp;mode=search",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326.5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620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326</v>
      </c>
      <c r="H488" s="4" t="n">
        <v>99</v>
      </c>
      <c r="I488" s="5" t="n">
        <v>858.6</v>
      </c>
      <c r="J488" s="5" t="n">
        <v>453.2</v>
      </c>
      <c r="K488" s="3" t="inlineStr">
        <is>
          <t>총 98.9p, 도담동 위치좋은 코너자리 토지</t>
        </is>
      </c>
      <c r="L488" s="6">
        <f>HYPERLINK("https://fin.land.naver.com/articles/2649012828", "매물Link")</f>
        <v/>
      </c>
      <c r="M488" s="6">
        <f>HYPERLINK("https://map.naver.com/p/search/도담동 620", "지도Link")</f>
        <v/>
      </c>
      <c r="N488" s="6">
        <f>HYPERLINK("http://www.eum.go.kr/web/ar/lu/luLandDet.jsp?pnu=3611011400106200000&amp;isNoScr=script&amp;mode=search",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326.5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693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319</v>
      </c>
      <c r="H489" s="4" t="n">
        <v>96</v>
      </c>
      <c r="I489" s="5" t="n">
        <v>937.5</v>
      </c>
      <c r="J489" s="5" t="n">
        <v>382.1</v>
      </c>
      <c r="K489" s="3" t="inlineStr">
        <is>
          <t>위치최상 정남향 늘봄초앞 남북트인곳</t>
        </is>
      </c>
      <c r="L489" s="6">
        <f>HYPERLINK("https://fin.land.naver.com/articles/2648041586", "매물Link")</f>
        <v/>
      </c>
      <c r="M489" s="6">
        <f>HYPERLINK("https://map.naver.com/p/search/도담동 693", "지도Link")</f>
        <v/>
      </c>
      <c r="N489" s="6">
        <f>HYPERLINK("http://www.eum.go.kr/web/ar/lu/luLandDet.jsp?pnu=3611011400106930000&amp;isNoScr=script&amp;mode=search",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319.6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705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84000</v>
      </c>
      <c r="G490" s="4" t="n">
        <v>276</v>
      </c>
      <c r="H490" s="4" t="n">
        <v>83</v>
      </c>
      <c r="I490" s="5" t="n">
        <v>1012</v>
      </c>
      <c r="J490" s="5" t="n">
        <v>382.1</v>
      </c>
      <c r="K490" s="3" t="inlineStr">
        <is>
          <t>조율가능 남향 늘봄초앞 BRT도보가능</t>
        </is>
      </c>
      <c r="L490" s="6">
        <f>HYPERLINK("https://fin.land.naver.com/articles/2646994031", "매물Link")</f>
        <v/>
      </c>
      <c r="M490" s="6">
        <f>HYPERLINK("https://map.naver.com/p/search/도담동 705", "지도Link")</f>
        <v/>
      </c>
      <c r="N490" s="6">
        <f>HYPERLINK("http://www.eum.go.kr/web/ar/lu/luLandDet.jsp?pnu=3611011400107050000&amp;isNoScr=script&amp;mode=search",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276.9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712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87000</v>
      </c>
      <c r="G491" s="4" t="n">
        <v>276</v>
      </c>
      <c r="H491" s="4" t="n">
        <v>83</v>
      </c>
      <c r="I491" s="5" t="n">
        <v>1048.2</v>
      </c>
      <c r="J491" s="5" t="n">
        <v>394</v>
      </c>
      <c r="K491" s="3" t="inlineStr">
        <is>
          <t>도담동 입지 좋은 단독주택지, 조율가능</t>
        </is>
      </c>
      <c r="L491" s="6">
        <f>HYPERLINK("https://fin.land.naver.com/articles/2648297361", "매물Link")</f>
        <v/>
      </c>
      <c r="M491" s="6">
        <f>HYPERLINK("https://map.naver.com/p/search/도담동 712", "지도Link")</f>
        <v/>
      </c>
      <c r="N491" s="6">
        <f>HYPERLINK("http://www.eum.go.kr/web/ar/lu/luLandDet.jsp?pnu=3611011400107120000&amp;isNoScr=script&amp;mode=search",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276.5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87000</v>
      </c>
      <c r="G492" s="4" t="n">
        <v>276</v>
      </c>
      <c r="H492" s="4" t="n">
        <v>83</v>
      </c>
      <c r="I492" s="5" t="n">
        <v>1048.2</v>
      </c>
      <c r="J492" s="5" t="n">
        <v>394</v>
      </c>
      <c r="K492" s="3" t="inlineStr">
        <is>
          <t>산조망 코너각지 정남향 입지최상</t>
        </is>
      </c>
      <c r="L492" s="6">
        <f>HYPERLINK("https://fin.land.naver.com/articles/2649479678", "매물Link")</f>
        <v/>
      </c>
      <c r="M492" s="6">
        <f>HYPERLINK("https://map.naver.com/p/search/도담동 712", "지도Link")</f>
        <v/>
      </c>
      <c r="N492" s="6">
        <f>HYPERLINK("http://www.eum.go.kr/web/ar/lu/luLandDet.jsp?pnu=3611011400107120000&amp;isNoScr=script&amp;mode=search",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276.5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87000</v>
      </c>
      <c r="G493" s="4" t="n">
        <v>276</v>
      </c>
      <c r="H493" s="4" t="n">
        <v>83</v>
      </c>
      <c r="I493" s="5" t="n">
        <v>1048.2</v>
      </c>
      <c r="J493" s="5" t="n">
        <v>394</v>
      </c>
      <c r="K493" s="3" t="inlineStr">
        <is>
          <t>삼거리 코너 입지, 도담동 단독주택 매매</t>
        </is>
      </c>
      <c r="L493" s="6">
        <f>HYPERLINK("https://fin.land.naver.com/articles/2648260035", "매물Link")</f>
        <v/>
      </c>
      <c r="M493" s="6">
        <f>HYPERLINK("https://map.naver.com/p/search/도담동 712", "지도Link")</f>
        <v/>
      </c>
      <c r="N493" s="6">
        <f>HYPERLINK("http://www.eum.go.kr/web/ar/lu/luLandDet.jsp?pnu=3611011400107120000&amp;isNoScr=script&amp;mode=search",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276.5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175000</v>
      </c>
      <c r="G494" s="4" t="n">
        <v>420</v>
      </c>
      <c r="H494" s="4" t="n">
        <v>127</v>
      </c>
      <c r="I494" s="5" t="n">
        <v>1378</v>
      </c>
      <c r="J494" s="5" t="n">
        <v>796</v>
      </c>
      <c r="K494" s="3" t="inlineStr">
        <is>
          <t>입지 좋은 도담동 근린생활용지 토지 매매, 대로변</t>
        </is>
      </c>
      <c r="L494" s="6">
        <f>HYPERLINK("https://fin.land.naver.com/articles/2649607976", "매물Link")</f>
        <v/>
      </c>
      <c r="M494" s="6">
        <f>HYPERLINK("https://map.naver.com/p/search/도담동 716", "지도Link")</f>
        <v/>
      </c>
      <c r="N494" s="6">
        <f>HYPERLINK("http://www.eum.go.kr/web/ar/lu/luLandDet.jsp?pnu=3611011400107160000&amp;isNoScr=script&amp;mode=search",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420.4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175000</v>
      </c>
      <c r="G495" s="4" t="n">
        <v>420</v>
      </c>
      <c r="H495" s="4" t="n">
        <v>127</v>
      </c>
      <c r="I495" s="5" t="n">
        <v>1378</v>
      </c>
      <c r="J495" s="5" t="n">
        <v>796</v>
      </c>
      <c r="K495" s="3" t="inlineStr">
        <is>
          <t>도담동근생용지 주변입지좋아요. 가격조정가능</t>
        </is>
      </c>
      <c r="L495" s="6">
        <f>HYPERLINK("https://fin.land.naver.com/articles/2650454199", "매물Link")</f>
        <v/>
      </c>
      <c r="M495" s="6">
        <f>HYPERLINK("https://map.naver.com/p/search/도담동 716", "지도Link")</f>
        <v/>
      </c>
      <c r="N495" s="6">
        <f>HYPERLINK("http://www.eum.go.kr/web/ar/lu/luLandDet.jsp?pnu=3611011400107160000&amp;isNoScr=script&amp;mode=search",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420.4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175000</v>
      </c>
      <c r="G496" s="4" t="n">
        <v>420</v>
      </c>
      <c r="H496" s="4" t="n">
        <v>127</v>
      </c>
      <c r="I496" s="5" t="n">
        <v>1378</v>
      </c>
      <c r="J496" s="5" t="n">
        <v>796</v>
      </c>
      <c r="K496" s="3" t="inlineStr">
        <is>
          <t>도담동 입지우수한 근생 용지 부지, 매매의사 확실,가격조율가능</t>
        </is>
      </c>
      <c r="L496" s="6">
        <f>HYPERLINK("https://fin.land.naver.com/articles/2647797836", "매물Link")</f>
        <v/>
      </c>
      <c r="M496" s="6">
        <f>HYPERLINK("https://map.naver.com/p/search/도담동 716", "지도Link")</f>
        <v/>
      </c>
      <c r="N496" s="6">
        <f>HYPERLINK("http://www.eum.go.kr/web/ar/lu/luLandDet.jsp?pnu=3611011400107160000&amp;isNoScr=script&amp;mode=search", "토지이음")</f>
        <v/>
      </c>
      <c r="O496" s="3" t="inlineStr">
        <is>
          <t>짱</t>
        </is>
      </c>
      <c r="P496" s="4" t="n">
        <v>1</v>
      </c>
      <c r="Q496" s="4" t="n">
        <v>420.4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730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319</v>
      </c>
      <c r="H498" s="4" t="n">
        <v>96</v>
      </c>
      <c r="I498" s="5" t="n">
        <v>802.1</v>
      </c>
      <c r="J498" s="5" t="n">
        <v>382.1</v>
      </c>
      <c r="K498" s="3" t="inlineStr">
        <is>
          <t>급매 도담동 최고입지 프라이버스 완벽하고 지대높은 위치최상</t>
        </is>
      </c>
      <c r="L498" s="6">
        <f>HYPERLINK("https://fin.land.naver.com/articles/2651087923", "매물Link")</f>
        <v/>
      </c>
      <c r="M498" s="6">
        <f>HYPERLINK("https://map.naver.com/p/search/도담동 730", "지도Link")</f>
        <v/>
      </c>
      <c r="N498" s="6">
        <f>HYPERLINK("http://www.eum.go.kr/web/ar/lu/luLandDet.jsp?pnu=3611011400107300000&amp;isNoScr=script&amp;mode=search",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319.5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757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92000</v>
      </c>
      <c r="G499" s="4" t="n">
        <v>324</v>
      </c>
      <c r="H499" s="4" t="n">
        <v>98</v>
      </c>
      <c r="I499" s="5" t="n">
        <v>938.8</v>
      </c>
      <c r="J499" s="5" t="n">
        <v>410.6</v>
      </c>
      <c r="K499" s="3" t="inlineStr">
        <is>
          <t>홈플러스와 충대병원사이에 위치함 3면코너각지 청사및체육시설근거리이용</t>
        </is>
      </c>
      <c r="L499" s="6">
        <f>HYPERLINK("https://fin.land.naver.com/articles/2647502682", "매물Link")</f>
        <v/>
      </c>
      <c r="M499" s="6">
        <f>HYPERLINK("https://map.naver.com/p/search/도담동 757", "지도Link")</f>
        <v/>
      </c>
      <c r="N499" s="6">
        <f>HYPERLINK("http://www.eum.go.kr/web/ar/lu/luLandDet.jsp?pnu=3611011400107570000&amp;isNoScr=script&amp;mode=search", "토지이음")</f>
        <v/>
      </c>
      <c r="O499" s="3" t="inlineStr">
        <is>
          <t>세종마당</t>
        </is>
      </c>
      <c r="P499" s="4" t="n">
        <v>1</v>
      </c>
      <c r="Q499" s="4" t="n">
        <v>324.6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763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295</v>
      </c>
      <c r="H500" s="4" t="n">
        <v>89</v>
      </c>
      <c r="I500" s="5" t="n">
        <v>898.9</v>
      </c>
      <c r="J500" s="5" t="n">
        <v>410.6</v>
      </c>
      <c r="K500" s="3" t="inlineStr">
        <is>
          <t>입지 좋은 도담동 단독주택 토지매매</t>
        </is>
      </c>
      <c r="L500" s="6">
        <f>HYPERLINK("https://fin.land.naver.com/articles/2650427773", "매물Link")</f>
        <v/>
      </c>
      <c r="M500" s="6">
        <f>HYPERLINK("https://map.naver.com/p/search/도담동 763", "지도Link")</f>
        <v/>
      </c>
      <c r="N500" s="6">
        <f>HYPERLINK("http://www.eum.go.kr/web/ar/lu/luLandDet.jsp?pnu=3611011400107630000&amp;isNoScr=script&amp;mode=search",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295.5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763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295</v>
      </c>
      <c r="H501" s="4" t="n">
        <v>89</v>
      </c>
      <c r="I501" s="5" t="n">
        <v>898.9</v>
      </c>
      <c r="J501" s="5" t="n">
        <v>410.6</v>
      </c>
      <c r="K501" s="3" t="inlineStr">
        <is>
          <t>교통환경이 우수한 3면도로 접한 토지</t>
        </is>
      </c>
      <c r="L501" s="6">
        <f>HYPERLINK("https://fin.land.naver.com/articles/2650436565", "매물Link")</f>
        <v/>
      </c>
      <c r="M501" s="6">
        <f>HYPERLINK("https://map.naver.com/p/search/도담동 763", "지도Link")</f>
        <v/>
      </c>
      <c r="N501" s="6">
        <f>HYPERLINK("http://www.eum.go.kr/web/ar/lu/luLandDet.jsp?pnu=3611011400107630000&amp;isNoScr=script&amp;mode=search", "토지이음")</f>
        <v/>
      </c>
      <c r="O501" s="3" t="inlineStr">
        <is>
          <t>킹세종</t>
        </is>
      </c>
      <c r="P501" s="4" t="n">
        <v>2</v>
      </c>
      <c r="Q501" s="4" t="n">
        <v>295.5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763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295</v>
      </c>
      <c r="H502" s="4" t="n">
        <v>89</v>
      </c>
      <c r="I502" s="5" t="n">
        <v>898.9</v>
      </c>
      <c r="J502" s="5" t="n">
        <v>410.6</v>
      </c>
      <c r="K502" s="3" t="inlineStr">
        <is>
          <t>89.5p, 사거리 코너 입지, 위치 굿, 단지 바로 앞</t>
        </is>
      </c>
      <c r="L502" s="6">
        <f>HYPERLINK("https://fin.land.naver.com/articles/2648188284", "매물Link")</f>
        <v/>
      </c>
      <c r="M502" s="6">
        <f>HYPERLINK("https://map.naver.com/p/search/도담동 763", "지도Link")</f>
        <v/>
      </c>
      <c r="N502" s="6">
        <f>HYPERLINK("http://www.eum.go.kr/web/ar/lu/luLandDet.jsp?pnu=3611011400107630000&amp;isNoScr=script&amp;mode=search",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295.5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779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320</v>
      </c>
      <c r="H503" s="4" t="n">
        <v>97</v>
      </c>
      <c r="I503" s="5" t="n">
        <v>927.8</v>
      </c>
      <c r="J503" s="5" t="n">
        <v>410.6</v>
      </c>
      <c r="K503" s="3" t="inlineStr">
        <is>
          <t>BRT라인 상권,방축천 라인,청사,홈플러스,충대병원과 근접한 생활권 위치</t>
        </is>
      </c>
      <c r="L503" s="6">
        <f>HYPERLINK("https://fin.land.naver.com/articles/2645446523", "매물Link")</f>
        <v/>
      </c>
      <c r="M503" s="6">
        <f>HYPERLINK("https://map.naver.com/p/search/도담동 779", "지도Link")</f>
        <v/>
      </c>
      <c r="N503" s="6">
        <f>HYPERLINK("http://www.eum.go.kr/web/ar/lu/luLandDet.jsp?pnu=3611011400107790000&amp;isNoScr=script&amp;mode=search", "토지이음")</f>
        <v/>
      </c>
      <c r="O503" s="3" t="inlineStr">
        <is>
          <t>세종웅진</t>
        </is>
      </c>
      <c r="P503" s="4" t="n">
        <v>1</v>
      </c>
      <c r="Q503" s="4" t="n">
        <v>320.6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784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341</v>
      </c>
      <c r="H504" s="4" t="n">
        <v>103</v>
      </c>
      <c r="I504" s="5" t="n">
        <v>747.6</v>
      </c>
      <c r="J504" s="5" t="n">
        <v>410.6</v>
      </c>
      <c r="K504" s="3" t="inlineStr">
        <is>
          <t>코너 유치원 홈플러스 늘봄초인근 조율가능</t>
        </is>
      </c>
      <c r="L504" s="6">
        <f>HYPERLINK("https://fin.land.naver.com/articles/2649812078", "매물Link")</f>
        <v/>
      </c>
      <c r="M504" s="6">
        <f>HYPERLINK("https://map.naver.com/p/search/도담동 784", "지도Link")</f>
        <v/>
      </c>
      <c r="N504" s="6">
        <f>HYPERLINK("http://www.eum.go.kr/web/ar/lu/luLandDet.jsp?pnu=3611011400107840000&amp;isNoScr=script&amp;mode=search",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341.5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도담동 784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77000</v>
      </c>
      <c r="G505" s="4" t="n">
        <v>341</v>
      </c>
      <c r="H505" s="4" t="n">
        <v>103</v>
      </c>
      <c r="I505" s="5" t="n">
        <v>747.6</v>
      </c>
      <c r="J505" s="5" t="n">
        <v>410.6</v>
      </c>
      <c r="K505" s="3" t="inlineStr">
        <is>
          <t>도담동 생활권 입지 좋은 단독주택지 매매</t>
        </is>
      </c>
      <c r="L505" s="6">
        <f>HYPERLINK("https://fin.land.naver.com/articles/2647429882", "매물Link")</f>
        <v/>
      </c>
      <c r="M505" s="6">
        <f>HYPERLINK("https://map.naver.com/p/search/도담동 784", "지도Link")</f>
        <v/>
      </c>
      <c r="N505" s="6">
        <f>HYPERLINK("http://www.eum.go.kr/web/ar/lu/luLandDet.jsp?pnu=3611011400107840000&amp;isNoScr=script&amp;mode=search",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341.5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도담동 784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341</v>
      </c>
      <c r="H506" s="4" t="n">
        <v>103</v>
      </c>
      <c r="I506" s="5" t="n">
        <v>747.6</v>
      </c>
      <c r="J506" s="5" t="n">
        <v>410.6</v>
      </c>
      <c r="K506" s="3" t="inlineStr">
        <is>
          <t>사거리 코너, 생활권 좋은 위치 단독주택지</t>
        </is>
      </c>
      <c r="L506" s="6">
        <f>HYPERLINK("https://fin.land.naver.com/articles/2647425170", "매물Link")</f>
        <v/>
      </c>
      <c r="M506" s="6">
        <f>HYPERLINK("https://map.naver.com/p/search/도담동 784", "지도Link")</f>
        <v/>
      </c>
      <c r="N506" s="6">
        <f>HYPERLINK("http://www.eum.go.kr/web/ar/lu/luLandDet.jsp?pnu=3611011400107840000&amp;isNoScr=script&amp;mode=search",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341.5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도담동 790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104000</v>
      </c>
      <c r="G507" s="4" t="n">
        <v>342</v>
      </c>
      <c r="H507" s="4" t="n">
        <v>103</v>
      </c>
      <c r="I507" s="5" t="n">
        <v>1009.7</v>
      </c>
      <c r="J507" s="5" t="n">
        <v>410.6</v>
      </c>
      <c r="K507" s="3" t="inlineStr">
        <is>
          <t>103.7p, 단지 맞은편, 유치원 인근</t>
        </is>
      </c>
      <c r="L507" s="6">
        <f>HYPERLINK("https://fin.land.naver.com/articles/2648833697", "매물Link")</f>
        <v/>
      </c>
      <c r="M507" s="6">
        <f>HYPERLINK("https://map.naver.com/p/search/도담동 790", "지도Link")</f>
        <v/>
      </c>
      <c r="N507" s="6">
        <f>HYPERLINK("http://www.eum.go.kr/web/ar/lu/luLandDet.jsp?pnu=3611011400107900000&amp;isNoScr=script&amp;mode=search",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342.1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790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104000</v>
      </c>
      <c r="G508" s="4" t="n">
        <v>342</v>
      </c>
      <c r="H508" s="4" t="n">
        <v>103</v>
      </c>
      <c r="I508" s="5" t="n">
        <v>1009.7</v>
      </c>
      <c r="J508" s="5" t="n">
        <v>410.6</v>
      </c>
      <c r="K508" s="3" t="inlineStr">
        <is>
          <t>총 103.7p, 정남향, 충대병원 홈플러스 인근</t>
        </is>
      </c>
      <c r="L508" s="6">
        <f>HYPERLINK("https://fin.land.naver.com/articles/2647422061", "매물Link")</f>
        <v/>
      </c>
      <c r="M508" s="6">
        <f>HYPERLINK("https://map.naver.com/p/search/도담동 790", "지도Link")</f>
        <v/>
      </c>
      <c r="N508" s="6">
        <f>HYPERLINK("http://www.eum.go.kr/web/ar/lu/luLandDet.jsp?pnu=3611011400107900000&amp;isNoScr=script&amp;mode=search",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342.1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807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85000</v>
      </c>
      <c r="G509" s="4" t="n">
        <v>318</v>
      </c>
      <c r="H509" s="4" t="n">
        <v>96</v>
      </c>
      <c r="I509" s="5" t="n">
        <v>885.4</v>
      </c>
      <c r="J509" s="5" t="n">
        <v>391.1</v>
      </c>
      <c r="K509" s="3" t="inlineStr">
        <is>
          <t>96.6p, 정남향, 단지 맞은편, 가운데 입지</t>
        </is>
      </c>
      <c r="L509" s="6">
        <f>HYPERLINK("https://fin.land.naver.com/articles/2648837413", "매물Link")</f>
        <v/>
      </c>
      <c r="M509" s="6">
        <f>HYPERLINK("https://map.naver.com/p/search/도담동 807", "지도Link")</f>
        <v/>
      </c>
      <c r="N509" s="6">
        <f>HYPERLINK("http://www.eum.go.kr/web/ar/lu/luLandDet.jsp?pnu=3611011400108070000&amp;isNoScr=script&amp;mode=search",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318.7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807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85000</v>
      </c>
      <c r="G510" s="4" t="n">
        <v>318</v>
      </c>
      <c r="H510" s="4" t="n">
        <v>96</v>
      </c>
      <c r="I510" s="5" t="n">
        <v>885.4</v>
      </c>
      <c r="J510" s="5" t="n">
        <v>391.1</v>
      </c>
      <c r="K510" s="3" t="inlineStr">
        <is>
          <t>96.6P, 도담동 아파트단지 인근 단독주택지</t>
        </is>
      </c>
      <c r="L510" s="6">
        <f>HYPERLINK("https://fin.land.naver.com/articles/2648909375", "매물Link")</f>
        <v/>
      </c>
      <c r="M510" s="6">
        <f>HYPERLINK("https://map.naver.com/p/search/도담동 807", "지도Link")</f>
        <v/>
      </c>
      <c r="N510" s="6">
        <f>HYPERLINK("http://www.eum.go.kr/web/ar/lu/luLandDet.jsp?pnu=3611011400108070000&amp;isNoScr=script&amp;mode=search",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318.7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62500</v>
      </c>
      <c r="G511" s="4" t="n">
        <v>319</v>
      </c>
      <c r="H511" s="4" t="n">
        <v>96</v>
      </c>
      <c r="I511" s="5" t="n">
        <v>651</v>
      </c>
      <c r="J511" s="5" t="n">
        <v>391.1</v>
      </c>
      <c r="K511" s="3" t="inlineStr">
        <is>
          <t>주변가격대비 현격한 급매가 매매</t>
        </is>
      </c>
      <c r="L511" s="6">
        <f>HYPERLINK("https://fin.land.naver.com/articles/2649574325", "매물Link")</f>
        <v/>
      </c>
      <c r="M511" s="6">
        <f>HYPERLINK("https://map.naver.com/p/search/도담동 808", "지도Link")</f>
        <v/>
      </c>
      <c r="N511" s="6">
        <f>HYPERLINK("http://www.eum.go.kr/web/ar/lu/luLandDet.jsp?pnu=3611011400108080000&amp;isNoScr=script&amp;mode=search", "토지이음")</f>
        <v/>
      </c>
      <c r="O511" s="3" t="inlineStr">
        <is>
          <t>킹세종</t>
        </is>
      </c>
      <c r="P511" s="4" t="n">
        <v>2</v>
      </c>
      <c r="Q511" s="4" t="n">
        <v>318.7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824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100000</v>
      </c>
      <c r="G512" s="4" t="n">
        <v>313</v>
      </c>
      <c r="H512" s="4" t="n">
        <v>95</v>
      </c>
      <c r="I512" s="5" t="n">
        <v>1052.6</v>
      </c>
      <c r="J512" s="5" t="n">
        <v>391.1</v>
      </c>
      <c r="K512" s="3" t="inlineStr">
        <is>
          <t>남향필지 최선호지역 BRT도보가능 홈플러스인근</t>
        </is>
      </c>
      <c r="L512" s="6">
        <f>HYPERLINK("https://fin.land.naver.com/articles/2648615509", "매물Link")</f>
        <v/>
      </c>
      <c r="M512" s="6">
        <f>HYPERLINK("https://map.naver.com/p/search/도담동 824", "지도Link")</f>
        <v/>
      </c>
      <c r="N512" s="6">
        <f>HYPERLINK("http://www.eum.go.kr/web/ar/lu/luLandDet.jsp?pnu=3611011400108240000&amp;isNoScr=script&amp;mode=search",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313.1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837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315</v>
      </c>
      <c r="H513" s="4" t="n">
        <v>95</v>
      </c>
      <c r="I513" s="5" t="n">
        <v>947.4</v>
      </c>
      <c r="J513" s="5" t="n">
        <v>391.1</v>
      </c>
      <c r="K513" s="3" t="inlineStr">
        <is>
          <t>도담동 위치 좋은 단독주택, 홈플러스 인근</t>
        </is>
      </c>
      <c r="L513" s="6">
        <f>HYPERLINK("https://fin.land.naver.com/articles/2650892389", "매물Link")</f>
        <v/>
      </c>
      <c r="M513" s="6">
        <f>HYPERLINK("https://map.naver.com/p/search/도담동 837", "지도Link")</f>
        <v/>
      </c>
      <c r="N513" s="6">
        <f>HYPERLINK("http://www.eum.go.kr/web/ar/lu/luLandDet.jsp?pnu=3611011400108370000&amp;isNoScr=script&amp;mode=search",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315.9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897-1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353.1</v>
      </c>
      <c r="K515" s="3" t="inlineStr">
        <is>
          <t>트로아힐스 건축 가능한 토지 매매</t>
        </is>
      </c>
      <c r="L515" s="6">
        <f>HYPERLINK("https://fin.land.naver.com/articles/2650423114", "매물Link")</f>
        <v/>
      </c>
      <c r="M515" s="6">
        <f>HYPERLINK("https://map.naver.com/p/search/도담동 897-1", "지도Link")</f>
        <v/>
      </c>
      <c r="N515" s="6">
        <f>HYPERLINK("http://www.eum.go.kr/web/ar/lu/luLandDet.jsp?pnu=3611011400108970001&amp;isNoScr=script&amp;mode=search", "토지이음")</f>
        <v/>
      </c>
      <c r="O515" s="3" t="inlineStr">
        <is>
          <t>세종시티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도담동 897-18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140000</v>
      </c>
      <c r="G516" s="4" t="n">
        <v>400</v>
      </c>
      <c r="H516" s="4" t="n">
        <v>121</v>
      </c>
      <c r="I516" s="5" t="n">
        <v>1157</v>
      </c>
      <c r="J516" s="5" t="n">
        <v>356.7</v>
      </c>
      <c r="K516" s="3" t="inlineStr">
        <is>
          <t>세종 고급 타운하우스 선호 필지 매매</t>
        </is>
      </c>
      <c r="L516" s="6">
        <f>HYPERLINK("https://fin.land.naver.com/articles/2650423079", "매물Link")</f>
        <v/>
      </c>
      <c r="M516" s="6">
        <f>HYPERLINK("https://map.naver.com/p/search/도담동 897-18", "지도Link")</f>
        <v/>
      </c>
      <c r="N516" s="6">
        <f>HYPERLINK("http://www.eum.go.kr/web/ar/lu/luLandDet.jsp?pnu=3611011400108970018&amp;isNoScr=script&amp;mode=search", "토지이음")</f>
        <v/>
      </c>
      <c r="O516" s="3" t="inlineStr">
        <is>
          <t>세종시티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도담동 897-20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356.7</v>
      </c>
      <c r="K517" s="3" t="inlineStr">
        <is>
          <t>세종 도담동 고급 전원주택 단지 앞이 트여 있어 좋아요.</t>
        </is>
      </c>
      <c r="L517" s="6">
        <f>HYPERLINK("https://fin.land.naver.com/articles/2649482553", "매물Link")</f>
        <v/>
      </c>
      <c r="M517" s="6">
        <f>HYPERLINK("https://map.naver.com/p/search/도담동 897-20", "지도Link")</f>
        <v/>
      </c>
      <c r="N517" s="6">
        <f>HYPERLINK("http://www.eum.go.kr/web/ar/lu/luLandDet.jsp?pnu=3611011400108970020&amp;isNoScr=script&amp;mode=search", "토지이음")</f>
        <v/>
      </c>
      <c r="O517" s="3" t="inlineStr">
        <is>
          <t>세종조이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도담동 897-24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150000</v>
      </c>
      <c r="G518" s="4" t="n">
        <v>400</v>
      </c>
      <c r="H518" s="4" t="n">
        <v>121</v>
      </c>
      <c r="I518" s="5" t="n">
        <v>1239.7</v>
      </c>
      <c r="J518" s="5" t="n">
        <v>356.7</v>
      </c>
      <c r="K518" s="3" t="inlineStr">
        <is>
          <t>nan</t>
        </is>
      </c>
      <c r="L518" s="6">
        <f>HYPERLINK("https://fin.land.naver.com/articles/2647125724", "매물Link")</f>
        <v/>
      </c>
      <c r="M518" s="6">
        <f>HYPERLINK("https://map.naver.com/p/search/도담동 897-24", "지도Link")</f>
        <v/>
      </c>
      <c r="N518" s="6">
        <f>HYPERLINK("http://www.eum.go.kr/web/ar/lu/luLandDet.jsp?pnu=3611011400108970024&amp;isNoScr=script&amp;mode=search", "토지이음")</f>
        <v/>
      </c>
      <c r="O518" s="3" t="inlineStr">
        <is>
          <t>세종스타</t>
        </is>
      </c>
      <c r="P518" s="4" t="n">
        <v>2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반곡동 1003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45000</v>
      </c>
      <c r="G519" s="4" t="n">
        <v>190</v>
      </c>
      <c r="H519" s="4" t="n">
        <v>57</v>
      </c>
      <c r="I519" s="5" t="n">
        <v>789.5</v>
      </c>
      <c r="J519" s="5" t="n">
        <v>262.3</v>
      </c>
      <c r="K519" s="3" t="inlineStr">
        <is>
          <t>반곡동D3 소형 건폐율50 가격조율 협의가능</t>
        </is>
      </c>
      <c r="L519" s="6">
        <f>HYPERLINK("https://fin.land.naver.com/articles/2651086283", "매물Link")</f>
        <v/>
      </c>
      <c r="M519" s="6">
        <f>HYPERLINK("https://map.naver.com/p/search/반곡동 1003", "지도Link")</f>
        <v/>
      </c>
      <c r="N519" s="6">
        <f>HYPERLINK("http://www.eum.go.kr/web/ar/lu/luLandDet.jsp?pnu=3611010100110030000&amp;isNoScr=script&amp;mode=search", "토지이음")</f>
        <v/>
      </c>
      <c r="O519" s="3" t="inlineStr">
        <is>
          <t>세종스타</t>
        </is>
      </c>
      <c r="P519" s="4" t="n">
        <v>2</v>
      </c>
      <c r="Q519" s="4" t="n">
        <v>190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1005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35000</v>
      </c>
      <c r="G520" s="4" t="n">
        <v>154</v>
      </c>
      <c r="H520" s="4" t="n">
        <v>47</v>
      </c>
      <c r="I520" s="5" t="n">
        <v>744.7</v>
      </c>
      <c r="J520" s="5" t="n">
        <v>262.3</v>
      </c>
      <c r="K520" s="3" t="inlineStr">
        <is>
          <t>조율가능 코너각지 소형 건폐율50프로</t>
        </is>
      </c>
      <c r="L520" s="6">
        <f>HYPERLINK("https://fin.land.naver.com/articles/2650653499", "매물Link")</f>
        <v/>
      </c>
      <c r="M520" s="6">
        <f>HYPERLINK("https://map.naver.com/p/search/반곡동 1005", "지도Link")</f>
        <v/>
      </c>
      <c r="N520" s="6">
        <f>HYPERLINK("http://www.eum.go.kr/web/ar/lu/luLandDet.jsp?pnu=3611010100110050000&amp;isNoScr=script&amp;mode=search",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154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1061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478</v>
      </c>
      <c r="H521" s="4" t="n">
        <v>145</v>
      </c>
      <c r="I521" s="5" t="n">
        <v>482.8</v>
      </c>
      <c r="J521" s="5" t="n">
        <v>302.2</v>
      </c>
      <c r="K521" s="3" t="inlineStr">
        <is>
          <t>급매 KDI옆 반곡동D2 넓은평수 144.71p</t>
        </is>
      </c>
      <c r="L521" s="6">
        <f>HYPERLINK("https://fin.land.naver.com/articles/2649626883", "매물Link")</f>
        <v/>
      </c>
      <c r="M521" s="6">
        <f>HYPERLINK("https://map.naver.com/p/search/반곡동 1061", "지도Link")</f>
        <v/>
      </c>
      <c r="N521" s="6">
        <f>HYPERLINK("http://www.eum.go.kr/web/ar/lu/luLandDet.jsp?pnu=3611010100110610000&amp;isNoScr=script&amp;mode=search",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478.4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반곡동 1061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478</v>
      </c>
      <c r="H522" s="4" t="n">
        <v>145</v>
      </c>
      <c r="I522" s="5" t="n">
        <v>482.8</v>
      </c>
      <c r="J522" s="5" t="n">
        <v>302.2</v>
      </c>
      <c r="K522" s="3" t="inlineStr">
        <is>
          <t>반곡동 토지매매, 대형평형</t>
        </is>
      </c>
      <c r="L522" s="6">
        <f>HYPERLINK("https://fin.land.naver.com/articles/2649001111", "매물Link")</f>
        <v/>
      </c>
      <c r="M522" s="6">
        <f>HYPERLINK("https://map.naver.com/p/search/반곡동 1061", "지도Link")</f>
        <v/>
      </c>
      <c r="N522" s="6">
        <f>HYPERLINK("http://www.eum.go.kr/web/ar/lu/luLandDet.jsp?pnu=3611010100110610000&amp;isNoScr=script&amp;mode=search",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478.4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공원 앞, 사거리 코너 각지 위치, 입지 좋은 토지</t>
        </is>
      </c>
      <c r="L523" s="6">
        <f>HYPERLINK("https://fin.land.naver.com/articles/2647427000",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1077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445</v>
      </c>
      <c r="H524" s="4" t="n">
        <v>135</v>
      </c>
      <c r="I524" s="5" t="n">
        <v>592.6</v>
      </c>
      <c r="J524" s="5" t="n">
        <v>308</v>
      </c>
      <c r="K524" s="3" t="inlineStr">
        <is>
          <t>135p, 넓은 단독주택 토지매매, 공원앞, 입지 굿</t>
        </is>
      </c>
      <c r="L524" s="6">
        <f>HYPERLINK("https://fin.land.naver.com/articles/2647421791", "매물Link")</f>
        <v/>
      </c>
      <c r="M524" s="6">
        <f>HYPERLINK("https://map.naver.com/p/search/반곡동 1077", "지도Link")</f>
        <v/>
      </c>
      <c r="N524" s="6">
        <f>HYPERLINK("http://www.eum.go.kr/web/ar/lu/luLandDet.jsp?pnu=3611010100110770000&amp;isNoScr=script&amp;mode=search",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445.5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1090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75000</v>
      </c>
      <c r="G526" s="4" t="n">
        <v>442</v>
      </c>
      <c r="H526" s="4" t="n">
        <v>134</v>
      </c>
      <c r="I526" s="5" t="n">
        <v>559.7</v>
      </c>
      <c r="J526" s="5" t="n">
        <v>308</v>
      </c>
      <c r="K526" s="3" t="inlineStr">
        <is>
          <t>nan</t>
        </is>
      </c>
      <c r="L526" s="6">
        <f>HYPERLINK("https://fin.land.naver.com/articles/2647198872", "매물Link")</f>
        <v/>
      </c>
      <c r="M526" s="6">
        <f>HYPERLINK("https://map.naver.com/p/search/반곡동 1090", "지도Link")</f>
        <v/>
      </c>
      <c r="N526" s="6">
        <f>HYPERLINK("http://www.eum.go.kr/web/ar/lu/luLandDet.jsp?pnu=3611010100110900000&amp;isNoScr=script&amp;mode=search", "토지이음")</f>
        <v/>
      </c>
      <c r="O526" s="3" t="inlineStr">
        <is>
          <t>디아트성심</t>
        </is>
      </c>
      <c r="P526" s="4" t="n">
        <v>1</v>
      </c>
      <c r="Q526" s="4" t="n">
        <v>440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1096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74700</v>
      </c>
      <c r="G527" s="4" t="n">
        <v>466</v>
      </c>
      <c r="H527" s="4" t="n">
        <v>141</v>
      </c>
      <c r="I527" s="5" t="n">
        <v>529.8</v>
      </c>
      <c r="J527" s="5" t="n">
        <v>302.2</v>
      </c>
      <c r="K527" s="3" t="inlineStr">
        <is>
          <t>nan</t>
        </is>
      </c>
      <c r="L527" s="6">
        <f>HYPERLINK("https://fin.land.naver.com/articles/2647198918", "매물Link")</f>
        <v/>
      </c>
      <c r="M527" s="6">
        <f>HYPERLINK("https://map.naver.com/p/search/반곡동 1096", "지도Link")</f>
        <v/>
      </c>
      <c r="N527" s="6">
        <f>HYPERLINK("http://www.eum.go.kr/web/ar/lu/luLandDet.jsp?pnu=3611010100110960000&amp;isNoScr=script&amp;mode=search", "토지이음")</f>
        <v/>
      </c>
      <c r="O527" s="3" t="inlineStr">
        <is>
          <t>디아트성심</t>
        </is>
      </c>
      <c r="P527" s="4" t="n">
        <v>1</v>
      </c>
      <c r="Q527" s="4" t="n">
        <v>466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반곡동 1107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67000</v>
      </c>
      <c r="G528" s="4" t="n">
        <v>436</v>
      </c>
      <c r="H528" s="4" t="n">
        <v>132</v>
      </c>
      <c r="I528" s="5" t="n">
        <v>507.6</v>
      </c>
      <c r="J528" s="5" t="n">
        <v>311.3</v>
      </c>
      <c r="K528" s="3" t="inlineStr">
        <is>
          <t>급매 코너각지 132p 추가조율가능</t>
        </is>
      </c>
      <c r="L528" s="6">
        <f>HYPERLINK("https://fin.land.naver.com/articles/2649805637", "매물Link")</f>
        <v/>
      </c>
      <c r="M528" s="6">
        <f>HYPERLINK("https://map.naver.com/p/search/반곡동 1107", "지도Link")</f>
        <v/>
      </c>
      <c r="N528" s="6">
        <f>HYPERLINK("http://www.eum.go.kr/web/ar/lu/luLandDet.jsp?pnu=3611010100111070000&amp;isNoScr=script&amp;mode=search",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436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반곡동 1107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67000</v>
      </c>
      <c r="G529" s="4" t="n">
        <v>436</v>
      </c>
      <c r="H529" s="4" t="n">
        <v>132</v>
      </c>
      <c r="I529" s="5" t="n">
        <v>507.6</v>
      </c>
      <c r="J529" s="5" t="n">
        <v>311.3</v>
      </c>
      <c r="K529" s="3" t="inlineStr">
        <is>
          <t>삼거리 코너, 위치 좋은 반곡동 토지매매</t>
        </is>
      </c>
      <c r="L529" s="6">
        <f>HYPERLINK("https://fin.land.naver.com/articles/2648999169", "매물Link")</f>
        <v/>
      </c>
      <c r="M529" s="6">
        <f>HYPERLINK("https://map.naver.com/p/search/반곡동 1107", "지도Link")</f>
        <v/>
      </c>
      <c r="N529" s="6">
        <f>HYPERLINK("http://www.eum.go.kr/web/ar/lu/luLandDet.jsp?pnu=3611010100111070000&amp;isNoScr=script&amp;mode=search",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436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반곡동 1129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74400</v>
      </c>
      <c r="G530" s="4" t="n">
        <v>184</v>
      </c>
      <c r="H530" s="4" t="n">
        <v>56</v>
      </c>
      <c r="I530" s="5" t="n">
        <v>1328.6</v>
      </c>
      <c r="J530" s="5" t="n">
        <v>406.3</v>
      </c>
      <c r="K530" s="3" t="inlineStr">
        <is>
          <t>상가주택용 토지,설계도면무료제공</t>
        </is>
      </c>
      <c r="L530" s="6">
        <f>HYPERLINK("https://fin.land.naver.com/articles/2650423010", "매물Link")</f>
        <v/>
      </c>
      <c r="M530" s="6">
        <f>HYPERLINK("https://map.naver.com/p/search/반곡동 1129", "지도Link")</f>
        <v/>
      </c>
      <c r="N530" s="6">
        <f>HYPERLINK("http://www.eum.go.kr/web/ar/lu/luLandDet.jsp?pnu=3611010100111290000&amp;isNoScr=script&amp;mode=search",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184.4</v>
      </c>
      <c r="R530" s="3" t="inlineStr">
        <is>
          <t>지정되지않음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1130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76000</v>
      </c>
      <c r="G531" s="4" t="n">
        <v>186</v>
      </c>
      <c r="H531" s="4" t="n">
        <v>56</v>
      </c>
      <c r="I531" s="5" t="n">
        <v>1357.1</v>
      </c>
      <c r="J531" s="5" t="n">
        <v>406.3</v>
      </c>
      <c r="K531" s="3" t="inlineStr">
        <is>
          <t>상가주택지매매, 협의가능, 설계도면제공원할시.
자세한건 사무실로 연락~</t>
        </is>
      </c>
      <c r="L531" s="6">
        <f>HYPERLINK("https://fin.land.naver.com/articles/2650423044", "매물Link")</f>
        <v/>
      </c>
      <c r="M531" s="6">
        <f>HYPERLINK("https://map.naver.com/p/search/반곡동 1130", "지도Link")</f>
        <v/>
      </c>
      <c r="N531" s="6">
        <f>HYPERLINK("http://www.eum.go.kr/web/ar/lu/luLandDet.jsp?pnu=3611010100111300000&amp;isNoScr=script&amp;mode=search",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186.4</v>
      </c>
      <c r="R531" s="3" t="inlineStr">
        <is>
          <t>지정되지않음</t>
        </is>
      </c>
      <c r="S531" s="3" t="inlineStr">
        <is>
          <t>주상나지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1137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231</v>
      </c>
      <c r="H532" s="4" t="n">
        <v>70</v>
      </c>
      <c r="I532" s="5" t="n">
        <v>1142.9</v>
      </c>
      <c r="J532" s="5" t="n">
        <v>450.6</v>
      </c>
      <c r="K532" s="3" t="inlineStr">
        <is>
          <t>세종시 유일 점포 주택, 반곡동 단독주택지  괴화산 수루배마을 중심부</t>
        </is>
      </c>
      <c r="L532" s="6">
        <f>HYPERLINK("https://fin.land.naver.com/articles/2650832993", "매물Link")</f>
        <v/>
      </c>
      <c r="M532" s="6">
        <f>HYPERLINK("https://map.naver.com/p/search/반곡동 1137", "지도Link")</f>
        <v/>
      </c>
      <c r="N532" s="6">
        <f>HYPERLINK("http://www.eum.go.kr/web/ar/lu/luLandDet.jsp?pnu=3611010100111370000&amp;isNoScr=script&amp;mode=search", "토지이음")</f>
        <v/>
      </c>
      <c r="O532" s="3" t="inlineStr">
        <is>
          <t>세종디아트114</t>
        </is>
      </c>
      <c r="P532" s="4" t="n">
        <v>1</v>
      </c>
      <c r="Q532" s="4" t="n">
        <v>230.7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중로각지</t>
        </is>
      </c>
    </row>
    <row r="533">
      <c r="A533" s="3" t="inlineStr">
        <is>
          <t>반곡동 1156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210000</v>
      </c>
      <c r="G533" s="4" t="n">
        <v>617</v>
      </c>
      <c r="H533" s="4" t="n">
        <v>187</v>
      </c>
      <c r="I533" s="5" t="n">
        <v>1123</v>
      </c>
      <c r="J533" s="5" t="n">
        <v>581.2</v>
      </c>
      <c r="K533" s="3" t="inlineStr">
        <is>
          <t>명성공인, 전용186.64, 근생용지 추천 매물</t>
        </is>
      </c>
      <c r="L533" s="6">
        <f>HYPERLINK("https://fin.land.naver.com/articles/2646317246", "매물Link")</f>
        <v/>
      </c>
      <c r="M533" s="6">
        <f>HYPERLINK("https://map.naver.com/p/search/반곡동 1156", "지도Link")</f>
        <v/>
      </c>
      <c r="N533" s="6">
        <f>HYPERLINK("http://www.eum.go.kr/web/ar/lu/luLandDet.jsp?pnu=3611010100111560000&amp;isNoScr=script&amp;mode=search", "토지이음")</f>
        <v/>
      </c>
      <c r="O533" s="3" t="inlineStr">
        <is>
          <t>명성</t>
        </is>
      </c>
      <c r="P533" s="4" t="n">
        <v>1</v>
      </c>
      <c r="Q533" s="4" t="n">
        <v>617</v>
      </c>
      <c r="R533" s="3" t="inlineStr">
        <is>
          <t>지정되지않음</t>
        </is>
      </c>
      <c r="S533" s="3" t="inlineStr">
        <is>
          <t>상업나지</t>
        </is>
      </c>
      <c r="T533" s="3" t="inlineStr">
        <is>
          <t>평지</t>
        </is>
      </c>
      <c r="U533" s="3" t="inlineStr">
        <is>
          <t>정방형</t>
        </is>
      </c>
      <c r="V533" s="3" t="inlineStr">
        <is>
          <t>중로각지</t>
        </is>
      </c>
    </row>
    <row r="534">
      <c r="A534" s="3" t="inlineStr">
        <is>
          <t>반곡동 1156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210000</v>
      </c>
      <c r="G534" s="4" t="n">
        <v>617</v>
      </c>
      <c r="H534" s="4" t="n">
        <v>187</v>
      </c>
      <c r="I534" s="5" t="n">
        <v>1123</v>
      </c>
      <c r="J534" s="5" t="n">
        <v>581.2</v>
      </c>
      <c r="K534" s="3" t="inlineStr">
        <is>
          <t>근린생활시설용지 카페 음식점 사옥 부지 조율가능 건50 용80</t>
        </is>
      </c>
      <c r="L534" s="6">
        <f>HYPERLINK("https://fin.land.naver.com/articles/2650653700", "매물Link")</f>
        <v/>
      </c>
      <c r="M534" s="6">
        <f>HYPERLINK("https://map.naver.com/p/search/반곡동 1156", "지도Link")</f>
        <v/>
      </c>
      <c r="N534" s="6">
        <f>HYPERLINK("http://www.eum.go.kr/web/ar/lu/luLandDet.jsp?pnu=3611010100111560000&amp;isNoScr=script&amp;mode=search",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617</v>
      </c>
      <c r="R534" s="3" t="inlineStr">
        <is>
          <t>지정되지않음</t>
        </is>
      </c>
      <c r="S534" s="3" t="inlineStr">
        <is>
          <t>상업나지</t>
        </is>
      </c>
      <c r="T534" s="3" t="inlineStr">
        <is>
          <t>평지</t>
        </is>
      </c>
      <c r="U534" s="3" t="inlineStr">
        <is>
          <t>정방형</t>
        </is>
      </c>
      <c r="V534" s="3" t="inlineStr">
        <is>
          <t>중로각지</t>
        </is>
      </c>
    </row>
    <row r="535">
      <c r="A535" s="3" t="inlineStr">
        <is>
          <t>반곡동 901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88000</v>
      </c>
      <c r="G535" s="4" t="n">
        <v>289</v>
      </c>
      <c r="H535" s="4" t="n">
        <v>87</v>
      </c>
      <c r="I535" s="5" t="n">
        <v>1011.5</v>
      </c>
      <c r="J535" s="5" t="n">
        <v>262.6</v>
      </c>
      <c r="K535" s="3" t="inlineStr">
        <is>
          <t>초등학교 인접, 반곡동 토지매매, 지대 높음</t>
        </is>
      </c>
      <c r="L535" s="6">
        <f>HYPERLINK("https://fin.land.naver.com/articles/2648994826", "매물Link")</f>
        <v/>
      </c>
      <c r="M535" s="6">
        <f>HYPERLINK("https://map.naver.com/p/search/반곡동 901", "지도Link")</f>
        <v/>
      </c>
      <c r="N535" s="6">
        <f>HYPERLINK("http://www.eum.go.kr/web/ar/lu/luLandDet.jsp?pnu=3611010100109010000&amp;isNoScr=script&amp;mode=search",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289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901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88000</v>
      </c>
      <c r="G536" s="4" t="n">
        <v>289</v>
      </c>
      <c r="H536" s="4" t="n">
        <v>87</v>
      </c>
      <c r="I536" s="5" t="n">
        <v>1011.5</v>
      </c>
      <c r="J536" s="5" t="n">
        <v>262.6</v>
      </c>
      <c r="K536" s="3" t="inlineStr">
        <is>
          <t>지대높고 옆조망 뒷조망 잘나오는곳 초등학교 인접 BRT 인접</t>
        </is>
      </c>
      <c r="L536" s="6">
        <f>HYPERLINK("https://fin.land.naver.com/articles/2648716234", "매물Link")</f>
        <v/>
      </c>
      <c r="M536" s="6">
        <f>HYPERLINK("https://map.naver.com/p/search/반곡동 901", "지도Link")</f>
        <v/>
      </c>
      <c r="N536" s="6">
        <f>HYPERLINK("http://www.eum.go.kr/web/ar/lu/luLandDet.jsp?pnu=3611010100109010000&amp;isNoScr=script&amp;mode=search",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289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908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321</v>
      </c>
      <c r="H537" s="4" t="n">
        <v>97</v>
      </c>
      <c r="I537" s="5" t="n">
        <v>824.7</v>
      </c>
      <c r="J537" s="5" t="n">
        <v>270.5</v>
      </c>
      <c r="K537" s="3" t="inlineStr">
        <is>
          <t>3면코너 시유지접함 위치최상</t>
        </is>
      </c>
      <c r="L537" s="6">
        <f>HYPERLINK("https://fin.land.naver.com/articles/2649625832", "매물Link")</f>
        <v/>
      </c>
      <c r="M537" s="6">
        <f>HYPERLINK("https://map.naver.com/p/search/반곡동 908", "지도Link")</f>
        <v/>
      </c>
      <c r="N537" s="6">
        <f>HYPERLINK("http://www.eum.go.kr/web/ar/lu/luLandDet.jsp?pnu=3611010100109080000&amp;isNoScr=script&amp;mode=search",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908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321</v>
      </c>
      <c r="H538" s="4" t="n">
        <v>97</v>
      </c>
      <c r="I538" s="5" t="n">
        <v>824.7</v>
      </c>
      <c r="J538" s="5" t="n">
        <v>270.5</v>
      </c>
      <c r="K538" s="3" t="inlineStr">
        <is>
          <t>사거리 코너입지, 시유지 접한 위치 좋은 토지</t>
        </is>
      </c>
      <c r="L538" s="6">
        <f>HYPERLINK("https://fin.land.naver.com/articles/2648970718", "매물Link")</f>
        <v/>
      </c>
      <c r="M538" s="6">
        <f>HYPERLINK("https://map.naver.com/p/search/반곡동 908", "지도Link")</f>
        <v/>
      </c>
      <c r="N538" s="6">
        <f>HYPERLINK("http://www.eum.go.kr/web/ar/lu/luLandDet.jsp?pnu=3611010100109080000&amp;isNoScr=script&amp;mode=search",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321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913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64000</v>
      </c>
      <c r="G539" s="4" t="n">
        <v>294</v>
      </c>
      <c r="H539" s="4" t="n">
        <v>89</v>
      </c>
      <c r="I539" s="5" t="n">
        <v>719.1</v>
      </c>
      <c r="J539" s="5" t="n">
        <v>262.6</v>
      </c>
      <c r="K539" s="3" t="inlineStr">
        <is>
          <t>괴화산과 공지 품은 힐링되는 귀한 반곡동 단독주택 필지</t>
        </is>
      </c>
      <c r="L539" s="6">
        <f>HYPERLINK("https://fin.land.naver.com/articles/2650850082", "매물Link")</f>
        <v/>
      </c>
      <c r="M539" s="6">
        <f>HYPERLINK("https://map.naver.com/p/search/반곡동 913", "지도Link")</f>
        <v/>
      </c>
      <c r="N539" s="6">
        <f>HYPERLINK("http://www.eum.go.kr/web/ar/lu/luLandDet.jsp?pnu=3611010100109130000&amp;isNoScr=script&amp;mode=search", "토지이음")</f>
        <v/>
      </c>
      <c r="O539" s="3" t="inlineStr">
        <is>
          <t>세종신한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915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295</v>
      </c>
      <c r="H540" s="4" t="n">
        <v>89</v>
      </c>
      <c r="I540" s="5" t="n">
        <v>730.3</v>
      </c>
      <c r="J540" s="5" t="n">
        <v>262.6</v>
      </c>
      <c r="K540" s="3" t="inlineStr">
        <is>
          <t>산접한곳 숲유치원 초등학교 인근</t>
        </is>
      </c>
      <c r="L540" s="6">
        <f>HYPERLINK("https://fin.land.naver.com/articles/2649626129", "매물Link")</f>
        <v/>
      </c>
      <c r="M540" s="6">
        <f>HYPERLINK("https://map.naver.com/p/search/반곡동 915", "지도Link")</f>
        <v/>
      </c>
      <c r="N540" s="6">
        <f>HYPERLINK("http://www.eum.go.kr/web/ar/lu/luLandDet.jsp?pnu=3611010100109150000&amp;isNoScr=script&amp;mode=search",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295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915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295</v>
      </c>
      <c r="H541" s="4" t="n">
        <v>89</v>
      </c>
      <c r="I541" s="5" t="n">
        <v>730.3</v>
      </c>
      <c r="J541" s="5" t="n">
        <v>262.6</v>
      </c>
      <c r="K541" s="3" t="inlineStr">
        <is>
          <t>유치원. 초등학교 인근, 조용한 입지 토지</t>
        </is>
      </c>
      <c r="L541" s="6">
        <f>HYPERLINK("https://fin.land.naver.com/articles/2649002989", "매물Link")</f>
        <v/>
      </c>
      <c r="M541" s="6">
        <f>HYPERLINK("https://map.naver.com/p/search/반곡동 915", "지도Link")</f>
        <v/>
      </c>
      <c r="N541" s="6">
        <f>HYPERLINK("http://www.eum.go.kr/web/ar/lu/luLandDet.jsp?pnu=3611010100109150000&amp;isNoScr=script&amp;mode=search",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295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932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97000</v>
      </c>
      <c r="G542" s="4" t="n">
        <v>321</v>
      </c>
      <c r="H542" s="4" t="n">
        <v>97</v>
      </c>
      <c r="I542" s="5" t="n">
        <v>1000</v>
      </c>
      <c r="J542" s="5" t="n">
        <v>262.3</v>
      </c>
      <c r="K542" s="3" t="inlineStr">
        <is>
          <t>시유지접한 코너각지 조용한위치 조율가능</t>
        </is>
      </c>
      <c r="L542" s="6">
        <f>HYPERLINK("https://fin.land.naver.com/articles/2651085953", "매물Link")</f>
        <v/>
      </c>
      <c r="M542" s="6">
        <f>HYPERLINK("https://map.naver.com/p/search/반곡동 932", "지도Link")</f>
        <v/>
      </c>
      <c r="N542" s="6">
        <f>HYPERLINK("http://www.eum.go.kr/web/ar/lu/luLandDet.jsp?pnu=3611010100109320000&amp;isNoScr=script&amp;mode=search",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321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73000</v>
      </c>
      <c r="G543" s="4" t="n">
        <v>350</v>
      </c>
      <c r="H543" s="4" t="n">
        <v>106</v>
      </c>
      <c r="I543" s="5" t="n">
        <v>688.7</v>
      </c>
      <c r="J543" s="5" t="n">
        <v>262.3</v>
      </c>
      <c r="K543" s="3" t="inlineStr">
        <is>
          <t>실개천옆 벙커주차장 설계가능 적극조율 협의가능</t>
        </is>
      </c>
      <c r="L543" s="6">
        <f>HYPERLINK("https://fin.land.naver.com/articles/2649625471", "매물Link")</f>
        <v/>
      </c>
      <c r="M543" s="6">
        <f>HYPERLINK("https://map.naver.com/p/search/반곡동 943", "지도Link")</f>
        <v/>
      </c>
      <c r="N543" s="6">
        <f>HYPERLINK("http://www.eum.go.kr/web/ar/lu/luLandDet.jsp?pnu=3611010100109430000&amp;isNoScr=script&amp;mode=search",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350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943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73000</v>
      </c>
      <c r="G544" s="4" t="n">
        <v>350</v>
      </c>
      <c r="H544" s="4" t="n">
        <v>106</v>
      </c>
      <c r="I544" s="5" t="n">
        <v>688.7</v>
      </c>
      <c r="J544" s="5" t="n">
        <v>262.3</v>
      </c>
      <c r="K544" s="3" t="inlineStr">
        <is>
          <t>조율가능, 벙커주차장가능, 반곡동 토지매매</t>
        </is>
      </c>
      <c r="L544" s="6">
        <f>HYPERLINK("https://fin.land.naver.com/articles/2648987702", "매물Link")</f>
        <v/>
      </c>
      <c r="M544" s="6">
        <f>HYPERLINK("https://map.naver.com/p/search/반곡동 943", "지도Link")</f>
        <v/>
      </c>
      <c r="N544" s="6">
        <f>HYPERLINK("http://www.eum.go.kr/web/ar/lu/luLandDet.jsp?pnu=3611010100109430000&amp;isNoScr=script&amp;mode=search",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350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947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83000</v>
      </c>
      <c r="G545" s="4" t="n">
        <v>343</v>
      </c>
      <c r="H545" s="4" t="n">
        <v>104</v>
      </c>
      <c r="I545" s="5" t="n">
        <v>798.1</v>
      </c>
      <c r="J545" s="5" t="n">
        <v>262.3</v>
      </c>
      <c r="K545" s="3" t="inlineStr">
        <is>
          <t>조율가능 산조망 조용한곳 땅모양 네모반듯</t>
        </is>
      </c>
      <c r="L545" s="6">
        <f>HYPERLINK("https://fin.land.naver.com/articles/2650653583", "매물Link")</f>
        <v/>
      </c>
      <c r="M545" s="6">
        <f>HYPERLINK("https://map.naver.com/p/search/반곡동 947", "지도Link")</f>
        <v/>
      </c>
      <c r="N545" s="6">
        <f>HYPERLINK("http://www.eum.go.kr/web/ar/lu/luLandDet.jsp?pnu=3611010100109470000&amp;isNoScr=script&amp;mode=search",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343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959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88000</v>
      </c>
      <c r="G546" s="4" t="n">
        <v>361</v>
      </c>
      <c r="H546" s="4" t="n">
        <v>109</v>
      </c>
      <c r="I546" s="5" t="n">
        <v>807.3</v>
      </c>
      <c r="J546" s="5" t="n">
        <v>262.3</v>
      </c>
      <c r="K546" s="3" t="inlineStr">
        <is>
          <t>추가조율가능 벙커주차장가능 지대높고 개인사생활최상</t>
        </is>
      </c>
      <c r="L546" s="6">
        <f>HYPERLINK("https://fin.land.naver.com/articles/2651086630", "매물Link")</f>
        <v/>
      </c>
      <c r="M546" s="6">
        <f>HYPERLINK("https://map.naver.com/p/search/반곡동 959", "지도Link")</f>
        <v/>
      </c>
      <c r="N546" s="6">
        <f>HYPERLINK("http://www.eum.go.kr/web/ar/lu/luLandDet.jsp?pnu=3611010100109590000&amp;isNoScr=script&amp;mode=search",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361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962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308</v>
      </c>
      <c r="H547" s="4" t="n">
        <v>93</v>
      </c>
      <c r="I547" s="5" t="n">
        <v>698.9</v>
      </c>
      <c r="J547" s="5" t="n">
        <v>262.3</v>
      </c>
      <c r="K547" s="3" t="inlineStr">
        <is>
          <t>산접한곳 벙커주차장가능 남향보행로접 조율가능</t>
        </is>
      </c>
      <c r="L547" s="6">
        <f>HYPERLINK("https://fin.land.naver.com/articles/2648979040", "매물Link")</f>
        <v/>
      </c>
      <c r="M547" s="6">
        <f>HYPERLINK("https://map.naver.com/p/search/반곡동 962", "지도Link")</f>
        <v/>
      </c>
      <c r="N547" s="6">
        <f>HYPERLINK("http://www.eum.go.kr/web/ar/lu/luLandDet.jsp?pnu=3611010100109620000&amp;isNoScr=script&amp;mode=search",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308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963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90000</v>
      </c>
      <c r="G548" s="4" t="n">
        <v>423</v>
      </c>
      <c r="H548" s="4" t="n">
        <v>128</v>
      </c>
      <c r="I548" s="5" t="n">
        <v>703.1</v>
      </c>
      <c r="J548" s="5" t="n">
        <v>262.3</v>
      </c>
      <c r="K548" s="3" t="inlineStr">
        <is>
          <t>I 신한 I  국회 집무실 인근  BRT 상권 학교 모두 품은 귀한 택지</t>
        </is>
      </c>
      <c r="L548" s="6">
        <f>HYPERLINK("https://fin.land.naver.com/articles/2650547909", "매물Link")</f>
        <v/>
      </c>
      <c r="M548" s="6">
        <f>HYPERLINK("https://map.naver.com/p/search/반곡동 963", "지도Link")</f>
        <v/>
      </c>
      <c r="N548" s="6">
        <f>HYPERLINK("http://www.eum.go.kr/web/ar/lu/luLandDet.jsp?pnu=3611010100109630000&amp;isNoScr=script&amp;mode=search", "토지이음")</f>
        <v/>
      </c>
      <c r="O548" s="3" t="inlineStr">
        <is>
          <t>세종신한</t>
        </is>
      </c>
      <c r="P548" s="4" t="n">
        <v>1</v>
      </c>
      <c r="Q548" s="4" t="n">
        <v>423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963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90000</v>
      </c>
      <c r="G549" s="4" t="n">
        <v>423</v>
      </c>
      <c r="H549" s="4" t="n">
        <v>128</v>
      </c>
      <c r="I549" s="5" t="n">
        <v>703.1</v>
      </c>
      <c r="J549" s="5" t="n">
        <v>262.3</v>
      </c>
      <c r="K549" s="3" t="inlineStr">
        <is>
          <t>넓은평수,넓은지하주차장가능,고급 단독주택지,조율가</t>
        </is>
      </c>
      <c r="L549" s="6">
        <f>HYPERLINK("https://fin.land.naver.com/articles/2650422992", "매물Link")</f>
        <v/>
      </c>
      <c r="M549" s="6">
        <f>HYPERLINK("https://map.naver.com/p/search/반곡동 963", "지도Link")</f>
        <v/>
      </c>
      <c r="N549" s="6">
        <f>HYPERLINK("http://www.eum.go.kr/web/ar/lu/luLandDet.jsp?pnu=3611010100109630000&amp;isNoScr=script&amp;mode=search", "토지이음")</f>
        <v/>
      </c>
      <c r="O549" s="3" t="inlineStr">
        <is>
          <t>세종시티</t>
        </is>
      </c>
      <c r="P549" s="4" t="n">
        <v>1</v>
      </c>
      <c r="Q549" s="4" t="n">
        <v>423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979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324</v>
      </c>
      <c r="H550" s="4" t="n">
        <v>98</v>
      </c>
      <c r="I550" s="5" t="n">
        <v>693.9</v>
      </c>
      <c r="J550" s="5" t="n">
        <v>262.3</v>
      </c>
      <c r="K550" s="3" t="inlineStr">
        <is>
          <t>급매 3면코너 최고위치 조율협의가능</t>
        </is>
      </c>
      <c r="L550" s="6">
        <f>HYPERLINK("https://fin.land.naver.com/articles/2649625260", "매물Link")</f>
        <v/>
      </c>
      <c r="M550" s="6">
        <f>HYPERLINK("https://map.naver.com/p/search/반곡동 979", "지도Link")</f>
        <v/>
      </c>
      <c r="N550" s="6">
        <f>HYPERLINK("http://www.eum.go.kr/web/ar/lu/luLandDet.jsp?pnu=3611010100109790000&amp;isNoScr=script&amp;mode=search",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979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324</v>
      </c>
      <c r="H551" s="4" t="n">
        <v>98</v>
      </c>
      <c r="I551" s="5" t="n">
        <v>693.9</v>
      </c>
      <c r="J551" s="5" t="n">
        <v>262.3</v>
      </c>
      <c r="K551" s="3" t="inlineStr">
        <is>
          <t>반곡동 위치 좋은 단독주택, 코너입지</t>
        </is>
      </c>
      <c r="L551" s="6">
        <f>HYPERLINK("https://fin.land.naver.com/articles/2648962092", "매물Link")</f>
        <v/>
      </c>
      <c r="M551" s="6">
        <f>HYPERLINK("https://map.naver.com/p/search/반곡동 979", "지도Link")</f>
        <v/>
      </c>
      <c r="N551" s="6">
        <f>HYPERLINK("http://www.eum.go.kr/web/ar/lu/luLandDet.jsp?pnu=3611010100109790000&amp;isNoScr=script&amp;mode=search",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324.4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995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50000</v>
      </c>
      <c r="G552" s="4" t="n">
        <v>168</v>
      </c>
      <c r="H552" s="4" t="n">
        <v>51</v>
      </c>
      <c r="I552" s="5" t="n">
        <v>980.4</v>
      </c>
      <c r="J552" s="5" t="n">
        <v>265</v>
      </c>
      <c r="K552" s="3" t="inlineStr">
        <is>
          <t>나대지,  전용주거지역, 조용하고 깨끗한 도시</t>
        </is>
      </c>
      <c r="L552" s="6">
        <f>HYPERLINK("https://fin.land.naver.com/articles/2650584726", "매물Link")</f>
        <v/>
      </c>
      <c r="M552" s="6">
        <f>HYPERLINK("https://map.naver.com/p/search/반곡동 995", "지도Link")</f>
        <v/>
      </c>
      <c r="N552" s="6">
        <f>HYPERLINK("http://www.eum.go.kr/web/ar/lu/luLandDet.jsp?pnu=3611010100109950000&amp;isNoScr=script&amp;mode=search", "토지이음")</f>
        <v/>
      </c>
      <c r="O552" s="3" t="inlineStr">
        <is>
          <t>상계랜드 무소</t>
        </is>
      </c>
      <c r="P552" s="4" t="n">
        <v>1</v>
      </c>
      <c r="Q552" s="4" t="n">
        <v>168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세로장방</t>
        </is>
      </c>
      <c r="V552" s="3" t="inlineStr">
        <is>
          <t>소로한면</t>
        </is>
      </c>
    </row>
    <row r="553">
      <c r="A553" s="3" t="inlineStr">
        <is>
          <t>부강면 갈산리 231-5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대</t>
        </is>
      </c>
      <c r="E553" s="3" t="inlineStr">
        <is>
          <t>매매</t>
        </is>
      </c>
      <c r="F553" s="4" t="n">
        <v>29000</v>
      </c>
      <c r="G553" s="4" t="n">
        <v>563</v>
      </c>
      <c r="H553" s="4" t="n">
        <v>170</v>
      </c>
      <c r="I553" s="5" t="n">
        <v>170.6</v>
      </c>
      <c r="J553" s="5" t="n">
        <v>38.9</v>
      </c>
      <c r="K553" s="3" t="inlineStr">
        <is>
          <t>2필지합, 하우스, 농막 적지, 계획관리지역, 토지매매</t>
        </is>
      </c>
      <c r="L553" s="6">
        <f>HYPERLINK("https://fin.land.naver.com/articles/2646790714", "매물Link")</f>
        <v/>
      </c>
      <c r="M553" s="6">
        <f>HYPERLINK("https://map.naver.com/p/search/부강면 갈산리 231-5", "지도Link")</f>
        <v/>
      </c>
      <c r="N553" s="6">
        <f>HYPERLINK("http://www.eum.go.kr/web/ar/lu/luLandDet.jsp?pnu=3611033024102310005&amp;isNoScr=script&amp;mode=search", "토지이음")</f>
        <v/>
      </c>
      <c r="O553" s="3" t="inlineStr">
        <is>
          <t>성공</t>
        </is>
      </c>
      <c r="P553" s="4" t="n">
        <v>1</v>
      </c>
      <c r="Q553" s="4" t="n">
        <v>357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260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57000</v>
      </c>
      <c r="G554" s="4" t="n">
        <v>1190</v>
      </c>
      <c r="H554" s="4" t="n">
        <v>360</v>
      </c>
      <c r="I554" s="5" t="n">
        <v>158.3</v>
      </c>
      <c r="J554" s="5" t="n">
        <v>32.6</v>
      </c>
      <c r="K554" s="3" t="inlineStr">
        <is>
          <t>nan</t>
        </is>
      </c>
      <c r="L554" s="6">
        <f>HYPERLINK("https://fin.land.naver.com/articles/2650523953", "매물Link")</f>
        <v/>
      </c>
      <c r="M554" s="6">
        <f>HYPERLINK("https://map.naver.com/p/search/부강면 갈산리 260", "지도Link")</f>
        <v/>
      </c>
      <c r="N554" s="6">
        <f>HYPERLINK("http://www.eum.go.kr/web/ar/lu/luLandDet.jsp?pnu=3611033024102600000&amp;isNoScr=script&amp;mode=search", "토지이음")</f>
        <v/>
      </c>
      <c r="O554" s="3" t="inlineStr">
        <is>
          <t>스카이</t>
        </is>
      </c>
      <c r="P554" s="4" t="n">
        <v>1</v>
      </c>
      <c r="Q554" s="4" t="n">
        <v>1190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부강면 갈산리 395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13872</v>
      </c>
      <c r="H555" s="4" t="n">
        <v>4196</v>
      </c>
      <c r="I555" s="5" t="n">
        <v>150.1</v>
      </c>
      <c r="J555" s="5" t="n">
        <v>79.40000000000001</v>
      </c>
      <c r="K555" s="3" t="inlineStr">
        <is>
          <t>4200 남청주ic 5분 공장용지 물류센터 창고</t>
        </is>
      </c>
      <c r="L555" s="6">
        <f>HYPERLINK("https://fin.land.naver.com/articles/2650949462", "매물Link")</f>
        <v/>
      </c>
      <c r="M555" s="6">
        <f>HYPERLINK("https://map.naver.com/p/search/부강면 갈산리 395", "지도Link")</f>
        <v/>
      </c>
      <c r="N555" s="6">
        <f>HYPERLINK("http://www.eum.go.kr/web/ar/lu/luLandDet.jsp?pnu=3611033024103950000&amp;isNoScr=script&amp;mode=search", "토지이음")</f>
        <v/>
      </c>
      <c r="O555" s="3" t="inlineStr">
        <is>
          <t>반포더드림</t>
        </is>
      </c>
      <c r="P555" s="4" t="n">
        <v>1</v>
      </c>
      <c r="Q555" s="4" t="n">
        <v>1283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395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630000</v>
      </c>
      <c r="G556" s="4" t="n">
        <v>13872</v>
      </c>
      <c r="H556" s="4" t="n">
        <v>4196</v>
      </c>
      <c r="I556" s="5" t="n">
        <v>150.1</v>
      </c>
      <c r="J556" s="5" t="n">
        <v>79.40000000000001</v>
      </c>
      <c r="K556" s="3" t="inlineStr">
        <is>
          <t>남청주 ic 5분, 2차선에서 진입가능한 공장부지</t>
        </is>
      </c>
      <c r="L556" s="6">
        <f>HYPERLINK("https://fin.land.naver.com/articles/2649865459", "매물Link")</f>
        <v/>
      </c>
      <c r="M556" s="6">
        <f>HYPERLINK("https://map.naver.com/p/search/부강면 갈산리 395", "지도Link")</f>
        <v/>
      </c>
      <c r="N556" s="6">
        <f>HYPERLINK("http://www.eum.go.kr/web/ar/lu/luLandDet.jsp?pnu=3611033024103950000&amp;isNoScr=script&amp;mode=search", "토지이음")</f>
        <v/>
      </c>
      <c r="O556" s="3" t="inlineStr">
        <is>
          <t>토담</t>
        </is>
      </c>
      <c r="P556" s="4" t="n">
        <v>1</v>
      </c>
      <c r="Q556" s="4" t="n">
        <v>1283</v>
      </c>
      <c r="R556" s="3" t="inlineStr">
        <is>
          <t>지정되지않음</t>
        </is>
      </c>
      <c r="S556" s="3" t="inlineStr">
        <is>
          <t>공업용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부강면 갈산리 398-4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630000</v>
      </c>
      <c r="G557" s="4" t="n">
        <v>13896</v>
      </c>
      <c r="H557" s="4" t="n">
        <v>4204</v>
      </c>
      <c r="I557" s="5" t="n">
        <v>149.9</v>
      </c>
      <c r="J557" s="5" t="n">
        <v>80.3</v>
      </c>
      <c r="K557" s="3" t="inlineStr">
        <is>
          <t>nan</t>
        </is>
      </c>
      <c r="L557" s="6">
        <f>HYPERLINK("https://fin.land.naver.com/articles/2646264083", "매물Link")</f>
        <v/>
      </c>
      <c r="M557" s="6">
        <f>HYPERLINK("https://map.naver.com/p/search/부강면 갈산리 398-4", "지도Link")</f>
        <v/>
      </c>
      <c r="N557" s="6">
        <f>HYPERLINK("http://www.eum.go.kr/web/ar/lu/luLandDet.jsp?pnu=3611033024103980004&amp;isNoScr=script&amp;mode=search", "토지이음")</f>
        <v/>
      </c>
      <c r="O557" s="3" t="inlineStr">
        <is>
          <t>오너스</t>
        </is>
      </c>
      <c r="P557" s="4" t="n">
        <v>1</v>
      </c>
      <c r="Q557" s="4" t="n">
        <v>7677</v>
      </c>
      <c r="R557" s="3" t="inlineStr">
        <is>
          <t>지정되지않음</t>
        </is>
      </c>
      <c r="S557" s="3" t="inlineStr">
        <is>
          <t>공업용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부강면 갈산리 451-2</t>
        </is>
      </c>
      <c r="B558" s="3" t="inlineStr">
        <is>
          <t>농림지역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98200</v>
      </c>
      <c r="G558" s="4" t="n">
        <v>3246</v>
      </c>
      <c r="H558" s="4" t="n">
        <v>982</v>
      </c>
      <c r="I558" s="5" t="n">
        <v>100</v>
      </c>
      <c r="J558" s="5" t="n">
        <v>23.1</v>
      </c>
      <c r="K558" s="3" t="inlineStr">
        <is>
          <t>세종시 부강의 농업보호구역 농지 매매</t>
        </is>
      </c>
      <c r="L558" s="6">
        <f>HYPERLINK("https://fin.land.naver.com/articles/2648835409", "매물Link")</f>
        <v/>
      </c>
      <c r="M558" s="6">
        <f>HYPERLINK("https://map.naver.com/p/search/부강면 갈산리 451-2", "지도Link")</f>
        <v/>
      </c>
      <c r="N558" s="6">
        <f>HYPERLINK("http://www.eum.go.kr/web/ar/lu/luLandDet.jsp?pnu=3611033024104510002&amp;isNoScr=script&amp;mode=search", "토지이음")</f>
        <v/>
      </c>
      <c r="O558" s="3" t="inlineStr">
        <is>
          <t>대하</t>
        </is>
      </c>
      <c r="P558" s="4" t="n">
        <v>1</v>
      </c>
      <c r="Q558" s="4" t="n">
        <v>2194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66-6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59500</v>
      </c>
      <c r="G559" s="4" t="n">
        <v>1964</v>
      </c>
      <c r="H559" s="4" t="n">
        <v>594</v>
      </c>
      <c r="I559" s="5" t="n">
        <v>100.2</v>
      </c>
      <c r="J559" s="5" t="n">
        <v>43.6</v>
      </c>
      <c r="K559" s="3" t="inlineStr">
        <is>
          <t>급매,투자추천,도로접,계획관리.</t>
        </is>
      </c>
      <c r="L559" s="6">
        <f>HYPERLINK("https://fin.land.naver.com/articles/2650666463", "매물Link")</f>
        <v/>
      </c>
      <c r="M559" s="6">
        <f>HYPERLINK("https://map.naver.com/p/search/부강면 갈산리 66-6", "지도Link")</f>
        <v/>
      </c>
      <c r="N559" s="6">
        <f>HYPERLINK("http://www.eum.go.kr/web/ar/lu/luLandDet.jsp?pnu=3611033024100660006&amp;isNoScr=script&amp;mode=search", "토지이음")</f>
        <v/>
      </c>
      <c r="O559" s="3" t="inlineStr">
        <is>
          <t>새롬공간</t>
        </is>
      </c>
      <c r="P559" s="4" t="n">
        <v>1</v>
      </c>
      <c r="Q559" s="4" t="n">
        <v>1964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부강면 갈산리 산18-1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1450000</v>
      </c>
      <c r="G560" s="4" t="n">
        <v>86930</v>
      </c>
      <c r="H560" s="4" t="n">
        <v>26296</v>
      </c>
      <c r="I560" s="5" t="n">
        <v>55.1</v>
      </c>
      <c r="J560" s="5" t="n">
        <v>7.6</v>
      </c>
      <c r="K560" s="3" t="inlineStr">
        <is>
          <t>6m도로 확보, 갈산교차로 인접, 도로변 광고효과</t>
        </is>
      </c>
      <c r="L560" s="6">
        <f>HYPERLINK("https://fin.land.naver.com/articles/2647676820", "매물Link")</f>
        <v/>
      </c>
      <c r="M560" s="6">
        <f>HYPERLINK("https://map.naver.com/p/search/부강면 갈산리 산18-1", "지도Link")</f>
        <v/>
      </c>
      <c r="N560" s="6">
        <f>HYPERLINK("http://www.eum.go.kr/web/ar/lu/luLandDet.jsp?pnu=3611033024200180001&amp;isNoScr=script&amp;mode=search", "토지이음")</f>
        <v/>
      </c>
      <c r="O560" s="3" t="inlineStr">
        <is>
          <t>황제</t>
        </is>
      </c>
      <c r="P560" s="4" t="n">
        <v>1</v>
      </c>
      <c r="Q560" s="4" t="n">
        <v>40759</v>
      </c>
      <c r="R560" s="3" t="inlineStr">
        <is>
          <t>계획관리지역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100</t>
        </is>
      </c>
      <c r="B561" s="3" t="inlineStr">
        <is>
          <t>생산관리지역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125000</v>
      </c>
      <c r="G561" s="4" t="n">
        <v>1390</v>
      </c>
      <c r="H561" s="4" t="n">
        <v>420</v>
      </c>
      <c r="I561" s="5" t="n">
        <v>297.6</v>
      </c>
      <c r="J561" s="5" t="n">
        <v>75.59999999999999</v>
      </c>
      <c r="K561" s="3" t="inlineStr">
        <is>
          <t>nan</t>
        </is>
      </c>
      <c r="L561" s="6">
        <f>HYPERLINK("https://fin.land.naver.com/articles/2649462827", "매물Link")</f>
        <v/>
      </c>
      <c r="M561" s="6">
        <f>HYPERLINK("https://map.naver.com/p/search/부강면 금호리 100", "지도Link")</f>
        <v/>
      </c>
      <c r="N561" s="6">
        <f>HYPERLINK("http://www.eum.go.kr/web/ar/lu/luLandDet.jsp?pnu=3611033028101000000&amp;isNoScr=script&amp;mode=search",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791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금호리 108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70000</v>
      </c>
      <c r="G562" s="4" t="n">
        <v>1772</v>
      </c>
      <c r="H562" s="4" t="n">
        <v>536</v>
      </c>
      <c r="I562" s="5" t="n">
        <v>130.6</v>
      </c>
      <c r="J562" s="5" t="n">
        <v>29.3</v>
      </c>
      <c r="K562" s="3" t="inlineStr">
        <is>
          <t>금강 뷰 전망 최고 둘레길 주변 전원주택 조성중</t>
        </is>
      </c>
      <c r="L562" s="6">
        <f>HYPERLINK("https://fin.land.naver.com/articles/2649144441", "매물Link")</f>
        <v/>
      </c>
      <c r="M562" s="6">
        <f>HYPERLINK("https://map.naver.com/p/search/부강면 금호리 108", "지도Link")</f>
        <v/>
      </c>
      <c r="N562" s="6">
        <f>HYPERLINK("http://www.eum.go.kr/web/ar/lu/luLandDet.jsp?pnu=3611033028101080000&amp;isNoScr=script&amp;mode=search",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1772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110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307</v>
      </c>
      <c r="H563" s="4" t="n">
        <v>93</v>
      </c>
      <c r="I563" s="5" t="n">
        <v>236.6</v>
      </c>
      <c r="J563" s="5" t="n">
        <v>29.5</v>
      </c>
      <c r="K563" s="3" t="inlineStr">
        <is>
          <t>주변토지 전원주택지 조성중 대도로 금강 인접함</t>
        </is>
      </c>
      <c r="L563" s="6">
        <f>HYPERLINK("https://fin.land.naver.com/articles/2645389837", "매물Link")</f>
        <v/>
      </c>
      <c r="M563" s="6">
        <f>HYPERLINK("https://map.naver.com/p/search/부강면 금호리 110", "지도Link")</f>
        <v/>
      </c>
      <c r="N563" s="6">
        <f>HYPERLINK("http://www.eum.go.kr/web/ar/lu/luLandDet.jsp?pnu=3611033028101100000&amp;isNoScr=script&amp;mode=search", "토지이음")</f>
        <v/>
      </c>
      <c r="O563" s="3" t="inlineStr">
        <is>
          <t>광장(프라자)</t>
        </is>
      </c>
      <c r="P563" s="4" t="n">
        <v>1</v>
      </c>
      <c r="Q563" s="4" t="n">
        <v>307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155-5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82000</v>
      </c>
      <c r="G564" s="4" t="n">
        <v>1000</v>
      </c>
      <c r="H564" s="4" t="n">
        <v>302</v>
      </c>
      <c r="I564" s="5" t="n">
        <v>271.5</v>
      </c>
      <c r="J564" s="5" t="n">
        <v>43.3</v>
      </c>
      <c r="K564" s="3" t="inlineStr">
        <is>
          <t>추천. 금호리 금강줄기 인접 근생토지</t>
        </is>
      </c>
      <c r="L564" s="6">
        <f>HYPERLINK("https://fin.land.naver.com/articles/2645465799", "매물Link")</f>
        <v/>
      </c>
      <c r="M564" s="6">
        <f>HYPERLINK("https://map.naver.com/p/search/부강면 금호리 155-5", "지도Link")</f>
        <v/>
      </c>
      <c r="N564" s="6">
        <f>HYPERLINK("http://www.eum.go.kr/web/ar/lu/luLandDet.jsp?pnu=3611033028101550005&amp;isNoScr=script&amp;mode=search", "토지이음")</f>
        <v/>
      </c>
      <c r="O564" s="3" t="inlineStr">
        <is>
          <t>강아지풀</t>
        </is>
      </c>
      <c r="P564" s="4" t="n">
        <v>1</v>
      </c>
      <c r="Q564" s="4" t="n">
        <v>654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85000</v>
      </c>
      <c r="G565" s="4" t="n">
        <v>1100</v>
      </c>
      <c r="H565" s="4" t="n">
        <v>333</v>
      </c>
      <c r="I565" s="5" t="n">
        <v>255.3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165-1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55000</v>
      </c>
      <c r="G566" s="4" t="n">
        <v>1038</v>
      </c>
      <c r="H566" s="4" t="n">
        <v>314</v>
      </c>
      <c r="I566" s="5" t="n">
        <v>175.2</v>
      </c>
      <c r="J566" s="5" t="n">
        <v>78.7</v>
      </c>
      <c r="K566" s="3" t="inlineStr">
        <is>
          <t>급매, 단독주택 포함 매매, 총 314p</t>
        </is>
      </c>
      <c r="L566" s="6">
        <f>HYPERLINK("https://fin.land.naver.com/articles/2645569244", "매물Link")</f>
        <v/>
      </c>
      <c r="M566" s="6">
        <f>HYPERLINK("https://map.naver.com/p/search/부강면 금호리 165-1", "지도Link")</f>
        <v/>
      </c>
      <c r="N566" s="6">
        <f>HYPERLINK("http://www.eum.go.kr/web/ar/lu/luLandDet.jsp?pnu=3611033028101650001&amp;isNoScr=script&amp;mode=search",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359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HYPERLINK("https://fin.land.naver.com/articles/2651044105",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HYPERLINK("https://fin.land.naver.com/articles/2648834433",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60000</v>
      </c>
      <c r="G580" s="4" t="n">
        <v>529</v>
      </c>
      <c r="H580" s="4" t="n">
        <v>160</v>
      </c>
      <c r="I580" s="5" t="n">
        <v>375</v>
      </c>
      <c r="J580" s="5" t="n">
        <v>53.4</v>
      </c>
      <c r="K580" s="3" t="inlineStr">
        <is>
          <t>부강면 계획관리 토지. 남청주IC 10분중반소요.옆 토지와 같이매매가능</t>
        </is>
      </c>
      <c r="L580" s="6">
        <f>HYPERLINK("https://fin.land.naver.com/articles/2647166173",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구암양지</t>
        </is>
      </c>
      <c r="P580" s="4" t="n">
        <v>2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112000</v>
      </c>
      <c r="G581" s="4" t="n">
        <v>1058</v>
      </c>
      <c r="H581" s="4" t="n">
        <v>320</v>
      </c>
      <c r="I581" s="5" t="n">
        <v>350</v>
      </c>
      <c r="J581" s="5" t="n">
        <v>53.4</v>
      </c>
      <c r="K581" s="3" t="inlineStr">
        <is>
          <t>정남향 도로접한 계획관리.성장관리지역 알토란 토지,가격조정가능</t>
        </is>
      </c>
      <c r="L581" s="6">
        <f>HYPERLINK("https://fin.land.naver.com/articles/2649493705",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62000</v>
      </c>
      <c r="G584" s="4" t="n">
        <v>1649</v>
      </c>
      <c r="H584" s="4" t="n">
        <v>499</v>
      </c>
      <c r="I584" s="5" t="n">
        <v>124.2</v>
      </c>
      <c r="J584" s="5" t="n">
        <v>50.7</v>
      </c>
      <c r="K584" s="3" t="inlineStr">
        <is>
          <t>금강변 부강금호로 인접, 약2km거리 철도 매포역과 부강생활체육공원 있음</t>
        </is>
      </c>
      <c r="L584" s="6">
        <f>HYPERLINK("https://fin.land.naver.com/articles/2650433611", "매물Link")</f>
        <v/>
      </c>
      <c r="M584" s="6">
        <f>HYPERLINK("https://map.naver.com/p/search/부강면 금호리 442", "지도Link")</f>
        <v/>
      </c>
      <c r="N584" s="6">
        <f>HYPERLINK("http://www.eum.go.kr/web/ar/lu/luLandDet.jsp?pnu=3611033028104420000&amp;isNoScr=script&amp;mode=search", "토지이음")</f>
        <v/>
      </c>
      <c r="O584" s="3" t="inlineStr">
        <is>
          <t>월평랜드</t>
        </is>
      </c>
      <c r="P584" s="4" t="n">
        <v>1</v>
      </c>
      <c r="Q584" s="4" t="n">
        <v>1649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447-1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25000</v>
      </c>
      <c r="G585" s="4" t="n">
        <v>423</v>
      </c>
      <c r="H585" s="4" t="n">
        <v>128</v>
      </c>
      <c r="I585" s="5" t="n">
        <v>195.3</v>
      </c>
      <c r="J585" s="5" t="n">
        <v>79.09999999999999</v>
      </c>
      <c r="K585" s="3" t="inlineStr">
        <is>
          <t>부강면 금호리 자연취락지구 계획관리 대지</t>
        </is>
      </c>
      <c r="L585" s="6">
        <f>HYPERLINK("https://fin.land.naver.com/articles/2649283317", "매물Link")</f>
        <v/>
      </c>
      <c r="M585" s="6">
        <f>HYPERLINK("https://map.naver.com/p/search/부강면 금호리 447-1", "지도Link")</f>
        <v/>
      </c>
      <c r="N585" s="6">
        <f>HYPERLINK("http://www.eum.go.kr/web/ar/lu/luLandDet.jsp?pnu=3611033028104470001&amp;isNoScr=script&amp;mode=search", "토지이음")</f>
        <v/>
      </c>
      <c r="O585" s="3" t="inlineStr">
        <is>
          <t>스카이</t>
        </is>
      </c>
      <c r="P585" s="4" t="n">
        <v>1</v>
      </c>
      <c r="Q585" s="4" t="n">
        <v>523.4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613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679</v>
      </c>
      <c r="H586" s="4" t="n">
        <v>205</v>
      </c>
      <c r="I586" s="5" t="n">
        <v>243.9</v>
      </c>
      <c r="J586" s="5" t="n">
        <v>88</v>
      </c>
      <c r="K586" s="3" t="inlineStr">
        <is>
          <t>주택, 텃밭, 카페 추천</t>
        </is>
      </c>
      <c r="L586" s="6">
        <f>HYPERLINK("https://fin.land.naver.com/articles/2647424368", "매물Link")</f>
        <v/>
      </c>
      <c r="M586" s="6">
        <f>HYPERLINK("https://map.naver.com/p/search/부강면 금호리 613", "지도Link")</f>
        <v/>
      </c>
      <c r="N586" s="6">
        <f>HYPERLINK("http://www.eum.go.kr/web/ar/lu/luLandDet.jsp?pnu=3611033028106130000&amp;isNoScr=script&amp;mode=search", "토지이음")</f>
        <v/>
      </c>
      <c r="O586" s="3" t="inlineStr">
        <is>
          <t>황제</t>
        </is>
      </c>
      <c r="P586" s="4" t="n">
        <v>1</v>
      </c>
      <c r="Q586" s="4" t="n">
        <v>679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614-1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180000</v>
      </c>
      <c r="G587" s="4" t="n">
        <v>7235</v>
      </c>
      <c r="H587" s="4" t="n">
        <v>2189</v>
      </c>
      <c r="I587" s="5" t="n">
        <v>82.2</v>
      </c>
      <c r="J587" s="5" t="n">
        <v>4.9</v>
      </c>
      <c r="K587" s="3" t="inlineStr">
        <is>
          <t>개발가능한 임야</t>
        </is>
      </c>
      <c r="L587" s="6">
        <f>HYPERLINK("https://fin.land.naver.com/articles/2647807421", "매물Link")</f>
        <v/>
      </c>
      <c r="M587" s="6">
        <f>HYPERLINK("https://map.naver.com/p/search/부강면 금호리 614-1", "지도Link")</f>
        <v/>
      </c>
      <c r="N587" s="6">
        <f>HYPERLINK("http://www.eum.go.kr/web/ar/lu/luLandDet.jsp?pnu=3611033028106140001&amp;isNoScr=script&amp;mode=search", "토지이음")</f>
        <v/>
      </c>
      <c r="O587" s="3" t="inlineStr">
        <is>
          <t>골든타임</t>
        </is>
      </c>
      <c r="P587" s="4" t="n">
        <v>1</v>
      </c>
      <c r="Q587" s="4" t="n">
        <v>6576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HYPERLINK("https://fin.land.naver.com/articles/2650695624",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HYPERLINK("https://fin.land.naver.com/articles/2650898603",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71200</v>
      </c>
      <c r="G603" s="4" t="n">
        <v>3920</v>
      </c>
      <c r="H603" s="4" t="n">
        <v>1186</v>
      </c>
      <c r="I603" s="5" t="n">
        <v>60</v>
      </c>
      <c r="J603" s="5" t="n">
        <v>25.8</v>
      </c>
      <c r="K603" s="3" t="inlineStr">
        <is>
          <t>부강 매포역에서 차량 3분 마을 인접, 전원주택, 세컨하우스 수요많음</t>
        </is>
      </c>
      <c r="L603" s="6">
        <f>HYPERLINK("https://fin.land.naver.com/articles/2649098611",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114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부강면노호리 생산관리지역 마을인접 가격조정가능</t>
        </is>
      </c>
      <c r="L604" s="6">
        <f>HYPERLINK("https://fin.land.naver.com/articles/2649144191",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고운동리치세종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452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12700</v>
      </c>
      <c r="G610" s="4" t="n">
        <v>2099</v>
      </c>
      <c r="H610" s="4" t="n">
        <v>635</v>
      </c>
      <c r="I610" s="5" t="n">
        <v>20</v>
      </c>
      <c r="J610" s="5" t="n">
        <v>10.7</v>
      </c>
      <c r="K610" s="3" t="inlineStr">
        <is>
          <t>급매도,현재밭으로 경작중,매포역가까움,밭으로 들어가는 흙길있음</t>
        </is>
      </c>
      <c r="L610" s="6">
        <f>HYPERLINK("https://fin.land.naver.com/articles/2645392625", "매물Link")</f>
        <v/>
      </c>
      <c r="M610" s="6">
        <f>HYPERLINK("https://map.naver.com/p/search/부강면 등곡리 452", "지도Link")</f>
        <v/>
      </c>
      <c r="N610" s="6">
        <f>HYPERLINK("http://www.eum.go.kr/web/ar/lu/luLandDet.jsp?pnu=3611033026104520000&amp;isNoScr=script&amp;mode=search", "토지이음")</f>
        <v/>
      </c>
      <c r="O610" s="3" t="inlineStr">
        <is>
          <t>배곧행복</t>
        </is>
      </c>
      <c r="P610" s="4" t="n">
        <v>1</v>
      </c>
      <c r="Q610" s="4" t="n">
        <v>2099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등곡리 55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19000</v>
      </c>
      <c r="G611" s="4" t="n">
        <v>1835</v>
      </c>
      <c r="H611" s="4" t="n">
        <v>555</v>
      </c>
      <c r="I611" s="5" t="n">
        <v>34.2</v>
      </c>
      <c r="J611" s="5" t="n">
        <v>18.8</v>
      </c>
      <c r="K611" s="3" t="inlineStr">
        <is>
          <t>접근성좋고 주말농장이나 전원주택 용지로도좋음.</t>
        </is>
      </c>
      <c r="L611" s="6">
        <f>HYPERLINK("https://fin.land.naver.com/articles/2650849101", "매물Link")</f>
        <v/>
      </c>
      <c r="M611" s="6">
        <f>HYPERLINK("https://map.naver.com/p/search/부강면 등곡리 55", "지도Link")</f>
        <v/>
      </c>
      <c r="N611" s="6">
        <f>HYPERLINK("http://www.eum.go.kr/web/ar/lu/luLandDet.jsp?pnu=3611033026100550000&amp;isNoScr=script&amp;mode=search", "토지이음")</f>
        <v/>
      </c>
      <c r="O611" s="3" t="inlineStr">
        <is>
          <t>오투그린1</t>
        </is>
      </c>
      <c r="P611" s="4" t="n">
        <v>1</v>
      </c>
      <c r="Q611" s="4" t="n">
        <v>1835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부강면 문곡리 1060-3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25000</v>
      </c>
      <c r="G612" s="4" t="n">
        <v>323</v>
      </c>
      <c r="H612" s="4" t="n">
        <v>98</v>
      </c>
      <c r="I612" s="5" t="n">
        <v>255.1</v>
      </c>
      <c r="J612" s="5" t="n">
        <v>92.40000000000001</v>
      </c>
      <c r="K612" s="3" t="inlineStr">
        <is>
          <t>대지 토지 매매</t>
        </is>
      </c>
      <c r="L612" s="6">
        <f>HYPERLINK("https://fin.land.naver.com/articles/2647503458", "매물Link")</f>
        <v/>
      </c>
      <c r="M612" s="6">
        <f>HYPERLINK("https://map.naver.com/p/search/부강면 문곡리 1060-3", "지도Link")</f>
        <v/>
      </c>
      <c r="N612" s="6">
        <f>HYPERLINK("http://www.eum.go.kr/web/ar/lu/luLandDet.jsp?pnu=3611033025110600003&amp;isNoScr=script&amp;mode=search", "토지이음")</f>
        <v/>
      </c>
      <c r="O612" s="3" t="inlineStr">
        <is>
          <t>주식회사넥서스</t>
        </is>
      </c>
      <c r="P612" s="4" t="n">
        <v>1</v>
      </c>
      <c r="Q612" s="4" t="n">
        <v>323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부강면 문곡리 1064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410000</v>
      </c>
      <c r="G613" s="4" t="n">
        <v>5026</v>
      </c>
      <c r="H613" s="4" t="n">
        <v>1520</v>
      </c>
      <c r="I613" s="5" t="n">
        <v>269.7</v>
      </c>
      <c r="J613" s="5" t="n">
        <v>71.2</v>
      </c>
      <c r="K613" s="3" t="inlineStr">
        <is>
          <t>남청주IC와 가까워 물류센터나 공장으로 추천,2차선에 접한계획관리지역</t>
        </is>
      </c>
      <c r="L613" s="6">
        <f>HYPERLINK("https://fin.land.naver.com/articles/2651154873", "매물Link")</f>
        <v/>
      </c>
      <c r="M613" s="6">
        <f>HYPERLINK("https://map.naver.com/p/search/부강면 문곡리 1064", "지도Link")</f>
        <v/>
      </c>
      <c r="N613" s="6">
        <f>HYPERLINK("http://www.eum.go.kr/web/ar/lu/luLandDet.jsp?pnu=3611033025110640000&amp;isNoScr=script&amp;mode=search",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4344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1064-1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70.40000000000001</v>
      </c>
      <c r="K614" s="3" t="inlineStr">
        <is>
          <t>세종과 남청주IC 도로 인근에 위치하여 진출입이 용이한 곳</t>
        </is>
      </c>
      <c r="L614" s="6">
        <f>HYPERLINK("https://fin.land.naver.com/articles/2651115525", "매물Link")</f>
        <v/>
      </c>
      <c r="M614" s="6">
        <f>HYPERLINK("https://map.naver.com/p/search/부강면 문곡리 1064-1", "지도Link")</f>
        <v/>
      </c>
      <c r="N614" s="6">
        <f>HYPERLINK("http://www.eum.go.kr/web/ar/lu/luLandDet.jsp?pnu=3611033025110640001&amp;isNoScr=script&amp;mode=search",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200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부강면 문곡리 1066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159000</v>
      </c>
      <c r="G615" s="4" t="n">
        <v>1752</v>
      </c>
      <c r="H615" s="4" t="n">
        <v>530</v>
      </c>
      <c r="I615" s="5" t="n">
        <v>300</v>
      </c>
      <c r="J615" s="5" t="n">
        <v>95.2</v>
      </c>
      <c r="K615" s="3" t="inlineStr">
        <is>
          <t>공장,창고로 추천,남청주IC 5분거리,대형차량 진출입 편리</t>
        </is>
      </c>
      <c r="L615" s="6">
        <f>HYPERLINK("https://fin.land.naver.com/articles/2647505310", "매물Link")</f>
        <v/>
      </c>
      <c r="M615" s="6">
        <f>HYPERLINK("https://map.naver.com/p/search/부강면 문곡리 1066", "지도Link")</f>
        <v/>
      </c>
      <c r="N615" s="6">
        <f>HYPERLINK("http://www.eum.go.kr/web/ar/lu/luLandDet.jsp?pnu=3611033025110660000&amp;isNoScr=script&amp;mode=search", "토지이음")</f>
        <v/>
      </c>
      <c r="O615" s="3" t="inlineStr">
        <is>
          <t>금화랜드</t>
        </is>
      </c>
      <c r="P615" s="4" t="n">
        <v>1</v>
      </c>
      <c r="Q615" s="4" t="n">
        <v>1616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부강면 문곡리 114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500000</v>
      </c>
      <c r="G616" s="4" t="n">
        <v>8992</v>
      </c>
      <c r="H616" s="4" t="n">
        <v>2720</v>
      </c>
      <c r="I616" s="5" t="n">
        <v>183.8</v>
      </c>
      <c r="J616" s="5" t="n">
        <v>55.3</v>
      </c>
      <c r="K616" s="3" t="inlineStr">
        <is>
          <t>2차선 도로와 연결로 대형차 진출입이 편리, 남청주IC인근에 위치</t>
        </is>
      </c>
      <c r="L616" s="6">
        <f>HYPERLINK("https://fin.land.naver.com/articles/2651013918", "매물Link")</f>
        <v/>
      </c>
      <c r="M616" s="6">
        <f>HYPERLINK("https://map.naver.com/p/search/부강면 문곡리 114", "지도Link")</f>
        <v/>
      </c>
      <c r="N616" s="6">
        <f>HYPERLINK("http://www.eum.go.kr/web/ar/lu/luLandDet.jsp?pnu=3611033025101140000&amp;isNoScr=script&amp;mode=search", "토지이음")</f>
        <v/>
      </c>
      <c r="O616" s="3" t="inlineStr">
        <is>
          <t>(주)미르</t>
        </is>
      </c>
      <c r="P616" s="4" t="n">
        <v>1</v>
      </c>
      <c r="Q616" s="4" t="n">
        <v>2435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240-1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130000</v>
      </c>
      <c r="G617" s="4" t="n">
        <v>1470</v>
      </c>
      <c r="H617" s="4" t="n">
        <v>445</v>
      </c>
      <c r="I617" s="5" t="n">
        <v>292.1</v>
      </c>
      <c r="J617" s="5" t="n">
        <v>46.1</v>
      </c>
      <c r="K617" s="3" t="inlineStr">
        <is>
          <t>1층단독한옥주택 준공완료,일괄매매,친환경 힐링하실분,뻥뷰</t>
        </is>
      </c>
      <c r="L617" s="6">
        <f>HYPERLINK("https://fin.land.naver.com/articles/2650882939", "매물Link")</f>
        <v/>
      </c>
      <c r="M617" s="6">
        <f>HYPERLINK("https://map.naver.com/p/search/부강면 문곡리 240-1", "지도Link")</f>
        <v/>
      </c>
      <c r="N617" s="6">
        <f>HYPERLINK("http://www.eum.go.kr/web/ar/lu/luLandDet.jsp?pnu=3611033025102400001&amp;isNoScr=script&amp;mode=search", "토지이음")</f>
        <v/>
      </c>
      <c r="O617" s="3" t="inlineStr">
        <is>
          <t>힐스테이트행복</t>
        </is>
      </c>
      <c r="P617" s="4" t="n">
        <v>1</v>
      </c>
      <c r="Q617" s="4" t="n">
        <v>1470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364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32000</v>
      </c>
      <c r="G619" s="4" t="n">
        <v>966</v>
      </c>
      <c r="H619" s="4" t="n">
        <v>292</v>
      </c>
      <c r="I619" s="5" t="n">
        <v>109.6</v>
      </c>
      <c r="J619" s="5" t="n">
        <v>36.1</v>
      </c>
      <c r="K619" s="3" t="inlineStr">
        <is>
          <t>부강면 문곡리 2차선 도로옆 토지, 세레니티cc 진입로, 건축가능</t>
        </is>
      </c>
      <c r="L619" s="6">
        <f>HYPERLINK("https://fin.land.naver.com/articles/2647851904", "매물Link")</f>
        <v/>
      </c>
      <c r="M619" s="6">
        <f>HYPERLINK("https://map.naver.com/p/search/부강면 문곡리 364", "지도Link")</f>
        <v/>
      </c>
      <c r="N619" s="6">
        <f>HYPERLINK("http://www.eum.go.kr/web/ar/lu/luLandDet.jsp?pnu=3611033025103640000&amp;isNoScr=script&amp;mode=search", "토지이음")</f>
        <v/>
      </c>
      <c r="O619" s="3" t="inlineStr">
        <is>
          <t>스카이</t>
        </is>
      </c>
      <c r="P619" s="4" t="n">
        <v>1</v>
      </c>
      <c r="Q619" s="4" t="n">
        <v>966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부강면 문곡리 370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14000</v>
      </c>
      <c r="G620" s="4" t="n">
        <v>592</v>
      </c>
      <c r="H620" s="4" t="n">
        <v>179</v>
      </c>
      <c r="I620" s="5" t="n">
        <v>78.2</v>
      </c>
      <c r="J620" s="5" t="n">
        <v>28.1</v>
      </c>
      <c r="K620" s="3" t="inlineStr">
        <is>
          <t>문곡리 대국터, 계획관리지역, 성장관리계획구역, 매매가 협의 가능</t>
        </is>
      </c>
      <c r="L620" s="6">
        <f>HYPERLINK("https://fin.land.naver.com/articles/2650784515", "매물Link")</f>
        <v/>
      </c>
      <c r="M620" s="6">
        <f>HYPERLINK("https://map.naver.com/p/search/부강면 문곡리 370", "지도Link")</f>
        <v/>
      </c>
      <c r="N620" s="6">
        <f>HYPERLINK("http://www.eum.go.kr/web/ar/lu/luLandDet.jsp?pnu=3611033025103700000&amp;isNoScr=script&amp;mode=search", "토지이음")</f>
        <v/>
      </c>
      <c r="O620" s="3" t="inlineStr">
        <is>
          <t>탑</t>
        </is>
      </c>
      <c r="P620" s="4" t="n">
        <v>1</v>
      </c>
      <c r="Q620" s="4" t="n">
        <v>592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맹지</t>
        </is>
      </c>
    </row>
    <row r="621">
      <c r="A621" s="3" t="inlineStr">
        <is>
          <t>부강면 문곡리 384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대</t>
        </is>
      </c>
      <c r="E621" s="3" t="inlineStr">
        <is>
          <t>매매</t>
        </is>
      </c>
      <c r="F621" s="4" t="n">
        <v>130000</v>
      </c>
      <c r="G621" s="4" t="n">
        <v>1656</v>
      </c>
      <c r="H621" s="4" t="n">
        <v>501</v>
      </c>
      <c r="I621" s="5" t="n">
        <v>259.5</v>
      </c>
      <c r="J621" s="5" t="n">
        <v>55.6</v>
      </c>
      <c r="K621" s="3" t="inlineStr">
        <is>
          <t>남청주IC 2분거리,대로변 접한 토지로 광고효과,대형차량 진출입 편리</t>
        </is>
      </c>
      <c r="L621" s="6">
        <f>HYPERLINK("https://fin.land.naver.com/articles/2648918435", "매물Link")</f>
        <v/>
      </c>
      <c r="M621" s="6">
        <f>HYPERLINK("https://map.naver.com/p/search/부강면 문곡리 384", "지도Link")</f>
        <v/>
      </c>
      <c r="N621" s="6">
        <f>HYPERLINK("http://www.eum.go.kr/web/ar/lu/luLandDet.jsp?pnu=3611033025103840000&amp;isNoScr=script&amp;mode=search", "토지이음")</f>
        <v/>
      </c>
      <c r="O621" s="3" t="inlineStr">
        <is>
          <t>금화랜드</t>
        </is>
      </c>
      <c r="P621" s="4" t="n">
        <v>1</v>
      </c>
      <c r="Q621" s="4" t="n">
        <v>1406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가로장방</t>
        </is>
      </c>
      <c r="V621" s="3" t="inlineStr">
        <is>
          <t>세로한면(가)</t>
        </is>
      </c>
    </row>
    <row r="622">
      <c r="A622" s="3" t="inlineStr">
        <is>
          <t>부강면 문곡리 437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공장용지</t>
        </is>
      </c>
      <c r="E622" s="3" t="inlineStr">
        <is>
          <t>매매</t>
        </is>
      </c>
      <c r="F622" s="4" t="n">
        <v>95000</v>
      </c>
      <c r="G622" s="4" t="n">
        <v>1652</v>
      </c>
      <c r="H622" s="4" t="n">
        <v>500</v>
      </c>
      <c r="I622" s="5" t="n">
        <v>190</v>
      </c>
      <c r="J622" s="5" t="n">
        <v>82</v>
      </c>
      <c r="K622" s="3" t="inlineStr">
        <is>
          <t>공장등록 가능한 공장 용지, 남청주 IC 5분 거리, 대형차 진출입 용이</t>
        </is>
      </c>
      <c r="L622" s="6">
        <f>HYPERLINK("https://fin.land.naver.com/articles/2647644287", "매물Link")</f>
        <v/>
      </c>
      <c r="M622" s="6">
        <f>HYPERLINK("https://map.naver.com/p/search/부강면 문곡리 437", "지도Link")</f>
        <v/>
      </c>
      <c r="N622" s="6">
        <f>HYPERLINK("http://www.eum.go.kr/web/ar/lu/luLandDet.jsp?pnu=3611033025104370000&amp;isNoScr=script&amp;mode=search",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3358</v>
      </c>
      <c r="R622" s="3" t="inlineStr">
        <is>
          <t>지정되지않음</t>
        </is>
      </c>
      <c r="S622" s="3" t="inlineStr">
        <is>
          <t>공업용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문곡리 446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28700</v>
      </c>
      <c r="G623" s="4" t="n">
        <v>1355</v>
      </c>
      <c r="H623" s="4" t="n">
        <v>410</v>
      </c>
      <c r="I623" s="5" t="n">
        <v>70</v>
      </c>
      <c r="J623" s="5" t="n">
        <v>27.7</v>
      </c>
      <c r="K623" s="3" t="inlineStr">
        <is>
          <t>계획관리 평당 70만원 도로접 건축가능 체류형쉼터</t>
        </is>
      </c>
      <c r="L623" s="6">
        <f>HYPERLINK("https://fin.land.naver.com/articles/2645544934", "매물Link")</f>
        <v/>
      </c>
      <c r="M623" s="6">
        <f>HYPERLINK("https://map.naver.com/p/search/부강면 문곡리 446", "지도Link")</f>
        <v/>
      </c>
      <c r="N623" s="6">
        <f>HYPERLINK("http://www.eum.go.kr/web/ar/lu/luLandDet.jsp?pnu=3611033025104460000&amp;isNoScr=script&amp;mode=search", "토지이음")</f>
        <v/>
      </c>
      <c r="O623" s="3" t="inlineStr">
        <is>
          <t>미스터홈즈강남지사</t>
        </is>
      </c>
      <c r="P623" s="4" t="n">
        <v>1</v>
      </c>
      <c r="Q623" s="4" t="n">
        <v>226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남청주IC와 가까워 물류센터,공장 추천,계획관리지역의 토지</t>
        </is>
      </c>
      <c r="L633" s="6">
        <f>HYPERLINK("https://fin.land.naver.com/articles/2649253784",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(주)미르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1003-3</t>
        </is>
      </c>
      <c r="B638" s="3" t="inlineStr">
        <is>
          <t>제1종일반주거지역</t>
        </is>
      </c>
      <c r="C638" s="3" t="inlineStr">
        <is>
          <t>잡종지</t>
        </is>
      </c>
      <c r="D638" s="3" t="inlineStr">
        <is>
          <t>잡종지</t>
        </is>
      </c>
      <c r="E638" s="3" t="inlineStr">
        <is>
          <t>월세</t>
        </is>
      </c>
      <c r="F638" s="4" t="n">
        <v>3000</v>
      </c>
      <c r="G638" s="4" t="n">
        <v>2345</v>
      </c>
      <c r="H638" s="4" t="n">
        <v>709</v>
      </c>
      <c r="I638" s="5" t="n">
        <v>0.4</v>
      </c>
      <c r="J638" s="5" t="n">
        <v>291.4</v>
      </c>
      <c r="K638" s="3" t="inlineStr">
        <is>
          <t>2차선도로에서 진입 대형화물차도 진입가능합니다.</t>
        </is>
      </c>
      <c r="L638" s="6">
        <f>HYPERLINK("https://fin.land.naver.com/articles/2651013568", "매물Link")</f>
        <v/>
      </c>
      <c r="M638" s="6">
        <f>HYPERLINK("https://map.naver.com/p/search/부강면 부강리 1003-3", "지도Link")</f>
        <v/>
      </c>
      <c r="N638" s="6">
        <f>HYPERLINK("http://www.eum.go.kr/web/ar/lu/luLandDet.jsp?pnu=3611033021110030003&amp;isNoScr=script&amp;mode=search",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1494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1215-2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58000</v>
      </c>
      <c r="G644" s="4" t="n">
        <v>766</v>
      </c>
      <c r="H644" s="4" t="n">
        <v>232</v>
      </c>
      <c r="I644" s="5" t="n">
        <v>250</v>
      </c>
      <c r="J644" s="5" t="n">
        <v>40</v>
      </c>
      <c r="K644" s="3" t="inlineStr">
        <is>
          <t>대토추천, 세로한면불토지</t>
        </is>
      </c>
      <c r="L644" s="6">
        <f>HYPERLINK("https://fin.land.naver.com/articles/2650179837", "매물Link")</f>
        <v/>
      </c>
      <c r="M644" s="6">
        <f>HYPERLINK("https://map.naver.com/p/search/부강면 부강리 1215-2", "지도Link")</f>
        <v/>
      </c>
      <c r="N644" s="6">
        <f>HYPERLINK("http://www.eum.go.kr/web/ar/lu/luLandDet.jsp?pnu=3611033021112150002&amp;isNoScr=script&amp;mode=search", "토지이음")</f>
        <v/>
      </c>
      <c r="O644" s="3" t="inlineStr">
        <is>
          <t>연동스카이</t>
        </is>
      </c>
      <c r="P644" s="4" t="n">
        <v>1</v>
      </c>
      <c r="Q644" s="4" t="n">
        <v>766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부강리 1230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170000</v>
      </c>
      <c r="G645" s="4" t="n">
        <v>2365</v>
      </c>
      <c r="H645" s="4" t="n">
        <v>715</v>
      </c>
      <c r="I645" s="5" t="n">
        <v>237.8</v>
      </c>
      <c r="J645" s="5" t="n">
        <v>37.7</v>
      </c>
      <c r="K645" s="3" t="inlineStr">
        <is>
          <t>계획관리지역, 농막, 비닐하우스, 성토완료, 지하수있음</t>
        </is>
      </c>
      <c r="L645" s="6">
        <f>HYPERLINK("https://fin.land.naver.com/articles/2648785151", "매물Link")</f>
        <v/>
      </c>
      <c r="M645" s="6">
        <f>HYPERLINK("https://map.naver.com/p/search/부강면 부강리 1230", "지도Link")</f>
        <v/>
      </c>
      <c r="N645" s="6">
        <f>HYPERLINK("http://www.eum.go.kr/web/ar/lu/luLandDet.jsp?pnu=3611033021112300000&amp;isNoScr=script&amp;mode=search", "토지이음")</f>
        <v/>
      </c>
      <c r="O645" s="3" t="inlineStr">
        <is>
          <t>이담</t>
        </is>
      </c>
      <c r="P645" s="4" t="n">
        <v>1</v>
      </c>
      <c r="Q645" s="4" t="n">
        <v>2365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부강면 부강리 343-1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29500</v>
      </c>
      <c r="G646" s="4" t="n">
        <v>420</v>
      </c>
      <c r="H646" s="4" t="n">
        <v>127</v>
      </c>
      <c r="I646" s="5" t="n">
        <v>232.3</v>
      </c>
      <c r="J646" s="5" t="n">
        <v>94.90000000000001</v>
      </c>
      <c r="K646" s="3" t="inlineStr">
        <is>
          <t>코너각지땅모양예쁜땅,지대가높아확트인조망,행복도시10분이내</t>
        </is>
      </c>
      <c r="L646" s="6">
        <f>HYPERLINK("https://fin.land.naver.com/articles/2645765651", "매물Link")</f>
        <v/>
      </c>
      <c r="M646" s="6">
        <f>HYPERLINK("https://map.naver.com/p/search/부강면 부강리 343-1", "지도Link")</f>
        <v/>
      </c>
      <c r="N646" s="6">
        <f>HYPERLINK("http://www.eum.go.kr/web/ar/lu/luLandDet.jsp?pnu=3611033021103430001&amp;isNoScr=script&amp;mode=search", "토지이음")</f>
        <v/>
      </c>
      <c r="O646" s="3" t="inlineStr">
        <is>
          <t>타이밍</t>
        </is>
      </c>
      <c r="P646" s="4" t="n">
        <v>1</v>
      </c>
      <c r="Q646" s="4" t="n">
        <v>420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386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664</v>
      </c>
      <c r="H648" s="4" t="n">
        <v>201</v>
      </c>
      <c r="I648" s="5" t="n">
        <v>248.8</v>
      </c>
      <c r="J648" s="5" t="n">
        <v>110</v>
      </c>
      <c r="K648" s="3" t="inlineStr">
        <is>
          <t>5생활권 인근  주택  유통 할수 있고 미래 투자가치  좋은대지.</t>
        </is>
      </c>
      <c r="L648" s="6">
        <f>HYPERLINK("https://fin.land.naver.com/articles/2647755692", "매물Link")</f>
        <v/>
      </c>
      <c r="M648" s="6">
        <f>HYPERLINK("https://map.naver.com/p/search/부강면 부강리 386", "지도Link")</f>
        <v/>
      </c>
      <c r="N648" s="6">
        <f>HYPERLINK("http://www.eum.go.kr/web/ar/lu/luLandDet.jsp?pnu=3611033021103860000&amp;isNoScr=script&amp;mode=search",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664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446-13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140000</v>
      </c>
      <c r="G649" s="4" t="n">
        <v>522</v>
      </c>
      <c r="H649" s="4" t="n">
        <v>158</v>
      </c>
      <c r="I649" s="5" t="n">
        <v>886.1</v>
      </c>
      <c r="J649" s="5" t="n">
        <v>502.5</v>
      </c>
      <c r="K649" s="3" t="inlineStr">
        <is>
          <t>추천.  현재 식당 운영 입지좋은 위치 상업시설 짓기 좋은 곳</t>
        </is>
      </c>
      <c r="L649" s="6">
        <f>HYPERLINK("https://fin.land.naver.com/articles/2646737506", "매물Link")</f>
        <v/>
      </c>
      <c r="M649" s="6">
        <f>HYPERLINK("https://map.naver.com/p/search/부강면 부강리 446-13", "지도Link")</f>
        <v/>
      </c>
      <c r="N649" s="6">
        <f>HYPERLINK("http://www.eum.go.kr/web/ar/lu/luLandDet.jsp?pnu=3611033021104460013&amp;isNoScr=script&amp;mode=search", "토지이음")</f>
        <v/>
      </c>
      <c r="O649" s="3" t="inlineStr">
        <is>
          <t>한강롯데(단지내)</t>
        </is>
      </c>
      <c r="P649" s="4" t="n">
        <v>1</v>
      </c>
      <c r="Q649" s="4" t="n">
        <v>522</v>
      </c>
      <c r="R649" s="3" t="inlineStr">
        <is>
          <t>지정되지않음</t>
        </is>
      </c>
      <c r="S649" s="3" t="inlineStr">
        <is>
          <t>상업용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부강면 부강리 457-3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95000</v>
      </c>
      <c r="G650" s="4" t="n">
        <v>767</v>
      </c>
      <c r="H650" s="4" t="n">
        <v>232</v>
      </c>
      <c r="I650" s="5" t="n">
        <v>409.5</v>
      </c>
      <c r="J650" s="5" t="n">
        <v>311.3</v>
      </c>
      <c r="K650" s="3" t="inlineStr">
        <is>
          <t>일반상업지역내, 부강역까지 도보 이동가능</t>
        </is>
      </c>
      <c r="L650" s="6">
        <f>HYPERLINK("https://fin.land.naver.com/articles/2651146294", "매물Link")</f>
        <v/>
      </c>
      <c r="M650" s="6">
        <f>HYPERLINK("https://map.naver.com/p/search/부강면 부강리 457-3", "지도Link")</f>
        <v/>
      </c>
      <c r="N650" s="6">
        <f>HYPERLINK("http://www.eum.go.kr/web/ar/lu/luLandDet.jsp?pnu=3611033021104570003&amp;isNoScr=script&amp;mode=search", "토지이음")</f>
        <v/>
      </c>
      <c r="O650" s="3" t="inlineStr">
        <is>
          <t>(주)미르</t>
        </is>
      </c>
      <c r="P650" s="4" t="n">
        <v>2</v>
      </c>
      <c r="Q650" s="4" t="n">
        <v>767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486-3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545</v>
      </c>
      <c r="H651" s="4" t="n">
        <v>165</v>
      </c>
      <c r="I651" s="5" t="n">
        <v>484.8</v>
      </c>
      <c r="J651" s="5" t="n">
        <v>204.5</v>
      </c>
      <c r="K651" s="3" t="inlineStr">
        <is>
          <t>세종특별자치시 부강면 부강리 건축물이 없어 즉시 건축 가능한 나대지 매매</t>
        </is>
      </c>
      <c r="L651" s="6">
        <f>HYPERLINK("https://fin.land.naver.com/articles/2645658047", "매물Link")</f>
        <v/>
      </c>
      <c r="M651" s="6">
        <f>HYPERLINK("https://map.naver.com/p/search/부강면 부강리 486-3", "지도Link")</f>
        <v/>
      </c>
      <c r="N651" s="6">
        <f>HYPERLINK("http://www.eum.go.kr/web/ar/lu/luLandDet.jsp?pnu=3611033021104860003&amp;isNoScr=script&amp;mode=search", "토지이음")</f>
        <v/>
      </c>
      <c r="O651" s="3" t="inlineStr">
        <is>
          <t>하이엔드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부강리 506-9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37000</v>
      </c>
      <c r="G652" s="4" t="n">
        <v>2469</v>
      </c>
      <c r="H652" s="4" t="n">
        <v>747</v>
      </c>
      <c r="I652" s="5" t="n">
        <v>49.5</v>
      </c>
      <c r="J652" s="5" t="n">
        <v>29.6</v>
      </c>
      <c r="K652" s="3" t="inlineStr">
        <is>
          <t>nan</t>
        </is>
      </c>
      <c r="L652" s="6">
        <f>HYPERLINK("https://fin.land.naver.com/articles/2645446051", "매물Link")</f>
        <v/>
      </c>
      <c r="M652" s="6">
        <f>HYPERLINK("https://map.naver.com/p/search/부강면 부강리 506-9", "지도Link")</f>
        <v/>
      </c>
      <c r="N652" s="6">
        <f>HYPERLINK("http://www.eum.go.kr/web/ar/lu/luLandDet.jsp?pnu=3611033021105060009&amp;isNoScr=script&amp;mode=search", "토지이음")</f>
        <v/>
      </c>
      <c r="O652" s="3" t="inlineStr">
        <is>
          <t>진황금</t>
        </is>
      </c>
      <c r="P652" s="4" t="n">
        <v>1</v>
      </c>
      <c r="Q652" s="4" t="n">
        <v>2469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HYPERLINK("https://fin.land.naver.com/articles/2651106962",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580-1</t>
        </is>
      </c>
      <c r="B654" s="3" t="inlineStr">
        <is>
          <t>일반공업지역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320000</v>
      </c>
      <c r="G654" s="4" t="n">
        <v>3808</v>
      </c>
      <c r="H654" s="4" t="n">
        <v>1152</v>
      </c>
      <c r="I654" s="5" t="n">
        <v>277.8</v>
      </c>
      <c r="J654" s="5" t="n">
        <v>40.9</v>
      </c>
      <c r="K654" s="3" t="inlineStr">
        <is>
          <t>nan</t>
        </is>
      </c>
      <c r="L654" s="6">
        <f>HYPERLINK("https://fin.land.naver.com/articles/2647077993", "매물Link")</f>
        <v/>
      </c>
      <c r="M654" s="6">
        <f>HYPERLINK("https://map.naver.com/p/search/부강면 부강리 580-1", "지도Link")</f>
        <v/>
      </c>
      <c r="N654" s="6">
        <f>HYPERLINK("http://www.eum.go.kr/web/ar/lu/luLandDet.jsp?pnu=3611033021105800001&amp;isNoScr=script&amp;mode=search", "토지이음")</f>
        <v/>
      </c>
      <c r="O654" s="3" t="inlineStr">
        <is>
          <t>박프로TV</t>
        </is>
      </c>
      <c r="P654" s="4" t="n">
        <v>1</v>
      </c>
      <c r="Q654" s="4" t="n">
        <v>3127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부강면 부강리 717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66000</v>
      </c>
      <c r="G655" s="4" t="n">
        <v>545</v>
      </c>
      <c r="H655" s="4" t="n">
        <v>165</v>
      </c>
      <c r="I655" s="5" t="n">
        <v>400</v>
      </c>
      <c r="J655" s="5" t="n">
        <v>80.90000000000001</v>
      </c>
      <c r="K655" s="3" t="inlineStr">
        <is>
          <t>다용도로사용가능.현재사무실및창고용건물존재116.64제곱.금강변인접</t>
        </is>
      </c>
      <c r="L655" s="6">
        <f>HYPERLINK("https://fin.land.naver.com/articles/2648371246", "매물Link")</f>
        <v/>
      </c>
      <c r="M655" s="6">
        <f>HYPERLINK("https://map.naver.com/p/search/부강면 부강리 717", "지도Link")</f>
        <v/>
      </c>
      <c r="N655" s="6">
        <f>HYPERLINK("http://www.eum.go.kr/web/ar/lu/luLandDet.jsp?pnu=3611033021107170000&amp;isNoScr=script&amp;mode=search",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545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부강리 729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34000</v>
      </c>
      <c r="G656" s="4" t="n">
        <v>894</v>
      </c>
      <c r="H656" s="4" t="n">
        <v>270</v>
      </c>
      <c r="I656" s="5" t="n">
        <v>125.9</v>
      </c>
      <c r="J656" s="5" t="n">
        <v>77.59999999999999</v>
      </c>
      <c r="K656" s="3" t="inlineStr">
        <is>
          <t>부강면과 북대전IC간 광역도로 개통 호재 있는 부강면 계획관리 대지 급매</t>
        </is>
      </c>
      <c r="L656" s="6">
        <f>HYPERLINK("https://fin.land.naver.com/articles/2645608868", "매물Link")</f>
        <v/>
      </c>
      <c r="M656" s="6">
        <f>HYPERLINK("https://map.naver.com/p/search/부강면 부강리 729", "지도Link")</f>
        <v/>
      </c>
      <c r="N656" s="6">
        <f>HYPERLINK("http://www.eum.go.kr/web/ar/lu/luLandDet.jsp?pnu=3611033021107290000&amp;isNoScr=script&amp;mode=search", "토지이음")</f>
        <v/>
      </c>
      <c r="O656" s="3" t="inlineStr">
        <is>
          <t>청담</t>
        </is>
      </c>
      <c r="P656" s="4" t="n">
        <v>1</v>
      </c>
      <c r="Q656" s="4" t="n">
        <v>600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745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50000</v>
      </c>
      <c r="G657" s="4" t="n">
        <v>1421</v>
      </c>
      <c r="H657" s="4" t="n">
        <v>430</v>
      </c>
      <c r="I657" s="5" t="n">
        <v>116.3</v>
      </c>
      <c r="J657" s="5" t="n">
        <v>36.3</v>
      </c>
      <c r="K657" s="3" t="inlineStr">
        <is>
          <t>세종 부강면 진입로 있는 토지,전기 인입등 투자용 토지</t>
        </is>
      </c>
      <c r="L657" s="6">
        <f>HYPERLINK("https://fin.land.naver.com/articles/2647002431", "매물Link")</f>
        <v/>
      </c>
      <c r="M657" s="6">
        <f>HYPERLINK("https://map.naver.com/p/search/부강면 부강리 745", "지도Link")</f>
        <v/>
      </c>
      <c r="N657" s="6">
        <f>HYPERLINK("http://www.eum.go.kr/web/ar/lu/luLandDet.jsp?pnu=3611033021107450000&amp;isNoScr=script&amp;mode=search", "토지이음")</f>
        <v/>
      </c>
      <c r="O657" s="3" t="inlineStr">
        <is>
          <t>민트</t>
        </is>
      </c>
      <c r="P657" s="4" t="n">
        <v>1</v>
      </c>
      <c r="Q657" s="4" t="n">
        <v>1421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758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28000</v>
      </c>
      <c r="G658" s="4" t="n">
        <v>634</v>
      </c>
      <c r="H658" s="4" t="n">
        <v>192</v>
      </c>
      <c r="I658" s="5" t="n">
        <v>145.8</v>
      </c>
      <c r="J658" s="5" t="n">
        <v>40.8</v>
      </c>
      <c r="K658" s="3" t="inlineStr">
        <is>
          <t>도로 인접</t>
        </is>
      </c>
      <c r="L658" s="6">
        <f>HYPERLINK("https://fin.land.naver.com/articles/2648271909", "매물Link")</f>
        <v/>
      </c>
      <c r="M658" s="6">
        <f>HYPERLINK("https://map.naver.com/p/search/부강면 부강리 758", "지도Link")</f>
        <v/>
      </c>
      <c r="N658" s="6">
        <f>HYPERLINK("http://www.eum.go.kr/web/ar/lu/luLandDet.jsp?pnu=3611033021107580000&amp;isNoScr=script&amp;mode=search", "토지이음")</f>
        <v/>
      </c>
      <c r="O658" s="3" t="inlineStr">
        <is>
          <t>세종제일1</t>
        </is>
      </c>
      <c r="P658" s="4" t="n">
        <v>3</v>
      </c>
      <c r="Q658" s="4" t="n">
        <v>631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부강리 825-4</t>
        </is>
      </c>
      <c r="B659" s="3" t="inlineStr">
        <is>
          <t>생산녹지지역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45000</v>
      </c>
      <c r="G659" s="4" t="n">
        <v>1337</v>
      </c>
      <c r="H659" s="4" t="n">
        <v>404</v>
      </c>
      <c r="I659" s="5" t="n">
        <v>111.4</v>
      </c>
      <c r="J659" s="5" t="n">
        <v>30.9</v>
      </c>
      <c r="K659" s="3" t="inlineStr">
        <is>
          <t>급매,가격협의가능, 대토 또는 투자로 추천</t>
        </is>
      </c>
      <c r="L659" s="6">
        <f>HYPERLINK("https://fin.land.naver.com/articles/2646090614", "매물Link")</f>
        <v/>
      </c>
      <c r="M659" s="6">
        <f>HYPERLINK("https://map.naver.com/p/search/부강면 부강리 825-4", "지도Link")</f>
        <v/>
      </c>
      <c r="N659" s="6">
        <f>HYPERLINK("http://www.eum.go.kr/web/ar/lu/luLandDet.jsp?pnu=3611033021108250004&amp;isNoScr=script&amp;mode=search", "토지이음")</f>
        <v/>
      </c>
      <c r="O659" s="3" t="inlineStr">
        <is>
          <t>담뜰</t>
        </is>
      </c>
      <c r="P659" s="4" t="n">
        <v>1</v>
      </c>
      <c r="Q659" s="4" t="n">
        <v>1337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부강면 부강리 885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279000</v>
      </c>
      <c r="G660" s="4" t="n">
        <v>3075</v>
      </c>
      <c r="H660" s="4" t="n">
        <v>930</v>
      </c>
      <c r="I660" s="5" t="n">
        <v>300</v>
      </c>
      <c r="J660" s="5" t="n">
        <v>34.4</v>
      </c>
      <c r="K660" s="3" t="inlineStr">
        <is>
          <t>도시지역,2차선접,땅모양좋아요</t>
        </is>
      </c>
      <c r="L660" s="6">
        <f>HYPERLINK("https://fin.land.naver.com/articles/2650425544", "매물Link")</f>
        <v/>
      </c>
      <c r="M660" s="6">
        <f>HYPERLINK("https://map.naver.com/p/search/부강면 부강리 885", "지도Link")</f>
        <v/>
      </c>
      <c r="N660" s="6">
        <f>HYPERLINK("http://www.eum.go.kr/web/ar/lu/luLandDet.jsp?pnu=3611033021108850000&amp;isNoScr=script&amp;mode=search", "토지이음")</f>
        <v/>
      </c>
      <c r="O660" s="3" t="inlineStr">
        <is>
          <t>힐스테이트행복</t>
        </is>
      </c>
      <c r="P660" s="4" t="n">
        <v>1</v>
      </c>
      <c r="Q660" s="4" t="n">
        <v>833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부강면 부강리 894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28000</v>
      </c>
      <c r="G661" s="4" t="n">
        <v>733</v>
      </c>
      <c r="H661" s="4" t="n">
        <v>222</v>
      </c>
      <c r="I661" s="5" t="n">
        <v>126.1</v>
      </c>
      <c r="J661" s="5" t="n">
        <v>40.9</v>
      </c>
      <c r="K661" s="3" t="inlineStr">
        <is>
          <t>소액으로 투자할수있는 가격저렴한 작은토지로 최상</t>
        </is>
      </c>
      <c r="L661" s="6">
        <f>HYPERLINK("https://fin.land.naver.com/articles/2650178056", "매물Link")</f>
        <v/>
      </c>
      <c r="M661" s="6">
        <f>HYPERLINK("https://map.naver.com/p/search/부강면 부강리 894", "지도Link")</f>
        <v/>
      </c>
      <c r="N661" s="6">
        <f>HYPERLINK("http://www.eum.go.kr/web/ar/lu/luLandDet.jsp?pnu=3611033021108940000&amp;isNoScr=script&amp;mode=search",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735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세로한면(불)</t>
        </is>
      </c>
    </row>
    <row r="662">
      <c r="A662" s="3" t="inlineStr">
        <is>
          <t>부강면 부강리 933-7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697</v>
      </c>
      <c r="H662" s="4" t="n">
        <v>211</v>
      </c>
      <c r="I662" s="5" t="n">
        <v>402.8</v>
      </c>
      <c r="J662" s="5" t="n">
        <v>53.1</v>
      </c>
      <c r="K662" s="3" t="inlineStr">
        <is>
          <t>nan</t>
        </is>
      </c>
      <c r="L662" s="6">
        <f>HYPERLINK("https://fin.land.naver.com/articles/2649292999", "매물Link")</f>
        <v/>
      </c>
      <c r="M662" s="6">
        <f>HYPERLINK("https://map.naver.com/p/search/부강면 부강리 933-7", "지도Link")</f>
        <v/>
      </c>
      <c r="N662" s="6">
        <f>HYPERLINK("http://www.eum.go.kr/web/ar/lu/luLandDet.jsp?pnu=3611033021109330007&amp;isNoScr=script&amp;mode=search", "토지이음")</f>
        <v/>
      </c>
      <c r="O662" s="3" t="inlineStr">
        <is>
          <t>해밀마을공간</t>
        </is>
      </c>
      <c r="P662" s="4" t="n">
        <v>1</v>
      </c>
      <c r="Q662" s="4" t="n">
        <v>696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부강면 부강리 951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35000</v>
      </c>
      <c r="G663" s="4" t="n">
        <v>288</v>
      </c>
      <c r="H663" s="4" t="n">
        <v>87</v>
      </c>
      <c r="I663" s="5" t="n">
        <v>402.3</v>
      </c>
      <c r="J663" s="5" t="n">
        <v>172.3</v>
      </c>
      <c r="K663" s="3" t="inlineStr">
        <is>
          <t>급매, 절충가능한 다가구 주택 부지로 적합한 제2종일반주거지역의 토지</t>
        </is>
      </c>
      <c r="L663" s="6">
        <f>HYPERLINK("https://fin.land.naver.com/articles/2647476137", "매물Link")</f>
        <v/>
      </c>
      <c r="M663" s="6">
        <f>HYPERLINK("https://map.naver.com/p/search/부강면 부강리 951", "지도Link")</f>
        <v/>
      </c>
      <c r="N663" s="6">
        <f>HYPERLINK("http://www.eum.go.kr/web/ar/lu/luLandDet.jsp?pnu=3611033021109510000&amp;isNoScr=script&amp;mode=search",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288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부강리 955-1</t>
        </is>
      </c>
      <c r="B664" s="3" t="inlineStr">
        <is>
          <t>생산녹지지역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85000</v>
      </c>
      <c r="G664" s="4" t="n">
        <v>1002</v>
      </c>
      <c r="H664" s="4" t="n">
        <v>303</v>
      </c>
      <c r="I664" s="5" t="n">
        <v>280.5</v>
      </c>
      <c r="J664" s="5" t="n">
        <v>50.6</v>
      </c>
      <c r="K664" s="3" t="inlineStr">
        <is>
          <t>nan</t>
        </is>
      </c>
      <c r="L664" s="6">
        <f>HYPERLINK("https://fin.land.naver.com/articles/2650177835", "매물Link")</f>
        <v/>
      </c>
      <c r="M664" s="6">
        <f>HYPERLINK("https://map.naver.com/p/search/부강면 부강리 955-1", "지도Link")</f>
        <v/>
      </c>
      <c r="N664" s="6">
        <f>HYPERLINK("http://www.eum.go.kr/web/ar/lu/luLandDet.jsp?pnu=3611033021109550001&amp;isNoScr=script&amp;mode=search",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1002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부강면 부강리 961-1</t>
        </is>
      </c>
      <c r="B665" s="3" t="inlineStr">
        <is>
          <t>제2종일반주거지역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200000</v>
      </c>
      <c r="G665" s="4" t="n">
        <v>1220</v>
      </c>
      <c r="H665" s="4" t="n">
        <v>369</v>
      </c>
      <c r="I665" s="5" t="n">
        <v>542</v>
      </c>
      <c r="J665" s="5" t="n">
        <v>172.3</v>
      </c>
      <c r="K665" s="3" t="inlineStr">
        <is>
          <t>부강리 제2종일반주거지역으로 다가구 주택을 지으면 수익율 좋은 토지입니다</t>
        </is>
      </c>
      <c r="L665" s="6">
        <f>HYPERLINK("https://fin.land.naver.com/articles/2646322612", "매물Link")</f>
        <v/>
      </c>
      <c r="M665" s="6">
        <f>HYPERLINK("https://map.naver.com/p/search/부강면 부강리 961-1", "지도Link")</f>
        <v/>
      </c>
      <c r="N665" s="6">
        <f>HYPERLINK("http://www.eum.go.kr/web/ar/lu/luLandDet.jsp?pnu=3611033021109610001&amp;isNoScr=script&amp;mode=search",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1049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967-4</t>
        </is>
      </c>
      <c r="B666" s="3" t="inlineStr">
        <is>
          <t>제2종일반주거지역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990</v>
      </c>
      <c r="H666" s="4" t="n">
        <v>299</v>
      </c>
      <c r="I666" s="5" t="n">
        <v>401.3</v>
      </c>
      <c r="J666" s="5" t="n">
        <v>179.6</v>
      </c>
      <c r="K666" s="3" t="inlineStr">
        <is>
          <t>nan</t>
        </is>
      </c>
      <c r="L666" s="6">
        <f>HYPERLINK("https://fin.land.naver.com/articles/2647515151", "매물Link")</f>
        <v/>
      </c>
      <c r="M666" s="6">
        <f>HYPERLINK("https://map.naver.com/p/search/부강면 부강리 967-4", "지도Link")</f>
        <v/>
      </c>
      <c r="N666" s="6">
        <f>HYPERLINK("http://www.eum.go.kr/web/ar/lu/luLandDet.jsp?pnu=3611033021109670004&amp;isNoScr=script&amp;mode=search", "토지이음")</f>
        <v/>
      </c>
      <c r="O666" s="3" t="inlineStr">
        <is>
          <t>안성대로</t>
        </is>
      </c>
      <c r="P666" s="4" t="n">
        <v>1</v>
      </c>
      <c r="Q666" s="4" t="n">
        <v>990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부강면 부강리 973-26</t>
        </is>
      </c>
      <c r="B667" s="3" t="inlineStr">
        <is>
          <t>제2종일반주거지역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331</v>
      </c>
      <c r="H667" s="4" t="n">
        <v>100</v>
      </c>
      <c r="I667" s="5" t="n">
        <v>400</v>
      </c>
      <c r="J667" s="5" t="n">
        <v>179.6</v>
      </c>
      <c r="K667" s="3" t="inlineStr">
        <is>
          <t>8미터 계획도로접한 2종일반주거 다가구,상가 건축가능 오배수연결완료됨</t>
        </is>
      </c>
      <c r="L667" s="6">
        <f>HYPERLINK("https://fin.land.naver.com/articles/2646745570", "매물Link")</f>
        <v/>
      </c>
      <c r="M667" s="6">
        <f>HYPERLINK("https://map.naver.com/p/search/부강면 부강리 973-26", "지도Link")</f>
        <v/>
      </c>
      <c r="N667" s="6">
        <f>HYPERLINK("http://www.eum.go.kr/web/ar/lu/luLandDet.jsp?pnu=3611033021109730026&amp;isNoScr=script&amp;mode=search", "토지이음")</f>
        <v/>
      </c>
      <c r="O667" s="3" t="inlineStr">
        <is>
          <t>향기나는방</t>
        </is>
      </c>
      <c r="P667" s="4" t="n">
        <v>1</v>
      </c>
      <c r="Q667" s="4" t="n">
        <v>311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부강리 973-3</t>
        </is>
      </c>
      <c r="B668" s="3" t="inlineStr">
        <is>
          <t>제2종일반주거지역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263</v>
      </c>
      <c r="H668" s="4" t="n">
        <v>80</v>
      </c>
      <c r="I668" s="5" t="n">
        <v>437.5</v>
      </c>
      <c r="J668" s="5" t="n">
        <v>179.6</v>
      </c>
      <c r="K668" s="3" t="inlineStr">
        <is>
          <t>8미터 계획도로접한 2종일반주거 다가구,상가 건축가능 오배수연결완료됨</t>
        </is>
      </c>
      <c r="L668" s="6">
        <f>HYPERLINK("https://fin.land.naver.com/articles/2646745166", "매물Link")</f>
        <v/>
      </c>
      <c r="M668" s="6">
        <f>HYPERLINK("https://map.naver.com/p/search/부강면 부강리 973-3", "지도Link")</f>
        <v/>
      </c>
      <c r="N668" s="6">
        <f>HYPERLINK("http://www.eum.go.kr/web/ar/lu/luLandDet.jsp?pnu=3611033021109730003&amp;isNoScr=script&amp;mode=search", "토지이음")</f>
        <v/>
      </c>
      <c r="O668" s="3" t="inlineStr">
        <is>
          <t>향기나는방</t>
        </is>
      </c>
      <c r="P668" s="4" t="n">
        <v>1</v>
      </c>
      <c r="Q668" s="4" t="n">
        <v>263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산수리 128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42500</v>
      </c>
      <c r="G669" s="4" t="n">
        <v>934</v>
      </c>
      <c r="H669" s="4" t="n">
        <v>283</v>
      </c>
      <c r="I669" s="5" t="n">
        <v>150.2</v>
      </c>
      <c r="J669" s="5" t="n">
        <v>53.5</v>
      </c>
      <c r="K669" s="3" t="inlineStr">
        <is>
          <t>계획관리 대지 전원주택용 투자처로 추천</t>
        </is>
      </c>
      <c r="L669" s="6">
        <f>HYPERLINK("https://fin.land.naver.com/articles/2647087633", "매물Link")</f>
        <v/>
      </c>
      <c r="M669" s="6">
        <f>HYPERLINK("https://map.naver.com/p/search/부강면 산수리 128", "지도Link")</f>
        <v/>
      </c>
      <c r="N669" s="6">
        <f>HYPERLINK("http://www.eum.go.kr/web/ar/lu/luLandDet.jsp?pnu=3611033023101280000&amp;isNoScr=script&amp;mode=search",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934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산수리 207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38000</v>
      </c>
      <c r="G670" s="4" t="n">
        <v>943</v>
      </c>
      <c r="H670" s="4" t="n">
        <v>285</v>
      </c>
      <c r="I670" s="5" t="n">
        <v>133.3</v>
      </c>
      <c r="J670" s="5" t="n">
        <v>32.8</v>
      </c>
      <c r="K670" s="3" t="inlineStr">
        <is>
          <t>계획관리 투자 또는 전원생활 최적지로 강력 추천</t>
        </is>
      </c>
      <c r="L670" s="6">
        <f>HYPERLINK("https://fin.land.naver.com/articles/2648544454", "매물Link")</f>
        <v/>
      </c>
      <c r="M670" s="6">
        <f>HYPERLINK("https://map.naver.com/p/search/부강면 산수리 207", "지도Link")</f>
        <v/>
      </c>
      <c r="N670" s="6">
        <f>HYPERLINK("http://www.eum.go.kr/web/ar/lu/luLandDet.jsp?pnu=3611033023102070000&amp;isNoScr=script&amp;mode=search", "토지이음")</f>
        <v/>
      </c>
      <c r="O670" s="3" t="inlineStr">
        <is>
          <t>뉴엘리트탑</t>
        </is>
      </c>
      <c r="P670" s="4" t="n">
        <v>1</v>
      </c>
      <c r="Q670" s="4" t="n">
        <v>943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세로각지(불)</t>
        </is>
      </c>
    </row>
    <row r="671">
      <c r="A671" s="3" t="inlineStr">
        <is>
          <t>부강면 산수리 243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100000</v>
      </c>
      <c r="G671" s="4" t="n">
        <v>5421</v>
      </c>
      <c r="H671" s="4" t="n">
        <v>1640</v>
      </c>
      <c r="I671" s="5" t="n">
        <v>61</v>
      </c>
      <c r="J671" s="5" t="n">
        <v>64.59999999999999</v>
      </c>
      <c r="K671" s="3" t="inlineStr">
        <is>
          <t>주택허가축사경작지 일괄, 축산승계귀농농장 추천</t>
        </is>
      </c>
      <c r="L671" s="6">
        <f>HYPERLINK("https://fin.land.naver.com/articles/2649836388", "매물Link")</f>
        <v/>
      </c>
      <c r="M671" s="6">
        <f>HYPERLINK("https://map.naver.com/p/search/부강면 산수리 243", "지도Link")</f>
        <v/>
      </c>
      <c r="N671" s="6">
        <f>HYPERLINK("http://www.eum.go.kr/web/ar/lu/luLandDet.jsp?pnu=3611033023102430000&amp;isNoScr=script&amp;mode=search",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660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세로한면(가)</t>
        </is>
      </c>
    </row>
    <row r="672">
      <c r="A672" s="3" t="inlineStr">
        <is>
          <t>부강면 산수리 243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100000</v>
      </c>
      <c r="G672" s="4" t="n">
        <v>5421</v>
      </c>
      <c r="H672" s="4" t="n">
        <v>1640</v>
      </c>
      <c r="I672" s="5" t="n">
        <v>61</v>
      </c>
      <c r="J672" s="5" t="n">
        <v>64.59999999999999</v>
      </c>
      <c r="K672" s="3" t="inlineStr">
        <is>
          <t>세종시 부강면 주택, 축사·부속시설, 전 사통팔달 교통,계획관리알짜 급매</t>
        </is>
      </c>
      <c r="L672" s="6">
        <f>HYPERLINK("https://fin.land.naver.com/articles/2650006026", "매물Link")</f>
        <v/>
      </c>
      <c r="M672" s="6">
        <f>HYPERLINK("https://map.naver.com/p/search/부강면 산수리 243", "지도Link")</f>
        <v/>
      </c>
      <c r="N672" s="6">
        <f>HYPERLINK("http://www.eum.go.kr/web/ar/lu/luLandDet.jsp?pnu=3611033023102430000&amp;isNoScr=script&amp;mode=search", "토지이음")</f>
        <v/>
      </c>
      <c r="O672" s="3" t="inlineStr">
        <is>
          <t>세종</t>
        </is>
      </c>
      <c r="P672" s="4" t="n">
        <v>2</v>
      </c>
      <c r="Q672" s="4" t="n">
        <v>660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부강면 산수리 243-2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147600</v>
      </c>
      <c r="G673" s="4" t="n">
        <v>5421</v>
      </c>
      <c r="H673" s="4" t="n">
        <v>1640</v>
      </c>
      <c r="I673" s="5" t="n">
        <v>90</v>
      </c>
      <c r="J673" s="5" t="n">
        <v>33.6</v>
      </c>
      <c r="K673" s="3" t="inlineStr">
        <is>
          <t>투자유망 세종관내 목장, 주택등 매매</t>
        </is>
      </c>
      <c r="L673" s="6">
        <f>HYPERLINK("https://fin.land.naver.com/articles/2648634114", "매물Link")</f>
        <v/>
      </c>
      <c r="M673" s="6">
        <f>HYPERLINK("https://map.naver.com/p/search/부강면 산수리 243-2", "지도Link")</f>
        <v/>
      </c>
      <c r="N673" s="6">
        <f>HYPERLINK("http://www.eum.go.kr/web/ar/lu/luLandDet.jsp?pnu=3611033023102430002&amp;isNoScr=script&amp;mode=search", "토지이음")</f>
        <v/>
      </c>
      <c r="O673" s="3" t="inlineStr">
        <is>
          <t>대하</t>
        </is>
      </c>
      <c r="P673" s="4" t="n">
        <v>1</v>
      </c>
      <c r="Q673" s="4" t="n">
        <v>2503</v>
      </c>
      <c r="R673" s="3" t="inlineStr">
        <is>
          <t>지정되지않음</t>
        </is>
      </c>
      <c r="S673" s="3" t="inlineStr">
        <is>
          <t>전축사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243-2</t>
        </is>
      </c>
      <c r="B674" s="3" t="inlineStr">
        <is>
          <t>계획관리지역</t>
        </is>
      </c>
      <c r="C674" s="3" t="inlineStr">
        <is>
          <t>목장용지</t>
        </is>
      </c>
      <c r="D674" s="3" t="inlineStr">
        <is>
          <t>목장용지</t>
        </is>
      </c>
      <c r="E674" s="3" t="inlineStr">
        <is>
          <t>매매</t>
        </is>
      </c>
      <c r="F674" s="4" t="n">
        <v>100000</v>
      </c>
      <c r="G674" s="4" t="n">
        <v>5429</v>
      </c>
      <c r="H674" s="4" t="n">
        <v>1642</v>
      </c>
      <c r="I674" s="5" t="n">
        <v>60.9</v>
      </c>
      <c r="J674" s="5" t="n">
        <v>33.6</v>
      </c>
      <c r="K674" s="3" t="inlineStr">
        <is>
          <t>세종시 부강면 목장용지, 단독주택, 전으로 구성된 4필지 통매매가 10억</t>
        </is>
      </c>
      <c r="L674" s="6">
        <f>HYPERLINK("https://fin.land.naver.com/articles/2650228512", "매물Link")</f>
        <v/>
      </c>
      <c r="M674" s="6">
        <f>HYPERLINK("https://map.naver.com/p/search/부강면 산수리 243-2", "지도Link")</f>
        <v/>
      </c>
      <c r="N674" s="6">
        <f>HYPERLINK("http://www.eum.go.kr/web/ar/lu/luLandDet.jsp?pnu=3611033023102430002&amp;isNoScr=script&amp;mode=search", "토지이음")</f>
        <v/>
      </c>
      <c r="O674" s="3" t="inlineStr">
        <is>
          <t>5프로</t>
        </is>
      </c>
      <c r="P674" s="4" t="n">
        <v>1</v>
      </c>
      <c r="Q674" s="4" t="n">
        <v>2503</v>
      </c>
      <c r="R674" s="3" t="inlineStr">
        <is>
          <t>지정되지않음</t>
        </is>
      </c>
      <c r="S674" s="3" t="inlineStr">
        <is>
          <t>전축사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산수리 35-7</t>
        </is>
      </c>
      <c r="B675" s="3" t="inlineStr">
        <is>
          <t>농림지역</t>
        </is>
      </c>
      <c r="C675" s="3" t="inlineStr">
        <is>
          <t>창고용지</t>
        </is>
      </c>
      <c r="D675" s="3" t="inlineStr">
        <is>
          <t>창고용지</t>
        </is>
      </c>
      <c r="E675" s="3" t="inlineStr">
        <is>
          <t>매매</t>
        </is>
      </c>
      <c r="F675" s="4" t="n">
        <v>56000</v>
      </c>
      <c r="G675" s="4" t="n">
        <v>1237</v>
      </c>
      <c r="H675" s="4" t="n">
        <v>374</v>
      </c>
      <c r="I675" s="5" t="n">
        <v>149.7</v>
      </c>
      <c r="J675" s="5" t="n">
        <v>24.3</v>
      </c>
      <c r="K675" s="3" t="inlineStr">
        <is>
          <t>농림지역, 현 창고 ,산수삼거리 인접, 창고, 편의점, 소매, 고물상추천</t>
        </is>
      </c>
      <c r="L675" s="6">
        <f>HYPERLINK("https://fin.land.naver.com/articles/2650412987", "매물Link")</f>
        <v/>
      </c>
      <c r="M675" s="6">
        <f>HYPERLINK("https://map.naver.com/p/search/부강면 산수리 35-7", "지도Link")</f>
        <v/>
      </c>
      <c r="N675" s="6">
        <f>HYPERLINK("http://www.eum.go.kr/web/ar/lu/luLandDet.jsp?pnu=3611033023100350007&amp;isNoScr=script&amp;mode=search", "토지이음")</f>
        <v/>
      </c>
      <c r="O675" s="3" t="inlineStr">
        <is>
          <t>청주모충사모1/2LH트릴로채명성</t>
        </is>
      </c>
      <c r="P675" s="4" t="n">
        <v>1</v>
      </c>
      <c r="Q675" s="4" t="n">
        <v>1237</v>
      </c>
      <c r="R675" s="3" t="inlineStr">
        <is>
          <t>지정되지않음</t>
        </is>
      </c>
      <c r="S675" s="3" t="inlineStr">
        <is>
          <t>전창고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소로한면</t>
        </is>
      </c>
    </row>
    <row r="676">
      <c r="A676" s="3" t="inlineStr">
        <is>
          <t>부강면 산수리 366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3719</v>
      </c>
      <c r="H676" s="4" t="n">
        <v>1125</v>
      </c>
      <c r="I676" s="5" t="n">
        <v>35.6</v>
      </c>
      <c r="J676" s="5" t="n">
        <v>17.6</v>
      </c>
      <c r="K676" s="3" t="inlineStr">
        <is>
          <t>nan</t>
        </is>
      </c>
      <c r="L676" s="6">
        <f>HYPERLINK("https://fin.land.naver.com/articles/2649606859", "매물Link")</f>
        <v/>
      </c>
      <c r="M676" s="6">
        <f>HYPERLINK("https://map.naver.com/p/search/부강면 산수리 366", "지도Link")</f>
        <v/>
      </c>
      <c r="N676" s="6">
        <f>HYPERLINK("http://www.eum.go.kr/web/ar/lu/luLandDet.jsp?pnu=3611033023103660000&amp;isNoScr=script&amp;mode=search", "토지이음")</f>
        <v/>
      </c>
      <c r="O676" s="3" t="inlineStr">
        <is>
          <t>행복가득한</t>
        </is>
      </c>
      <c r="P676" s="4" t="n">
        <v>1</v>
      </c>
      <c r="Q676" s="4" t="n">
        <v>3719.7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부강면 산수리 397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31000</v>
      </c>
      <c r="G677" s="4" t="n">
        <v>3650</v>
      </c>
      <c r="H677" s="4" t="n">
        <v>1104</v>
      </c>
      <c r="I677" s="5" t="n">
        <v>28.1</v>
      </c>
      <c r="J677" s="5" t="n">
        <v>18</v>
      </c>
      <c r="K677" s="3" t="inlineStr">
        <is>
          <t>농지 급매  세종시 농지 매도합니다. 대토 추천</t>
        </is>
      </c>
      <c r="L677" s="6">
        <f>HYPERLINK("https://fin.land.naver.com/articles/2649906361", "매물Link")</f>
        <v/>
      </c>
      <c r="M677" s="6">
        <f>HYPERLINK("https://map.naver.com/p/search/부강면 산수리 397", "지도Link")</f>
        <v/>
      </c>
      <c r="N677" s="6">
        <f>HYPERLINK("http://www.eum.go.kr/web/ar/lu/luLandDet.jsp?pnu=3611033023103970000&amp;isNoScr=script&amp;mode=search", "토지이음")</f>
        <v/>
      </c>
      <c r="O677" s="3" t="inlineStr">
        <is>
          <t>미스터홈즈강남지사</t>
        </is>
      </c>
      <c r="P677" s="4" t="n">
        <v>1</v>
      </c>
      <c r="Q677" s="4" t="n">
        <v>3650.9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539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2201</v>
      </c>
      <c r="H678" s="4" t="n">
        <v>666</v>
      </c>
      <c r="I678" s="5" t="n">
        <v>60.1</v>
      </c>
      <c r="J678" s="5" t="n">
        <v>17.9</v>
      </c>
      <c r="K678" s="3" t="inlineStr">
        <is>
          <t>세종시 부강면에 위치한 토지 매매</t>
        </is>
      </c>
      <c r="L678" s="6">
        <f>HYPERLINK("https://fin.land.naver.com/articles/2647590296", "매물Link")</f>
        <v/>
      </c>
      <c r="M678" s="6">
        <f>HYPERLINK("https://map.naver.com/p/search/부강면 산수리 539", "지도Link")</f>
        <v/>
      </c>
      <c r="N678" s="6">
        <f>HYPERLINK("http://www.eum.go.kr/web/ar/lu/luLandDet.jsp?pnu=3611033023105390000&amp;isNoScr=script&amp;mode=search", "토지이음")</f>
        <v/>
      </c>
      <c r="O678" s="3" t="inlineStr">
        <is>
          <t>대지</t>
        </is>
      </c>
      <c r="P678" s="4" t="n">
        <v>1</v>
      </c>
      <c r="Q678" s="4" t="n">
        <v>2201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산수리 92-2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대</t>
        </is>
      </c>
      <c r="E679" s="3" t="inlineStr">
        <is>
          <t>매매</t>
        </is>
      </c>
      <c r="F679" s="4" t="n">
        <v>35000</v>
      </c>
      <c r="G679" s="4" t="n">
        <v>1352</v>
      </c>
      <c r="H679" s="4" t="n">
        <v>409</v>
      </c>
      <c r="I679" s="5" t="n">
        <v>85.59999999999999</v>
      </c>
      <c r="J679" s="5" t="n">
        <v>37.2</v>
      </c>
      <c r="K679" s="3" t="inlineStr">
        <is>
          <t>산수리 계획관리지역 대지 전 매매</t>
        </is>
      </c>
      <c r="L679" s="6">
        <f>HYPERLINK("https://fin.land.naver.com/articles/2646598391", "매물Link")</f>
        <v/>
      </c>
      <c r="M679" s="6">
        <f>HYPERLINK("https://map.naver.com/p/search/부강면 산수리 92-2", "지도Link")</f>
        <v/>
      </c>
      <c r="N679" s="6">
        <f>HYPERLINK("http://www.eum.go.kr/web/ar/lu/luLandDet.jsp?pnu=3611033023100920002&amp;isNoScr=script&amp;mode=search", "토지이음")</f>
        <v/>
      </c>
      <c r="O679" s="3" t="inlineStr">
        <is>
          <t>진성</t>
        </is>
      </c>
      <c r="P679" s="4" t="n">
        <v>1</v>
      </c>
      <c r="Q679" s="4" t="n">
        <v>939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92-2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35000</v>
      </c>
      <c r="G680" s="4" t="n">
        <v>1352</v>
      </c>
      <c r="H680" s="4" t="n">
        <v>409</v>
      </c>
      <c r="I680" s="5" t="n">
        <v>85.59999999999999</v>
      </c>
      <c r="J680" s="5" t="n">
        <v>37.2</v>
      </c>
      <c r="K680" s="3" t="inlineStr">
        <is>
          <t>산수리 계획관리지역으로 전과 대로 이뤄진 2필지 급매</t>
        </is>
      </c>
      <c r="L680" s="6">
        <f>HYPERLINK("https://fin.land.naver.com/articles/2645640836", "매물Link")</f>
        <v/>
      </c>
      <c r="M680" s="6">
        <f>HYPERLINK("https://map.naver.com/p/search/부강면 산수리 92-2", "지도Link")</f>
        <v/>
      </c>
      <c r="N680" s="6">
        <f>HYPERLINK("http://www.eum.go.kr/web/ar/lu/luLandDet.jsp?pnu=3611033023100920002&amp;isNoScr=script&amp;mode=search", "토지이음")</f>
        <v/>
      </c>
      <c r="O680" s="3" t="inlineStr">
        <is>
          <t>세종대장</t>
        </is>
      </c>
      <c r="P680" s="4" t="n">
        <v>1</v>
      </c>
      <c r="Q680" s="4" t="n">
        <v>939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118-11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16000</v>
      </c>
      <c r="G681" s="4" t="n">
        <v>155</v>
      </c>
      <c r="H681" s="4" t="n">
        <v>47</v>
      </c>
      <c r="I681" s="5" t="n">
        <v>340.4</v>
      </c>
      <c r="J681" s="5" t="n">
        <v>53.8</v>
      </c>
      <c r="K681" s="3" t="inlineStr">
        <is>
          <t>nan</t>
        </is>
      </c>
      <c r="L681" s="6">
        <f>HYPERLINK("https://fin.land.naver.com/articles/2647287235", "매물Link")</f>
        <v/>
      </c>
      <c r="M681" s="6">
        <f>HYPERLINK("https://map.naver.com/p/search/부강면 행산리 118-11", "지도Link")</f>
        <v/>
      </c>
      <c r="N681" s="6">
        <f>HYPERLINK("http://www.eum.go.kr/web/ar/lu/luLandDet.jsp?pnu=3611033022101180011&amp;isNoScr=script&amp;mode=search", "토지이음")</f>
        <v/>
      </c>
      <c r="O681" s="3" t="inlineStr">
        <is>
          <t>세종제일1</t>
        </is>
      </c>
      <c r="P681" s="4" t="n">
        <v>1</v>
      </c>
      <c r="Q681" s="4" t="n">
        <v>155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141-11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33900</v>
      </c>
      <c r="G682" s="4" t="n">
        <v>1130</v>
      </c>
      <c r="H682" s="4" t="n">
        <v>342</v>
      </c>
      <c r="I682" s="5" t="n">
        <v>99.09999999999999</v>
      </c>
      <c r="J682" s="5" t="n">
        <v>25</v>
      </c>
      <c r="K682" s="3" t="inlineStr">
        <is>
          <t>농사짓는 도로 인접</t>
        </is>
      </c>
      <c r="L682" s="6">
        <f>HYPERLINK("https://fin.land.naver.com/articles/2647287581", "매물Link")</f>
        <v/>
      </c>
      <c r="M682" s="6">
        <f>HYPERLINK("https://map.naver.com/p/search/부강면 행산리 141-11", "지도Link")</f>
        <v/>
      </c>
      <c r="N682" s="6">
        <f>HYPERLINK("http://www.eum.go.kr/web/ar/lu/luLandDet.jsp?pnu=3611033022101410011&amp;isNoScr=script&amp;mode=search", "토지이음")</f>
        <v/>
      </c>
      <c r="O682" s="3" t="inlineStr">
        <is>
          <t>세종제일1</t>
        </is>
      </c>
      <c r="P682" s="4" t="n">
        <v>1</v>
      </c>
      <c r="Q682" s="4" t="n">
        <v>1130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부강면 행산리 162-3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526000</v>
      </c>
      <c r="G683" s="4" t="n">
        <v>11751</v>
      </c>
      <c r="H683" s="4" t="n">
        <v>3555</v>
      </c>
      <c r="I683" s="5" t="n">
        <v>148</v>
      </c>
      <c r="J683" s="5" t="n">
        <v>41.2</v>
      </c>
      <c r="K683" s="3" t="inlineStr">
        <is>
          <t>세종시 부근에서 공장부지로 최상</t>
        </is>
      </c>
      <c r="L683" s="6">
        <f>HYPERLINK("https://fin.land.naver.com/articles/2646866931", "매물Link")</f>
        <v/>
      </c>
      <c r="M683" s="6">
        <f>HYPERLINK("https://map.naver.com/p/search/부강면 행산리 162-3", "지도Link")</f>
        <v/>
      </c>
      <c r="N683" s="6">
        <f>HYPERLINK("http://www.eum.go.kr/web/ar/lu/luLandDet.jsp?pnu=3611033022101620003&amp;isNoScr=script&amp;mode=search", "토지이음")</f>
        <v/>
      </c>
      <c r="O683" s="3" t="inlineStr">
        <is>
          <t>금화</t>
        </is>
      </c>
      <c r="P683" s="4" t="n">
        <v>1</v>
      </c>
      <c r="Q683" s="4" t="n">
        <v>8024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부강면 행산리 163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33000</v>
      </c>
      <c r="G684" s="4" t="n">
        <v>1359</v>
      </c>
      <c r="H684" s="4" t="n">
        <v>411</v>
      </c>
      <c r="I684" s="5" t="n">
        <v>80.3</v>
      </c>
      <c r="J684" s="5" t="n">
        <v>38</v>
      </c>
      <c r="K684" s="3" t="inlineStr">
        <is>
          <t>청주전용도로 부근의 작고 아담한 계획관리 토지</t>
        </is>
      </c>
      <c r="L684" s="6">
        <f>HYPERLINK("https://fin.land.naver.com/articles/2650177374", "매물Link")</f>
        <v/>
      </c>
      <c r="M684" s="6">
        <f>HYPERLINK("https://map.naver.com/p/search/부강면 행산리 163", "지도Link")</f>
        <v/>
      </c>
      <c r="N684" s="6">
        <f>HYPERLINK("http://www.eum.go.kr/web/ar/lu/luLandDet.jsp?pnu=3611033022101630000&amp;isNoScr=script&amp;mode=search", "토지이음")</f>
        <v/>
      </c>
      <c r="O684" s="3" t="inlineStr">
        <is>
          <t>연동스카이</t>
        </is>
      </c>
      <c r="P684" s="4" t="n">
        <v>2</v>
      </c>
      <c r="Q684" s="4" t="n">
        <v>1359</v>
      </c>
      <c r="R684" s="3" t="inlineStr">
        <is>
          <t>농림지역</t>
        </is>
      </c>
      <c r="S684" s="3" t="inlineStr">
        <is>
          <t>전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223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64000</v>
      </c>
      <c r="G685" s="4" t="n">
        <v>3034</v>
      </c>
      <c r="H685" s="4" t="n">
        <v>918</v>
      </c>
      <c r="I685" s="5" t="n">
        <v>69.7</v>
      </c>
      <c r="J685" s="5" t="n">
        <v>26.8</v>
      </c>
      <c r="K685" s="3" t="inlineStr">
        <is>
          <t>2차선 도로에서 30m 떨어진 계획관리토지로 공장이나 창고추천</t>
        </is>
      </c>
      <c r="L685" s="6">
        <f>HYPERLINK("https://fin.land.naver.com/articles/2648255658", "매물Link")</f>
        <v/>
      </c>
      <c r="M685" s="6">
        <f>HYPERLINK("https://map.naver.com/p/search/부강면 행산리 223", "지도Link")</f>
        <v/>
      </c>
      <c r="N685" s="6">
        <f>HYPERLINK("http://www.eum.go.kr/web/ar/lu/luLandDet.jsp?pnu=3611033022102230000&amp;isNoScr=script&amp;mode=search", "토지이음")</f>
        <v/>
      </c>
      <c r="O685" s="3" t="inlineStr">
        <is>
          <t>연동스카이</t>
        </is>
      </c>
      <c r="P685" s="4" t="n">
        <v>1</v>
      </c>
      <c r="Q685" s="4" t="n">
        <v>2066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부강면 행산리 224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85000</v>
      </c>
      <c r="G686" s="4" t="n">
        <v>1660</v>
      </c>
      <c r="H686" s="4" t="n">
        <v>502</v>
      </c>
      <c r="I686" s="5" t="n">
        <v>169.3</v>
      </c>
      <c r="J686" s="5" t="n">
        <v>34.1</v>
      </c>
      <c r="K686" s="3" t="inlineStr">
        <is>
          <t>세종시 부강면 행산리 2차선 도로변  토지 매매</t>
        </is>
      </c>
      <c r="L686" s="6">
        <f>HYPERLINK("https://fin.land.naver.com/articles/2650697330", "매물Link")</f>
        <v/>
      </c>
      <c r="M686" s="6">
        <f>HYPERLINK("https://map.naver.com/p/search/부강면 행산리 224", "지도Link")</f>
        <v/>
      </c>
      <c r="N686" s="6">
        <f>HYPERLINK("http://www.eum.go.kr/web/ar/lu/luLandDet.jsp?pnu=3611033022102240000&amp;isNoScr=script&amp;mode=search", "토지이음")</f>
        <v/>
      </c>
      <c r="O686" s="3" t="inlineStr">
        <is>
          <t>세종행복한</t>
        </is>
      </c>
      <c r="P686" s="4" t="n">
        <v>1</v>
      </c>
      <c r="Q686" s="4" t="n">
        <v>1660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부강면 행산리 296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196500</v>
      </c>
      <c r="G687" s="4" t="n">
        <v>2713</v>
      </c>
      <c r="H687" s="4" t="n">
        <v>821</v>
      </c>
      <c r="I687" s="5" t="n">
        <v>239.3</v>
      </c>
      <c r="J687" s="5" t="n">
        <v>71.5</v>
      </c>
      <c r="K687" s="3" t="inlineStr">
        <is>
          <t>부강면 계획관리지역 목장용지, 토지 5,143.4제곱미터 매매</t>
        </is>
      </c>
      <c r="L687" s="6">
        <f>HYPERLINK("https://fin.land.naver.com/articles/2648919249", "매물Link")</f>
        <v/>
      </c>
      <c r="M687" s="6">
        <f>HYPERLINK("https://map.naver.com/p/search/부강면 행산리 296", "지도Link")</f>
        <v/>
      </c>
      <c r="N687" s="6">
        <f>HYPERLINK("http://www.eum.go.kr/web/ar/lu/luLandDet.jsp?pnu=3611033022102960000&amp;isNoScr=script&amp;mode=search", "토지이음")</f>
        <v/>
      </c>
      <c r="O687" s="3" t="inlineStr">
        <is>
          <t>진행</t>
        </is>
      </c>
      <c r="P687" s="4" t="n">
        <v>2</v>
      </c>
      <c r="Q687" s="4" t="n">
        <v>2713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부강면 행산리 389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52200</v>
      </c>
      <c r="G688" s="4" t="n">
        <v>1725</v>
      </c>
      <c r="H688" s="4" t="n">
        <v>522</v>
      </c>
      <c r="I688" s="5" t="n">
        <v>100</v>
      </c>
      <c r="J688" s="5" t="n">
        <v>24.8</v>
      </c>
      <c r="K688" s="3" t="inlineStr">
        <is>
          <t>자연취락지구 포함 전원주택 귀촌형 부지 검토</t>
        </is>
      </c>
      <c r="L688" s="6">
        <f>HYPERLINK("https://fin.land.naver.com/articles/2648843558", "매물Link")</f>
        <v/>
      </c>
      <c r="M688" s="6">
        <f>HYPERLINK("https://map.naver.com/p/search/부강면 행산리 389", "지도Link")</f>
        <v/>
      </c>
      <c r="N688" s="6">
        <f>HYPERLINK("http://www.eum.go.kr/web/ar/lu/luLandDet.jsp?pnu=3611033022103890000&amp;isNoScr=script&amp;mode=search", "토지이음")</f>
        <v/>
      </c>
      <c r="O688" s="3" t="inlineStr">
        <is>
          <t>세종소담황금</t>
        </is>
      </c>
      <c r="P688" s="4" t="n">
        <v>1</v>
      </c>
      <c r="Q688" s="4" t="n">
        <v>1725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90000</v>
      </c>
      <c r="G689" s="4" t="n">
        <v>2998</v>
      </c>
      <c r="H689" s="4" t="n">
        <v>907</v>
      </c>
      <c r="I689" s="5" t="n">
        <v>99.2</v>
      </c>
      <c r="J689" s="5" t="n">
        <v>24.8</v>
      </c>
      <c r="K689" s="3" t="inlineStr">
        <is>
          <t>세종시 부강면 5생활권 10분거리 각 3필지(149, 235, 522)</t>
        </is>
      </c>
      <c r="L689" s="6">
        <f>HYPERLINK("https://fin.land.naver.com/articles/2649158860", "매물Link")</f>
        <v/>
      </c>
      <c r="M689" s="6">
        <f>HYPERLINK("https://map.naver.com/p/search/부강면 행산리 389", "지도Link")</f>
        <v/>
      </c>
      <c r="N689" s="6">
        <f>HYPERLINK("http://www.eum.go.kr/web/ar/lu/luLandDet.jsp?pnu=3611033022103890000&amp;isNoScr=script&amp;mode=search", "토지이음")</f>
        <v/>
      </c>
      <c r="O689" s="3" t="inlineStr">
        <is>
          <t>오송k랜드</t>
        </is>
      </c>
      <c r="P689" s="4" t="n">
        <v>1</v>
      </c>
      <c r="Q689" s="4" t="n">
        <v>1725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52000</v>
      </c>
      <c r="G690" s="4" t="n">
        <v>1725</v>
      </c>
      <c r="H690" s="4" t="n">
        <v>522</v>
      </c>
      <c r="I690" s="5" t="n">
        <v>99.59999999999999</v>
      </c>
      <c r="J690" s="5" t="n">
        <v>24.8</v>
      </c>
      <c r="K690" s="3" t="inlineStr">
        <is>
          <t>계획관리지역의 과수원으로 전기 및 인터넷, 상수도 배수시설이 완비된 토지</t>
        </is>
      </c>
      <c r="L690" s="6">
        <f>HYPERLINK("https://fin.land.naver.com/articles/2649861654", "매물Link")</f>
        <v/>
      </c>
      <c r="M690" s="6">
        <f>HYPERLINK("https://map.naver.com/p/search/부강면 행산리 389", "지도Link")</f>
        <v/>
      </c>
      <c r="N690" s="6">
        <f>HYPERLINK("http://www.eum.go.kr/web/ar/lu/luLandDet.jsp?pnu=3611033022103890000&amp;isNoScr=script&amp;mode=search", "토지이음")</f>
        <v/>
      </c>
      <c r="O690" s="3" t="inlineStr">
        <is>
          <t>스마일세종</t>
        </is>
      </c>
      <c r="P690" s="4" t="n">
        <v>2</v>
      </c>
      <c r="Q690" s="4" t="n">
        <v>1725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52000</v>
      </c>
      <c r="G691" s="4" t="n">
        <v>1725</v>
      </c>
      <c r="H691" s="4" t="n">
        <v>522</v>
      </c>
      <c r="I691" s="5" t="n">
        <v>99.59999999999999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HYPERLINK("https://fin.land.naver.com/articles/2649493659", "매물Link")</f>
        <v/>
      </c>
      <c r="M691" s="6">
        <f>HYPERLINK("https://map.naver.com/p/search/부강면 행산리 389", "지도Link")</f>
        <v/>
      </c>
      <c r="N691" s="6">
        <f>HYPERLINK("http://www.eum.go.kr/web/ar/lu/luLandDet.jsp?pnu=3611033022103890000&amp;isNoScr=script&amp;mode=search",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1725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389-3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38500</v>
      </c>
      <c r="G692" s="4" t="n">
        <v>1273</v>
      </c>
      <c r="H692" s="4" t="n">
        <v>385</v>
      </c>
      <c r="I692" s="5" t="n">
        <v>100</v>
      </c>
      <c r="J692" s="5" t="n">
        <v>24.8</v>
      </c>
      <c r="K692" s="3" t="inlineStr">
        <is>
          <t>감나무 블루베리 등이 식재되어 5생활권 5분거리 과수원</t>
        </is>
      </c>
      <c r="L692" s="6">
        <f>HYPERLINK("https://fin.land.naver.com/articles/2646808438", "매물Link")</f>
        <v/>
      </c>
      <c r="M692" s="6">
        <f>HYPERLINK("https://map.naver.com/p/search/부강면 행산리 389-3", "지도Link")</f>
        <v/>
      </c>
      <c r="N692" s="6">
        <f>HYPERLINK("http://www.eum.go.kr/web/ar/lu/luLandDet.jsp?pnu=3611033022103890003&amp;isNoScr=script&amp;mode=search", "토지이음")</f>
        <v/>
      </c>
      <c r="O692" s="3" t="inlineStr">
        <is>
          <t>지성</t>
        </is>
      </c>
      <c r="P692" s="4" t="n">
        <v>1</v>
      </c>
      <c r="Q692" s="4" t="n">
        <v>779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389-3</t>
        </is>
      </c>
      <c r="B693" s="3" t="inlineStr">
        <is>
          <t>계획관리지역</t>
        </is>
      </c>
      <c r="C693" s="3" t="inlineStr">
        <is>
          <t>과수원</t>
        </is>
      </c>
      <c r="D693" s="3" t="inlineStr">
        <is>
          <t>과수원</t>
        </is>
      </c>
      <c r="E693" s="3" t="inlineStr">
        <is>
          <t>매매</t>
        </is>
      </c>
      <c r="F693" s="4" t="n">
        <v>23600</v>
      </c>
      <c r="G693" s="4" t="n">
        <v>779</v>
      </c>
      <c r="H693" s="4" t="n">
        <v>236</v>
      </c>
      <c r="I693" s="5" t="n">
        <v>100</v>
      </c>
      <c r="J693" s="5" t="n">
        <v>24.8</v>
      </c>
      <c r="K693" s="3" t="inlineStr">
        <is>
          <t>계획관리지역의 과수원으로 농촌 체류형 쉼터나 공방 및 전원주택지로 좋은</t>
        </is>
      </c>
      <c r="L693" s="6">
        <f>HYPERLINK("https://fin.land.naver.com/articles/2650242112", "매물Link")</f>
        <v/>
      </c>
      <c r="M693" s="6">
        <f>HYPERLINK("https://map.naver.com/p/search/부강면 행산리 389-3", "지도Link")</f>
        <v/>
      </c>
      <c r="N693" s="6">
        <f>HYPERLINK("http://www.eum.go.kr/web/ar/lu/luLandDet.jsp?pnu=3611033022103890003&amp;isNoScr=script&amp;mode=search", "토지이음")</f>
        <v/>
      </c>
      <c r="O693" s="3" t="inlineStr">
        <is>
          <t>스마일세종</t>
        </is>
      </c>
      <c r="P693" s="4" t="n">
        <v>1</v>
      </c>
      <c r="Q693" s="4" t="n">
        <v>779</v>
      </c>
      <c r="R693" s="3" t="inlineStr">
        <is>
          <t>지정되지않음</t>
        </is>
      </c>
      <c r="S693" s="3" t="inlineStr">
        <is>
          <t>과수원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389-3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23600</v>
      </c>
      <c r="G694" s="4" t="n">
        <v>779</v>
      </c>
      <c r="H694" s="4" t="n">
        <v>236</v>
      </c>
      <c r="I694" s="5" t="n">
        <v>100</v>
      </c>
      <c r="J694" s="5" t="n">
        <v>24.8</v>
      </c>
      <c r="K694" s="3" t="inlineStr">
        <is>
          <t>급매,도로접한 계획관리지역,다용도 사용목적 가능,투자용 추천</t>
        </is>
      </c>
      <c r="L694" s="6">
        <f>HYPERLINK("https://fin.land.naver.com/articles/2649114293", "매물Link")</f>
        <v/>
      </c>
      <c r="M694" s="6">
        <f>HYPERLINK("https://map.naver.com/p/search/부강면 행산리 389-3", "지도Link")</f>
        <v/>
      </c>
      <c r="N694" s="6">
        <f>HYPERLINK("http://www.eum.go.kr/web/ar/lu/luLandDet.jsp?pnu=3611033022103890003&amp;isNoScr=script&amp;mode=search", "토지이음")</f>
        <v/>
      </c>
      <c r="O694" s="3" t="inlineStr">
        <is>
          <t>고운맘</t>
        </is>
      </c>
      <c r="P694" s="4" t="n">
        <v>1</v>
      </c>
      <c r="Q694" s="4" t="n">
        <v>779</v>
      </c>
      <c r="R694" s="3" t="inlineStr">
        <is>
          <t>지정되지않음</t>
        </is>
      </c>
      <c r="S694" s="3" t="inlineStr">
        <is>
          <t>과수원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부강면 행산리 389-4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15000</v>
      </c>
      <c r="G695" s="4" t="n">
        <v>494</v>
      </c>
      <c r="H695" s="4" t="n">
        <v>149</v>
      </c>
      <c r="I695" s="5" t="n">
        <v>100.7</v>
      </c>
      <c r="J695" s="5" t="n">
        <v>24.8</v>
      </c>
      <c r="K695" s="3" t="inlineStr">
        <is>
          <t>급매 계획관리지역의 과수원으로 전원주택이나 체류형쉼터 공방 등으로 이용</t>
        </is>
      </c>
      <c r="L695" s="6">
        <f>HYPERLINK("https://fin.land.naver.com/articles/2650250528", "매물Link")</f>
        <v/>
      </c>
      <c r="M695" s="6">
        <f>HYPERLINK("https://map.naver.com/p/search/부강면 행산리 389-4", "지도Link")</f>
        <v/>
      </c>
      <c r="N695" s="6">
        <f>HYPERLINK("http://www.eum.go.kr/web/ar/lu/luLandDet.jsp?pnu=3611033022103890004&amp;isNoScr=script&amp;mode=search", "토지이음")</f>
        <v/>
      </c>
      <c r="O695" s="3" t="inlineStr">
        <is>
          <t>스마일세종</t>
        </is>
      </c>
      <c r="P695" s="4" t="n">
        <v>3</v>
      </c>
      <c r="Q695" s="4" t="n">
        <v>494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부강면 행산리 389-4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15000</v>
      </c>
      <c r="G696" s="4" t="n">
        <v>494</v>
      </c>
      <c r="H696" s="4" t="n">
        <v>149</v>
      </c>
      <c r="I696" s="5" t="n">
        <v>100.7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HYPERLINK("https://fin.land.naver.com/articles/2649114004", "매물Link")</f>
        <v/>
      </c>
      <c r="M696" s="6">
        <f>HYPERLINK("https://map.naver.com/p/search/부강면 행산리 389-4", "지도Link")</f>
        <v/>
      </c>
      <c r="N696" s="6">
        <f>HYPERLINK("http://www.eum.go.kr/web/ar/lu/luLandDet.jsp?pnu=3611033022103890004&amp;isNoScr=script&amp;mode=search",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494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393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82000</v>
      </c>
      <c r="G697" s="4" t="n">
        <v>8984</v>
      </c>
      <c r="H697" s="4" t="n">
        <v>2718</v>
      </c>
      <c r="I697" s="5" t="n">
        <v>30.2</v>
      </c>
      <c r="J697" s="5" t="n">
        <v>19.6</v>
      </c>
      <c r="K697" s="3" t="inlineStr">
        <is>
          <t>nan</t>
        </is>
      </c>
      <c r="L697" s="6">
        <f>HYPERLINK("https://fin.land.naver.com/articles/2650179359", "매물Link")</f>
        <v/>
      </c>
      <c r="M697" s="6">
        <f>HYPERLINK("https://map.naver.com/p/search/부강면 행산리 393", "지도Link")</f>
        <v/>
      </c>
      <c r="N697" s="6">
        <f>HYPERLINK("http://www.eum.go.kr/web/ar/lu/luLandDet.jsp?pnu=3611033022103930000&amp;isNoScr=script&amp;mode=search",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3269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447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24800</v>
      </c>
      <c r="G698" s="4" t="n">
        <v>1490</v>
      </c>
      <c r="H698" s="4" t="n">
        <v>451</v>
      </c>
      <c r="I698" s="5" t="n">
        <v>55</v>
      </c>
      <c r="J698" s="5" t="n">
        <v>18.3</v>
      </c>
      <c r="K698" s="3" t="inlineStr">
        <is>
          <t>대토농지로 추천</t>
        </is>
      </c>
      <c r="L698" s="6">
        <f>HYPERLINK("https://fin.land.naver.com/articles/2646383096", "매물Link")</f>
        <v/>
      </c>
      <c r="M698" s="6">
        <f>HYPERLINK("https://map.naver.com/p/search/부강면 행산리 447", "지도Link")</f>
        <v/>
      </c>
      <c r="N698" s="6">
        <f>HYPERLINK("http://www.eum.go.kr/web/ar/lu/luLandDet.jsp?pnu=3611033022104470000&amp;isNoScr=script&amp;mode=search",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1490.7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448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280000</v>
      </c>
      <c r="G699" s="4" t="n">
        <v>9281</v>
      </c>
      <c r="H699" s="4" t="n">
        <v>2808</v>
      </c>
      <c r="I699" s="5" t="n">
        <v>99.7</v>
      </c>
      <c r="J699" s="5" t="n">
        <v>18.3</v>
      </c>
      <c r="K699" s="3" t="inlineStr">
        <is>
          <t>2차선도로접하고 인근각종개발예정으로 투자용최적</t>
        </is>
      </c>
      <c r="L699" s="6">
        <f>HYPERLINK("https://fin.land.naver.com/articles/2651042297", "매물Link")</f>
        <v/>
      </c>
      <c r="M699" s="6">
        <f>HYPERLINK("https://map.naver.com/p/search/부강면 행산리 448", "지도Link")</f>
        <v/>
      </c>
      <c r="N699" s="6">
        <f>HYPERLINK("http://www.eum.go.kr/web/ar/lu/luLandDet.jsp?pnu=3611033022104480000&amp;isNoScr=script&amp;mode=search", "토지이음")</f>
        <v/>
      </c>
      <c r="O699" s="3" t="inlineStr">
        <is>
          <t>원내</t>
        </is>
      </c>
      <c r="P699" s="4" t="n">
        <v>3</v>
      </c>
      <c r="Q699" s="4" t="n">
        <v>7790.7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부강면 행산리 448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7791</v>
      </c>
      <c r="H700" s="4" t="n">
        <v>2357</v>
      </c>
      <c r="I700" s="5" t="n">
        <v>55.2</v>
      </c>
      <c r="J700" s="5" t="n">
        <v>18.3</v>
      </c>
      <c r="K700" s="3" t="inlineStr">
        <is>
          <t>세종시5생활권입접.대규모농지.인접447번지와동시매매가능.장기투자목적</t>
        </is>
      </c>
      <c r="L700" s="6">
        <f>HYPERLINK("https://fin.land.naver.com/articles/2649221277", "매물Link")</f>
        <v/>
      </c>
      <c r="M700" s="6">
        <f>HYPERLINK("https://map.naver.com/p/search/부강면 행산리 448", "지도Link")</f>
        <v/>
      </c>
      <c r="N700" s="6">
        <f>HYPERLINK("http://www.eum.go.kr/web/ar/lu/luLandDet.jsp?pnu=3611033022104480000&amp;isNoScr=script&amp;mode=search", "토지이음")</f>
        <v/>
      </c>
      <c r="O700" s="3" t="inlineStr">
        <is>
          <t>돈방석</t>
        </is>
      </c>
      <c r="P700" s="4" t="n">
        <v>3</v>
      </c>
      <c r="Q700" s="4" t="n">
        <v>7790.7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부강면 행산리 552</t>
        </is>
      </c>
      <c r="B701" s="3" t="inlineStr">
        <is>
          <t>농림지역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38000</v>
      </c>
      <c r="G701" s="4" t="n">
        <v>2853</v>
      </c>
      <c r="H701" s="4" t="n">
        <v>863</v>
      </c>
      <c r="I701" s="5" t="n">
        <v>44</v>
      </c>
      <c r="J701" s="5" t="n">
        <v>16.9</v>
      </c>
      <c r="K701" s="3" t="inlineStr">
        <is>
          <t>급매물 입니다 평당 45만원 입니다.</t>
        </is>
      </c>
      <c r="L701" s="6">
        <f>HYPERLINK("https://fin.land.naver.com/articles/2649632999", "매물Link")</f>
        <v/>
      </c>
      <c r="M701" s="6">
        <f>HYPERLINK("https://map.naver.com/p/search/부강면 행산리 552", "지도Link")</f>
        <v/>
      </c>
      <c r="N701" s="6">
        <f>HYPERLINK("http://www.eum.go.kr/web/ar/lu/luLandDet.jsp?pnu=3611033022105520000&amp;isNoScr=script&amp;mode=search", "토지이음")</f>
        <v/>
      </c>
      <c r="O701" s="3" t="inlineStr">
        <is>
          <t>승미</t>
        </is>
      </c>
      <c r="P701" s="4" t="n">
        <v>2</v>
      </c>
      <c r="Q701" s="4" t="n">
        <v>2853.3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세로한면(가)</t>
        </is>
      </c>
    </row>
    <row r="702">
      <c r="A702" s="3" t="inlineStr">
        <is>
          <t>부강면 행산리 615</t>
        </is>
      </c>
      <c r="B702" s="3" t="inlineStr">
        <is>
          <t>농림지역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57600</v>
      </c>
      <c r="G702" s="4" t="n">
        <v>1871</v>
      </c>
      <c r="H702" s="4" t="n">
        <v>566</v>
      </c>
      <c r="I702" s="5" t="n">
        <v>101.8</v>
      </c>
      <c r="J702" s="5" t="n">
        <v>18.1</v>
      </c>
      <c r="K702" s="3" t="inlineStr">
        <is>
          <t>급매 아스콘 포장도로에 길게 접한 농림지역의 답으로 농업용 창고나 투자용</t>
        </is>
      </c>
      <c r="L702" s="6">
        <f>HYPERLINK("https://fin.land.naver.com/articles/2650731936", "매물Link")</f>
        <v/>
      </c>
      <c r="M702" s="6">
        <f>HYPERLINK("https://map.naver.com/p/search/부강면 행산리 615", "지도Link")</f>
        <v/>
      </c>
      <c r="N702" s="6">
        <f>HYPERLINK("http://www.eum.go.kr/web/ar/lu/luLandDet.jsp?pnu=3611033022106150000&amp;isNoScr=script&amp;mode=search", "토지이음")</f>
        <v/>
      </c>
      <c r="O702" s="3" t="inlineStr">
        <is>
          <t>스마일세종</t>
        </is>
      </c>
      <c r="P702" s="4" t="n">
        <v>5</v>
      </c>
      <c r="Q702" s="4" t="n">
        <v>1871.1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부강면 행산리 615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57000</v>
      </c>
      <c r="G703" s="4" t="n">
        <v>1871</v>
      </c>
      <c r="H703" s="4" t="n">
        <v>566</v>
      </c>
      <c r="I703" s="5" t="n">
        <v>100.7</v>
      </c>
      <c r="J703" s="5" t="n">
        <v>18.1</v>
      </c>
      <c r="K703" s="3" t="inlineStr">
        <is>
          <t>농업인주택 및 경작용 토지매매</t>
        </is>
      </c>
      <c r="L703" s="6">
        <f>HYPERLINK("https://fin.land.naver.com/articles/2646698782", "매물Link")</f>
        <v/>
      </c>
      <c r="M703" s="6">
        <f>HYPERLINK("https://map.naver.com/p/search/부강면 행산리 615", "지도Link")</f>
        <v/>
      </c>
      <c r="N703" s="6">
        <f>HYPERLINK("http://www.eum.go.kr/web/ar/lu/luLandDet.jsp?pnu=3611033022106150000&amp;isNoScr=script&amp;mode=search", "토지이음")</f>
        <v/>
      </c>
      <c r="O703" s="3" t="inlineStr">
        <is>
          <t>광장</t>
        </is>
      </c>
      <c r="P703" s="4" t="n">
        <v>1</v>
      </c>
      <c r="Q703" s="4" t="n">
        <v>1871.1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행산리 산65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18300</v>
      </c>
      <c r="G704" s="4" t="n">
        <v>6236</v>
      </c>
      <c r="H704" s="4" t="n">
        <v>1886</v>
      </c>
      <c r="I704" s="5" t="n">
        <v>9.699999999999999</v>
      </c>
      <c r="J704" s="5" t="n">
        <v>2.6</v>
      </c>
      <c r="K704" s="3" t="inlineStr">
        <is>
          <t>현황도로 접, 뽕나무 등 식재, 자연인  이나 휴식용공간으로 추천</t>
        </is>
      </c>
      <c r="L704" s="6">
        <f>HYPERLINK("https://fin.land.naver.com/articles/2649547090", "매물Link")</f>
        <v/>
      </c>
      <c r="M704" s="6">
        <f>HYPERLINK("https://map.naver.com/p/search/부강면 행산리 산65", "지도Link")</f>
        <v/>
      </c>
      <c r="N704" s="6">
        <f>HYPERLINK("http://www.eum.go.kr/web/ar/lu/luLandDet.jsp?pnu=3611033022200650000&amp;isNoScr=script&amp;mode=search", "토지이음")</f>
        <v/>
      </c>
      <c r="O704" s="3" t="inlineStr">
        <is>
          <t>박단아사사무소</t>
        </is>
      </c>
      <c r="P704" s="4" t="n">
        <v>1</v>
      </c>
      <c r="Q704" s="4" t="n">
        <v>6236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아름동 1016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51000</v>
      </c>
      <c r="G705" s="4" t="n">
        <v>291</v>
      </c>
      <c r="H705" s="4" t="n">
        <v>88</v>
      </c>
      <c r="I705" s="5" t="n">
        <v>579.5</v>
      </c>
      <c r="J705" s="5" t="n">
        <v>331.9</v>
      </c>
      <c r="K705" s="3" t="inlineStr">
        <is>
          <t>동문에 남향 집 지을 수 있는 땅</t>
        </is>
      </c>
      <c r="L705" s="6">
        <f>HYPERLINK("https://fin.land.naver.com/articles/2645974540", "매물Link")</f>
        <v/>
      </c>
      <c r="M705" s="6">
        <f>HYPERLINK("https://map.naver.com/p/search/아름동 1016", "지도Link")</f>
        <v/>
      </c>
      <c r="N705" s="6">
        <f>HYPERLINK("http://www.eum.go.kr/web/ar/lu/luLandDet.jsp?pnu=3611011300110160000&amp;isNoScr=script&amp;mode=search", "토지이음")</f>
        <v/>
      </c>
      <c r="O705" s="3" t="inlineStr">
        <is>
          <t>세종다정랜드</t>
        </is>
      </c>
      <c r="P705" s="4" t="n">
        <v>1</v>
      </c>
      <c r="Q705" s="4" t="n">
        <v>291.5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아름동 1037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331</v>
      </c>
      <c r="H706" s="4" t="n">
        <v>100</v>
      </c>
      <c r="I706" s="5" t="n">
        <v>650</v>
      </c>
      <c r="J706" s="5" t="n">
        <v>335.5</v>
      </c>
      <c r="K706" s="3" t="inlineStr">
        <is>
          <t>전용100.5p, 국제고인근, 아름동 단독주택지</t>
        </is>
      </c>
      <c r="L706" s="6">
        <f>HYPERLINK("https://fin.land.naver.com/articles/2646694903", "매물Link")</f>
        <v/>
      </c>
      <c r="M706" s="6">
        <f>HYPERLINK("https://map.naver.com/p/search/아름동 1037", "지도Link")</f>
        <v/>
      </c>
      <c r="N706" s="6">
        <f>HYPERLINK("http://www.eum.go.kr/web/ar/lu/luLandDet.jsp?pnu=3611011300110370000&amp;isNoScr=script&amp;mode=search",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331.9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1037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331</v>
      </c>
      <c r="H707" s="4" t="n">
        <v>100</v>
      </c>
      <c r="I707" s="5" t="n">
        <v>650</v>
      </c>
      <c r="J707" s="5" t="n">
        <v>335.5</v>
      </c>
      <c r="K707" s="3" t="inlineStr">
        <is>
          <t>총 100.5p, 위치좋은 아름동 단독주택지 토지</t>
        </is>
      </c>
      <c r="L707" s="6">
        <f>HYPERLINK("https://fin.land.naver.com/articles/2649022307", "매물Link")</f>
        <v/>
      </c>
      <c r="M707" s="6">
        <f>HYPERLINK("https://map.naver.com/p/search/아름동 1037", "지도Link")</f>
        <v/>
      </c>
      <c r="N707" s="6">
        <f>HYPERLINK("http://www.eum.go.kr/web/ar/lu/luLandDet.jsp?pnu=3611011300110370000&amp;isNoScr=script&amp;mode=search",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331.9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1049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363</v>
      </c>
      <c r="H708" s="4" t="n">
        <v>110</v>
      </c>
      <c r="I708" s="5" t="n">
        <v>754.5</v>
      </c>
      <c r="J708" s="5" t="n">
        <v>366.6</v>
      </c>
      <c r="K708" s="3" t="inlineStr">
        <is>
          <t>코너각지, 위치와 접근성 좋은 전원주택지</t>
        </is>
      </c>
      <c r="L708" s="6">
        <f>HYPERLINK("https://fin.land.naver.com/articles/2648804023", "매물Link")</f>
        <v/>
      </c>
      <c r="M708" s="6">
        <f>HYPERLINK("https://map.naver.com/p/search/아름동 1049", "지도Link")</f>
        <v/>
      </c>
      <c r="N708" s="6">
        <f>HYPERLINK("http://www.eum.go.kr/web/ar/lu/luLandDet.jsp?pnu=3611011300110490000&amp;isNoScr=script&amp;mode=search", "토지이음")</f>
        <v/>
      </c>
      <c r="O708" s="3" t="inlineStr">
        <is>
          <t>부엉이</t>
        </is>
      </c>
      <c r="P708" s="4" t="n">
        <v>1</v>
      </c>
      <c r="Q708" s="4" t="n">
        <v>363.6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아름동 1079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357</v>
      </c>
      <c r="H709" s="4" t="n">
        <v>108</v>
      </c>
      <c r="I709" s="5" t="n">
        <v>601.9</v>
      </c>
      <c r="J709" s="5" t="n">
        <v>353.1</v>
      </c>
      <c r="K709" s="3" t="inlineStr">
        <is>
          <t>위치최상 벙커주차장가능 언덕 탁트인시야</t>
        </is>
      </c>
      <c r="L709" s="6">
        <f>HYPERLINK("https://fin.land.naver.com/articles/2648042320", "매물Link")</f>
        <v/>
      </c>
      <c r="M709" s="6">
        <f>HYPERLINK("https://map.naver.com/p/search/아름동 1079", "지도Link")</f>
        <v/>
      </c>
      <c r="N709" s="6">
        <f>HYPERLINK("http://www.eum.go.kr/web/ar/lu/luLandDet.jsp?pnu=3611011300110790000&amp;isNoScr=script&amp;mode=search",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357.1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108.9p, 사거리 코너자리, 아름동 최고입지</t>
        </is>
      </c>
      <c r="L710" s="6">
        <f>HYPERLINK("https://fin.land.naver.com/articles/2648835394",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83000</v>
      </c>
      <c r="G711" s="4" t="n">
        <v>359</v>
      </c>
      <c r="H711" s="4" t="n">
        <v>109</v>
      </c>
      <c r="I711" s="5" t="n">
        <v>761.5</v>
      </c>
      <c r="J711" s="5" t="n">
        <v>373.9</v>
      </c>
      <c r="K711" s="3" t="inlineStr">
        <is>
          <t>총 108.9p, 사거리코너 위치좋은 입지</t>
        </is>
      </c>
      <c r="L711" s="6">
        <f>HYPERLINK("https://fin.land.naver.com/articles/2647422006", "매물Link")</f>
        <v/>
      </c>
      <c r="M711" s="6">
        <f>HYPERLINK("https://map.naver.com/p/search/아름동 1116", "지도Link")</f>
        <v/>
      </c>
      <c r="N711" s="6">
        <f>HYPERLINK("http://www.eum.go.kr/web/ar/lu/luLandDet.jsp?pnu=3611011300111160000&amp;isNoScr=script&amp;mode=search",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359.5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57000</v>
      </c>
      <c r="G712" s="4" t="n">
        <v>327</v>
      </c>
      <c r="H712" s="4" t="n">
        <v>99</v>
      </c>
      <c r="I712" s="5" t="n">
        <v>575.8</v>
      </c>
      <c r="J712" s="5" t="n">
        <v>373.9</v>
      </c>
      <c r="K712" s="3" t="inlineStr">
        <is>
          <t>코너 정남향 위치최상 조율가능</t>
        </is>
      </c>
      <c r="L712" s="6">
        <f>HYPERLINK("https://fin.land.naver.com/articles/2645720959", "매물Link")</f>
        <v/>
      </c>
      <c r="M712" s="6">
        <f>HYPERLINK("https://map.naver.com/p/search/아름동 1118", "지도Link")</f>
        <v/>
      </c>
      <c r="N712" s="6">
        <f>HYPERLINK("http://www.eum.go.kr/web/ar/lu/luLandDet.jsp?pnu=3611011300111180000&amp;isNoScr=script&amp;mode=search",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327.4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355</v>
      </c>
      <c r="H713" s="4" t="n">
        <v>107</v>
      </c>
      <c r="I713" s="5" t="n">
        <v>560.7</v>
      </c>
      <c r="J713" s="5" t="n">
        <v>373.9</v>
      </c>
      <c r="K713" s="3" t="inlineStr">
        <is>
          <t>공원옆 큰평수 추가조율가능</t>
        </is>
      </c>
      <c r="L713" s="6">
        <f>HYPERLINK("https://fin.land.naver.com/articles/2646401136", "매물Link")</f>
        <v/>
      </c>
      <c r="M713" s="6">
        <f>HYPERLINK("https://map.naver.com/p/search/아름동 1121", "지도Link")</f>
        <v/>
      </c>
      <c r="N713" s="6">
        <f>HYPERLINK("http://www.eum.go.kr/web/ar/lu/luLandDet.jsp?pnu=3611011300111210000&amp;isNoScr=script&amp;mode=search",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355.4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충대병원 인근 가격 좋은 토지, 조율도 가능</t>
        </is>
      </c>
      <c r="L714" s="6">
        <f>HYPERLINK("https://fin.land.naver.com/articles/2650429475",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97.6p, 충대병원 인근 토지 급매, 조율도가능</t>
        </is>
      </c>
      <c r="L715" s="6">
        <f>HYPERLINK("https://fin.land.naver.com/articles/2647420786",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HYPERLINK("https://fin.land.naver.com/articles/2651133638",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342</v>
      </c>
      <c r="H718" s="4" t="n">
        <v>103</v>
      </c>
      <c r="I718" s="5" t="n">
        <v>679.6</v>
      </c>
      <c r="J718" s="5" t="n">
        <v>356.4</v>
      </c>
      <c r="K718" s="3" t="inlineStr">
        <is>
          <t>야산을 품은 아름동 단독주택지</t>
        </is>
      </c>
      <c r="L718" s="6">
        <f>HYPERLINK("https://fin.land.naver.com/articles/2647620395", "매물Link")</f>
        <v/>
      </c>
      <c r="M718" s="6">
        <f>HYPERLINK("https://map.naver.com/p/search/아름동 1154", "지도Link")</f>
        <v/>
      </c>
      <c r="N718" s="6">
        <f>HYPERLINK("http://www.eum.go.kr/web/ar/lu/luLandDet.jsp?pnu=3611011300111540000&amp;isNoScr=script&amp;mode=search", "토지이음")</f>
        <v/>
      </c>
      <c r="O718" s="3" t="inlineStr">
        <is>
          <t>킹세종</t>
        </is>
      </c>
      <c r="P718" s="4" t="n">
        <v>2</v>
      </c>
      <c r="Q718" s="4" t="n">
        <v>342.4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조용한 단독주택지, 공원 인근, 높은 지대</t>
        </is>
      </c>
      <c r="L719" s="6">
        <f>HYPERLINK("https://fin.land.naver.com/articles/2645653281",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1160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71000</v>
      </c>
      <c r="G720" s="4" t="n">
        <v>365</v>
      </c>
      <c r="H720" s="4" t="n">
        <v>110</v>
      </c>
      <c r="I720" s="5" t="n">
        <v>645.5</v>
      </c>
      <c r="J720" s="5" t="n">
        <v>402.6</v>
      </c>
      <c r="K720" s="3" t="inlineStr">
        <is>
          <t>nan</t>
        </is>
      </c>
      <c r="L720" s="6">
        <f>HYPERLINK("https://fin.land.naver.com/articles/2649329264", "매물Link")</f>
        <v/>
      </c>
      <c r="M720" s="6">
        <f>HYPERLINK("https://map.naver.com/p/search/아름동 1160", "지도Link")</f>
        <v/>
      </c>
      <c r="N720" s="6">
        <f>HYPERLINK("http://www.eum.go.kr/web/ar/lu/luLandDet.jsp?pnu=3611011300111600000&amp;isNoScr=script&amp;mode=search", "토지이음")</f>
        <v/>
      </c>
      <c r="O720" s="3" t="inlineStr">
        <is>
          <t>국제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1163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180000</v>
      </c>
      <c r="G721" s="4" t="n">
        <v>293</v>
      </c>
      <c r="H721" s="4" t="n">
        <v>89</v>
      </c>
      <c r="I721" s="5" t="n">
        <v>2022.5</v>
      </c>
      <c r="J721" s="5" t="n">
        <v>734.2</v>
      </c>
      <c r="K721" s="3" t="inlineStr">
        <is>
          <t>충대병원, 약국추천자리, 근생토지, 대로변 노출 좋은 자리</t>
        </is>
      </c>
      <c r="L721" s="6">
        <f>HYPERLINK("https://fin.land.naver.com/articles/2645549673", "매물Link")</f>
        <v/>
      </c>
      <c r="M721" s="6">
        <f>HYPERLINK("https://map.naver.com/p/search/아름동 1163", "지도Link")</f>
        <v/>
      </c>
      <c r="N721" s="6">
        <f>HYPERLINK("http://www.eum.go.kr/web/ar/lu/luLandDet.jsp?pnu=3611011300111630000&amp;isNoScr=script&amp;mode=search",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293.7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대로변 코너 노출 좋은 입지좋은 근생 토지 매매</t>
        </is>
      </c>
      <c r="L722" s="6">
        <f>HYPERLINK("https://fin.land.naver.com/articles/2645544961",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충대병원 인접한 아름동 근생용지, 약국위치로 좋아요</t>
        </is>
      </c>
      <c r="L723" s="6">
        <f>HYPERLINK("https://fin.land.naver.com/articles/2650939008",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근생용지, 도로변 광고효과 및 상권우수, 조율가능</t>
        </is>
      </c>
      <c r="L724" s="6">
        <f>HYPERLINK("https://fin.land.naver.com/articles/2651035239",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한방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150000</v>
      </c>
      <c r="G725" s="4" t="n">
        <v>317</v>
      </c>
      <c r="H725" s="4" t="n">
        <v>96</v>
      </c>
      <c r="I725" s="5" t="n">
        <v>1562.5</v>
      </c>
      <c r="J725" s="5" t="n">
        <v>724</v>
      </c>
      <c r="K725" s="3" t="inlineStr">
        <is>
          <t>아름동 대로변 근생용지, 96.1p</t>
        </is>
      </c>
      <c r="L725" s="6">
        <f>HYPERLINK("https://fin.land.naver.com/articles/2646696611",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145000</v>
      </c>
      <c r="G726" s="4" t="n">
        <v>317</v>
      </c>
      <c r="H726" s="4" t="n">
        <v>96</v>
      </c>
      <c r="I726" s="5" t="n">
        <v>1510.4</v>
      </c>
      <c r="J726" s="5" t="n">
        <v>724</v>
      </c>
      <c r="K726" s="3" t="inlineStr">
        <is>
          <t>근린생활시설 용지로서 대단위 아파트 전면에 위치하여 최고의 상권</t>
        </is>
      </c>
      <c r="L726" s="6">
        <f>HYPERLINK("https://fin.land.naver.com/articles/2646095737",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대우마을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96.1p, 근생용지, 도로변 위치 굿, 건축허가완료</t>
        </is>
      </c>
      <c r="L727" s="6">
        <f>HYPERLINK("https://fin.land.naver.com/articles/2647421008",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총 109.3p, 사거리코너자리, 충대병원 인접 토지</t>
        </is>
      </c>
      <c r="L729" s="6">
        <f>HYPERLINK("https://fin.land.naver.com/articles/2648139112",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사거리 코너입지 최고, 조율도 가능</t>
        </is>
      </c>
      <c r="L730" s="6">
        <f>HYPERLINK("https://fin.land.naver.com/articles/2648832400",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HYPERLINK("https://fin.land.naver.com/articles/2650482125",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급매, 110.7p, 아름초인접, 범지기10단지인근</t>
        </is>
      </c>
      <c r="L736" s="6">
        <f>HYPERLINK("https://fin.land.naver.com/articles/2648905337",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1256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354</v>
      </c>
      <c r="H738" s="4" t="n">
        <v>107</v>
      </c>
      <c r="I738" s="5" t="n">
        <v>654.2</v>
      </c>
      <c r="J738" s="5" t="n">
        <v>343.1</v>
      </c>
      <c r="K738" s="3" t="inlineStr">
        <is>
          <t>총 107.4p, 아름초인근, 위치좋은 단독주택지 추천</t>
        </is>
      </c>
      <c r="L738" s="6">
        <f>HYPERLINK("https://fin.land.naver.com/articles/2645651733", "매물Link")</f>
        <v/>
      </c>
      <c r="M738" s="6">
        <f>HYPERLINK("https://map.naver.com/p/search/아름동 1256", "지도Link")</f>
        <v/>
      </c>
      <c r="N738" s="6">
        <f>HYPERLINK("http://www.eum.go.kr/web/ar/lu/luLandDet.jsp?pnu=3611011300112560000&amp;isNoScr=script&amp;mode=search",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354.3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353</v>
      </c>
      <c r="H739" s="4" t="n">
        <v>107</v>
      </c>
      <c r="I739" s="5" t="n">
        <v>654.2</v>
      </c>
      <c r="J739" s="5" t="n">
        <v>343.1</v>
      </c>
      <c r="K739" s="3" t="inlineStr">
        <is>
          <t>초등학교인접, 대단지 맞은편 아름동 단독주택</t>
        </is>
      </c>
      <c r="L739" s="6">
        <f>HYPERLINK("https://fin.land.naver.com/articles/2650427506",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1365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52000</v>
      </c>
      <c r="G740" s="4" t="n">
        <v>342</v>
      </c>
      <c r="H740" s="4" t="n">
        <v>103</v>
      </c>
      <c r="I740" s="5" t="n">
        <v>504.9</v>
      </c>
      <c r="J740" s="5" t="n">
        <v>380.5</v>
      </c>
      <c r="K740" s="3" t="inlineStr">
        <is>
          <t>총 103.7p, 아름동 삼거리 코너, 아파트 단지 근처</t>
        </is>
      </c>
      <c r="L740" s="6">
        <f>HYPERLINK("https://fin.land.naver.com/articles/2646696239", "매물Link")</f>
        <v/>
      </c>
      <c r="M740" s="6">
        <f>HYPERLINK("https://map.naver.com/p/search/아름동 1365", "지도Link")</f>
        <v/>
      </c>
      <c r="N740" s="6">
        <f>HYPERLINK("http://www.eum.go.kr/web/ar/lu/luLandDet.jsp?pnu=3611011300113650000&amp;isNoScr=script&amp;mode=search",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342.1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중로각지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코너각지,아름동학원가인접,상가이용편리,초등학교인접</t>
        </is>
      </c>
      <c r="L741" s="6">
        <f>HYPERLINK("https://fin.land.naver.com/articles/2650959697",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똑똑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103.7p, 삼거리 코너자리, 왼쪽 토지 활용도 높은 좋은 위치</t>
        </is>
      </c>
      <c r="L742" s="6">
        <f>HYPERLINK("https://fin.land.naver.com/articles/2648904182",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1370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363</v>
      </c>
      <c r="H743" s="4" t="n">
        <v>110</v>
      </c>
      <c r="I743" s="5" t="n">
        <v>545.5</v>
      </c>
      <c r="J743" s="5" t="n">
        <v>338.2</v>
      </c>
      <c r="K743" s="3" t="inlineStr">
        <is>
          <t>아름동 단독주택 토지매매, 위치 좋은 자리</t>
        </is>
      </c>
      <c r="L743" s="6">
        <f>HYPERLINK("https://fin.land.naver.com/articles/2649577908", "매물Link")</f>
        <v/>
      </c>
      <c r="M743" s="6">
        <f>HYPERLINK("https://map.naver.com/p/search/아름동 1370", "지도Link")</f>
        <v/>
      </c>
      <c r="N743" s="6">
        <f>HYPERLINK("http://www.eum.go.kr/web/ar/lu/luLandDet.jsp?pnu=3611011300113700000&amp;isNoScr=script&amp;mode=search",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365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66000</v>
      </c>
      <c r="G745" s="4" t="n">
        <v>365</v>
      </c>
      <c r="H745" s="4" t="n">
        <v>110</v>
      </c>
      <c r="I745" s="5" t="n">
        <v>600</v>
      </c>
      <c r="J745" s="5" t="n">
        <v>338.2</v>
      </c>
      <c r="K745" s="3" t="inlineStr">
        <is>
          <t>(급매) 단독주택 건축을 고려하시면 추천합니다.</t>
        </is>
      </c>
      <c r="L745" s="6">
        <f>HYPERLINK("https://fin.land.naver.com/articles/2650054888",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리치빌아주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급매, 총 91p, 삼거리코너, 아파트 단지 밑</t>
        </is>
      </c>
      <c r="L748" s="6">
        <f>HYPERLINK("https://fin.land.naver.com/articles/2646695404",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아름동 11단지 아파트 앞 단독주택지 토지.</t>
        </is>
      </c>
      <c r="L749" s="6">
        <f>HYPERLINK("https://fin.land.naver.com/articles/2646521764",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다정현대</t>
        </is>
      </c>
      <c r="P749" s="4" t="n">
        <v>2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nan</t>
        </is>
      </c>
      <c r="L750" s="6">
        <f>HYPERLINK("https://fin.land.naver.com/articles/2650317055",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아름</t>
        </is>
      </c>
      <c r="P750" s="4" t="n">
        <v>11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D8중 최저가.네고 가능.초,중,고 가깝고,마트.교통까지 편리</t>
        </is>
      </c>
      <c r="L751" s="6">
        <f>HYPERLINK("https://fin.land.naver.com/articles/2650707273",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수자인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HYPERLINK("https://fin.land.naver.com/articles/2650559948",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세종지원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92.1p, 초급매, 가격조율가능, 코너최고자리</t>
        </is>
      </c>
      <c r="L756" s="6">
        <f>HYPERLINK("https://fin.land.naver.com/articles/2649024607",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코너각지 홈플러스인근 아름동학원가 인접 조율가능</t>
        </is>
      </c>
      <c r="L757" s="6">
        <f>HYPERLINK("https://fin.land.naver.com/articles/2648615417",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접근성 좋은 아름동 택지</t>
        </is>
      </c>
      <c r="L761" s="6">
        <f>HYPERLINK("https://fin.land.naver.com/articles/2646824248",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강아지풀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1452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55000</v>
      </c>
      <c r="G762" s="4" t="n">
        <v>319</v>
      </c>
      <c r="H762" s="4" t="n">
        <v>96</v>
      </c>
      <c r="I762" s="5" t="n">
        <v>572.9</v>
      </c>
      <c r="J762" s="5" t="n">
        <v>334.5</v>
      </c>
      <c r="K762" s="3" t="inlineStr">
        <is>
          <t>총 96.7p, 12단지 맞은편 위치좋은 단독주택지</t>
        </is>
      </c>
      <c r="L762" s="6">
        <f>HYPERLINK("https://fin.land.naver.com/articles/2645650952", "매물Link")</f>
        <v/>
      </c>
      <c r="M762" s="6">
        <f>HYPERLINK("https://map.naver.com/p/search/아름동 1452", "지도Link")</f>
        <v/>
      </c>
      <c r="N762" s="6">
        <f>HYPERLINK("http://www.eum.go.kr/web/ar/lu/luLandDet.jsp?pnu=3611011300114520000&amp;isNoScr=script&amp;mode=search",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319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815</t>
        </is>
      </c>
      <c r="B764" s="3" t="inlineStr">
        <is>
          <t>제2종일반주거지역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120000</v>
      </c>
      <c r="G764" s="4" t="n">
        <v>500</v>
      </c>
      <c r="H764" s="4" t="n">
        <v>151</v>
      </c>
      <c r="I764" s="5" t="n">
        <v>794.7</v>
      </c>
      <c r="J764" s="5" t="n">
        <v>172.1</v>
      </c>
      <c r="K764" s="3" t="inlineStr">
        <is>
          <t>조율가능 도심 데이터센터 사옥 방송국 통신사 데이터센터 출판사 프로그래밍</t>
        </is>
      </c>
      <c r="L764" s="6">
        <f>HYPERLINK("https://fin.land.naver.com/articles/2649619371", "매물Link")</f>
        <v/>
      </c>
      <c r="M764" s="6">
        <f>HYPERLINK("https://map.naver.com/p/search/아름동 815", "지도Link")</f>
        <v/>
      </c>
      <c r="N764" s="6">
        <f>HYPERLINK("http://www.eum.go.kr/web/ar/lu/luLandDet.jsp?pnu=3611011300108150000&amp;isNoScr=script&amp;mode=search",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500</v>
      </c>
      <c r="R764" s="3" t="inlineStr">
        <is>
          <t>지정되지않음</t>
        </is>
      </c>
      <c r="S764" s="3" t="inlineStr">
        <is>
          <t>도로등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지정되지않음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151.5p, 데이터센터, 방송관련 사옥 추천, 조율가능, 입지좋은 토지</t>
        </is>
      </c>
      <c r="L765" s="6">
        <f>HYPERLINK("https://fin.land.naver.com/articles/2649023062",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826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305</v>
      </c>
      <c r="H767" s="4" t="n">
        <v>92</v>
      </c>
      <c r="I767" s="5" t="n">
        <v>706.5</v>
      </c>
      <c r="J767" s="5" t="n">
        <v>339.5</v>
      </c>
      <c r="K767" s="3" t="inlineStr">
        <is>
          <t>국제고 인근, 충대병원 가까운 아름동 단독주택 토지매매</t>
        </is>
      </c>
      <c r="L767" s="6">
        <f>HYPERLINK("https://fin.land.naver.com/articles/2646695052", "매물Link")</f>
        <v/>
      </c>
      <c r="M767" s="6">
        <f>HYPERLINK("https://map.naver.com/p/search/아름동 826", "지도Link")</f>
        <v/>
      </c>
      <c r="N767" s="6">
        <f>HYPERLINK("http://www.eum.go.kr/web/ar/lu/luLandDet.jsp?pnu=3611011300108260000&amp;isNoScr=script&amp;mode=search",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305.5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847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347</v>
      </c>
      <c r="H769" s="4" t="n">
        <v>105</v>
      </c>
      <c r="I769" s="5" t="n">
        <v>619</v>
      </c>
      <c r="J769" s="5" t="n">
        <v>339.8</v>
      </c>
      <c r="K769" s="3" t="inlineStr">
        <is>
          <t>급매, 땅모양 방향 최적의 위치, 추천매매</t>
        </is>
      </c>
      <c r="L769" s="6">
        <f>HYPERLINK("https://fin.land.naver.com/articles/2648795212", "매물Link")</f>
        <v/>
      </c>
      <c r="M769" s="6">
        <f>HYPERLINK("https://map.naver.com/p/search/아름동 847", "지도Link")</f>
        <v/>
      </c>
      <c r="N769" s="6">
        <f>HYPERLINK("http://www.eum.go.kr/web/ar/lu/luLandDet.jsp?pnu=3611011300108470000&amp;isNoScr=script&amp;mode=search", "토지이음")</f>
        <v/>
      </c>
      <c r="O769" s="3" t="inlineStr">
        <is>
          <t>한림신화</t>
        </is>
      </c>
      <c r="P769" s="4" t="n">
        <v>1</v>
      </c>
      <c r="Q769" s="4" t="n">
        <v>346.5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863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316</v>
      </c>
      <c r="H770" s="4" t="n">
        <v>96</v>
      </c>
      <c r="I770" s="5" t="n">
        <v>833.3</v>
      </c>
      <c r="J770" s="5" t="n">
        <v>339.8</v>
      </c>
      <c r="K770" s="3" t="inlineStr">
        <is>
          <t>세종 국제고, 영재고, 충대병원, 공원인접한 살기 좋은 동네 택지</t>
        </is>
      </c>
      <c r="L770" s="6">
        <f>HYPERLINK("https://fin.land.naver.com/articles/2650958863", "매물Link")</f>
        <v/>
      </c>
      <c r="M770" s="6">
        <f>HYPERLINK("https://map.naver.com/p/search/아름동 863", "지도Link")</f>
        <v/>
      </c>
      <c r="N770" s="6">
        <f>HYPERLINK("http://www.eum.go.kr/web/ar/lu/luLandDet.jsp?pnu=3611011300108630000&amp;isNoScr=script&amp;mode=search", "토지이음")</f>
        <v/>
      </c>
      <c r="O770" s="3" t="inlineStr">
        <is>
          <t>새롬삼둥이</t>
        </is>
      </c>
      <c r="P770" s="4" t="n">
        <v>2</v>
      </c>
      <c r="Q770" s="4" t="n">
        <v>316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872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340</v>
      </c>
      <c r="H771" s="4" t="n">
        <v>103</v>
      </c>
      <c r="I771" s="5" t="n">
        <v>485.4</v>
      </c>
      <c r="J771" s="5" t="n">
        <v>339.5</v>
      </c>
      <c r="K771" s="3" t="inlineStr">
        <is>
          <t>5억으로 인하. 아름동 국제고 예술영재고인근. 충남대병원 5분</t>
        </is>
      </c>
      <c r="L771" s="6">
        <f>HYPERLINK("https://fin.land.naver.com/articles/2645602488", "매물Link")</f>
        <v/>
      </c>
      <c r="M771" s="6">
        <f>HYPERLINK("https://map.naver.com/p/search/아름동 872", "지도Link")</f>
        <v/>
      </c>
      <c r="N771" s="6">
        <f>HYPERLINK("http://www.eum.go.kr/web/ar/lu/luLandDet.jsp?pnu=3611011300108720000&amp;isNoScr=script&amp;mode=search", "토지이음")</f>
        <v/>
      </c>
      <c r="O771" s="3" t="inlineStr">
        <is>
          <t>미스터홈즈강남지사</t>
        </is>
      </c>
      <c r="P771" s="4" t="n">
        <v>1</v>
      </c>
      <c r="Q771" s="4" t="n">
        <v>340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아름동 874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70000</v>
      </c>
      <c r="G772" s="4" t="n">
        <v>340</v>
      </c>
      <c r="H772" s="4" t="n">
        <v>103</v>
      </c>
      <c r="I772" s="5" t="n">
        <v>679.6</v>
      </c>
      <c r="J772" s="5" t="n">
        <v>339.5</v>
      </c>
      <c r="K772" s="3" t="inlineStr">
        <is>
          <t>103p, 충대병원인근, 아름동 입지좋은 토지</t>
        </is>
      </c>
      <c r="L772" s="6">
        <f>HYPERLINK("https://fin.land.naver.com/articles/2648832833", "매물Link")</f>
        <v/>
      </c>
      <c r="M772" s="6">
        <f>HYPERLINK("https://map.naver.com/p/search/아름동 874", "지도Link")</f>
        <v/>
      </c>
      <c r="N772" s="6">
        <f>HYPERLINK("http://www.eum.go.kr/web/ar/lu/luLandDet.jsp?pnu=3611011300108740000&amp;isNoScr=script&amp;mode=search",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321</v>
      </c>
      <c r="H773" s="4" t="n">
        <v>97</v>
      </c>
      <c r="I773" s="5" t="n">
        <v>618.6</v>
      </c>
      <c r="J773" s="5" t="n">
        <v>339.8</v>
      </c>
      <c r="K773" s="3" t="inlineStr">
        <is>
          <t>아름동 국제고주변 저렴한 단돋주택지</t>
        </is>
      </c>
      <c r="L773" s="6">
        <f>HYPERLINK("https://fin.land.naver.com/articles/2650955283", "매물Link")</f>
        <v/>
      </c>
      <c r="M773" s="6">
        <f>HYPERLINK("https://map.naver.com/p/search/아름동 879", "지도Link")</f>
        <v/>
      </c>
      <c r="N773" s="6">
        <f>HYPERLINK("http://www.eum.go.kr/web/ar/lu/luLandDet.jsp?pnu=3611011300108790000&amp;isNoScr=script&amp;mode=search", "토지이음")</f>
        <v/>
      </c>
      <c r="O773" s="3" t="inlineStr">
        <is>
          <t>세종나라</t>
        </is>
      </c>
      <c r="P773" s="4" t="n">
        <v>2</v>
      </c>
      <c r="Q773" s="4" t="n">
        <v>321.9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,아름동 최상 택지,충남대병원 인접 생활권 편리,어린이공원접</t>
        </is>
      </c>
      <c r="L774" s="6">
        <f>HYPERLINK("https://fin.land.naver.com/articles/2650851626",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881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74000</v>
      </c>
      <c r="G775" s="4" t="n">
        <v>326</v>
      </c>
      <c r="H775" s="4" t="n">
        <v>99</v>
      </c>
      <c r="I775" s="5" t="n">
        <v>747.5</v>
      </c>
      <c r="J775" s="5" t="n">
        <v>339.8</v>
      </c>
      <c r="K775" s="3" t="inlineStr">
        <is>
          <t>입출입이 편리한 단독주택지입니다.</t>
        </is>
      </c>
      <c r="L775" s="6">
        <f>HYPERLINK("https://fin.land.naver.com/articles/2646607893", "매물Link")</f>
        <v/>
      </c>
      <c r="M775" s="6">
        <f>HYPERLINK("https://map.naver.com/p/search/아름동 881", "지도Link")</f>
        <v/>
      </c>
      <c r="N775" s="6">
        <f>HYPERLINK("http://www.eum.go.kr/web/ar/lu/luLandDet.jsp?pnu=3611011300108810000&amp;isNoScr=script&amp;mode=search", "토지이음")</f>
        <v/>
      </c>
      <c r="O775" s="3" t="inlineStr">
        <is>
          <t>아름</t>
        </is>
      </c>
      <c r="P775" s="4" t="n">
        <v>1</v>
      </c>
      <c r="Q775" s="4" t="n">
        <v>326.2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318</v>
      </c>
      <c r="H776" s="4" t="n">
        <v>96</v>
      </c>
      <c r="I776" s="5" t="n">
        <v>833.3</v>
      </c>
      <c r="J776" s="5" t="n">
        <v>330.6</v>
      </c>
      <c r="K776" s="3" t="inlineStr">
        <is>
          <t>네모 반듯한 예쁜 토지.국제고,영재고 인근.햇볕 잘 드는 최고의 토지.</t>
        </is>
      </c>
      <c r="L776" s="6">
        <f>HYPERLINK("https://fin.land.naver.com/articles/2650707732", "매물Link")</f>
        <v/>
      </c>
      <c r="M776" s="6">
        <f>HYPERLINK("https://map.naver.com/p/search/아름동 914", "지도Link")</f>
        <v/>
      </c>
      <c r="N776" s="6">
        <f>HYPERLINK("http://www.eum.go.kr/web/ar/lu/luLandDet.jsp?pnu=3611011300109140000&amp;isNoScr=script&amp;mode=search", "토지이음")</f>
        <v/>
      </c>
      <c r="O776" s="3" t="inlineStr">
        <is>
          <t>수자인</t>
        </is>
      </c>
      <c r="P776" s="4" t="n">
        <v>1</v>
      </c>
      <c r="Q776" s="4" t="n">
        <v>318.7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925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82000</v>
      </c>
      <c r="G777" s="4" t="n">
        <v>298</v>
      </c>
      <c r="H777" s="4" t="n">
        <v>90</v>
      </c>
      <c r="I777" s="5" t="n">
        <v>911.1</v>
      </c>
      <c r="J777" s="5" t="n">
        <v>339.8</v>
      </c>
      <c r="K777" s="3" t="inlineStr">
        <is>
          <t>90.6p, 국제고 인근, 공원인접, 조율가능</t>
        </is>
      </c>
      <c r="L777" s="6">
        <f>HYPERLINK("https://fin.land.naver.com/articles/2650427336", "매물Link")</f>
        <v/>
      </c>
      <c r="M777" s="6">
        <f>HYPERLINK("https://map.naver.com/p/search/아름동 925", "지도Link")</f>
        <v/>
      </c>
      <c r="N777" s="6">
        <f>HYPERLINK("http://www.eum.go.kr/web/ar/lu/luLandDet.jsp?pnu=3611011300109250000&amp;isNoScr=script&amp;mode=search",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국제고인근 위치좋은 코너각지, 공원인접,보행로연결</t>
        </is>
      </c>
      <c r="L778" s="6">
        <f>HYPERLINK("https://fin.land.naver.com/articles/2650825128",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똑똑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90.6p, 아름동 국제고 인근 위치 좋은 토지 매매</t>
        </is>
      </c>
      <c r="L779" s="6">
        <f>HYPERLINK("https://fin.land.naver.com/articles/2645495174",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63000</v>
      </c>
      <c r="G780" s="4" t="n">
        <v>299</v>
      </c>
      <c r="H780" s="4" t="n">
        <v>90</v>
      </c>
      <c r="I780" s="5" t="n">
        <v>700</v>
      </c>
      <c r="J780" s="5" t="n">
        <v>339.8</v>
      </c>
      <c r="K780" s="3" t="inlineStr">
        <is>
          <t>총 90.6p, 국제고인근 단독주택 토지매매</t>
        </is>
      </c>
      <c r="L780" s="6">
        <f>HYPERLINK("https://fin.land.naver.com/articles/2646693683", "매물Link")</f>
        <v/>
      </c>
      <c r="M780" s="6">
        <f>HYPERLINK("https://map.naver.com/p/search/아름동 929", "지도Link")</f>
        <v/>
      </c>
      <c r="N780" s="6">
        <f>HYPERLINK("http://www.eum.go.kr/web/ar/lu/luLandDet.jsp?pnu=3611011300109290000&amp;isNoScr=script&amp;mode=search",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299.1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급매매,앞,뒤 양면도로 접한  토지</t>
        </is>
      </c>
      <c r="L781" s="6">
        <f>HYPERLINK("https://fin.land.naver.com/articles/2649757754",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킹세종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90.6p, 국제고, 충남대병원 인근 아름동 단독주택지</t>
        </is>
      </c>
      <c r="L782" s="6">
        <f>HYPERLINK("https://fin.land.naver.com/articles/2648905732",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961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299</v>
      </c>
      <c r="H783" s="4" t="n">
        <v>90</v>
      </c>
      <c r="I783" s="5" t="n">
        <v>722.2</v>
      </c>
      <c r="J783" s="5" t="n">
        <v>344.5</v>
      </c>
      <c r="K783" s="3" t="inlineStr">
        <is>
          <t>삼거리 코너, 아름동 입지 좋은 단독주택지</t>
        </is>
      </c>
      <c r="L783" s="6">
        <f>HYPERLINK("https://fin.land.naver.com/articles/2647424901", "매물Link")</f>
        <v/>
      </c>
      <c r="M783" s="6">
        <f>HYPERLINK("https://map.naver.com/p/search/아름동 961", "지도Link")</f>
        <v/>
      </c>
      <c r="N783" s="6">
        <f>HYPERLINK("http://www.eum.go.kr/web/ar/lu/luLandDet.jsp?pnu=3611011300109610000&amp;isNoScr=script&amp;mode=search",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51000</v>
      </c>
      <c r="G784" s="4" t="n">
        <v>300</v>
      </c>
      <c r="H784" s="4" t="n">
        <v>91</v>
      </c>
      <c r="I784" s="5" t="n">
        <v>560.4</v>
      </c>
      <c r="J784" s="5" t="n">
        <v>330.6</v>
      </c>
      <c r="K784" s="3" t="inlineStr">
        <is>
          <t>급매토지입니다. 도심속 전원주택지</t>
        </is>
      </c>
      <c r="L784" s="6">
        <f>HYPERLINK("https://fin.land.naver.com/articles/2646906071", "매물Link")</f>
        <v/>
      </c>
      <c r="M784" s="6">
        <f>HYPERLINK("https://map.naver.com/p/search/아름동 962", "지도Link")</f>
        <v/>
      </c>
      <c r="N784" s="6">
        <f>HYPERLINK("http://www.eum.go.kr/web/ar/lu/luLandDet.jsp?pnu=3611011300109620000&amp;isNoScr=script&amp;mode=search", "토지이음")</f>
        <v/>
      </c>
      <c r="O784" s="3" t="inlineStr">
        <is>
          <t>장원</t>
        </is>
      </c>
      <c r="P784" s="4" t="n">
        <v>1</v>
      </c>
      <c r="Q784" s="4" t="n">
        <v>300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60000</v>
      </c>
      <c r="G785" s="4" t="n">
        <v>298</v>
      </c>
      <c r="H785" s="4" t="n">
        <v>90</v>
      </c>
      <c r="I785" s="5" t="n">
        <v>666.7</v>
      </c>
      <c r="J785" s="5" t="n">
        <v>330.6</v>
      </c>
      <c r="K785" s="3" t="inlineStr">
        <is>
          <t>조율가능, 급매, 아름동 위치좋은 단독주택지</t>
        </is>
      </c>
      <c r="L785" s="6">
        <f>HYPERLINK("https://fin.land.naver.com/articles/2649873097", "매물Link")</f>
        <v/>
      </c>
      <c r="M785" s="6">
        <f>HYPERLINK("https://map.naver.com/p/search/아름동 963", "지도Link")</f>
        <v/>
      </c>
      <c r="N785" s="6">
        <f>HYPERLINK("http://www.eum.go.kr/web/ar/lu/luLandDet.jsp?pnu=3611011300109630000&amp;isNoScr=script&amp;mode=search",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298.9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60000</v>
      </c>
      <c r="G786" s="4" t="n">
        <v>298</v>
      </c>
      <c r="H786" s="4" t="n">
        <v>90</v>
      </c>
      <c r="I786" s="5" t="n">
        <v>666.7</v>
      </c>
      <c r="J786" s="5" t="n">
        <v>330.6</v>
      </c>
      <c r="K786" s="3" t="inlineStr">
        <is>
          <t>언덕형 지대높음 채광 개방감 좋음 조율가능</t>
        </is>
      </c>
      <c r="L786" s="6">
        <f>HYPERLINK("https://fin.land.naver.com/articles/2651114707", "매물Link")</f>
        <v/>
      </c>
      <c r="M786" s="6">
        <f>HYPERLINK("https://map.naver.com/p/search/아름동 963", "지도Link")</f>
        <v/>
      </c>
      <c r="N786" s="6">
        <f>HYPERLINK("http://www.eum.go.kr/web/ar/lu/luLandDet.jsp?pnu=3611011300109630000&amp;isNoScr=script&amp;mode=search",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급매,전원주택지로 충대병원 인접, 교통 및 학군 편리한 생활권</t>
        </is>
      </c>
      <c r="L787" s="6">
        <f>HYPERLINK("https://fin.land.naver.com/articles/2650851379",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고운맘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77000</v>
      </c>
      <c r="G788" s="4" t="n">
        <v>298</v>
      </c>
      <c r="H788" s="4" t="n">
        <v>90</v>
      </c>
      <c r="I788" s="5" t="n">
        <v>855.6</v>
      </c>
      <c r="J788" s="5" t="n">
        <v>344.5</v>
      </c>
      <c r="K788" s="3" t="inlineStr">
        <is>
          <t>총 90.6p, 조율가능, 아름동 단독주택지, 국제고 인근</t>
        </is>
      </c>
      <c r="L788" s="6">
        <f>HYPERLINK("https://fin.land.naver.com/articles/2646692307", "매물Link")</f>
        <v/>
      </c>
      <c r="M788" s="6">
        <f>HYPERLINK("https://map.naver.com/p/search/아름동 964", "지도Link")</f>
        <v/>
      </c>
      <c r="N788" s="6">
        <f>HYPERLINK("http://www.eum.go.kr/web/ar/lu/luLandDet.jsp?pnu=3611011300109640000&amp;isNoScr=script&amp;mode=search",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소로각지</t>
        </is>
      </c>
    </row>
    <row r="789">
      <c r="A789" s="3" t="inlineStr">
        <is>
          <t>아름동 964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77000</v>
      </c>
      <c r="G789" s="4" t="n">
        <v>298</v>
      </c>
      <c r="H789" s="4" t="n">
        <v>90</v>
      </c>
      <c r="I789" s="5" t="n">
        <v>855.6</v>
      </c>
      <c r="J789" s="5" t="n">
        <v>344.5</v>
      </c>
      <c r="K789" s="3" t="inlineStr">
        <is>
          <t>총 90.6p, 사거리 코너 입지, 가격 최대 조율가능</t>
        </is>
      </c>
      <c r="L789" s="6">
        <f>HYPERLINK("https://fin.land.naver.com/articles/2647421860", "매물Link")</f>
        <v/>
      </c>
      <c r="M789" s="6">
        <f>HYPERLINK("https://map.naver.com/p/search/아름동 964", "지도Link")</f>
        <v/>
      </c>
      <c r="N789" s="6">
        <f>HYPERLINK("http://www.eum.go.kr/web/ar/lu/luLandDet.jsp?pnu=3611011300109640000&amp;isNoScr=script&amp;mode=search", "토지이음")</f>
        <v/>
      </c>
      <c r="O789" s="3" t="inlineStr">
        <is>
          <t>명진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소로각지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국제고인근.코너각지. 충대병원인접. 위치,교통 편리한 지역.조정가능</t>
        </is>
      </c>
      <c r="L790" s="6">
        <f>HYPERLINK("https://fin.land.naver.com/articles/2646141675",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새롬삼둥이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966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85000</v>
      </c>
      <c r="G791" s="4" t="n">
        <v>353</v>
      </c>
      <c r="H791" s="4" t="n">
        <v>107</v>
      </c>
      <c r="I791" s="5" t="n">
        <v>794.4</v>
      </c>
      <c r="J791" s="5" t="n">
        <v>330.6</v>
      </c>
      <c r="K791" s="3" t="inlineStr">
        <is>
          <t>국제고, 영재고, 충대병원인근, IC인접 107.2p</t>
        </is>
      </c>
      <c r="L791" s="6">
        <f>HYPERLINK("https://fin.land.naver.com/articles/2646690781", "매물Link")</f>
        <v/>
      </c>
      <c r="M791" s="6">
        <f>HYPERLINK("https://map.naver.com/p/search/아름동 966", "지도Link")</f>
        <v/>
      </c>
      <c r="N791" s="6">
        <f>HYPERLINK("http://www.eum.go.kr/web/ar/lu/luLandDet.jsp?pnu=3611011300109660000&amp;isNoScr=script&amp;mode=search",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353.6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966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85000</v>
      </c>
      <c r="G792" s="4" t="n">
        <v>353</v>
      </c>
      <c r="H792" s="4" t="n">
        <v>107</v>
      </c>
      <c r="I792" s="5" t="n">
        <v>794.4</v>
      </c>
      <c r="J792" s="5" t="n">
        <v>330.6</v>
      </c>
      <c r="K792" s="3" t="inlineStr">
        <is>
          <t>총 107.2p, 국제고, 충남대병원인근</t>
        </is>
      </c>
      <c r="L792" s="6">
        <f>HYPERLINK("https://fin.land.naver.com/articles/2648127229", "매물Link")</f>
        <v/>
      </c>
      <c r="M792" s="6">
        <f>HYPERLINK("https://map.naver.com/p/search/아름동 966", "지도Link")</f>
        <v/>
      </c>
      <c r="N792" s="6">
        <f>HYPERLINK("http://www.eum.go.kr/web/ar/lu/luLandDet.jsp?pnu=3611011300109660000&amp;isNoScr=script&amp;mode=search",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353.6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971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79560</v>
      </c>
      <c r="G793" s="4" t="n">
        <v>308</v>
      </c>
      <c r="H793" s="4" t="n">
        <v>93</v>
      </c>
      <c r="I793" s="5" t="n">
        <v>855.5</v>
      </c>
      <c r="J793" s="5" t="n">
        <v>330.6</v>
      </c>
      <c r="K793" s="3" t="inlineStr">
        <is>
          <t>공원앞, 충대병원, 국제고 인근, 아름동 단독주택지</t>
        </is>
      </c>
      <c r="L793" s="6">
        <f>HYPERLINK("https://fin.land.naver.com/articles/2650427802", "매물Link")</f>
        <v/>
      </c>
      <c r="M793" s="6">
        <f>HYPERLINK("https://map.naver.com/p/search/아름동 971", "지도Link")</f>
        <v/>
      </c>
      <c r="N793" s="6">
        <f>HYPERLINK("http://www.eum.go.kr/web/ar/lu/luLandDet.jsp?pnu=3611011300109710000&amp;isNoScr=script&amp;mode=search",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308.9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994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75000</v>
      </c>
      <c r="G794" s="4" t="n">
        <v>324</v>
      </c>
      <c r="H794" s="4" t="n">
        <v>98</v>
      </c>
      <c r="I794" s="5" t="n">
        <v>765.3</v>
      </c>
      <c r="J794" s="5" t="n">
        <v>335.5</v>
      </c>
      <c r="K794" s="3" t="inlineStr">
        <is>
          <t>급매 최상단 뻥조망 위치최상 벙커주차장가능</t>
        </is>
      </c>
      <c r="L794" s="6">
        <f>HYPERLINK("https://fin.land.naver.com/articles/2651086404", "매물Link")</f>
        <v/>
      </c>
      <c r="M794" s="6">
        <f>HYPERLINK("https://map.naver.com/p/search/아름동 994", "지도Link")</f>
        <v/>
      </c>
      <c r="N794" s="6">
        <f>HYPERLINK("http://www.eum.go.kr/web/ar/lu/luLandDet.jsp?pnu=3611011300109940000&amp;isNoScr=script&amp;mode=search", "토지이음")</f>
        <v/>
      </c>
      <c r="O794" s="3" t="inlineStr">
        <is>
          <t>세종스타</t>
        </is>
      </c>
      <c r="P794" s="4" t="n">
        <v>1</v>
      </c>
      <c r="Q794" s="4" t="n">
        <v>324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정방형</t>
        </is>
      </c>
      <c r="V794" s="3" t="inlineStr">
        <is>
          <t>소로한면</t>
        </is>
      </c>
    </row>
    <row r="795">
      <c r="A795" s="3" t="inlineStr">
        <is>
          <t>연동면 내판리 10-1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36000</v>
      </c>
      <c r="G795" s="4" t="n">
        <v>329</v>
      </c>
      <c r="H795" s="4" t="n">
        <v>100</v>
      </c>
      <c r="I795" s="5" t="n">
        <v>360</v>
      </c>
      <c r="J795" s="5" t="n">
        <v>106.7</v>
      </c>
      <c r="K795" s="3" t="inlineStr">
        <is>
          <t>nan</t>
        </is>
      </c>
      <c r="L795" s="6">
        <f>HYPERLINK("https://fin.land.naver.com/articles/2649512630", "매물Link")</f>
        <v/>
      </c>
      <c r="M795" s="6">
        <f>HYPERLINK("https://map.naver.com/p/search/연동면 내판리 10-1", "지도Link")</f>
        <v/>
      </c>
      <c r="N795" s="6">
        <f>HYPERLINK("http://www.eum.go.kr/web/ar/lu/luLandDet.jsp?pnu=3611032021100100001&amp;isNoScr=script&amp;mode=search", "토지이음")</f>
        <v/>
      </c>
      <c r="O795" s="3" t="inlineStr">
        <is>
          <t>세종지평</t>
        </is>
      </c>
      <c r="P795" s="4" t="n">
        <v>1</v>
      </c>
      <c r="Q795" s="4" t="n">
        <v>330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10-1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36000</v>
      </c>
      <c r="G796" s="4" t="n">
        <v>330</v>
      </c>
      <c r="H796" s="4" t="n">
        <v>100</v>
      </c>
      <c r="I796" s="5" t="n">
        <v>360</v>
      </c>
      <c r="J796" s="5" t="n">
        <v>106.7</v>
      </c>
      <c r="K796" s="3" t="inlineStr">
        <is>
          <t>세종 내판리 토지 매매.지목 대지구단위계획구역</t>
        </is>
      </c>
      <c r="L796" s="6">
        <f>HYPERLINK("https://fin.land.naver.com/articles/2648747196", "매물Link")</f>
        <v/>
      </c>
      <c r="M796" s="6">
        <f>HYPERLINK("https://map.naver.com/p/search/연동면 내판리 10-1", "지도Link")</f>
        <v/>
      </c>
      <c r="N796" s="6">
        <f>HYPERLINK("http://www.eum.go.kr/web/ar/lu/luLandDet.jsp?pnu=3611032021100100001&amp;isNoScr=script&amp;mode=search",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330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10-8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24500</v>
      </c>
      <c r="G797" s="4" t="n">
        <v>230</v>
      </c>
      <c r="H797" s="4" t="n">
        <v>70</v>
      </c>
      <c r="I797" s="5" t="n">
        <v>350</v>
      </c>
      <c r="J797" s="5" t="n">
        <v>94.90000000000001</v>
      </c>
      <c r="K797" s="3" t="inlineStr">
        <is>
          <t>계획관리지역,대지</t>
        </is>
      </c>
      <c r="L797" s="6">
        <f>HYPERLINK("https://fin.land.naver.com/articles/2646007806", "매물Link")</f>
        <v/>
      </c>
      <c r="M797" s="6">
        <f>HYPERLINK("https://map.naver.com/p/search/연동면 내판리 10-8", "지도Link")</f>
        <v/>
      </c>
      <c r="N797" s="6">
        <f>HYPERLINK("http://www.eum.go.kr/web/ar/lu/luLandDet.jsp?pnu=3611032021100100008&amp;isNoScr=script&amp;mode=search", "토지이음")</f>
        <v/>
      </c>
      <c r="O797" s="3" t="inlineStr">
        <is>
          <t>세종대박</t>
        </is>
      </c>
      <c r="P797" s="4" t="n">
        <v>1</v>
      </c>
      <c r="Q797" s="4" t="n">
        <v>191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67000</v>
      </c>
      <c r="G798" s="4" t="n">
        <v>2767</v>
      </c>
      <c r="H798" s="4" t="n">
        <v>837</v>
      </c>
      <c r="I798" s="5" t="n">
        <v>80</v>
      </c>
      <c r="J798" s="5" t="n">
        <v>36.2</v>
      </c>
      <c r="K798" s="3" t="inlineStr">
        <is>
          <t>계확관리 아파트건설 호재가 있는  토지 중학교 옆위치 조율가능</t>
        </is>
      </c>
      <c r="L798" s="6">
        <f>HYPERLINK("https://fin.land.naver.com/articles/2647958085", "매물Link")</f>
        <v/>
      </c>
      <c r="M798" s="6">
        <f>HYPERLINK("https://map.naver.com/p/search/연동면 내판리 104", "지도Link")</f>
        <v/>
      </c>
      <c r="N798" s="6">
        <f>HYPERLINK("http://www.eum.go.kr/web/ar/lu/luLandDet.jsp?pnu=3611032021101040000&amp;isNoScr=script&amp;mode=search", "토지이음")</f>
        <v/>
      </c>
      <c r="O798" s="3" t="inlineStr">
        <is>
          <t>도안부자</t>
        </is>
      </c>
      <c r="P798" s="4" t="n">
        <v>1</v>
      </c>
      <c r="Q798" s="4" t="n">
        <v>2767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내판리 254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65000</v>
      </c>
      <c r="G799" s="4" t="n">
        <v>1884</v>
      </c>
      <c r="H799" s="4" t="n">
        <v>570</v>
      </c>
      <c r="I799" s="5" t="n">
        <v>114</v>
      </c>
      <c r="J799" s="5" t="n">
        <v>65.8</v>
      </c>
      <c r="K799" s="3" t="inlineStr">
        <is>
          <t>실 570. 행정중심복합도시 수혜지역 매매. 대통령집무실이전유력지 호재</t>
        </is>
      </c>
      <c r="L799" s="6">
        <f>HYPERLINK("https://fin.land.naver.com/articles/2646173827", "매물Link")</f>
        <v/>
      </c>
      <c r="M799" s="6">
        <f>HYPERLINK("https://map.naver.com/p/search/연동면 내판리 254", "지도Link")</f>
        <v/>
      </c>
      <c r="N799" s="6">
        <f>HYPERLINK("http://www.eum.go.kr/web/ar/lu/luLandDet.jsp?pnu=3611032021102540000&amp;isNoScr=script&amp;mode=search", "토지이음")</f>
        <v/>
      </c>
      <c r="O799" s="3" t="inlineStr">
        <is>
          <t>길</t>
        </is>
      </c>
      <c r="P799" s="4" t="n">
        <v>1</v>
      </c>
      <c r="Q799" s="4" t="n">
        <v>1884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맹지</t>
        </is>
      </c>
    </row>
    <row r="800">
      <c r="A800" s="3" t="inlineStr">
        <is>
          <t>연동면 내판리 337-1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191664</v>
      </c>
      <c r="G800" s="4" t="n">
        <v>1152</v>
      </c>
      <c r="H800" s="4" t="n">
        <v>348</v>
      </c>
      <c r="I800" s="5" t="n">
        <v>550.8</v>
      </c>
      <c r="J800" s="5" t="n">
        <v>112.8</v>
      </c>
      <c r="K800" s="3" t="inlineStr">
        <is>
          <t>명학산업단지 근처 6미터 도로접 투자용</t>
        </is>
      </c>
      <c r="L800" s="6">
        <f>HYPERLINK("https://fin.land.naver.com/articles/2648009779", "매물Link")</f>
        <v/>
      </c>
      <c r="M800" s="6">
        <f>HYPERLINK("https://map.naver.com/p/search/연동면 내판리 337-1", "지도Link")</f>
        <v/>
      </c>
      <c r="N800" s="6">
        <f>HYPERLINK("http://www.eum.go.kr/web/ar/lu/luLandDet.jsp?pnu=3611032021103370001&amp;isNoScr=script&amp;mode=search", "토지이음")</f>
        <v/>
      </c>
      <c r="O800" s="3" t="inlineStr">
        <is>
          <t>도안재벌</t>
        </is>
      </c>
      <c r="P800" s="4" t="n">
        <v>1</v>
      </c>
      <c r="Q800" s="4" t="n">
        <v>1152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337-42</t>
        </is>
      </c>
      <c r="B801" s="3" t="inlineStr">
        <is>
          <t>보전관리지역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330</v>
      </c>
      <c r="H801" s="4" t="n">
        <v>100</v>
      </c>
      <c r="I801" s="5" t="n">
        <v>500</v>
      </c>
      <c r="J801" s="5" t="n">
        <v>84.8</v>
      </c>
      <c r="K801" s="3" t="inlineStr">
        <is>
          <t>5생활권, 삼성전기투자지 근접,기반시설완비,모듈러주택홍보관협업가능</t>
        </is>
      </c>
      <c r="L801" s="6">
        <f>HYPERLINK("https://fin.land.naver.com/articles/2647328962", "매물Link")</f>
        <v/>
      </c>
      <c r="M801" s="6">
        <f>HYPERLINK("https://map.naver.com/p/search/연동면 내판리 337-42", "지도Link")</f>
        <v/>
      </c>
      <c r="N801" s="6">
        <f>HYPERLINK("http://www.eum.go.kr/web/ar/lu/luLandDet.jsp?pnu=3611032021103370042&amp;isNoScr=script&amp;mode=search", "토지이음")</f>
        <v/>
      </c>
      <c r="O801" s="3" t="inlineStr">
        <is>
          <t>수</t>
        </is>
      </c>
      <c r="P801" s="4" t="n">
        <v>1</v>
      </c>
      <c r="Q801" s="4" t="n">
        <v>660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337-8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133100</v>
      </c>
      <c r="G802" s="4" t="n">
        <v>800</v>
      </c>
      <c r="H802" s="4" t="n">
        <v>242</v>
      </c>
      <c r="I802" s="5" t="n">
        <v>550</v>
      </c>
      <c r="J802" s="5" t="n">
        <v>183.9</v>
      </c>
      <c r="K802" s="3" t="inlineStr">
        <is>
          <t>명학산업단지 근처 6미터 도로접 투자용</t>
        </is>
      </c>
      <c r="L802" s="6">
        <f>HYPERLINK("https://fin.land.naver.com/articles/2648008487", "매물Link")</f>
        <v/>
      </c>
      <c r="M802" s="6">
        <f>HYPERLINK("https://map.naver.com/p/search/연동면 내판리 337-8", "지도Link")</f>
        <v/>
      </c>
      <c r="N802" s="6">
        <f>HYPERLINK("http://www.eum.go.kr/web/ar/lu/luLandDet.jsp?pnu=3611032021103370008&amp;isNoScr=script&amp;mode=search", "토지이음")</f>
        <v/>
      </c>
      <c r="O802" s="3" t="inlineStr">
        <is>
          <t>도안재벌</t>
        </is>
      </c>
      <c r="P802" s="4" t="n">
        <v>1</v>
      </c>
      <c r="Q802" s="4" t="n">
        <v>800</v>
      </c>
      <c r="R802" s="3" t="inlineStr">
        <is>
          <t>지정되지않음</t>
        </is>
      </c>
      <c r="S802" s="3" t="inlineStr">
        <is>
          <t>상업용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337-9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140000</v>
      </c>
      <c r="G803" s="4" t="n">
        <v>737</v>
      </c>
      <c r="H803" s="4" t="n">
        <v>223</v>
      </c>
      <c r="I803" s="5" t="n">
        <v>627.8</v>
      </c>
      <c r="J803" s="5" t="n">
        <v>183.9</v>
      </c>
      <c r="K803" s="3" t="inlineStr">
        <is>
          <t>nan</t>
        </is>
      </c>
      <c r="L803" s="6">
        <f>HYPERLINK("https://fin.land.naver.com/articles/2645606299", "매물Link")</f>
        <v/>
      </c>
      <c r="M803" s="6">
        <f>HYPERLINK("https://map.naver.com/p/search/연동면 내판리 337-9", "지도Link")</f>
        <v/>
      </c>
      <c r="N803" s="6">
        <f>HYPERLINK("http://www.eum.go.kr/web/ar/lu/luLandDet.jsp?pnu=3611032021103370009&amp;isNoScr=script&amp;mode=search", "토지이음")</f>
        <v/>
      </c>
      <c r="O803" s="3" t="inlineStr">
        <is>
          <t>미스터홈즈강남지사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상업용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내판리 35-5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220000</v>
      </c>
      <c r="G804" s="4" t="n">
        <v>5683</v>
      </c>
      <c r="H804" s="4" t="n">
        <v>1719</v>
      </c>
      <c r="I804" s="5" t="n">
        <v>128</v>
      </c>
      <c r="J804" s="5" t="n">
        <v>41.8</v>
      </c>
      <c r="K804" s="3" t="inlineStr">
        <is>
          <t>급매 시세보다 저렴한 토지 추천매물입니다</t>
        </is>
      </c>
      <c r="L804" s="6">
        <f>HYPERLINK("https://fin.land.naver.com/articles/2649005969", "매물Link")</f>
        <v/>
      </c>
      <c r="M804" s="6">
        <f>HYPERLINK("https://map.naver.com/p/search/연동면 내판리 35-5", "지도Link")</f>
        <v/>
      </c>
      <c r="N804" s="6">
        <f>HYPERLINK("http://www.eum.go.kr/web/ar/lu/luLandDet.jsp?pnu=3611032021100350005&amp;isNoScr=script&amp;mode=search", "토지이음")</f>
        <v/>
      </c>
      <c r="O804" s="3" t="inlineStr">
        <is>
          <t>세종푸르지오</t>
        </is>
      </c>
      <c r="P804" s="4" t="n">
        <v>1</v>
      </c>
      <c r="Q804" s="4" t="n">
        <v>5683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35-5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210000</v>
      </c>
      <c r="G805" s="4" t="n">
        <v>5683</v>
      </c>
      <c r="H805" s="4" t="n">
        <v>1719</v>
      </c>
      <c r="I805" s="5" t="n">
        <v>122.2</v>
      </c>
      <c r="J805" s="5" t="n">
        <v>41.8</v>
      </c>
      <c r="K805" s="3" t="inlineStr">
        <is>
          <t>시세보다 저렴한  최상의 위치로  계획관리 토지로 용도다양</t>
        </is>
      </c>
      <c r="L805" s="6">
        <f>HYPERLINK("https://fin.land.naver.com/articles/2651026655", "매물Link")</f>
        <v/>
      </c>
      <c r="M805" s="6">
        <f>HYPERLINK("https://map.naver.com/p/search/연동면 내판리 35-5", "지도Link")</f>
        <v/>
      </c>
      <c r="N805" s="6">
        <f>HYPERLINK("http://www.eum.go.kr/web/ar/lu/luLandDet.jsp?pnu=3611032021100350005&amp;isNoScr=script&amp;mode=search",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5683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35-5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217000</v>
      </c>
      <c r="G806" s="4" t="n">
        <v>5683</v>
      </c>
      <c r="H806" s="4" t="n">
        <v>1719</v>
      </c>
      <c r="I806" s="5" t="n">
        <v>126.2</v>
      </c>
      <c r="J806" s="5" t="n">
        <v>41.8</v>
      </c>
      <c r="K806" s="3" t="inlineStr">
        <is>
          <t>계획관리지역 건축부지 시세이하가격</t>
        </is>
      </c>
      <c r="L806" s="6">
        <f>HYPERLINK("https://fin.land.naver.com/articles/2650899167", "매물Link")</f>
        <v/>
      </c>
      <c r="M806" s="6">
        <f>HYPERLINK("https://map.naver.com/p/search/연동면 내판리 35-5", "지도Link")</f>
        <v/>
      </c>
      <c r="N806" s="6">
        <f>HYPERLINK("http://www.eum.go.kr/web/ar/lu/luLandDet.jsp?pnu=3611032021100350005&amp;isNoScr=script&amp;mode=search", "토지이음")</f>
        <v/>
      </c>
      <c r="O806" s="3" t="inlineStr">
        <is>
          <t>(주)경진컨설팅</t>
        </is>
      </c>
      <c r="P806" s="4" t="n">
        <v>1</v>
      </c>
      <c r="Q806" s="4" t="n">
        <v>5683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363-6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663</v>
      </c>
      <c r="H807" s="4" t="n">
        <v>201</v>
      </c>
      <c r="I807" s="5" t="n">
        <v>398</v>
      </c>
      <c r="J807" s="5" t="n">
        <v>95</v>
      </c>
      <c r="K807" s="3" t="inlineStr">
        <is>
          <t>계획관리포장도로전기 인접, 오송산단 접근 좋은 전원형 토지</t>
        </is>
      </c>
      <c r="L807" s="6">
        <f>HYPERLINK("https://fin.land.naver.com/articles/2645400125", "매물Link")</f>
        <v/>
      </c>
      <c r="M807" s="6">
        <f>HYPERLINK("https://map.naver.com/p/search/연동면 내판리 363-6", "지도Link")</f>
        <v/>
      </c>
      <c r="N807" s="6">
        <f>HYPERLINK("http://www.eum.go.kr/web/ar/lu/luLandDet.jsp?pnu=3611032021103630006&amp;isNoScr=script&amp;mode=search",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82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365-5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80000</v>
      </c>
      <c r="G808" s="4" t="n">
        <v>664</v>
      </c>
      <c r="H808" s="4" t="n">
        <v>201</v>
      </c>
      <c r="I808" s="5" t="n">
        <v>398</v>
      </c>
      <c r="J808" s="5" t="n">
        <v>95</v>
      </c>
      <c r="K808" s="3" t="inlineStr">
        <is>
          <t>세종시 5생활권 스마트시티 300m 7,500세대 아파트 호재 중심</t>
        </is>
      </c>
      <c r="L808" s="6">
        <f>HYPERLINK("https://fin.land.naver.com/articles/2648068490", "매물Link")</f>
        <v/>
      </c>
      <c r="M808" s="6">
        <f>HYPERLINK("https://map.naver.com/p/search/연동면 내판리 365-5", "지도Link")</f>
        <v/>
      </c>
      <c r="N808" s="6">
        <f>HYPERLINK("http://www.eum.go.kr/web/ar/lu/luLandDet.jsp?pnu=3611032021103650005&amp;isNoScr=script&amp;mode=search", "토지이음")</f>
        <v/>
      </c>
      <c r="O808" s="3" t="inlineStr">
        <is>
          <t>찬스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415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59000</v>
      </c>
      <c r="G809" s="4" t="n">
        <v>1636</v>
      </c>
      <c r="H809" s="4" t="n">
        <v>495</v>
      </c>
      <c r="I809" s="5" t="n">
        <v>119.2</v>
      </c>
      <c r="J809" s="5" t="n">
        <v>52.7</v>
      </c>
      <c r="K809" s="3" t="inlineStr">
        <is>
          <t>nan</t>
        </is>
      </c>
      <c r="L809" s="6">
        <f>HYPERLINK("https://fin.land.naver.com/articles/2649336628", "매물Link")</f>
        <v/>
      </c>
      <c r="M809" s="6">
        <f>HYPERLINK("https://map.naver.com/p/search/연동면 내판리 415", "지도Link")</f>
        <v/>
      </c>
      <c r="N809" s="6">
        <f>HYPERLINK("http://www.eum.go.kr/web/ar/lu/luLandDet.jsp?pnu=3611032021104150000&amp;isNoScr=script&amp;mode=search", "토지이음")</f>
        <v/>
      </c>
      <c r="O809" s="3" t="inlineStr">
        <is>
          <t>둔산가온</t>
        </is>
      </c>
      <c r="P809" s="4" t="n">
        <v>1</v>
      </c>
      <c r="Q809" s="4" t="n">
        <v>1636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연동면 내판리 418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234600</v>
      </c>
      <c r="G810" s="4" t="n">
        <v>2585</v>
      </c>
      <c r="H810" s="4" t="n">
        <v>782</v>
      </c>
      <c r="I810" s="5" t="n">
        <v>300</v>
      </c>
      <c r="J810" s="5" t="n">
        <v>74.09999999999999</v>
      </c>
      <c r="K810" s="3" t="inlineStr">
        <is>
          <t>투자와 실사용 모두 적합,인프라 근접</t>
        </is>
      </c>
      <c r="L810" s="6">
        <f>HYPERLINK("https://fin.land.naver.com/articles/2650476322", "매물Link")</f>
        <v/>
      </c>
      <c r="M810" s="6">
        <f>HYPERLINK("https://map.naver.com/p/search/연동면 내판리 418", "지도Link")</f>
        <v/>
      </c>
      <c r="N810" s="6">
        <f>HYPERLINK("http://www.eum.go.kr/web/ar/lu/luLandDet.jsp?pnu=3611032021104180000&amp;isNoScr=script&amp;mode=search", "토지이음")</f>
        <v/>
      </c>
      <c r="O810" s="3" t="inlineStr">
        <is>
          <t>가치잇는</t>
        </is>
      </c>
      <c r="P810" s="4" t="n">
        <v>1</v>
      </c>
      <c r="Q810" s="4" t="n">
        <v>2585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내판리 419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115500</v>
      </c>
      <c r="G811" s="4" t="n">
        <v>1273</v>
      </c>
      <c r="H811" s="4" t="n">
        <v>385</v>
      </c>
      <c r="I811" s="5" t="n">
        <v>300</v>
      </c>
      <c r="J811" s="5" t="n">
        <v>63.7</v>
      </c>
      <c r="K811" s="3" t="inlineStr">
        <is>
          <t>세종 생활권 가까워 투자가치와 활용도 높은 토지</t>
        </is>
      </c>
      <c r="L811" s="6">
        <f>HYPERLINK("https://fin.land.naver.com/articles/2650478669", "매물Link")</f>
        <v/>
      </c>
      <c r="M811" s="6">
        <f>HYPERLINK("https://map.naver.com/p/search/연동면 내판리 419", "지도Link")</f>
        <v/>
      </c>
      <c r="N811" s="6">
        <f>HYPERLINK("http://www.eum.go.kr/web/ar/lu/luLandDet.jsp?pnu=3611032021104190000&amp;isNoScr=script&amp;mode=search", "토지이음")</f>
        <v/>
      </c>
      <c r="O811" s="3" t="inlineStr">
        <is>
          <t>가치잇는</t>
        </is>
      </c>
      <c r="P811" s="4" t="n">
        <v>1</v>
      </c>
      <c r="Q811" s="4" t="n">
        <v>1273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연동면 내판리 422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169000</v>
      </c>
      <c r="G812" s="4" t="n">
        <v>1603</v>
      </c>
      <c r="H812" s="4" t="n">
        <v>485</v>
      </c>
      <c r="I812" s="5" t="n">
        <v>348.5</v>
      </c>
      <c r="J812" s="5" t="n">
        <v>60.3</v>
      </c>
      <c r="K812" s="3" t="inlineStr">
        <is>
          <t>내판리 도로변 계획관리지역 답</t>
        </is>
      </c>
      <c r="L812" s="6">
        <f>HYPERLINK("https://fin.land.naver.com/articles/2650438078", "매물Link")</f>
        <v/>
      </c>
      <c r="M812" s="6">
        <f>HYPERLINK("https://map.naver.com/p/search/연동면 내판리 422", "지도Link")</f>
        <v/>
      </c>
      <c r="N812" s="6">
        <f>HYPERLINK("http://www.eum.go.kr/web/ar/lu/luLandDet.jsp?pnu=3611032021104220000&amp;isNoScr=script&amp;mode=search", "토지이음")</f>
        <v/>
      </c>
      <c r="O812" s="3" t="inlineStr">
        <is>
          <t>세종천지</t>
        </is>
      </c>
      <c r="P812" s="4" t="n">
        <v>1</v>
      </c>
      <c r="Q812" s="4" t="n">
        <v>1603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50-3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180000</v>
      </c>
      <c r="G813" s="4" t="n">
        <v>2406</v>
      </c>
      <c r="H813" s="4" t="n">
        <v>728</v>
      </c>
      <c r="I813" s="5" t="n">
        <v>247.3</v>
      </c>
      <c r="J813" s="5" t="n">
        <v>76.5</v>
      </c>
      <c r="K813" s="3" t="inlineStr">
        <is>
          <t>2차선 도로에 접해있는 계획관리 농지</t>
        </is>
      </c>
      <c r="L813" s="6">
        <f>HYPERLINK("https://fin.land.naver.com/articles/2648780268", "매물Link")</f>
        <v/>
      </c>
      <c r="M813" s="6">
        <f>HYPERLINK("https://map.naver.com/p/search/연동면 내판리 50-3", "지도Link")</f>
        <v/>
      </c>
      <c r="N813" s="6">
        <f>HYPERLINK("http://www.eum.go.kr/web/ar/lu/luLandDet.jsp?pnu=3611032021100500003&amp;isNoScr=script&amp;mode=search", "토지이음")</f>
        <v/>
      </c>
      <c r="O813" s="3" t="inlineStr">
        <is>
          <t>오송랜드</t>
        </is>
      </c>
      <c r="P813" s="4" t="n">
        <v>1</v>
      </c>
      <c r="Q813" s="4" t="n">
        <v>1188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556</t>
        </is>
      </c>
      <c r="B814" s="3" t="inlineStr">
        <is>
          <t>생산관리지역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80000</v>
      </c>
      <c r="G814" s="4" t="n">
        <v>2733</v>
      </c>
      <c r="H814" s="4" t="n">
        <v>827</v>
      </c>
      <c r="I814" s="5" t="n">
        <v>96.7</v>
      </c>
      <c r="J814" s="5" t="n">
        <v>71.2</v>
      </c>
      <c r="K814" s="3" t="inlineStr">
        <is>
          <t>nan</t>
        </is>
      </c>
      <c r="L814" s="6">
        <f>HYPERLINK("https://fin.land.naver.com/articles/2645360270", "매물Link")</f>
        <v/>
      </c>
      <c r="M814" s="6">
        <f>HYPERLINK("https://map.naver.com/p/search/연동면 내판리 556", "지도Link")</f>
        <v/>
      </c>
      <c r="N814" s="6">
        <f>HYPERLINK("http://www.eum.go.kr/web/ar/lu/luLandDet.jsp?pnu=3611032021105560000&amp;isNoScr=script&amp;mode=search",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2169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572-1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</v>
      </c>
      <c r="G815" s="4" t="n">
        <v>97</v>
      </c>
      <c r="H815" s="4" t="n">
        <v>29</v>
      </c>
      <c r="I815" s="5" t="n">
        <v>413.8</v>
      </c>
      <c r="J815" s="5" t="n">
        <v>63.2</v>
      </c>
      <c r="K815" s="3" t="inlineStr">
        <is>
          <t>세종시5생활권주변지역 위치좋은 매물</t>
        </is>
      </c>
      <c r="L815" s="6">
        <f>HYPERLINK("https://fin.land.naver.com/articles/2647918059", "매물Link")</f>
        <v/>
      </c>
      <c r="M815" s="6">
        <f>HYPERLINK("https://map.naver.com/p/search/연동면 내판리 572-1", "지도Link")</f>
        <v/>
      </c>
      <c r="N815" s="6">
        <f>HYPERLINK("http://www.eum.go.kr/web/ar/lu/luLandDet.jsp?pnu=3611032021105720001&amp;isNoScr=script&amp;mode=search", "토지이음")</f>
        <v/>
      </c>
      <c r="O815" s="3" t="inlineStr">
        <is>
          <t>대박</t>
        </is>
      </c>
      <c r="P815" s="4" t="n">
        <v>1</v>
      </c>
      <c r="Q815" s="4" t="n">
        <v>97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63-1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60000</v>
      </c>
      <c r="G816" s="4" t="n">
        <v>640</v>
      </c>
      <c r="H816" s="4" t="n">
        <v>194</v>
      </c>
      <c r="I816" s="5" t="n">
        <v>309.3</v>
      </c>
      <c r="J816" s="5" t="n">
        <v>71.5</v>
      </c>
      <c r="K816" s="3" t="inlineStr">
        <is>
          <t>농업용창고있음.도로에 접해있는 땅으로 접근성 좋습니다.</t>
        </is>
      </c>
      <c r="L816" s="6">
        <f>HYPERLINK("https://fin.land.naver.com/articles/2650744703", "매물Link")</f>
        <v/>
      </c>
      <c r="M816" s="6">
        <f>HYPERLINK("https://map.naver.com/p/search/연동면 내판리 63-1", "지도Link")</f>
        <v/>
      </c>
      <c r="N816" s="6">
        <f>HYPERLINK("http://www.eum.go.kr/web/ar/lu/luLandDet.jsp?pnu=3611032021100630001&amp;isNoScr=script&amp;mode=search", "토지이음")</f>
        <v/>
      </c>
      <c r="O816" s="3" t="inlineStr">
        <is>
          <t>복수자이</t>
        </is>
      </c>
      <c r="P816" s="4" t="n">
        <v>1</v>
      </c>
      <c r="Q816" s="4" t="n">
        <v>640</v>
      </c>
      <c r="R816" s="3" t="inlineStr">
        <is>
          <t>지정되지않음</t>
        </is>
      </c>
      <c r="S816" s="3" t="inlineStr">
        <is>
          <t>답기타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내판리 64-1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88000</v>
      </c>
      <c r="G817" s="4" t="n">
        <v>1167</v>
      </c>
      <c r="H817" s="4" t="n">
        <v>353</v>
      </c>
      <c r="I817" s="5" t="n">
        <v>249.3</v>
      </c>
      <c r="J817" s="5" t="n">
        <v>83.3</v>
      </c>
      <c r="K817" s="3" t="inlineStr">
        <is>
          <t>급매, 계획관리지역,성장관리계획구역 도로접</t>
        </is>
      </c>
      <c r="L817" s="6">
        <f>HYPERLINK("https://fin.land.naver.com/articles/2646558474", "매물Link")</f>
        <v/>
      </c>
      <c r="M817" s="6">
        <f>HYPERLINK("https://map.naver.com/p/search/연동면 내판리 64-1", "지도Link")</f>
        <v/>
      </c>
      <c r="N817" s="6">
        <f>HYPERLINK("http://www.eum.go.kr/web/ar/lu/luLandDet.jsp?pnu=3611032021100640001&amp;isNoScr=script&amp;mode=search", "토지이음")</f>
        <v/>
      </c>
      <c r="O817" s="3" t="inlineStr">
        <is>
          <t>굿모닝한라</t>
        </is>
      </c>
      <c r="P817" s="4" t="n">
        <v>1</v>
      </c>
      <c r="Q817" s="4" t="n">
        <v>1167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65-1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149000</v>
      </c>
      <c r="G818" s="4" t="n">
        <v>2635</v>
      </c>
      <c r="H818" s="4" t="n">
        <v>797</v>
      </c>
      <c r="I818" s="5" t="n">
        <v>187</v>
      </c>
      <c r="J818" s="5" t="n">
        <v>83.3</v>
      </c>
      <c r="K818" s="3" t="inlineStr">
        <is>
          <t>급매,계획관리구역,성장관리계획구역</t>
        </is>
      </c>
      <c r="L818" s="6">
        <f>HYPERLINK("https://fin.land.naver.com/articles/2646558266", "매물Link")</f>
        <v/>
      </c>
      <c r="M818" s="6">
        <f>HYPERLINK("https://map.naver.com/p/search/연동면 내판리 65-1", "지도Link")</f>
        <v/>
      </c>
      <c r="N818" s="6">
        <f>HYPERLINK("http://www.eum.go.kr/web/ar/lu/luLandDet.jsp?pnu=3611032021100650001&amp;isNoScr=script&amp;mode=search", "토지이음")</f>
        <v/>
      </c>
      <c r="O818" s="3" t="inlineStr">
        <is>
          <t>굿모닝한라</t>
        </is>
      </c>
      <c r="P818" s="4" t="n">
        <v>1</v>
      </c>
      <c r="Q818" s="4" t="n">
        <v>1468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65-1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280000</v>
      </c>
      <c r="G819" s="4" t="n">
        <v>1428</v>
      </c>
      <c r="H819" s="4" t="n">
        <v>432</v>
      </c>
      <c r="I819" s="5" t="n">
        <v>648.1</v>
      </c>
      <c r="J819" s="5" t="n">
        <v>83.3</v>
      </c>
      <c r="K819" s="3" t="inlineStr">
        <is>
          <t>세종5생활권 2차도로 접도 계획관리 토지 매매</t>
        </is>
      </c>
      <c r="L819" s="6">
        <f>HYPERLINK("https://fin.land.naver.com/articles/2649688971", "매물Link")</f>
        <v/>
      </c>
      <c r="M819" s="6">
        <f>HYPERLINK("https://map.naver.com/p/search/연동면 내판리 65-1", "지도Link")</f>
        <v/>
      </c>
      <c r="N819" s="6">
        <f>HYPERLINK("http://www.eum.go.kr/web/ar/lu/luLandDet.jsp?pnu=3611032021100650001&amp;isNoScr=script&amp;mode=search", "토지이음")</f>
        <v/>
      </c>
      <c r="O819" s="3" t="inlineStr">
        <is>
          <t>행운</t>
        </is>
      </c>
      <c r="P819" s="4" t="n">
        <v>1</v>
      </c>
      <c r="Q819" s="4" t="n">
        <v>1468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내판리 산2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100000</v>
      </c>
      <c r="G820" s="4" t="n">
        <v>1587</v>
      </c>
      <c r="H820" s="4" t="n">
        <v>480</v>
      </c>
      <c r="I820" s="5" t="n">
        <v>208.3</v>
      </c>
      <c r="J820" s="5" t="n">
        <v>36.2</v>
      </c>
      <c r="K820" s="3" t="inlineStr">
        <is>
          <t>계획관리,도시계획도로접,지구단위계획구역,땅모양좋음,조정가</t>
        </is>
      </c>
      <c r="L820" s="6">
        <f>HYPERLINK("https://fin.land.naver.com/articles/2650882718", "매물Link")</f>
        <v/>
      </c>
      <c r="M820" s="6">
        <f>HYPERLINK("https://map.naver.com/p/search/연동면 내판리 산2", "지도Link")</f>
        <v/>
      </c>
      <c r="N820" s="6">
        <f>HYPERLINK("http://www.eum.go.kr/web/ar/lu/luLandDet.jsp?pnu=3611032021200020000&amp;isNoScr=script&amp;mode=search", "토지이음")</f>
        <v/>
      </c>
      <c r="O820" s="3" t="inlineStr">
        <is>
          <t>힐스테이트행복</t>
        </is>
      </c>
      <c r="P820" s="4" t="n">
        <v>1</v>
      </c>
      <c r="Q820" s="4" t="n">
        <v>1587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가로장방</t>
        </is>
      </c>
      <c r="V820" s="3" t="inlineStr">
        <is>
          <t>세로각지(가)</t>
        </is>
      </c>
    </row>
    <row r="821">
      <c r="A821" s="3" t="inlineStr">
        <is>
          <t>연동면 노송리 12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70000</v>
      </c>
      <c r="G821" s="4" t="n">
        <v>3325</v>
      </c>
      <c r="H821" s="4" t="n">
        <v>1006</v>
      </c>
      <c r="I821" s="5" t="n">
        <v>69.59999999999999</v>
      </c>
      <c r="J821" s="5" t="n">
        <v>36</v>
      </c>
      <c r="K821" s="3" t="inlineStr">
        <is>
          <t>한적한 곳에 위치한 전원주택부지용 토지</t>
        </is>
      </c>
      <c r="L821" s="6">
        <f>HYPERLINK("https://fin.land.naver.com/articles/2645609459", "매물Link")</f>
        <v/>
      </c>
      <c r="M821" s="6">
        <f>HYPERLINK("https://map.naver.com/p/search/연동면 노송리 12", "지도Link")</f>
        <v/>
      </c>
      <c r="N821" s="6">
        <f>HYPERLINK("http://www.eum.go.kr/web/ar/lu/luLandDet.jsp?pnu=3611032025100120000&amp;isNoScr=script&amp;mode=search", "토지이음")</f>
        <v/>
      </c>
      <c r="O821" s="3" t="inlineStr">
        <is>
          <t>청담</t>
        </is>
      </c>
      <c r="P821" s="4" t="n">
        <v>1</v>
      </c>
      <c r="Q821" s="4" t="n">
        <v>846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노송리 221</t>
        </is>
      </c>
      <c r="B822" s="3" t="inlineStr">
        <is>
          <t>계획관리지역</t>
        </is>
      </c>
      <c r="C822" s="3" t="inlineStr"/>
      <c r="D822" s="3" t="inlineStr">
        <is>
          <t>과수원</t>
        </is>
      </c>
      <c r="E822" s="3" t="inlineStr">
        <is>
          <t>매매</t>
        </is>
      </c>
      <c r="F822" s="4" t="n">
        <v>86000</v>
      </c>
      <c r="G822" s="4" t="n">
        <v>2364</v>
      </c>
      <c r="H822" s="4" t="n">
        <v>715</v>
      </c>
      <c r="I822" s="5" t="n">
        <v>120.3</v>
      </c>
      <c r="J822" s="5" t="n">
        <v>39.5</v>
      </c>
      <c r="K822" s="3" t="inlineStr">
        <is>
          <t>연동면 노송리 저렴한 계획관리 토지, 도로접, 투자 추천</t>
        </is>
      </c>
      <c r="L822" s="6">
        <f>HYPERLINK("https://fin.land.naver.com/articles/2646421693", "매물Link")</f>
        <v/>
      </c>
      <c r="M822" s="6">
        <f>HYPERLINK("https://map.naver.com/p/search/연동면 노송리 221", "지도Link")</f>
        <v/>
      </c>
      <c r="N822" s="6">
        <f>HYPERLINK("http://www.eum.go.kr/web/ar/lu/luLandDet.jsp?pnu=3611032025102210000&amp;isNoScr=script&amp;mode=search", "토지이음")</f>
        <v/>
      </c>
      <c r="O822" s="3" t="inlineStr">
        <is>
          <t>스카이</t>
        </is>
      </c>
      <c r="P822" s="4" t="n">
        <v>1</v>
      </c>
      <c r="Q822" s="4" t="n">
        <v>0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연동면 노송리 234-1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17800</v>
      </c>
      <c r="G823" s="4" t="n">
        <v>283</v>
      </c>
      <c r="H823" s="4" t="n">
        <v>86</v>
      </c>
      <c r="I823" s="5" t="n">
        <v>207</v>
      </c>
      <c r="J823" s="5" t="n">
        <v>73.40000000000001</v>
      </c>
      <c r="K823" s="3" t="inlineStr">
        <is>
          <t>nan</t>
        </is>
      </c>
      <c r="L823" s="6">
        <f>HYPERLINK("https://fin.land.naver.com/articles/2647747743", "매물Link")</f>
        <v/>
      </c>
      <c r="M823" s="6">
        <f>HYPERLINK("https://map.naver.com/p/search/연동면 노송리 234-1", "지도Link")</f>
        <v/>
      </c>
      <c r="N823" s="6">
        <f>HYPERLINK("http://www.eum.go.kr/web/ar/lu/luLandDet.jsp?pnu=3611032025102340001&amp;isNoScr=script&amp;mode=search", "토지이음")</f>
        <v/>
      </c>
      <c r="O823" s="3" t="inlineStr">
        <is>
          <t>다산</t>
        </is>
      </c>
      <c r="P823" s="4" t="n">
        <v>2</v>
      </c>
      <c r="Q823" s="4" t="n">
        <v>283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24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12600</v>
      </c>
      <c r="G824" s="4" t="n">
        <v>417</v>
      </c>
      <c r="H824" s="4" t="n">
        <v>126</v>
      </c>
      <c r="I824" s="5" t="n">
        <v>100</v>
      </c>
      <c r="J824" s="5" t="n">
        <v>65</v>
      </c>
      <c r="K824" s="3" t="inlineStr">
        <is>
          <t>지대가 높아 남향으로 집을 지으면 조망이 좋은 계획관리지역의 대지입니다</t>
        </is>
      </c>
      <c r="L824" s="6">
        <f>HYPERLINK("https://fin.land.naver.com/articles/2646324086", "매물Link")</f>
        <v/>
      </c>
      <c r="M824" s="6">
        <f>HYPERLINK("https://map.naver.com/p/search/연동면 노송리 24", "지도Link")</f>
        <v/>
      </c>
      <c r="N824" s="6">
        <f>HYPERLINK("http://www.eum.go.kr/web/ar/lu/luLandDet.jsp?pnu=3611032025100240000&amp;isNoScr=script&amp;mode=search", "토지이음")</f>
        <v/>
      </c>
      <c r="O824" s="3" t="inlineStr">
        <is>
          <t>스마일세종</t>
        </is>
      </c>
      <c r="P824" s="4" t="n">
        <v>1</v>
      </c>
      <c r="Q824" s="4" t="n">
        <v>179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노송리 246-2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전</t>
        </is>
      </c>
      <c r="E825" s="3" t="inlineStr">
        <is>
          <t>매매</t>
        </is>
      </c>
      <c r="F825" s="4" t="n">
        <v>92000</v>
      </c>
      <c r="G825" s="4" t="n">
        <v>2034</v>
      </c>
      <c r="H825" s="4" t="n">
        <v>615</v>
      </c>
      <c r="I825" s="5" t="n">
        <v>149.6</v>
      </c>
      <c r="J825" s="5" t="n">
        <v>46.3</v>
      </c>
      <c r="K825" s="3" t="inlineStr">
        <is>
          <t>연접된 2필지 토지로 지목은 전, 과수원으로 구성됨</t>
        </is>
      </c>
      <c r="L825" s="6">
        <f>HYPERLINK("https://fin.land.naver.com/articles/2650782555", "매물Link")</f>
        <v/>
      </c>
      <c r="M825" s="6">
        <f>HYPERLINK("https://map.naver.com/p/search/연동면 노송리 246-2", "지도Link")</f>
        <v/>
      </c>
      <c r="N825" s="6">
        <f>HYPERLINK("http://www.eum.go.kr/web/ar/lu/luLandDet.jsp?pnu=3611032025102460002&amp;isNoScr=script&amp;mode=search", "토지이음")</f>
        <v/>
      </c>
      <c r="O825" s="3" t="inlineStr">
        <is>
          <t>탑</t>
        </is>
      </c>
      <c r="P825" s="4" t="n">
        <v>1</v>
      </c>
      <c r="Q825" s="4" t="n">
        <v>1090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275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39500</v>
      </c>
      <c r="G826" s="4" t="n">
        <v>724</v>
      </c>
      <c r="H826" s="4" t="n">
        <v>219</v>
      </c>
      <c r="I826" s="5" t="n">
        <v>180.4</v>
      </c>
      <c r="J826" s="5" t="n">
        <v>67.7</v>
      </c>
      <c r="K826" s="3" t="inlineStr">
        <is>
          <t>매매가 조절가능,집 짓고 텃밭하기 좋은 땅</t>
        </is>
      </c>
      <c r="L826" s="6">
        <f>HYPERLINK("https://fin.land.naver.com/articles/2646098156", "매물Link")</f>
        <v/>
      </c>
      <c r="M826" s="6">
        <f>HYPERLINK("https://map.naver.com/p/search/연동면 노송리 275", "지도Link")</f>
        <v/>
      </c>
      <c r="N826" s="6">
        <f>HYPERLINK("http://www.eum.go.kr/web/ar/lu/luLandDet.jsp?pnu=3611032025102750000&amp;isNoScr=script&amp;mode=search", "토지이음")</f>
        <v/>
      </c>
      <c r="O826" s="3" t="inlineStr">
        <is>
          <t>엘리프단지내대표</t>
        </is>
      </c>
      <c r="P826" s="4" t="n">
        <v>1</v>
      </c>
      <c r="Q826" s="4" t="n">
        <v>724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정방형</t>
        </is>
      </c>
      <c r="V826" s="3" t="inlineStr">
        <is>
          <t>세로한면(가)</t>
        </is>
      </c>
    </row>
    <row r="827">
      <c r="A827" s="3" t="inlineStr">
        <is>
          <t>연동면 노송리 28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180000</v>
      </c>
      <c r="G827" s="4" t="n">
        <v>1001</v>
      </c>
      <c r="H827" s="4" t="n">
        <v>303</v>
      </c>
      <c r="I827" s="5" t="n">
        <v>594.1</v>
      </c>
      <c r="J827" s="5" t="n">
        <v>68.90000000000001</v>
      </c>
      <c r="K827" s="3" t="inlineStr">
        <is>
          <t>계획관리 자연취락지구 3필지일괄매각 분할매각도가능 가격절충가능</t>
        </is>
      </c>
      <c r="L827" s="6">
        <f>HYPERLINK("https://fin.land.naver.com/articles/2645721524", "매물Link")</f>
        <v/>
      </c>
      <c r="M827" s="6">
        <f>HYPERLINK("https://map.naver.com/p/search/연동면 노송리 28", "지도Link")</f>
        <v/>
      </c>
      <c r="N827" s="6">
        <f>HYPERLINK("http://www.eum.go.kr/web/ar/lu/luLandDet.jsp?pnu=3611032025100280000&amp;isNoScr=script&amp;mode=search", "토지이음")</f>
        <v/>
      </c>
      <c r="O827" s="3" t="inlineStr">
        <is>
          <t>레몬</t>
        </is>
      </c>
      <c r="P827" s="4" t="n">
        <v>1</v>
      </c>
      <c r="Q827" s="4" t="n">
        <v>1001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연동면 노송리 28-6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35000</v>
      </c>
      <c r="G828" s="4" t="n">
        <v>465</v>
      </c>
      <c r="H828" s="4" t="n">
        <v>141</v>
      </c>
      <c r="I828" s="5" t="n">
        <v>248.2</v>
      </c>
      <c r="J828" s="5" t="n">
        <v>68.40000000000001</v>
      </c>
      <c r="K828" s="3" t="inlineStr">
        <is>
          <t>바로 건축할수 있는 나대지,3미터 포장도로 진입가능</t>
        </is>
      </c>
      <c r="L828" s="6">
        <f>HYPERLINK("https://fin.land.naver.com/articles/2648645998", "매물Link")</f>
        <v/>
      </c>
      <c r="M828" s="6">
        <f>HYPERLINK("https://map.naver.com/p/search/연동면 노송리 28-6", "지도Link")</f>
        <v/>
      </c>
      <c r="N828" s="6">
        <f>HYPERLINK("http://www.eum.go.kr/web/ar/lu/luLandDet.jsp?pnu=3611032025100280006&amp;isNoScr=script&amp;mode=search", "토지이음")</f>
        <v/>
      </c>
      <c r="O828" s="3" t="inlineStr">
        <is>
          <t>보람최고</t>
        </is>
      </c>
      <c r="P828" s="4" t="n">
        <v>2</v>
      </c>
      <c r="Q828" s="4" t="n">
        <v>465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노송리 28-6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465</v>
      </c>
      <c r="H829" s="4" t="n">
        <v>141</v>
      </c>
      <c r="I829" s="5" t="n">
        <v>248.2</v>
      </c>
      <c r="J829" s="5" t="n">
        <v>68.40000000000001</v>
      </c>
      <c r="K829" s="3" t="inlineStr">
        <is>
          <t>지목 대 계획관리 자연취락지구 진입도로있음</t>
        </is>
      </c>
      <c r="L829" s="6">
        <f>HYPERLINK("https://fin.land.naver.com/articles/2645721058", "매물Link")</f>
        <v/>
      </c>
      <c r="M829" s="6">
        <f>HYPERLINK("https://map.naver.com/p/search/연동면 노송리 28-6", "지도Link")</f>
        <v/>
      </c>
      <c r="N829" s="6">
        <f>HYPERLINK("http://www.eum.go.kr/web/ar/lu/luLandDet.jsp?pnu=3611032025100280006&amp;isNoScr=script&amp;mode=search", "토지이음")</f>
        <v/>
      </c>
      <c r="O829" s="3" t="inlineStr">
        <is>
          <t>레몬</t>
        </is>
      </c>
      <c r="P829" s="4" t="n">
        <v>1</v>
      </c>
      <c r="Q829" s="4" t="n">
        <v>465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302-1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162000</v>
      </c>
      <c r="G830" s="4" t="n">
        <v>1983</v>
      </c>
      <c r="H830" s="4" t="n">
        <v>600</v>
      </c>
      <c r="I830" s="5" t="n">
        <v>270</v>
      </c>
      <c r="J830" s="5" t="n">
        <v>13.9</v>
      </c>
      <c r="K830" s="3" t="inlineStr">
        <is>
          <t>계획관리 투자용으로도 좋아요</t>
        </is>
      </c>
      <c r="L830" s="6">
        <f>HYPERLINK("https://fin.land.naver.com/articles/2648188622", "매물Link")</f>
        <v/>
      </c>
      <c r="M830" s="6">
        <f>HYPERLINK("https://map.naver.com/p/search/연동면 노송리 302-1", "지도Link")</f>
        <v/>
      </c>
      <c r="N830" s="6">
        <f>HYPERLINK("http://www.eum.go.kr/web/ar/lu/luLandDet.jsp?pnu=3611032025103020001&amp;isNoScr=script&amp;mode=search", "토지이음")</f>
        <v/>
      </c>
      <c r="O830" s="3" t="inlineStr">
        <is>
          <t>가치잇는</t>
        </is>
      </c>
      <c r="P830" s="4" t="n">
        <v>1</v>
      </c>
      <c r="Q830" s="4" t="n">
        <v>30</v>
      </c>
      <c r="R830" s="3" t="inlineStr">
        <is>
          <t>지정되지않음</t>
        </is>
      </c>
      <c r="S830" s="3" t="inlineStr">
        <is>
          <t>도로등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지정되지않음</t>
        </is>
      </c>
    </row>
    <row r="831">
      <c r="A831" s="3" t="inlineStr">
        <is>
          <t>연동면 노송리 310-10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45000</v>
      </c>
      <c r="G831" s="4" t="n">
        <v>616</v>
      </c>
      <c r="H831" s="4" t="n">
        <v>186</v>
      </c>
      <c r="I831" s="5" t="n">
        <v>241.9</v>
      </c>
      <c r="J831" s="5" t="n">
        <v>18.9</v>
      </c>
      <c r="K831" s="3" t="inlineStr">
        <is>
          <t>투자용으로 좋아요.</t>
        </is>
      </c>
      <c r="L831" s="6">
        <f>HYPERLINK("https://fin.land.naver.com/articles/2650453793", "매물Link")</f>
        <v/>
      </c>
      <c r="M831" s="6">
        <f>HYPERLINK("https://map.naver.com/p/search/연동면 노송리 310-10", "지도Link")</f>
        <v/>
      </c>
      <c r="N831" s="6">
        <f>HYPERLINK("http://www.eum.go.kr/web/ar/lu/luLandDet.jsp?pnu=3611032025103100010&amp;isNoScr=script&amp;mode=search", "토지이음")</f>
        <v/>
      </c>
      <c r="O831" s="3" t="inlineStr">
        <is>
          <t>고운동리치세종</t>
        </is>
      </c>
      <c r="P831" s="4" t="n">
        <v>1</v>
      </c>
      <c r="Q831" s="4" t="n">
        <v>616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327-2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133750</v>
      </c>
      <c r="G832" s="4" t="n">
        <v>1507</v>
      </c>
      <c r="H832" s="4" t="n">
        <v>456</v>
      </c>
      <c r="I832" s="5" t="n">
        <v>293.3</v>
      </c>
      <c r="J832" s="5" t="n">
        <v>45</v>
      </c>
      <c r="K832" s="3" t="inlineStr">
        <is>
          <t>추천. 연동면 도로낀 계획관리</t>
        </is>
      </c>
      <c r="L832" s="6">
        <f>HYPERLINK("https://fin.land.naver.com/articles/2645465734", "매물Link")</f>
        <v/>
      </c>
      <c r="M832" s="6">
        <f>HYPERLINK("https://map.naver.com/p/search/연동면 노송리 327-2", "지도Link")</f>
        <v/>
      </c>
      <c r="N832" s="6">
        <f>HYPERLINK("http://www.eum.go.kr/web/ar/lu/luLandDet.jsp?pnu=3611032025103270002&amp;isNoScr=script&amp;mode=search", "토지이음")</f>
        <v/>
      </c>
      <c r="O832" s="3" t="inlineStr">
        <is>
          <t>강아지풀</t>
        </is>
      </c>
      <c r="P832" s="4" t="n">
        <v>1</v>
      </c>
      <c r="Q832" s="4" t="n">
        <v>1507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329-5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254</v>
      </c>
      <c r="H833" s="4" t="n">
        <v>77</v>
      </c>
      <c r="I833" s="5" t="n">
        <v>298.7</v>
      </c>
      <c r="J833" s="5" t="n">
        <v>47.2</v>
      </c>
      <c r="K833" s="3" t="inlineStr">
        <is>
          <t>2차선 도로에 접함, 건축허가 득함</t>
        </is>
      </c>
      <c r="L833" s="6">
        <f>HYPERLINK("https://fin.land.naver.com/articles/2649582469", "매물Link")</f>
        <v/>
      </c>
      <c r="M833" s="6">
        <f>HYPERLINK("https://map.naver.com/p/search/연동면 노송리 329-5", "지도Link")</f>
        <v/>
      </c>
      <c r="N833" s="6">
        <f>HYPERLINK("http://www.eum.go.kr/web/ar/lu/luLandDet.jsp?pnu=3611032025103290005&amp;isNoScr=script&amp;mode=search", "토지이음")</f>
        <v/>
      </c>
      <c r="O833" s="3" t="inlineStr">
        <is>
          <t>제이</t>
        </is>
      </c>
      <c r="P833" s="4" t="n">
        <v>1</v>
      </c>
      <c r="Q833" s="4" t="n">
        <v>254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소로한면</t>
        </is>
      </c>
    </row>
    <row r="834">
      <c r="A834" s="3" t="inlineStr">
        <is>
          <t>연동면 노송리 384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104400</v>
      </c>
      <c r="G834" s="4" t="n">
        <v>2876</v>
      </c>
      <c r="H834" s="4" t="n">
        <v>870</v>
      </c>
      <c r="I834" s="5" t="n">
        <v>120</v>
      </c>
      <c r="J834" s="5" t="n">
        <v>32.8</v>
      </c>
      <c r="K834" s="3" t="inlineStr">
        <is>
          <t>연동면 노송리 계획관리 토지, 연동면 소재지 인근</t>
        </is>
      </c>
      <c r="L834" s="6">
        <f>HYPERLINK("https://fin.land.naver.com/articles/2646008416", "매물Link")</f>
        <v/>
      </c>
      <c r="M834" s="6">
        <f>HYPERLINK("https://map.naver.com/p/search/연동면 노송리 384", "지도Link")</f>
        <v/>
      </c>
      <c r="N834" s="6">
        <f>HYPERLINK("http://www.eum.go.kr/web/ar/lu/luLandDet.jsp?pnu=3611032025103840000&amp;isNoScr=script&amp;mode=search",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2876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세로장방</t>
        </is>
      </c>
      <c r="V834" s="3" t="inlineStr">
        <is>
          <t>맹지</t>
        </is>
      </c>
    </row>
    <row r="835">
      <c r="A835" s="3" t="inlineStr">
        <is>
          <t>연동면 노송리 412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185000</v>
      </c>
      <c r="G835" s="4" t="n">
        <v>4079</v>
      </c>
      <c r="H835" s="4" t="n">
        <v>1234</v>
      </c>
      <c r="I835" s="5" t="n">
        <v>149.9</v>
      </c>
      <c r="J835" s="5" t="n">
        <v>34.4</v>
      </c>
      <c r="K835" s="3" t="inlineStr">
        <is>
          <t>세종시 연동면 노송리 나지막한 야산아래 위치한 계획관리지역 토지</t>
        </is>
      </c>
      <c r="L835" s="6">
        <f>HYPERLINK("https://fin.land.naver.com/articles/2645656959", "매물Link")</f>
        <v/>
      </c>
      <c r="M835" s="6">
        <f>HYPERLINK("https://map.naver.com/p/search/연동면 노송리 412", "지도Link")</f>
        <v/>
      </c>
      <c r="N835" s="6">
        <f>HYPERLINK("http://www.eum.go.kr/web/ar/lu/luLandDet.jsp?pnu=3611032025104120000&amp;isNoScr=script&amp;mode=search",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4079</v>
      </c>
      <c r="R835" s="3" t="inlineStr">
        <is>
          <t>농림지역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50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150000</v>
      </c>
      <c r="G836" s="4" t="n">
        <v>1982</v>
      </c>
      <c r="H836" s="4" t="n">
        <v>600</v>
      </c>
      <c r="I836" s="5" t="n">
        <v>250</v>
      </c>
      <c r="J836" s="5" t="n">
        <v>53.2</v>
      </c>
      <c r="K836" s="3" t="inlineStr">
        <is>
          <t>2차선도로접, 계획관리, 4거리변위치, 산단인근 매매가조절가능</t>
        </is>
      </c>
      <c r="L836" s="6">
        <f>HYPERLINK("https://fin.land.naver.com/articles/2650857996", "매물Link")</f>
        <v/>
      </c>
      <c r="M836" s="6">
        <f>HYPERLINK("https://map.naver.com/p/search/연동면 노송리 50", "지도Link")</f>
        <v/>
      </c>
      <c r="N836" s="6">
        <f>HYPERLINK("http://www.eum.go.kr/web/ar/lu/luLandDet.jsp?pnu=3611032025100500000&amp;isNoScr=script&amp;mode=search", "토지이음")</f>
        <v/>
      </c>
      <c r="O836" s="3" t="inlineStr">
        <is>
          <t>힐스테이트정문</t>
        </is>
      </c>
      <c r="P836" s="4" t="n">
        <v>1</v>
      </c>
      <c r="Q836" s="4" t="n">
        <v>1982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500-1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102400</v>
      </c>
      <c r="G837" s="4" t="n">
        <v>4734</v>
      </c>
      <c r="H837" s="4" t="n">
        <v>1432</v>
      </c>
      <c r="I837" s="5" t="n">
        <v>71.5</v>
      </c>
      <c r="J837" s="5" t="n">
        <v>22.6</v>
      </c>
      <c r="K837" s="3" t="inlineStr">
        <is>
          <t>세종시 연동면 노송리 토지 매매 (답 4,734㎡) 10억 2,100만원</t>
        </is>
      </c>
      <c r="L837" s="6">
        <f>HYPERLINK("https://fin.land.naver.com/articles/2649343302", "매물Link")</f>
        <v/>
      </c>
      <c r="M837" s="6">
        <f>HYPERLINK("https://map.naver.com/p/search/연동면 노송리 500-1", "지도Link")</f>
        <v/>
      </c>
      <c r="N837" s="6">
        <f>HYPERLINK("http://www.eum.go.kr/web/ar/lu/luLandDet.jsp?pnu=3611032025105000001&amp;isNoScr=script&amp;mode=search", "토지이음")</f>
        <v/>
      </c>
      <c r="O837" s="3" t="inlineStr">
        <is>
          <t>세종</t>
        </is>
      </c>
      <c r="P837" s="4" t="n">
        <v>1</v>
      </c>
      <c r="Q837" s="4" t="n">
        <v>4734.6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101-7</t>
        </is>
      </c>
      <c r="B838" s="3" t="inlineStr">
        <is>
          <t>농림지역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500000</v>
      </c>
      <c r="G838" s="4" t="n">
        <v>3700</v>
      </c>
      <c r="H838" s="4" t="n">
        <v>1119</v>
      </c>
      <c r="I838" s="5" t="n">
        <v>446.8</v>
      </c>
      <c r="J838" s="5" t="n">
        <v>25.1</v>
      </c>
      <c r="K838" s="3" t="inlineStr">
        <is>
          <t>nan</t>
        </is>
      </c>
      <c r="L838" s="6">
        <f>HYPERLINK("https://fin.land.naver.com/articles/2646190272", "매물Link")</f>
        <v/>
      </c>
      <c r="M838" s="6">
        <f>HYPERLINK("https://map.naver.com/p/search/연동면 명학리 101-7", "지도Link")</f>
        <v/>
      </c>
      <c r="N838" s="6">
        <f>HYPERLINK("http://www.eum.go.kr/web/ar/lu/luLandDet.jsp?pnu=3611032023101010007&amp;isNoScr=script&amp;mode=search",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3700</v>
      </c>
      <c r="R838" s="3" t="inlineStr">
        <is>
          <t>보전관리지역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명학리 101-7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100000</v>
      </c>
      <c r="G839" s="4" t="n">
        <v>645</v>
      </c>
      <c r="H839" s="4" t="n">
        <v>195</v>
      </c>
      <c r="I839" s="5" t="n">
        <v>512.8</v>
      </c>
      <c r="J839" s="5" t="n">
        <v>25.1</v>
      </c>
      <c r="K839" s="3" t="inlineStr">
        <is>
          <t>일부 매매,전체 매매 가능,도로변에 위치</t>
        </is>
      </c>
      <c r="L839" s="6">
        <f>HYPERLINK("https://fin.land.naver.com/articles/2649947423", "매물Link")</f>
        <v/>
      </c>
      <c r="M839" s="6">
        <f>HYPERLINK("https://map.naver.com/p/search/연동면 명학리 101-7", "지도Link")</f>
        <v/>
      </c>
      <c r="N839" s="6">
        <f>HYPERLINK("http://www.eum.go.kr/web/ar/lu/luLandDet.jsp?pnu=3611032023101010007&amp;isNoScr=script&amp;mode=search",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3700</v>
      </c>
      <c r="R839" s="3" t="inlineStr">
        <is>
          <t>보전관리지역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101-7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500000</v>
      </c>
      <c r="G840" s="4" t="n">
        <v>3700</v>
      </c>
      <c r="H840" s="4" t="n">
        <v>1119</v>
      </c>
      <c r="I840" s="5" t="n">
        <v>446.8</v>
      </c>
      <c r="J840" s="5" t="n">
        <v>25.1</v>
      </c>
      <c r="K840" s="3" t="inlineStr">
        <is>
          <t>2차선 도로접한 금강이 보이는 지대 높은 토지,분할매매 가능,</t>
        </is>
      </c>
      <c r="L840" s="6">
        <f>HYPERLINK("https://fin.land.naver.com/articles/2648917205", "매물Link")</f>
        <v/>
      </c>
      <c r="M840" s="6">
        <f>HYPERLINK("https://map.naver.com/p/search/연동면 명학리 101-7", "지도Link")</f>
        <v/>
      </c>
      <c r="N840" s="6">
        <f>HYPERLINK("http://www.eum.go.kr/web/ar/lu/luLandDet.jsp?pnu=3611032023101010007&amp;isNoScr=script&amp;mode=search", "토지이음")</f>
        <v/>
      </c>
      <c r="O840" s="3" t="inlineStr">
        <is>
          <t>담뜰</t>
        </is>
      </c>
      <c r="P840" s="4" t="n">
        <v>5</v>
      </c>
      <c r="Q840" s="4" t="n">
        <v>3700</v>
      </c>
      <c r="R840" s="3" t="inlineStr">
        <is>
          <t>보전관리지역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명학리 104-8</t>
        </is>
      </c>
      <c r="B841" s="3" t="inlineStr">
        <is>
          <t>보전관리지역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350000</v>
      </c>
      <c r="G841" s="4" t="n">
        <v>4578</v>
      </c>
      <c r="H841" s="4" t="n">
        <v>1385</v>
      </c>
      <c r="I841" s="5" t="n">
        <v>252.7</v>
      </c>
      <c r="J841" s="5" t="n">
        <v>159.8</v>
      </c>
      <c r="K841" s="3" t="inlineStr">
        <is>
          <t>세종시 금강변 2차선 도로변 토지</t>
        </is>
      </c>
      <c r="L841" s="6">
        <f>HYPERLINK("https://fin.land.naver.com/articles/2646902255", "매물Link")</f>
        <v/>
      </c>
      <c r="M841" s="6">
        <f>HYPERLINK("https://map.naver.com/p/search/연동면 명학리 104-8", "지도Link")</f>
        <v/>
      </c>
      <c r="N841" s="6">
        <f>HYPERLINK("http://www.eum.go.kr/web/ar/lu/luLandDet.jsp?pnu=3611032023101040008&amp;isNoScr=script&amp;mode=search", "토지이음")</f>
        <v/>
      </c>
      <c r="O841" s="3" t="inlineStr">
        <is>
          <t>대유</t>
        </is>
      </c>
      <c r="P841" s="4" t="n">
        <v>1</v>
      </c>
      <c r="Q841" s="4" t="n">
        <v>506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세로한면(가)</t>
        </is>
      </c>
    </row>
    <row r="842">
      <c r="A842" s="3" t="inlineStr">
        <is>
          <t>연동면 명학리 137</t>
        </is>
      </c>
      <c r="B842" s="3" t="inlineStr">
        <is>
          <t>보전관리지역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29700</v>
      </c>
      <c r="G842" s="4" t="n">
        <v>1121</v>
      </c>
      <c r="H842" s="4" t="n">
        <v>339</v>
      </c>
      <c r="I842" s="5" t="n">
        <v>87.59999999999999</v>
      </c>
      <c r="J842" s="5" t="n">
        <v>35.5</v>
      </c>
      <c r="K842" s="3" t="inlineStr">
        <is>
          <t>세종시 연동면 명학리 소형 토지 매매</t>
        </is>
      </c>
      <c r="L842" s="6">
        <f>HYPERLINK("https://fin.land.naver.com/articles/2648763478", "매물Link")</f>
        <v/>
      </c>
      <c r="M842" s="6">
        <f>HYPERLINK("https://map.naver.com/p/search/연동면 명학리 137", "지도Link")</f>
        <v/>
      </c>
      <c r="N842" s="6">
        <f>HYPERLINK("http://www.eum.go.kr/web/ar/lu/luLandDet.jsp?pnu=3611032023101370000&amp;isNoScr=script&amp;mode=search",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1121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137</t>
        </is>
      </c>
      <c r="B843" s="3" t="inlineStr">
        <is>
          <t>보전관리지역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64400</v>
      </c>
      <c r="G843" s="4" t="n">
        <v>1121</v>
      </c>
      <c r="H843" s="4" t="n">
        <v>339</v>
      </c>
      <c r="I843" s="5" t="n">
        <v>190</v>
      </c>
      <c r="J843" s="5" t="n">
        <v>35.5</v>
      </c>
      <c r="K843" s="3" t="inlineStr">
        <is>
          <t>보전관리, 전</t>
        </is>
      </c>
      <c r="L843" s="6">
        <f>HYPERLINK("https://fin.land.naver.com/articles/2649732862", "매물Link")</f>
        <v/>
      </c>
      <c r="M843" s="6">
        <f>HYPERLINK("https://map.naver.com/p/search/연동면 명학리 137", "지도Link")</f>
        <v/>
      </c>
      <c r="N843" s="6">
        <f>HYPERLINK("http://www.eum.go.kr/web/ar/lu/luLandDet.jsp?pnu=3611032023101370000&amp;isNoScr=script&amp;mode=search",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1121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148-3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45000</v>
      </c>
      <c r="G844" s="4" t="n">
        <v>365</v>
      </c>
      <c r="H844" s="4" t="n">
        <v>110</v>
      </c>
      <c r="I844" s="5" t="n">
        <v>409.1</v>
      </c>
      <c r="J844" s="5" t="n">
        <v>113.6</v>
      </c>
      <c r="K844" s="3" t="inlineStr">
        <is>
          <t>2차선 도로변에 있는 대지로 활용도 높음, 5생활권 초인접 투자로 추천</t>
        </is>
      </c>
      <c r="L844" s="6">
        <f>HYPERLINK("https://fin.land.naver.com/articles/2650976147", "매물Link")</f>
        <v/>
      </c>
      <c r="M844" s="6">
        <f>HYPERLINK("https://map.naver.com/p/search/연동면 명학리 148-3", "지도Link")</f>
        <v/>
      </c>
      <c r="N844" s="6">
        <f>HYPERLINK("http://www.eum.go.kr/web/ar/lu/luLandDet.jsp?pnu=3611032023101480003&amp;isNoScr=script&amp;mode=search", "토지이음")</f>
        <v/>
      </c>
      <c r="O844" s="3" t="inlineStr">
        <is>
          <t>샘머리랜드</t>
        </is>
      </c>
      <c r="P844" s="4" t="n">
        <v>1</v>
      </c>
      <c r="Q844" s="4" t="n">
        <v>365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연동면 명학리 195-3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173000</v>
      </c>
      <c r="G845" s="4" t="n">
        <v>1636</v>
      </c>
      <c r="H845" s="4" t="n">
        <v>495</v>
      </c>
      <c r="I845" s="5" t="n">
        <v>349.5</v>
      </c>
      <c r="J845" s="5" t="n">
        <v>75.90000000000001</v>
      </c>
      <c r="K845" s="3" t="inlineStr">
        <is>
          <t>도로변 계획관리 토지 매매</t>
        </is>
      </c>
      <c r="L845" s="6">
        <f>HYPERLINK("https://fin.land.naver.com/articles/2646722363", "매물Link")</f>
        <v/>
      </c>
      <c r="M845" s="6">
        <f>HYPERLINK("https://map.naver.com/p/search/연동면 명학리 195-3", "지도Link")</f>
        <v/>
      </c>
      <c r="N845" s="6">
        <f>HYPERLINK("http://www.eum.go.kr/web/ar/lu/luLandDet.jsp?pnu=3611032023101950003&amp;isNoScr=script&amp;mode=search", "토지이음")</f>
        <v/>
      </c>
      <c r="O845" s="3" t="inlineStr">
        <is>
          <t>(주)정민근</t>
        </is>
      </c>
      <c r="P845" s="4" t="n">
        <v>1</v>
      </c>
      <c r="Q845" s="4" t="n">
        <v>1636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연동면 명학리 220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40000</v>
      </c>
      <c r="G846" s="4" t="n">
        <v>446</v>
      </c>
      <c r="H846" s="4" t="n">
        <v>135</v>
      </c>
      <c r="I846" s="5" t="n">
        <v>296.3</v>
      </c>
      <c r="J846" s="5" t="n">
        <v>98.7</v>
      </c>
      <c r="K846" s="3" t="inlineStr">
        <is>
          <t>nan</t>
        </is>
      </c>
      <c r="L846" s="6">
        <f>HYPERLINK("https://fin.land.naver.com/articles/2648256503", "매물Link")</f>
        <v/>
      </c>
      <c r="M846" s="6">
        <f>HYPERLINK("https://map.naver.com/p/search/연동면 명학리 220", "지도Link")</f>
        <v/>
      </c>
      <c r="N846" s="6">
        <f>HYPERLINK("http://www.eum.go.kr/web/ar/lu/luLandDet.jsp?pnu=3611032023102200000&amp;isNoScr=script&amp;mode=search", "토지이음")</f>
        <v/>
      </c>
      <c r="O846" s="3" t="inlineStr">
        <is>
          <t>연동스카이</t>
        </is>
      </c>
      <c r="P846" s="4" t="n">
        <v>2</v>
      </c>
      <c r="Q846" s="4" t="n">
        <v>446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명학리 221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38000</v>
      </c>
      <c r="G847" s="4" t="n">
        <v>614</v>
      </c>
      <c r="H847" s="4" t="n">
        <v>186</v>
      </c>
      <c r="I847" s="5" t="n">
        <v>204.3</v>
      </c>
      <c r="J847" s="5" t="n">
        <v>102.5</v>
      </c>
      <c r="K847" s="3" t="inlineStr">
        <is>
          <t>나대지로 공기좋고 전원주택지 최상입니다</t>
        </is>
      </c>
      <c r="L847" s="6">
        <f>HYPERLINK("https://fin.land.naver.com/articles/2650466748", "매물Link")</f>
        <v/>
      </c>
      <c r="M847" s="6">
        <f>HYPERLINK("https://map.naver.com/p/search/연동면 명학리 221", "지도Link")</f>
        <v/>
      </c>
      <c r="N847" s="6">
        <f>HYPERLINK("http://www.eum.go.kr/web/ar/lu/luLandDet.jsp?pnu=3611032023102210000&amp;isNoScr=script&amp;mode=search", "토지이음")</f>
        <v/>
      </c>
      <c r="O847" s="3" t="inlineStr">
        <is>
          <t>청정</t>
        </is>
      </c>
      <c r="P847" s="4" t="n">
        <v>1</v>
      </c>
      <c r="Q847" s="4" t="n">
        <v>616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명학리 301-1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450000</v>
      </c>
      <c r="G848" s="4" t="n">
        <v>9882</v>
      </c>
      <c r="H848" s="4" t="n">
        <v>2989</v>
      </c>
      <c r="I848" s="5" t="n">
        <v>150.6</v>
      </c>
      <c r="J848" s="5" t="n">
        <v>59.1</v>
      </c>
      <c r="K848" s="3" t="inlineStr">
        <is>
          <t>2차선에서 도로확보하여 사업부지로 추천</t>
        </is>
      </c>
      <c r="L848" s="6">
        <f>HYPERLINK("https://fin.land.naver.com/articles/2651037490", "매물Link")</f>
        <v/>
      </c>
      <c r="M848" s="6">
        <f>HYPERLINK("https://map.naver.com/p/search/연동면 명학리 301-1", "지도Link")</f>
        <v/>
      </c>
      <c r="N848" s="6">
        <f>HYPERLINK("http://www.eum.go.kr/web/ar/lu/luLandDet.jsp?pnu=3611032023103010001&amp;isNoScr=script&amp;mode=search", "토지이음")</f>
        <v/>
      </c>
      <c r="O848" s="3" t="inlineStr">
        <is>
          <t>연동스카이</t>
        </is>
      </c>
      <c r="P848" s="4" t="n">
        <v>1</v>
      </c>
      <c r="Q848" s="4" t="n">
        <v>2645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맹지</t>
        </is>
      </c>
    </row>
    <row r="849">
      <c r="A849" s="3" t="inlineStr">
        <is>
          <t>연동면 명학리 307-1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21400</v>
      </c>
      <c r="G849" s="4" t="n">
        <v>236</v>
      </c>
      <c r="H849" s="4" t="n">
        <v>71</v>
      </c>
      <c r="I849" s="5" t="n">
        <v>301.4</v>
      </c>
      <c r="J849" s="5" t="n">
        <v>98.7</v>
      </c>
      <c r="K849" s="3" t="inlineStr">
        <is>
          <t>세종5생활권연접된 소형토지매매21,400만원</t>
        </is>
      </c>
      <c r="L849" s="6">
        <f>HYPERLINK("https://fin.land.naver.com/articles/2647917727", "매물Link")</f>
        <v/>
      </c>
      <c r="M849" s="6">
        <f>HYPERLINK("https://map.naver.com/p/search/연동면 명학리 307-1", "지도Link")</f>
        <v/>
      </c>
      <c r="N849" s="6">
        <f>HYPERLINK("http://www.eum.go.kr/web/ar/lu/luLandDet.jsp?pnu=3611032023103070001&amp;isNoScr=script&amp;mode=search", "토지이음")</f>
        <v/>
      </c>
      <c r="O849" s="3" t="inlineStr">
        <is>
          <t>대박</t>
        </is>
      </c>
      <c r="P849" s="4" t="n">
        <v>1</v>
      </c>
      <c r="Q849" s="4" t="n">
        <v>236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연동면 명학리 363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30000</v>
      </c>
      <c r="G850" s="4" t="n">
        <v>746</v>
      </c>
      <c r="H850" s="4" t="n">
        <v>226</v>
      </c>
      <c r="I850" s="5" t="n">
        <v>132.7</v>
      </c>
      <c r="J850" s="5" t="n">
        <v>45.2</v>
      </c>
      <c r="K850" s="3" t="inlineStr">
        <is>
          <t>도로 인접, 단독주택</t>
        </is>
      </c>
      <c r="L850" s="6">
        <f>HYPERLINK("https://fin.land.naver.com/articles/2648947156", "매물Link")</f>
        <v/>
      </c>
      <c r="M850" s="6">
        <f>HYPERLINK("https://map.naver.com/p/search/연동면 명학리 363", "지도Link")</f>
        <v/>
      </c>
      <c r="N850" s="6">
        <f>HYPERLINK("http://www.eum.go.kr/web/ar/lu/luLandDet.jsp?pnu=3611032023103630000&amp;isNoScr=script&amp;mode=search", "토지이음")</f>
        <v/>
      </c>
      <c r="O850" s="3" t="inlineStr">
        <is>
          <t>세종제일1</t>
        </is>
      </c>
      <c r="P850" s="4" t="n">
        <v>1</v>
      </c>
      <c r="Q850" s="4" t="n">
        <v>746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376-3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14000</v>
      </c>
      <c r="G851" s="4" t="n">
        <v>1155</v>
      </c>
      <c r="H851" s="4" t="n">
        <v>349</v>
      </c>
      <c r="I851" s="5" t="n">
        <v>40.1</v>
      </c>
      <c r="J851" s="5" t="n">
        <v>45.2</v>
      </c>
      <c r="K851" s="3" t="inlineStr">
        <is>
          <t>연동면 명학리 계획관리 토지, 5생활권 인근, 공시지가 이하, 급매</t>
        </is>
      </c>
      <c r="L851" s="6">
        <f>HYPERLINK("https://fin.land.naver.com/articles/2645316250", "매물Link")</f>
        <v/>
      </c>
      <c r="M851" s="6">
        <f>HYPERLINK("https://map.naver.com/p/search/연동면 명학리 376-3", "지도Link")</f>
        <v/>
      </c>
      <c r="N851" s="6">
        <f>HYPERLINK("http://www.eum.go.kr/web/ar/lu/luLandDet.jsp?pnu=3611032023103760003&amp;isNoScr=script&amp;mode=search", "토지이음")</f>
        <v/>
      </c>
      <c r="O851" s="3" t="inlineStr">
        <is>
          <t>스카이</t>
        </is>
      </c>
      <c r="P851" s="4" t="n">
        <v>1</v>
      </c>
      <c r="Q851" s="4" t="n">
        <v>1155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명학리 383-8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52000</v>
      </c>
      <c r="G852" s="4" t="n">
        <v>655</v>
      </c>
      <c r="H852" s="4" t="n">
        <v>198</v>
      </c>
      <c r="I852" s="5" t="n">
        <v>262.6</v>
      </c>
      <c r="J852" s="5" t="n">
        <v>13</v>
      </c>
      <c r="K852" s="3" t="inlineStr">
        <is>
          <t>세종 연동면 임야 매매｜보전관리지역준보전산지</t>
        </is>
      </c>
      <c r="L852" s="6">
        <f>HYPERLINK("https://fin.land.naver.com/articles/2648299185", "매물Link")</f>
        <v/>
      </c>
      <c r="M852" s="6">
        <f>HYPERLINK("https://map.naver.com/p/search/연동면 명학리 383-8", "지도Link")</f>
        <v/>
      </c>
      <c r="N852" s="6">
        <f>HYPERLINK("http://www.eum.go.kr/web/ar/lu/luLandDet.jsp?pnu=3611032023103830008&amp;isNoScr=script&amp;mode=search",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384-27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150000</v>
      </c>
      <c r="G853" s="4" t="n">
        <v>1653</v>
      </c>
      <c r="H853" s="4" t="n">
        <v>500</v>
      </c>
      <c r="I853" s="5" t="n">
        <v>300</v>
      </c>
      <c r="J853" s="5" t="n">
        <v>17.1</v>
      </c>
      <c r="K853" s="3" t="inlineStr">
        <is>
          <t>51생활권 인근 근생추천용지. 도로접. 카페, 음식점 등</t>
        </is>
      </c>
      <c r="L853" s="6">
        <f>HYPERLINK("https://fin.land.naver.com/articles/2645550129", "매물Link")</f>
        <v/>
      </c>
      <c r="M853" s="6">
        <f>HYPERLINK("https://map.naver.com/p/search/연동면 명학리 384-27", "지도Link")</f>
        <v/>
      </c>
      <c r="N853" s="6">
        <f>HYPERLINK("http://www.eum.go.kr/web/ar/lu/luLandDet.jsp?pnu=3611032023103840027&amp;isNoScr=script&amp;mode=search",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1653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385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82460</v>
      </c>
      <c r="G854" s="4" t="n">
        <v>720</v>
      </c>
      <c r="H854" s="4" t="n">
        <v>218</v>
      </c>
      <c r="I854" s="5" t="n">
        <v>378.3</v>
      </c>
      <c r="J854" s="5" t="n">
        <v>52.8</v>
      </c>
      <c r="K854" s="3" t="inlineStr">
        <is>
          <t>명성공인, 명학리 계획관리지역 추천 매물</t>
        </is>
      </c>
      <c r="L854" s="6">
        <f>HYPERLINK("https://fin.land.naver.com/articles/2648045385", "매물Link")</f>
        <v/>
      </c>
      <c r="M854" s="6">
        <f>HYPERLINK("https://map.naver.com/p/search/연동면 명학리 385", "지도Link")</f>
        <v/>
      </c>
      <c r="N854" s="6">
        <f>HYPERLINK("http://www.eum.go.kr/web/ar/lu/luLandDet.jsp?pnu=3611032023103850000&amp;isNoScr=script&amp;mode=search", "토지이음")</f>
        <v/>
      </c>
      <c r="O854" s="3" t="inlineStr">
        <is>
          <t>명성</t>
        </is>
      </c>
      <c r="P854" s="4" t="n">
        <v>1</v>
      </c>
      <c r="Q854" s="4" t="n">
        <v>720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385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720</v>
      </c>
      <c r="H855" s="4" t="n">
        <v>218</v>
      </c>
      <c r="I855" s="5" t="n">
        <v>329.8</v>
      </c>
      <c r="J855" s="5" t="n">
        <v>52.8</v>
      </c>
      <c r="K855" s="3" t="inlineStr">
        <is>
          <t>nan</t>
        </is>
      </c>
      <c r="L855" s="6">
        <f>HYPERLINK("https://fin.land.naver.com/articles/2647746185", "매물Link")</f>
        <v/>
      </c>
      <c r="M855" s="6">
        <f>HYPERLINK("https://map.naver.com/p/search/연동면 명학리 385", "지도Link")</f>
        <v/>
      </c>
      <c r="N855" s="6">
        <f>HYPERLINK("http://www.eum.go.kr/web/ar/lu/luLandDet.jsp?pnu=3611032023103850000&amp;isNoScr=script&amp;mode=search",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720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389-2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27000</v>
      </c>
      <c r="G856" s="4" t="n">
        <v>541</v>
      </c>
      <c r="H856" s="4" t="n">
        <v>164</v>
      </c>
      <c r="I856" s="5" t="n">
        <v>164.6</v>
      </c>
      <c r="J856" s="5" t="n">
        <v>35.6</v>
      </c>
      <c r="K856" s="3" t="inlineStr">
        <is>
          <t>명학리 위치좋고 앞으로 지가 상승이 예상되는 곳 저렴하게 매매</t>
        </is>
      </c>
      <c r="L856" s="6">
        <f>HYPERLINK("https://fin.land.naver.com/articles/2650887541", "매물Link")</f>
        <v/>
      </c>
      <c r="M856" s="6">
        <f>HYPERLINK("https://map.naver.com/p/search/연동면 명학리 389-2", "지도Link")</f>
        <v/>
      </c>
      <c r="N856" s="6">
        <f>HYPERLINK("http://www.eum.go.kr/web/ar/lu/luLandDet.jsp?pnu=3611032023103890002&amp;isNoScr=script&amp;mode=search", "토지이음")</f>
        <v/>
      </c>
      <c r="O856" s="3" t="inlineStr">
        <is>
          <t>효성해링턴오복</t>
        </is>
      </c>
      <c r="P856" s="4" t="n">
        <v>1</v>
      </c>
      <c r="Q856" s="4" t="n">
        <v>541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연동면 명학리 391-12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422</v>
      </c>
      <c r="H857" s="4" t="n">
        <v>128</v>
      </c>
      <c r="I857" s="5" t="n">
        <v>234.4</v>
      </c>
      <c r="J857" s="5" t="n">
        <v>50.2</v>
      </c>
      <c r="K857" s="3" t="inlineStr">
        <is>
          <t>소형토지 전원주택지 도로접 남향</t>
        </is>
      </c>
      <c r="L857" s="6">
        <f>HYPERLINK("https://fin.land.naver.com/articles/2650350524", "매물Link")</f>
        <v/>
      </c>
      <c r="M857" s="6">
        <f>HYPERLINK("https://map.naver.com/p/search/연동면 명학리 391-12", "지도Link")</f>
        <v/>
      </c>
      <c r="N857" s="6">
        <f>HYPERLINK("http://www.eum.go.kr/web/ar/lu/luLandDet.jsp?pnu=3611032023103910012&amp;isNoScr=script&amp;mode=search", "토지이음")</f>
        <v/>
      </c>
      <c r="O857" s="3" t="inlineStr">
        <is>
          <t>봄봄</t>
        </is>
      </c>
      <c r="P857" s="4" t="n">
        <v>1</v>
      </c>
      <c r="Q857" s="4" t="n">
        <v>422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명학리 705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1076</v>
      </c>
      <c r="H858" s="4" t="n">
        <v>325</v>
      </c>
      <c r="I858" s="5" t="n">
        <v>150.8</v>
      </c>
      <c r="J858" s="5" t="n">
        <v>30.1</v>
      </c>
      <c r="K858" s="3" t="inlineStr">
        <is>
          <t>세종시 연동면 명학리 명학산업단지 인근 농지</t>
        </is>
      </c>
      <c r="L858" s="6">
        <f>HYPERLINK("https://fin.land.naver.com/articles/2648761728", "매물Link")</f>
        <v/>
      </c>
      <c r="M858" s="6">
        <f>HYPERLINK("https://map.naver.com/p/search/연동면 명학리 705", "지도Link")</f>
        <v/>
      </c>
      <c r="N858" s="6">
        <f>HYPERLINK("http://www.eum.go.kr/web/ar/lu/luLandDet.jsp?pnu=3611032023107050000&amp;isNoScr=script&amp;mode=search",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1076.6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714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1537</v>
      </c>
      <c r="H859" s="4" t="n">
        <v>465</v>
      </c>
      <c r="I859" s="5" t="n">
        <v>118.3</v>
      </c>
      <c r="J859" s="5" t="n">
        <v>30.2</v>
      </c>
      <c r="K859" s="3" t="inlineStr">
        <is>
          <t>마을초입의 도로접한 농림지로 농업관련업종등 농가주택추천</t>
        </is>
      </c>
      <c r="L859" s="6">
        <f>HYPERLINK("https://fin.land.naver.com/articles/2648261075", "매물Link")</f>
        <v/>
      </c>
      <c r="M859" s="6">
        <f>HYPERLINK("https://map.naver.com/p/search/연동면 명학리 714", "지도Link")</f>
        <v/>
      </c>
      <c r="N859" s="6">
        <f>HYPERLINK("http://www.eum.go.kr/web/ar/lu/luLandDet.jsp?pnu=3611032023107140000&amp;isNoScr=script&amp;mode=search",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1538.3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명학리 731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57700</v>
      </c>
      <c r="G860" s="4" t="n">
        <v>733</v>
      </c>
      <c r="H860" s="4" t="n">
        <v>222</v>
      </c>
      <c r="I860" s="5" t="n">
        <v>259.9</v>
      </c>
      <c r="J860" s="5" t="n">
        <v>31.7</v>
      </c>
      <c r="K860" s="3" t="inlineStr">
        <is>
          <t>세종시 연동면 명학리 편도 1차선 도로에 접하여 접근성과 광고효과 우수함</t>
        </is>
      </c>
      <c r="L860" s="6">
        <f>HYPERLINK("https://fin.land.naver.com/articles/2645658711", "매물Link")</f>
        <v/>
      </c>
      <c r="M860" s="6">
        <f>HYPERLINK("https://map.naver.com/p/search/연동면 명학리 731", "지도Link")</f>
        <v/>
      </c>
      <c r="N860" s="6">
        <f>HYPERLINK("http://www.eum.go.kr/web/ar/lu/luLandDet.jsp?pnu=3611032023107310000&amp;isNoScr=script&amp;mode=search",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733.4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연동면 명학리 796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36500</v>
      </c>
      <c r="G861" s="4" t="n">
        <v>1996</v>
      </c>
      <c r="H861" s="4" t="n">
        <v>604</v>
      </c>
      <c r="I861" s="5" t="n">
        <v>60.4</v>
      </c>
      <c r="J861" s="5" t="n">
        <v>28.3</v>
      </c>
      <c r="K861" s="3" t="inlineStr">
        <is>
          <t>5생활권 초근접지역의 농지로 대토 및 장기투자 추천</t>
        </is>
      </c>
      <c r="L861" s="6">
        <f>HYPERLINK("https://fin.land.naver.com/articles/2648305360", "매물Link")</f>
        <v/>
      </c>
      <c r="M861" s="6">
        <f>HYPERLINK("https://map.naver.com/p/search/연동면 명학리 796", "지도Link")</f>
        <v/>
      </c>
      <c r="N861" s="6">
        <f>HYPERLINK("http://www.eum.go.kr/web/ar/lu/luLandDet.jsp?pnu=3611032023107960000&amp;isNoScr=script&amp;mode=search",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1996.8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명학리 844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20000</v>
      </c>
      <c r="G862" s="4" t="n">
        <v>1319</v>
      </c>
      <c r="H862" s="4" t="n">
        <v>399</v>
      </c>
      <c r="I862" s="5" t="n">
        <v>50.1</v>
      </c>
      <c r="J862" s="5" t="n">
        <v>28.5</v>
      </c>
      <c r="K862" s="3" t="inlineStr">
        <is>
          <t>nan</t>
        </is>
      </c>
      <c r="L862" s="6">
        <f>HYPERLINK("https://fin.land.naver.com/articles/2647688920", "매물Link")</f>
        <v/>
      </c>
      <c r="M862" s="6">
        <f>HYPERLINK("https://map.naver.com/p/search/연동면 명학리 844", "지도Link")</f>
        <v/>
      </c>
      <c r="N862" s="6">
        <f>HYPERLINK("http://www.eum.go.kr/web/ar/lu/luLandDet.jsp?pnu=3611032023108440000&amp;isNoScr=script&amp;mode=search", "토지이음")</f>
        <v/>
      </c>
      <c r="O862" s="3" t="inlineStr">
        <is>
          <t>THE동아</t>
        </is>
      </c>
      <c r="P862" s="4" t="n">
        <v>1</v>
      </c>
      <c r="Q862" s="4" t="n">
        <v>1319.4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844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20000</v>
      </c>
      <c r="G863" s="4" t="n">
        <v>1319</v>
      </c>
      <c r="H863" s="4" t="n">
        <v>399</v>
      </c>
      <c r="I863" s="5" t="n">
        <v>50.1</v>
      </c>
      <c r="J863" s="5" t="n">
        <v>28.5</v>
      </c>
      <c r="K863" s="3" t="inlineStr">
        <is>
          <t>부강역 생활권 평탄 농지, 자경 및 주말농장 검토 적합</t>
        </is>
      </c>
      <c r="L863" s="6">
        <f>HYPERLINK("https://fin.land.naver.com/articles/2650905086", "매물Link")</f>
        <v/>
      </c>
      <c r="M863" s="6">
        <f>HYPERLINK("https://map.naver.com/p/search/연동면 명학리 844", "지도Link")</f>
        <v/>
      </c>
      <c r="N863" s="6">
        <f>HYPERLINK("http://www.eum.go.kr/web/ar/lu/luLandDet.jsp?pnu=3611032023108440000&amp;isNoScr=script&amp;mode=search", "토지이음")</f>
        <v/>
      </c>
      <c r="O863" s="3" t="inlineStr">
        <is>
          <t>세종소담황금</t>
        </is>
      </c>
      <c r="P863" s="4" t="n">
        <v>1</v>
      </c>
      <c r="Q863" s="4" t="n">
        <v>1319.4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955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35000</v>
      </c>
      <c r="G864" s="4" t="n">
        <v>1517</v>
      </c>
      <c r="H864" s="4" t="n">
        <v>459</v>
      </c>
      <c r="I864" s="5" t="n">
        <v>76.3</v>
      </c>
      <c r="J864" s="5" t="n">
        <v>24.3</v>
      </c>
      <c r="K864" s="3" t="inlineStr">
        <is>
          <t>nan</t>
        </is>
      </c>
      <c r="L864" s="6">
        <f>HYPERLINK("https://fin.land.naver.com/articles/2650459668", "매물Link")</f>
        <v/>
      </c>
      <c r="M864" s="6">
        <f>HYPERLINK("https://map.naver.com/p/search/연동면 명학리 955", "지도Link")</f>
        <v/>
      </c>
      <c r="N864" s="6">
        <f>HYPERLINK("http://www.eum.go.kr/web/ar/lu/luLandDet.jsp?pnu=3611032023109550000&amp;isNoScr=script&amp;mode=search",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1516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145-2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21500</v>
      </c>
      <c r="G865" s="4" t="n">
        <v>284</v>
      </c>
      <c r="H865" s="4" t="n">
        <v>86</v>
      </c>
      <c r="I865" s="5" t="n">
        <v>250</v>
      </c>
      <c r="J865" s="5" t="n">
        <v>68.2</v>
      </c>
      <c r="K865" s="3" t="inlineStr">
        <is>
          <t>급매, 계획관리지역, 도로 접한 형상 좋은 대지입니다.</t>
        </is>
      </c>
      <c r="L865" s="6">
        <f>HYPERLINK("https://fin.land.naver.com/articles/2650811409", "매물Link")</f>
        <v/>
      </c>
      <c r="M865" s="6">
        <f>HYPERLINK("https://map.naver.com/p/search/연동면 문주리 145-2", "지도Link")</f>
        <v/>
      </c>
      <c r="N865" s="6">
        <f>HYPERLINK("http://www.eum.go.kr/web/ar/lu/luLandDet.jsp?pnu=3611032022101450002&amp;isNoScr=script&amp;mode=search", "토지이음")</f>
        <v/>
      </c>
      <c r="O865" s="3" t="inlineStr">
        <is>
          <t>나폴리</t>
        </is>
      </c>
      <c r="P865" s="4" t="n">
        <v>1</v>
      </c>
      <c r="Q865" s="4" t="n">
        <v>284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연동면 문주리 145-29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20000</v>
      </c>
      <c r="G866" s="4" t="n">
        <v>253</v>
      </c>
      <c r="H866" s="4" t="n">
        <v>77</v>
      </c>
      <c r="I866" s="5" t="n">
        <v>259.7</v>
      </c>
      <c r="J866" s="5" t="n">
        <v>68.2</v>
      </c>
      <c r="K866" s="3" t="inlineStr">
        <is>
          <t>급매, 계획관리지역, 도로 접한 형상 좋은 대지입니다.</t>
        </is>
      </c>
      <c r="L866" s="6">
        <f>HYPERLINK("https://fin.land.naver.com/articles/2650811516", "매물Link")</f>
        <v/>
      </c>
      <c r="M866" s="6">
        <f>HYPERLINK("https://map.naver.com/p/search/연동면 문주리 145-29", "지도Link")</f>
        <v/>
      </c>
      <c r="N866" s="6">
        <f>HYPERLINK("http://www.eum.go.kr/web/ar/lu/luLandDet.jsp?pnu=3611032022101450029&amp;isNoScr=script&amp;mode=search", "토지이음")</f>
        <v/>
      </c>
      <c r="O866" s="3" t="inlineStr">
        <is>
          <t>나폴리</t>
        </is>
      </c>
      <c r="P866" s="4" t="n">
        <v>1</v>
      </c>
      <c r="Q866" s="4" t="n">
        <v>253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연동면 문주리 145-8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18000</v>
      </c>
      <c r="G867" s="4" t="n">
        <v>235</v>
      </c>
      <c r="H867" s="4" t="n">
        <v>71</v>
      </c>
      <c r="I867" s="5" t="n">
        <v>253.5</v>
      </c>
      <c r="J867" s="5" t="n">
        <v>75</v>
      </c>
      <c r="K867" s="3" t="inlineStr">
        <is>
          <t>급매, 계획관리지역, 도로 접한 형상 좋은 대지입니다.</t>
        </is>
      </c>
      <c r="L867" s="6">
        <f>HYPERLINK("https://fin.land.naver.com/articles/2645662856", "매물Link")</f>
        <v/>
      </c>
      <c r="M867" s="6">
        <f>HYPERLINK("https://map.naver.com/p/search/연동면 문주리 145-8", "지도Link")</f>
        <v/>
      </c>
      <c r="N867" s="6">
        <f>HYPERLINK("http://www.eum.go.kr/web/ar/lu/luLandDet.jsp?pnu=3611032022101450008&amp;isNoScr=script&amp;mode=search", "토지이음")</f>
        <v/>
      </c>
      <c r="O867" s="3" t="inlineStr">
        <is>
          <t>나폴리</t>
        </is>
      </c>
      <c r="P867" s="4" t="n">
        <v>1</v>
      </c>
      <c r="Q867" s="4" t="n">
        <v>235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문주리 956-3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88700</v>
      </c>
      <c r="G868" s="4" t="n">
        <v>2930</v>
      </c>
      <c r="H868" s="4" t="n">
        <v>886</v>
      </c>
      <c r="I868" s="5" t="n">
        <v>100.1</v>
      </c>
      <c r="J868" s="5" t="n">
        <v>24.5</v>
      </c>
      <c r="K868" s="3" t="inlineStr">
        <is>
          <t>구거 통해도로와 접한 농지,바로옆 도로 공사중</t>
        </is>
      </c>
      <c r="L868" s="6">
        <f>HYPERLINK("https://fin.land.naver.com/articles/2648555398", "매물Link")</f>
        <v/>
      </c>
      <c r="M868" s="6">
        <f>HYPERLINK("https://map.naver.com/p/search/연동면 문주리 956-3", "지도Link")</f>
        <v/>
      </c>
      <c r="N868" s="6">
        <f>HYPERLINK("http://www.eum.go.kr/web/ar/lu/luLandDet.jsp?pnu=3611032022109560003&amp;isNoScr=script&amp;mode=search", "토지이음")</f>
        <v/>
      </c>
      <c r="O868" s="3" t="inlineStr">
        <is>
          <t>향기나는방</t>
        </is>
      </c>
      <c r="P868" s="4" t="n">
        <v>1</v>
      </c>
      <c r="Q868" s="4" t="n">
        <v>2930.7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문주리 968-13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7204</v>
      </c>
      <c r="H869" s="4" t="n">
        <v>2179</v>
      </c>
      <c r="I869" s="5" t="n">
        <v>112.4</v>
      </c>
      <c r="J869" s="5" t="n">
        <v>27</v>
      </c>
      <c r="K869" s="3" t="inlineStr">
        <is>
          <t>축사임.</t>
        </is>
      </c>
      <c r="L869" s="6">
        <f>HYPERLINK("https://fin.land.naver.com/articles/2647564865", "매물Link")</f>
        <v/>
      </c>
      <c r="M869" s="6">
        <f>HYPERLINK("https://map.naver.com/p/search/연동면 문주리 968-13", "지도Link")</f>
        <v/>
      </c>
      <c r="N869" s="6">
        <f>HYPERLINK("http://www.eum.go.kr/web/ar/lu/luLandDet.jsp?pnu=3611032022109680013&amp;isNoScr=script&amp;mode=search", "토지이음")</f>
        <v/>
      </c>
      <c r="O869" s="3" t="inlineStr">
        <is>
          <t>햇빛</t>
        </is>
      </c>
      <c r="P869" s="4" t="n">
        <v>1</v>
      </c>
      <c r="Q869" s="4" t="n">
        <v>7204.9</v>
      </c>
      <c r="R869" s="3" t="inlineStr">
        <is>
          <t>지정되지않음</t>
        </is>
      </c>
      <c r="S869" s="3" t="inlineStr">
        <is>
          <t>답축사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문주리 980-10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58000</v>
      </c>
      <c r="G870" s="4" t="n">
        <v>2388</v>
      </c>
      <c r="H870" s="4" t="n">
        <v>722</v>
      </c>
      <c r="I870" s="5" t="n">
        <v>80.3</v>
      </c>
      <c r="J870" s="5" t="n">
        <v>23.6</v>
      </c>
      <c r="K870" s="3" t="inlineStr">
        <is>
          <t>농림지역 답 현재 옆필지와 함께 농사중</t>
        </is>
      </c>
      <c r="L870" s="6">
        <f>HYPERLINK("https://fin.land.naver.com/articles/2649908913", "매물Link")</f>
        <v/>
      </c>
      <c r="M870" s="6">
        <f>HYPERLINK("https://map.naver.com/p/search/연동면 문주리 980-10", "지도Link")</f>
        <v/>
      </c>
      <c r="N870" s="6">
        <f>HYPERLINK("http://www.eum.go.kr/web/ar/lu/luLandDet.jsp?pnu=3611032022109800010&amp;isNoScr=script&amp;mode=search",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2388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998</v>
      </c>
      <c r="H871" s="4" t="n">
        <v>302</v>
      </c>
      <c r="I871" s="5" t="n">
        <v>45</v>
      </c>
      <c r="J871" s="5" t="n">
        <v>24.1</v>
      </c>
      <c r="K871" s="3" t="inlineStr">
        <is>
          <t>주변 시세대비 아주저렴</t>
        </is>
      </c>
      <c r="L871" s="6">
        <f>HYPERLINK("https://fin.land.naver.com/articles/2648462411", "매물Link")</f>
        <v/>
      </c>
      <c r="M871" s="6">
        <f>HYPERLINK("https://map.naver.com/p/search/연동면 송용리 1025-4", "지도Link")</f>
        <v/>
      </c>
      <c r="N871" s="6">
        <f>HYPERLINK("http://www.eum.go.kr/web/ar/lu/luLandDet.jsp?pnu=3611032027110250004&amp;isNoScr=script&amp;mode=search", "토지이음")</f>
        <v/>
      </c>
      <c r="O871" s="3" t="inlineStr">
        <is>
          <t>세종땅전문</t>
        </is>
      </c>
      <c r="P871" s="4" t="n">
        <v>1</v>
      </c>
      <c r="Q871" s="4" t="n">
        <v>998.9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998</v>
      </c>
      <c r="H872" s="4" t="n">
        <v>302</v>
      </c>
      <c r="I872" s="5" t="n">
        <v>45</v>
      </c>
      <c r="J872" s="5" t="n">
        <v>24.1</v>
      </c>
      <c r="K872" s="3" t="inlineStr">
        <is>
          <t>가격저렴한 대토 및 장기투자</t>
        </is>
      </c>
      <c r="L872" s="6">
        <f>HYPERLINK("https://fin.land.naver.com/articles/2650179155", "매물Link")</f>
        <v/>
      </c>
      <c r="M872" s="6">
        <f>HYPERLINK("https://map.naver.com/p/search/연동면 송용리 1025-4", "지도Link")</f>
        <v/>
      </c>
      <c r="N872" s="6">
        <f>HYPERLINK("http://www.eum.go.kr/web/ar/lu/luLandDet.jsp?pnu=3611032027110250004&amp;isNoScr=script&amp;mode=search", "토지이음")</f>
        <v/>
      </c>
      <c r="O872" s="3" t="inlineStr">
        <is>
          <t>연동스카이</t>
        </is>
      </c>
      <c r="P872" s="4" t="n">
        <v>2</v>
      </c>
      <c r="Q872" s="4" t="n">
        <v>998.9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송용리 1030-9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158700</v>
      </c>
      <c r="G873" s="4" t="n">
        <v>8746</v>
      </c>
      <c r="H873" s="4" t="n">
        <v>2646</v>
      </c>
      <c r="I873" s="5" t="n">
        <v>60</v>
      </c>
      <c r="J873" s="5" t="n">
        <v>24.2</v>
      </c>
      <c r="K873" s="3" t="inlineStr">
        <is>
          <t>연동면 송용리 농림지역 대형 토지, 세종시 5생활권 및 오송역 인근</t>
        </is>
      </c>
      <c r="L873" s="6">
        <f>HYPERLINK("https://fin.land.naver.com/articles/2650531778", "매물Link")</f>
        <v/>
      </c>
      <c r="M873" s="6">
        <f>HYPERLINK("https://map.naver.com/p/search/연동면 송용리 1030-9", "지도Link")</f>
        <v/>
      </c>
      <c r="N873" s="6">
        <f>HYPERLINK("http://www.eum.go.kr/web/ar/lu/luLandDet.jsp?pnu=3611032027110300009&amp;isNoScr=script&amp;mode=search", "토지이음")</f>
        <v/>
      </c>
      <c r="O873" s="3" t="inlineStr">
        <is>
          <t>스카이</t>
        </is>
      </c>
      <c r="P873" s="4" t="n">
        <v>1</v>
      </c>
      <c r="Q873" s="4" t="n">
        <v>8746.200000000001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송용리 1039-5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66600</v>
      </c>
      <c r="G874" s="4" t="n">
        <v>2749</v>
      </c>
      <c r="H874" s="4" t="n">
        <v>832</v>
      </c>
      <c r="I874" s="5" t="n">
        <v>80</v>
      </c>
      <c r="J874" s="5" t="n">
        <v>24.8</v>
      </c>
      <c r="K874" s="3" t="inlineStr">
        <is>
          <t>투자용</t>
        </is>
      </c>
      <c r="L874" s="6">
        <f>HYPERLINK("https://fin.land.naver.com/articles/2647374045", "매물Link")</f>
        <v/>
      </c>
      <c r="M874" s="6">
        <f>HYPERLINK("https://map.naver.com/p/search/연동면 송용리 1039-5", "지도Link")</f>
        <v/>
      </c>
      <c r="N874" s="6">
        <f>HYPERLINK("http://www.eum.go.kr/web/ar/lu/luLandDet.jsp?pnu=3611032027110390005&amp;isNoScr=script&amp;mode=search", "토지이음")</f>
        <v/>
      </c>
      <c r="O874" s="3" t="inlineStr">
        <is>
          <t>제우스</t>
        </is>
      </c>
      <c r="P874" s="4" t="n">
        <v>1</v>
      </c>
      <c r="Q874" s="4" t="n">
        <v>2749.1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179-2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250000</v>
      </c>
      <c r="G875" s="4" t="n">
        <v>1837</v>
      </c>
      <c r="H875" s="4" t="n">
        <v>556</v>
      </c>
      <c r="I875" s="5" t="n">
        <v>449.6</v>
      </c>
      <c r="J875" s="5" t="n">
        <v>309.9</v>
      </c>
      <c r="K875" s="3" t="inlineStr">
        <is>
          <t>연동면 대형 식당자리 추천</t>
        </is>
      </c>
      <c r="L875" s="6">
        <f>HYPERLINK("https://fin.land.naver.com/articles/2649703500", "매물Link")</f>
        <v/>
      </c>
      <c r="M875" s="6">
        <f>HYPERLINK("https://map.naver.com/p/search/연동면 송용리 179-2", "지도Link")</f>
        <v/>
      </c>
      <c r="N875" s="6">
        <f>HYPERLINK("http://www.eum.go.kr/web/ar/lu/luLandDet.jsp?pnu=3611032027101790002&amp;isNoScr=script&amp;mode=search", "토지이음")</f>
        <v/>
      </c>
      <c r="O875" s="3" t="inlineStr">
        <is>
          <t>강아지풀</t>
        </is>
      </c>
      <c r="P875" s="4" t="n">
        <v>1</v>
      </c>
      <c r="Q875" s="4" t="n">
        <v>1358</v>
      </c>
      <c r="R875" s="3" t="inlineStr">
        <is>
          <t>지정되지않음</t>
        </is>
      </c>
      <c r="S875" s="3" t="inlineStr">
        <is>
          <t>상업용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662</v>
      </c>
      <c r="H876" s="4" t="n">
        <v>200</v>
      </c>
      <c r="I876" s="5" t="n">
        <v>350</v>
      </c>
      <c r="J876" s="5" t="n">
        <v>62</v>
      </c>
      <c r="K876" s="3" t="inlineStr">
        <is>
          <t>계획관리지역으로 8미터이상 도로에 접한 직사각형 토지, 주변환경 좋음</t>
        </is>
      </c>
      <c r="L876" s="6">
        <f>HYPERLINK("https://fin.land.naver.com/articles/2651092741", "매물Link")</f>
        <v/>
      </c>
      <c r="M876" s="6">
        <f>HYPERLINK("https://map.naver.com/p/search/연동면 송용리 213-4", "지도Link")</f>
        <v/>
      </c>
      <c r="N876" s="6">
        <f>HYPERLINK("http://www.eum.go.kr/web/ar/lu/luLandDet.jsp?pnu=3611032027102130004&amp;isNoScr=script&amp;mode=search", "토지이음")</f>
        <v/>
      </c>
      <c r="O876" s="3" t="inlineStr">
        <is>
          <t>가수원</t>
        </is>
      </c>
      <c r="P876" s="4" t="n">
        <v>1</v>
      </c>
      <c r="Q876" s="4" t="n">
        <v>662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662</v>
      </c>
      <c r="H877" s="4" t="n">
        <v>200</v>
      </c>
      <c r="I877" s="5" t="n">
        <v>330</v>
      </c>
      <c r="J877" s="5" t="n">
        <v>62</v>
      </c>
      <c r="K877" s="3" t="inlineStr">
        <is>
          <t>급매. 5생활권 인접 도로접한 토지</t>
        </is>
      </c>
      <c r="L877" s="6">
        <f>HYPERLINK("https://fin.land.naver.com/articles/2645465831", "매물Link")</f>
        <v/>
      </c>
      <c r="M877" s="6">
        <f>HYPERLINK("https://map.naver.com/p/search/연동면 송용리 213-6", "지도Link")</f>
        <v/>
      </c>
      <c r="N877" s="6">
        <f>HYPERLINK("http://www.eum.go.kr/web/ar/lu/luLandDet.jsp?pnu=3611032027102130006&amp;isNoScr=script&amp;mode=search",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662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500</v>
      </c>
      <c r="H878" s="4" t="n">
        <v>151</v>
      </c>
      <c r="I878" s="5" t="n">
        <v>331.1</v>
      </c>
      <c r="J878" s="5" t="n">
        <v>118.8</v>
      </c>
      <c r="K878" s="3" t="inlineStr">
        <is>
          <t>계획관리지역,성장관리계획구역,대지,전원주택 용지로 투자가치 좋아요.</t>
        </is>
      </c>
      <c r="L878" s="6">
        <f>HYPERLINK("https://fin.land.naver.com/articles/2649355280", "매물Link")</f>
        <v/>
      </c>
      <c r="M878" s="6">
        <f>HYPERLINK("https://map.naver.com/p/search/연동면 송용리 261-34", "지도Link")</f>
        <v/>
      </c>
      <c r="N878" s="6">
        <f>HYPERLINK("http://www.eum.go.kr/web/ar/lu/luLandDet.jsp?pnu=3611032027102610034&amp;isNoScr=script&amp;mode=search", "토지이음")</f>
        <v/>
      </c>
      <c r="O878" s="3" t="inlineStr">
        <is>
          <t>마마</t>
        </is>
      </c>
      <c r="P878" s="4" t="n">
        <v>1</v>
      </c>
      <c r="Q878" s="4" t="n">
        <v>500</v>
      </c>
      <c r="R878" s="3" t="inlineStr">
        <is>
          <t>지정되지않음</t>
        </is>
      </c>
      <c r="S878" s="3" t="inlineStr">
        <is>
          <t>주상용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4350</v>
      </c>
      <c r="H879" s="4" t="n">
        <v>1316</v>
      </c>
      <c r="I879" s="5" t="n">
        <v>250</v>
      </c>
      <c r="J879" s="5" t="n">
        <v>121.3</v>
      </c>
      <c r="K879" s="3" t="inlineStr">
        <is>
          <t>nan</t>
        </is>
      </c>
      <c r="L879" s="6">
        <f>HYPERLINK("https://fin.land.naver.com/articles/2647973165", "매물Link")</f>
        <v/>
      </c>
      <c r="M879" s="6">
        <f>HYPERLINK("https://map.naver.com/p/search/연동면 송용리 261-8", "지도Link")</f>
        <v/>
      </c>
      <c r="N879" s="6">
        <f>HYPERLINK("http://www.eum.go.kr/web/ar/lu/luLandDet.jsp?pnu=3611032027102610008&amp;isNoScr=script&amp;mode=search", "토지이음")</f>
        <v/>
      </c>
      <c r="O879" s="3" t="inlineStr">
        <is>
          <t>생명나무</t>
        </is>
      </c>
      <c r="P879" s="4" t="n">
        <v>1</v>
      </c>
      <c r="Q879" s="4" t="n">
        <v>2093</v>
      </c>
      <c r="R879" s="3" t="inlineStr">
        <is>
          <t>지정되지않음</t>
        </is>
      </c>
      <c r="S879" s="3" t="inlineStr">
        <is>
          <t>주상용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421</v>
      </c>
      <c r="H880" s="4" t="n">
        <v>127</v>
      </c>
      <c r="I880" s="5" t="n">
        <v>244.1</v>
      </c>
      <c r="J880" s="5" t="n">
        <v>69.5</v>
      </c>
      <c r="K880" s="3" t="inlineStr">
        <is>
          <t>추천. 세종시 인근 주택지</t>
        </is>
      </c>
      <c r="L880" s="6">
        <f>HYPERLINK("https://fin.land.naver.com/articles/2645464557", "매물Link")</f>
        <v/>
      </c>
      <c r="M880" s="6">
        <f>HYPERLINK("https://map.naver.com/p/search/연동면 송용리 4-1", "지도Link")</f>
        <v/>
      </c>
      <c r="N880" s="6">
        <f>HYPERLINK("http://www.eum.go.kr/web/ar/lu/luLandDet.jsp?pnu=3611032027100040001&amp;isNoScr=script&amp;mode=search", "토지이음")</f>
        <v/>
      </c>
      <c r="O880" s="3" t="inlineStr">
        <is>
          <t>강아지풀</t>
        </is>
      </c>
      <c r="P880" s="4" t="n">
        <v>1</v>
      </c>
      <c r="Q880" s="4" t="n">
        <v>401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1095</v>
      </c>
      <c r="H881" s="4" t="n">
        <v>331</v>
      </c>
      <c r="I881" s="5" t="n">
        <v>169.8</v>
      </c>
      <c r="J881" s="5" t="n">
        <v>37.1</v>
      </c>
      <c r="K881" s="3" t="inlineStr">
        <is>
          <t>nan</t>
        </is>
      </c>
      <c r="L881" s="6">
        <f>HYPERLINK("https://fin.land.naver.com/articles/2646907874", "매물Link")</f>
        <v/>
      </c>
      <c r="M881" s="6">
        <f>HYPERLINK("https://map.naver.com/p/search/연동면 송용리 82-1", "지도Link")</f>
        <v/>
      </c>
      <c r="N881" s="6">
        <f>HYPERLINK("http://www.eum.go.kr/web/ar/lu/luLandDet.jsp?pnu=3611032027100820001&amp;isNoScr=script&amp;mode=search", "토지이음")</f>
        <v/>
      </c>
      <c r="O881" s="3" t="inlineStr">
        <is>
          <t>장원</t>
        </is>
      </c>
      <c r="P881" s="4" t="n">
        <v>1</v>
      </c>
      <c r="Q881" s="4" t="n">
        <v>1095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1381</v>
      </c>
      <c r="H882" s="4" t="n">
        <v>418</v>
      </c>
      <c r="I882" s="5" t="n">
        <v>43.1</v>
      </c>
      <c r="J882" s="5" t="n">
        <v>25.5</v>
      </c>
      <c r="K882" s="3" t="inlineStr">
        <is>
          <t>가격절충</t>
        </is>
      </c>
      <c r="L882" s="6">
        <f>HYPERLINK("https://fin.land.naver.com/articles/2645908294", "매물Link")</f>
        <v/>
      </c>
      <c r="M882" s="6">
        <f>HYPERLINK("https://map.naver.com/p/search/연동면 송용리 940-3", "지도Link")</f>
        <v/>
      </c>
      <c r="N882" s="6">
        <f>HYPERLINK("http://www.eum.go.kr/web/ar/lu/luLandDet.jsp?pnu=3611032027109400003&amp;isNoScr=script&amp;mode=search", "토지이음")</f>
        <v/>
      </c>
      <c r="O882" s="3" t="inlineStr">
        <is>
          <t>세종땅전문</t>
        </is>
      </c>
      <c r="P882" s="4" t="n">
        <v>1</v>
      </c>
      <c r="Q882" s="4" t="n">
        <v>1381.4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연동면 송용리 940-5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71000</v>
      </c>
      <c r="G883" s="4" t="n">
        <v>4848</v>
      </c>
      <c r="H883" s="4" t="n">
        <v>1467</v>
      </c>
      <c r="I883" s="5" t="n">
        <v>48.4</v>
      </c>
      <c r="J883" s="5" t="n">
        <v>24.8</v>
      </c>
      <c r="K883" s="3" t="inlineStr">
        <is>
          <t>예쁜 토지</t>
        </is>
      </c>
      <c r="L883" s="6">
        <f>HYPERLINK("https://fin.land.naver.com/articles/2650920227", "매물Link")</f>
        <v/>
      </c>
      <c r="M883" s="6">
        <f>HYPERLINK("https://map.naver.com/p/search/연동면 송용리 940-5", "지도Link")</f>
        <v/>
      </c>
      <c r="N883" s="6">
        <f>HYPERLINK("http://www.eum.go.kr/web/ar/lu/luLandDet.jsp?pnu=3611032027109400005&amp;isNoScr=script&amp;mode=search", "토지이음")</f>
        <v/>
      </c>
      <c r="O883" s="3" t="inlineStr">
        <is>
          <t>전원비래</t>
        </is>
      </c>
      <c r="P883" s="4" t="n">
        <v>1</v>
      </c>
      <c r="Q883" s="4" t="n">
        <v>4848.2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송용리 963-10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49000</v>
      </c>
      <c r="G884" s="4" t="n">
        <v>3382</v>
      </c>
      <c r="H884" s="4" t="n">
        <v>1023</v>
      </c>
      <c r="I884" s="5" t="n">
        <v>47.9</v>
      </c>
      <c r="J884" s="5" t="n">
        <v>23.8</v>
      </c>
      <c r="K884" s="3" t="inlineStr">
        <is>
          <t>nan</t>
        </is>
      </c>
      <c r="L884" s="6">
        <f>HYPERLINK("https://fin.land.naver.com/articles/2645907735", "매물Link")</f>
        <v/>
      </c>
      <c r="M884" s="6">
        <f>HYPERLINK("https://map.naver.com/p/search/연동면 송용리 963-10", "지도Link")</f>
        <v/>
      </c>
      <c r="N884" s="6">
        <f>HYPERLINK("http://www.eum.go.kr/web/ar/lu/luLandDet.jsp?pnu=3611032027109630010&amp;isNoScr=script&amp;mode=search",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3382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974-1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75000</v>
      </c>
      <c r="G885" s="4" t="n">
        <v>3828</v>
      </c>
      <c r="H885" s="4" t="n">
        <v>1158</v>
      </c>
      <c r="I885" s="5" t="n">
        <v>64.8</v>
      </c>
      <c r="J885" s="5" t="n">
        <v>24.8</v>
      </c>
      <c r="K885" s="3" t="inlineStr">
        <is>
          <t>양면이 도로에 접해있어 접근성좋으며 농업관련 창고나 공장추천</t>
        </is>
      </c>
      <c r="L885" s="6">
        <f>HYPERLINK("https://fin.land.naver.com/articles/2648263204", "매물Link")</f>
        <v/>
      </c>
      <c r="M885" s="6">
        <f>HYPERLINK("https://map.naver.com/p/search/연동면 송용리 974-1", "지도Link")</f>
        <v/>
      </c>
      <c r="N885" s="6">
        <f>HYPERLINK("http://www.eum.go.kr/web/ar/lu/luLandDet.jsp?pnu=3611032027109740001&amp;isNoScr=script&amp;mode=search",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3826.7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세로각지(가)</t>
        </is>
      </c>
    </row>
    <row r="886">
      <c r="A886" s="3" t="inlineStr">
        <is>
          <t>연동면 예양리 25-1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20000</v>
      </c>
      <c r="G886" s="4" t="n">
        <v>248</v>
      </c>
      <c r="H886" s="4" t="n">
        <v>75</v>
      </c>
      <c r="I886" s="5" t="n">
        <v>266.7</v>
      </c>
      <c r="J886" s="5" t="n">
        <v>66.59999999999999</v>
      </c>
      <c r="K886" s="3" t="inlineStr">
        <is>
          <t>건축 및 투자</t>
        </is>
      </c>
      <c r="L886" s="6">
        <f>HYPERLINK("https://fin.land.naver.com/articles/2646278884", "매물Link")</f>
        <v/>
      </c>
      <c r="M886" s="6">
        <f>HYPERLINK("https://map.naver.com/p/search/연동면 예양리 25-1", "지도Link")</f>
        <v/>
      </c>
      <c r="N886" s="6">
        <f>HYPERLINK("http://www.eum.go.kr/web/ar/lu/luLandDet.jsp?pnu=3611032026100250001&amp;isNoScr=script&amp;mode=search", "토지이음")</f>
        <v/>
      </c>
      <c r="O886" s="3" t="inlineStr">
        <is>
          <t>한정호</t>
        </is>
      </c>
      <c r="P886" s="4" t="n">
        <v>1</v>
      </c>
      <c r="Q886" s="4" t="n">
        <v>248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예양리 66-3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140000</v>
      </c>
      <c r="G887" s="4" t="n">
        <v>2314</v>
      </c>
      <c r="H887" s="4" t="n">
        <v>700</v>
      </c>
      <c r="I887" s="5" t="n">
        <v>200</v>
      </c>
      <c r="J887" s="5" t="n">
        <v>38.3</v>
      </c>
      <c r="K887" s="3" t="inlineStr">
        <is>
          <t>도로접,땅모양좋습니다,조정가</t>
        </is>
      </c>
      <c r="L887" s="6">
        <f>HYPERLINK("https://fin.land.naver.com/articles/2648103367", "매물Link")</f>
        <v/>
      </c>
      <c r="M887" s="6">
        <f>HYPERLINK("https://map.naver.com/p/search/연동면 예양리 66-3", "지도Link")</f>
        <v/>
      </c>
      <c r="N887" s="6">
        <f>HYPERLINK("http://www.eum.go.kr/web/ar/lu/luLandDet.jsp?pnu=3611032026100660003&amp;isNoScr=script&amp;mode=search",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2314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예양리 795-4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47125</v>
      </c>
      <c r="G888" s="4" t="n">
        <v>2399</v>
      </c>
      <c r="H888" s="4" t="n">
        <v>726</v>
      </c>
      <c r="I888" s="5" t="n">
        <v>64.90000000000001</v>
      </c>
      <c r="J888" s="5" t="n">
        <v>22.8</v>
      </c>
      <c r="K888" s="3" t="inlineStr">
        <is>
          <t>농업용시설 허가완료 매물</t>
        </is>
      </c>
      <c r="L888" s="6">
        <f>HYPERLINK("https://fin.land.naver.com/articles/2645775226", "매물Link")</f>
        <v/>
      </c>
      <c r="M888" s="6">
        <f>HYPERLINK("https://map.naver.com/p/search/연동면 예양리 795-4", "지도Link")</f>
        <v/>
      </c>
      <c r="N888" s="6">
        <f>HYPERLINK("http://www.eum.go.kr/web/ar/lu/luLandDet.jsp?pnu=3611032026107950004&amp;isNoScr=script&amp;mode=search", "토지이음")</f>
        <v/>
      </c>
      <c r="O888" s="3" t="inlineStr">
        <is>
          <t>지호주식회사</t>
        </is>
      </c>
      <c r="P888" s="4" t="n">
        <v>1</v>
      </c>
      <c r="Q888" s="4" t="n">
        <v>2399.3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예양리 828-1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60000</v>
      </c>
      <c r="G889" s="4" t="n">
        <v>2913</v>
      </c>
      <c r="H889" s="4" t="n">
        <v>881</v>
      </c>
      <c r="I889" s="5" t="n">
        <v>68.09999999999999</v>
      </c>
      <c r="J889" s="5" t="n">
        <v>23.8</v>
      </c>
      <c r="K889" s="3" t="inlineStr">
        <is>
          <t>대토용,투자적합</t>
        </is>
      </c>
      <c r="L889" s="6">
        <f>HYPERLINK("https://fin.land.naver.com/articles/2647046874", "매물Link")</f>
        <v/>
      </c>
      <c r="M889" s="6">
        <f>HYPERLINK("https://map.naver.com/p/search/연동면 예양리 828-1", "지도Link")</f>
        <v/>
      </c>
      <c r="N889" s="6">
        <f>HYPERLINK("http://www.eum.go.kr/web/ar/lu/luLandDet.jsp?pnu=3611032026108280001&amp;isNoScr=script&amp;mode=search", "토지이음")</f>
        <v/>
      </c>
      <c r="O889" s="3" t="inlineStr">
        <is>
          <t>지원</t>
        </is>
      </c>
      <c r="P889" s="4" t="n">
        <v>1</v>
      </c>
      <c r="Q889" s="4" t="n">
        <v>2913.3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세로각지(가)</t>
        </is>
      </c>
    </row>
    <row r="890">
      <c r="A890" s="3" t="inlineStr">
        <is>
          <t>연동면 예양리 838-2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16400</v>
      </c>
      <c r="G890" s="4" t="n">
        <v>665</v>
      </c>
      <c r="H890" s="4" t="n">
        <v>201</v>
      </c>
      <c r="I890" s="5" t="n">
        <v>81.59999999999999</v>
      </c>
      <c r="J890" s="5" t="n">
        <v>24</v>
      </c>
      <c r="K890" s="3" t="inlineStr">
        <is>
          <t>도로5m,3m접한 코너각지 직사각형,현재 전으로 이용중임.</t>
        </is>
      </c>
      <c r="L890" s="6">
        <f>HYPERLINK("https://fin.land.naver.com/articles/2647235810", "매물Link")</f>
        <v/>
      </c>
      <c r="M890" s="6">
        <f>HYPERLINK("https://map.naver.com/p/search/연동면 예양리 838-2", "지도Link")</f>
        <v/>
      </c>
      <c r="N890" s="6">
        <f>HYPERLINK("http://www.eum.go.kr/web/ar/lu/luLandDet.jsp?pnu=3611032026108380002&amp;isNoScr=script&amp;mode=search", "토지이음")</f>
        <v/>
      </c>
      <c r="O890" s="3" t="inlineStr">
        <is>
          <t>자이호박</t>
        </is>
      </c>
      <c r="P890" s="4" t="n">
        <v>1</v>
      </c>
      <c r="Q890" s="4" t="n">
        <v>665.6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HYPERLINK("http://www.eum.go.kr/web/ar/lu/luLandDet.jsp?pnu=3611032024101210004&amp;isNoScr=script&amp;mode=search",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HYPERLINK("http://www.eum.go.kr/web/ar/lu/luLandDet.jsp?pnu=3611032024101990001&amp;isNoScr=script&amp;mode=search",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HYPERLINK("https://fin.land.naver.com/articles/2649176108",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HYPERLINK("http://www.eum.go.kr/web/ar/lu/luLandDet.jsp?pnu=3611032024102530005&amp;isNoScr=script&amp;mode=search",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HYPERLINK("https://fin.land.naver.com/articles/2650176467",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HYPERLINK("http://www.eum.go.kr/web/ar/lu/luLandDet.jsp?pnu=3611032024100470003&amp;isNoScr=script&amp;mode=search",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HYPERLINK("http://www.eum.go.kr/web/ar/lu/luLandDet.jsp?pnu=3611032024104790008&amp;isNoScr=script&amp;mode=search",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HYPERLINK("http://www.eum.go.kr/web/ar/lu/luLandDet.jsp?pnu=3611032024104810001&amp;isNoScr=script&amp;mode=search",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555-1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120000</v>
      </c>
      <c r="G900" s="4" t="n">
        <v>2863</v>
      </c>
      <c r="H900" s="4" t="n">
        <v>866</v>
      </c>
      <c r="I900" s="5" t="n">
        <v>138.6</v>
      </c>
      <c r="J900" s="5" t="n">
        <v>55.4</v>
      </c>
      <c r="K900" s="3" t="inlineStr">
        <is>
          <t>계획관리.도로접,투자용,물류교통최상,세종5생활권근접,남청주ic인접</t>
        </is>
      </c>
      <c r="L900" s="6">
        <f>HYPERLINK("https://fin.land.naver.com/articles/2646417745", "매물Link")</f>
        <v/>
      </c>
      <c r="M900" s="6">
        <f>HYPERLINK("https://map.naver.com/p/search/연동면 응암리 555-1", "지도Link")</f>
        <v/>
      </c>
      <c r="N900" s="6">
        <f>HYPERLINK("http://www.eum.go.kr/web/ar/lu/luLandDet.jsp?pnu=3611032024105550001&amp;isNoScr=script&amp;mode=search", "토지이음")</f>
        <v/>
      </c>
      <c r="O900" s="3" t="inlineStr">
        <is>
          <t>옥산제일사무소</t>
        </is>
      </c>
      <c r="P900" s="4" t="n">
        <v>1</v>
      </c>
      <c r="Q900" s="4" t="n">
        <v>2863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연동면 응암리 584-13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105000</v>
      </c>
      <c r="G901" s="4" t="n">
        <v>1429</v>
      </c>
      <c r="H901" s="4" t="n">
        <v>432</v>
      </c>
      <c r="I901" s="5" t="n">
        <v>243.1</v>
      </c>
      <c r="J901" s="5" t="n">
        <v>103.4</v>
      </c>
      <c r="K901" s="3" t="inlineStr">
        <is>
          <t>2차선 도로접한,대,평지로 땅모양 좋아요,5생활권 및 명학 산업단지 근접</t>
        </is>
      </c>
      <c r="L901" s="6">
        <f>HYPERLINK("https://fin.land.naver.com/articles/2647057768", "매물Link")</f>
        <v/>
      </c>
      <c r="M901" s="6">
        <f>HYPERLINK("https://map.naver.com/p/search/연동면 응암리 584-13", "지도Link")</f>
        <v/>
      </c>
      <c r="N901" s="6">
        <f>HYPERLINK("http://www.eum.go.kr/web/ar/lu/luLandDet.jsp?pnu=3611032024105840013&amp;isNoScr=script&amp;mode=search", "토지이음")</f>
        <v/>
      </c>
      <c r="O901" s="3" t="inlineStr">
        <is>
          <t>해밀탑</t>
        </is>
      </c>
      <c r="P901" s="4" t="n">
        <v>2</v>
      </c>
      <c r="Q901" s="4" t="n">
        <v>766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2차선도로접  명학산업단지 5생활권 남청주ic 인근</t>
        </is>
      </c>
      <c r="L902" s="6">
        <f>HYPERLINK("https://fin.land.naver.com/articles/2650660360",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HYPERLINK("http://www.eum.go.kr/web/ar/lu/luLandDet.jsp?pnu=3611032024105840013&amp;isNoScr=script&amp;mode=search", "토지이음")</f>
        <v/>
      </c>
      <c r="O902" s="3" t="inlineStr">
        <is>
          <t>세종로또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1429</v>
      </c>
      <c r="H903" s="4" t="n">
        <v>432</v>
      </c>
      <c r="I903" s="5" t="n">
        <v>231.5</v>
      </c>
      <c r="J903" s="5" t="n">
        <v>103.4</v>
      </c>
      <c r="K903" s="3" t="inlineStr">
        <is>
          <t>1. 2차선도로 접한 직사각형토지 급매토지 2. 오송역 남청주IC 1</t>
        </is>
      </c>
      <c r="L903" s="6">
        <f>HYPERLINK("https://fin.land.naver.com/articles/2646950261",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694</t>
        </is>
      </c>
      <c r="B904" s="3" t="inlineStr">
        <is>
          <t>계획관리지역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32000</v>
      </c>
      <c r="G904" s="4" t="n">
        <v>1769</v>
      </c>
      <c r="H904" s="4" t="n">
        <v>535</v>
      </c>
      <c r="I904" s="5" t="n">
        <v>59.8</v>
      </c>
      <c r="J904" s="5" t="n">
        <v>36.4</v>
      </c>
      <c r="K904" s="3" t="inlineStr">
        <is>
          <t>연동면 응암리 계획관리지역</t>
        </is>
      </c>
      <c r="L904" s="6">
        <f>HYPERLINK("https://fin.land.naver.com/articles/2649787914", "매물Link")</f>
        <v/>
      </c>
      <c r="M904" s="6">
        <f>HYPERLINK("https://map.naver.com/p/search/연동면 응암리 694", "지도Link")</f>
        <v/>
      </c>
      <c r="N904" s="6">
        <f>HYPERLINK("http://www.eum.go.kr/web/ar/lu/luLandDet.jsp?pnu=3611032024106940000&amp;isNoScr=script&amp;mode=search", "토지이음")</f>
        <v/>
      </c>
      <c r="O904" s="3" t="inlineStr">
        <is>
          <t>KB세종</t>
        </is>
      </c>
      <c r="P904" s="4" t="n">
        <v>1</v>
      </c>
      <c r="Q904" s="4" t="n">
        <v>1769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응암리 738-8</t>
        </is>
      </c>
      <c r="B905" s="3" t="inlineStr">
        <is>
          <t>계획관리지역</t>
        </is>
      </c>
      <c r="C905" s="3" t="inlineStr">
        <is>
          <t>주유소용지</t>
        </is>
      </c>
      <c r="D905" s="3" t="inlineStr">
        <is>
          <t>주유소용지</t>
        </is>
      </c>
      <c r="E905" s="3" t="inlineStr">
        <is>
          <t>매매</t>
        </is>
      </c>
      <c r="F905" s="4" t="n">
        <v>370000</v>
      </c>
      <c r="G905" s="4" t="n">
        <v>1420</v>
      </c>
      <c r="H905" s="4" t="n">
        <v>430</v>
      </c>
      <c r="I905" s="5" t="n">
        <v>860.5</v>
      </c>
      <c r="J905" s="5" t="n">
        <v>160</v>
      </c>
      <c r="K905" s="3" t="inlineStr">
        <is>
          <t>행정중심복합도시 진입 방향 건축가능한 나대지</t>
        </is>
      </c>
      <c r="L905" s="6">
        <f>HYPERLINK("https://fin.land.naver.com/articles/2647420850", "매물Link")</f>
        <v/>
      </c>
      <c r="M905" s="6">
        <f>HYPERLINK("https://map.naver.com/p/search/연동면 응암리 738-8", "지도Link")</f>
        <v/>
      </c>
      <c r="N905" s="6">
        <f>HYPERLINK("http://www.eum.go.kr/web/ar/lu/luLandDet.jsp?pnu=3611032024107380008&amp;isNoScr=script&amp;mode=search", "토지이음")</f>
        <v/>
      </c>
      <c r="O905" s="3" t="inlineStr">
        <is>
          <t>남산제일</t>
        </is>
      </c>
      <c r="P905" s="4" t="n">
        <v>1</v>
      </c>
      <c r="Q905" s="4" t="n">
        <v>1420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749-2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147000</v>
      </c>
      <c r="G906" s="4" t="n">
        <v>972</v>
      </c>
      <c r="H906" s="4" t="n">
        <v>294</v>
      </c>
      <c r="I906" s="5" t="n">
        <v>500</v>
      </c>
      <c r="J906" s="5" t="n">
        <v>76.2</v>
      </c>
      <c r="K906" s="3" t="inlineStr">
        <is>
          <t>2차선접,땅모양 굿</t>
        </is>
      </c>
      <c r="L906" s="6">
        <f>HYPERLINK("https://fin.land.naver.com/articles/2649526799", "매물Link")</f>
        <v/>
      </c>
      <c r="M906" s="6">
        <f>HYPERLINK("https://map.naver.com/p/search/연동면 응암리 749-2", "지도Link")</f>
        <v/>
      </c>
      <c r="N906" s="6">
        <f>HYPERLINK("http://www.eum.go.kr/web/ar/lu/luLandDet.jsp?pnu=3611032024107490002&amp;isNoScr=script&amp;mode=search", "토지이음")</f>
        <v/>
      </c>
      <c r="O906" s="3" t="inlineStr">
        <is>
          <t>힐스테이트행복</t>
        </is>
      </c>
      <c r="P906" s="4" t="n">
        <v>1</v>
      </c>
      <c r="Q906" s="4" t="n">
        <v>972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연동면 응암리 752-2</t>
        </is>
      </c>
      <c r="B907" s="3" t="inlineStr">
        <is>
          <t>계획관리지역</t>
        </is>
      </c>
      <c r="C907" s="3" t="inlineStr">
        <is>
          <t>잡종지</t>
        </is>
      </c>
      <c r="D907" s="3" t="inlineStr">
        <is>
          <t>잡종지</t>
        </is>
      </c>
      <c r="E907" s="3" t="inlineStr">
        <is>
          <t>매매</t>
        </is>
      </c>
      <c r="F907" s="4" t="n">
        <v>300000</v>
      </c>
      <c r="G907" s="4" t="n">
        <v>2428</v>
      </c>
      <c r="H907" s="4" t="n">
        <v>734</v>
      </c>
      <c r="I907" s="5" t="n">
        <v>408.7</v>
      </c>
      <c r="J907" s="5" t="n">
        <v>133</v>
      </c>
      <c r="K907" s="3" t="inlineStr">
        <is>
          <t>2차선도로변, 5생활권주변, 카센터,타이어,물류,상가 등 추천</t>
        </is>
      </c>
      <c r="L907" s="6">
        <f>HYPERLINK("https://fin.land.naver.com/articles/2649691502", "매물Link")</f>
        <v/>
      </c>
      <c r="M907" s="6">
        <f>HYPERLINK("https://map.naver.com/p/search/연동면 응암리 752-2", "지도Link")</f>
        <v/>
      </c>
      <c r="N907" s="6">
        <f>HYPERLINK("http://www.eum.go.kr/web/ar/lu/luLandDet.jsp?pnu=3611032024107520002&amp;isNoScr=script&amp;mode=search", "토지이음")</f>
        <v/>
      </c>
      <c r="O907" s="3" t="inlineStr">
        <is>
          <t>세종큰길</t>
        </is>
      </c>
      <c r="P907" s="4" t="n">
        <v>1</v>
      </c>
      <c r="Q907" s="4" t="n">
        <v>628</v>
      </c>
      <c r="R907" s="3" t="inlineStr">
        <is>
          <t>지정되지않음</t>
        </is>
      </c>
      <c r="S907" s="3" t="inlineStr">
        <is>
          <t>주상용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연동면 응암리 871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48800</v>
      </c>
      <c r="G908" s="4" t="n">
        <v>2928</v>
      </c>
      <c r="H908" s="4" t="n">
        <v>886</v>
      </c>
      <c r="I908" s="5" t="n">
        <v>55.1</v>
      </c>
      <c r="J908" s="5" t="n">
        <v>21.7</v>
      </c>
      <c r="K908" s="3" t="inlineStr">
        <is>
          <t>마을부근의 농지로 대토 및 농업관련 업종의 소형공장이나 창고, 주택</t>
        </is>
      </c>
      <c r="L908" s="6">
        <f>HYPERLINK("https://fin.land.naver.com/articles/2648259374", "매물Link")</f>
        <v/>
      </c>
      <c r="M908" s="6">
        <f>HYPERLINK("https://map.naver.com/p/search/연동면 응암리 871", "지도Link")</f>
        <v/>
      </c>
      <c r="N908" s="6">
        <f>HYPERLINK("http://www.eum.go.kr/web/ar/lu/luLandDet.jsp?pnu=3611032024108710000&amp;isNoScr=script&amp;mode=search",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2927.9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HYPERLINK("https://fin.land.naver.com/articles/2650950524",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HYPERLINK("http://www.eum.go.kr/web/ar/lu/luLandDet.jsp?pnu=3611032024200420006&amp;isNoScr=script&amp;mode=search",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HYPERLINK("http://www.eum.go.kr/web/ar/lu/luLandDet.jsp?pnu=3611032024200060001&amp;isNoScr=script&amp;mode=search",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485-10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70000</v>
      </c>
      <c r="G911" s="4" t="n">
        <v>655</v>
      </c>
      <c r="H911" s="4" t="n">
        <v>198</v>
      </c>
      <c r="I911" s="5" t="n">
        <v>353.5</v>
      </c>
      <c r="J911" s="5" t="n">
        <v>165</v>
      </c>
      <c r="K911" s="3" t="inlineStr">
        <is>
          <t>강이 보이는 남향의 최고의 전원주택 부지 급 매매</t>
        </is>
      </c>
      <c r="L911" s="6">
        <f>HYPERLINK("https://fin.land.naver.com/articles/2650228949", "매물Link")</f>
        <v/>
      </c>
      <c r="M911" s="6">
        <f>HYPERLINK("https://map.naver.com/p/search/연동면 합강리 485-10", "지도Link")</f>
        <v/>
      </c>
      <c r="N911" s="6">
        <f>HYPERLINK("http://www.eum.go.kr/web/ar/lu/luLandDet.jsp?pnu=3611032028104850010&amp;isNoScr=script&amp;mode=search", "토지이음")</f>
        <v/>
      </c>
      <c r="O911" s="3" t="inlineStr">
        <is>
          <t>대전토지로무소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nan</t>
        </is>
      </c>
      <c r="L912" s="6">
        <f>HYPERLINK("https://fin.land.naver.com/articles/2650048011",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HYPERLINK("http://www.eum.go.kr/web/ar/lu/luLandDet.jsp?pnu=3611032028104860041&amp;isNoScr=script&amp;mode=search", "토지이음")</f>
        <v/>
      </c>
      <c r="O912" s="3" t="inlineStr">
        <is>
          <t>하이엔드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HYPERLINK("http://www.eum.go.kr/web/ar/lu/luLandDet.jsp?pnu=3611032028104860041&amp;isNoScr=script&amp;mode=search",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110000</v>
      </c>
      <c r="G914" s="4" t="n">
        <v>12036</v>
      </c>
      <c r="H914" s="4" t="n">
        <v>3641</v>
      </c>
      <c r="I914" s="5" t="n">
        <v>30.2</v>
      </c>
      <c r="J914" s="5" t="n">
        <v>6</v>
      </c>
      <c r="K914" s="3" t="inlineStr">
        <is>
          <t>세종시 연동면 합강리 금강 인근 임야 매매</t>
        </is>
      </c>
      <c r="L914" s="6">
        <f>HYPERLINK("https://fin.land.naver.com/articles/2646831517", "매물Link")</f>
        <v/>
      </c>
      <c r="M914" s="6">
        <f>HYPERLINK("https://map.naver.com/p/search/연동면 합강리 486-41", "지도Link")</f>
        <v/>
      </c>
      <c r="N914" s="6">
        <f>HYPERLINK("http://www.eum.go.kr/web/ar/lu/luLandDet.jsp?pnu=3611032028104860041&amp;isNoScr=script&amp;mode=search", "토지이음")</f>
        <v/>
      </c>
      <c r="O914" s="3" t="inlineStr">
        <is>
          <t>뉴스카이</t>
        </is>
      </c>
      <c r="P914" s="4" t="n">
        <v>1</v>
      </c>
      <c r="Q914" s="4" t="n">
        <v>10686</v>
      </c>
      <c r="R914" s="3" t="inlineStr">
        <is>
          <t>보전관리지역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합강리 490-25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85000</v>
      </c>
      <c r="G915" s="4" t="n">
        <v>770</v>
      </c>
      <c r="H915" s="4" t="n">
        <v>233</v>
      </c>
      <c r="I915" s="5" t="n">
        <v>364.8</v>
      </c>
      <c r="J915" s="5" t="n">
        <v>95.90000000000001</v>
      </c>
      <c r="K915" s="3" t="inlineStr">
        <is>
          <t>강가에 별장자리최고입니다</t>
        </is>
      </c>
      <c r="L915" s="6">
        <f>HYPERLINK("https://fin.land.naver.com/articles/2650471325", "매물Link")</f>
        <v/>
      </c>
      <c r="M915" s="6">
        <f>HYPERLINK("https://map.naver.com/p/search/연동면 합강리 490-25", "지도Link")</f>
        <v/>
      </c>
      <c r="N915" s="6">
        <f>HYPERLINK("http://www.eum.go.kr/web/ar/lu/luLandDet.jsp?pnu=3611032028104900025&amp;isNoScr=script&amp;mode=search", "토지이음")</f>
        <v/>
      </c>
      <c r="O915" s="3" t="inlineStr">
        <is>
          <t>청정</t>
        </is>
      </c>
      <c r="P915" s="4" t="n">
        <v>1</v>
      </c>
      <c r="Q915" s="4" t="n">
        <v>769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1684</v>
      </c>
      <c r="H916" s="4" t="n">
        <v>509</v>
      </c>
      <c r="I916" s="5" t="n">
        <v>294.7</v>
      </c>
      <c r="J916" s="5" t="n">
        <v>159.8</v>
      </c>
      <c r="K916" s="3" t="inlineStr">
        <is>
          <t>nan</t>
        </is>
      </c>
      <c r="L916" s="6">
        <f>HYPERLINK("https://fin.land.naver.com/articles/2645657449", "매물Link")</f>
        <v/>
      </c>
      <c r="M916" s="6">
        <f>HYPERLINK("https://map.naver.com/p/search/연동면 합강리 491", "지도Link")</f>
        <v/>
      </c>
      <c r="N916" s="6">
        <f>HYPERLINK("http://www.eum.go.kr/web/ar/lu/luLandDet.jsp?pnu=3611032028104910000&amp;isNoScr=script&amp;mode=search", "토지이음")</f>
        <v/>
      </c>
      <c r="O916" s="3" t="inlineStr">
        <is>
          <t>하이엔드</t>
        </is>
      </c>
      <c r="P916" s="4" t="n">
        <v>1</v>
      </c>
      <c r="Q916" s="4" t="n">
        <v>1684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2308</v>
      </c>
      <c r="H917" s="4" t="n">
        <v>698</v>
      </c>
      <c r="I917" s="5" t="n">
        <v>1103.2</v>
      </c>
      <c r="J917" s="5" t="n">
        <v>107.6</v>
      </c>
      <c r="K917" s="3" t="inlineStr">
        <is>
          <t>카페입지, 좋은 위치, 상수도 전기설비완료, 농막 시설물포함, 가격절충</t>
        </is>
      </c>
      <c r="L917" s="6">
        <f>HYPERLINK("https://fin.land.naver.com/articles/2649498432", "매물Link")</f>
        <v/>
      </c>
      <c r="M917" s="6">
        <f>HYPERLINK("https://map.naver.com/p/search/연동면 합강리 492-4", "지도Link")</f>
        <v/>
      </c>
      <c r="N917" s="6">
        <f>HYPERLINK("http://www.eum.go.kr/web/ar/lu/luLandDet.jsp?pnu=3611032028104920004&amp;isNoScr=script&amp;mode=search", "토지이음")</f>
        <v/>
      </c>
      <c r="O917" s="3" t="inlineStr">
        <is>
          <t>황금힐스테이트</t>
        </is>
      </c>
      <c r="P917" s="4" t="n">
        <v>1</v>
      </c>
      <c r="Q917" s="4" t="n">
        <v>2308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647</v>
      </c>
      <c r="H918" s="4" t="n">
        <v>196</v>
      </c>
      <c r="I918" s="5" t="n">
        <v>500</v>
      </c>
      <c r="J918" s="5" t="n">
        <v>158.2</v>
      </c>
      <c r="K918" s="3" t="inlineStr">
        <is>
          <t>전망 좋은 주택지</t>
        </is>
      </c>
      <c r="L918" s="6">
        <f>HYPERLINK("https://fin.land.naver.com/articles/2646891086", "매물Link")</f>
        <v/>
      </c>
      <c r="M918" s="6">
        <f>HYPERLINK("https://map.naver.com/p/search/연동면 합강리 500-24", "지도Link")</f>
        <v/>
      </c>
      <c r="N918" s="6">
        <f>HYPERLINK("http://www.eum.go.kr/web/ar/lu/luLandDet.jsp?pnu=3611032028105000024&amp;isNoScr=script&amp;mode=search", "토지이음")</f>
        <v/>
      </c>
      <c r="O918" s="3" t="inlineStr">
        <is>
          <t>강아지풀</t>
        </is>
      </c>
      <c r="P918" s="4" t="n">
        <v>1</v>
      </c>
      <c r="Q918" s="4" t="n">
        <v>647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946</v>
      </c>
      <c r="H919" s="4" t="n">
        <v>286</v>
      </c>
      <c r="I919" s="5" t="n">
        <v>131.1</v>
      </c>
      <c r="J919" s="5" t="n">
        <v>66</v>
      </c>
      <c r="K919" s="3" t="inlineStr">
        <is>
          <t>고복리 계획관리지역 대와 전으로 시세보다 저렴한 2필지 일괄매매.</t>
        </is>
      </c>
      <c r="L919" s="6">
        <f>HYPERLINK("https://fin.land.naver.com/articles/2647918884", "매물Link")</f>
        <v/>
      </c>
      <c r="M919" s="6">
        <f>HYPERLINK("https://map.naver.com/p/search/연서면 고복리 112-1", "지도Link")</f>
        <v/>
      </c>
      <c r="N919" s="6">
        <f>HYPERLINK("http://www.eum.go.kr/web/ar/lu/luLandDet.jsp?pnu=3611036024101120001&amp;isNoScr=script&amp;mode=search", "토지이음")</f>
        <v/>
      </c>
      <c r="O919" s="3" t="inlineStr">
        <is>
          <t>세종대장</t>
        </is>
      </c>
      <c r="P919" s="4" t="n">
        <v>1</v>
      </c>
      <c r="Q919" s="4" t="n">
        <v>377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4932</v>
      </c>
      <c r="H920" s="4" t="n">
        <v>1492</v>
      </c>
      <c r="I920" s="5" t="n">
        <v>150.1</v>
      </c>
      <c r="J920" s="5" t="n">
        <v>33.5</v>
      </c>
      <c r="K920" s="3" t="inlineStr">
        <is>
          <t>추천. 도로접한 생산관리 농지</t>
        </is>
      </c>
      <c r="L920" s="6">
        <f>HYPERLINK("https://fin.land.naver.com/articles/2645464010", "매물Link")</f>
        <v/>
      </c>
      <c r="M920" s="6">
        <f>HYPERLINK("https://map.naver.com/p/search/연서면 고복리 117", "지도Link")</f>
        <v/>
      </c>
      <c r="N920" s="6">
        <f>HYPERLINK("http://www.eum.go.kr/web/ar/lu/luLandDet.jsp?pnu=3611036024101170000&amp;isNoScr=script&amp;mode=search", "토지이음")</f>
        <v/>
      </c>
      <c r="O920" s="3" t="inlineStr">
        <is>
          <t>강아지풀</t>
        </is>
      </c>
      <c r="P920" s="4" t="n">
        <v>1</v>
      </c>
      <c r="Q920" s="4" t="n">
        <v>4275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HYPERLINK("http://www.eum.go.kr/web/ar/lu/luLandDet.jsp?pnu=3611036024101740001&amp;isNoScr=script&amp;mode=search",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HYPERLINK("http://www.eum.go.kr/web/ar/lu/luLandDet.jsp?pnu=3611036024101860001&amp;isNoScr=script&amp;mode=search",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221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20000</v>
      </c>
      <c r="G923" s="4" t="n">
        <v>521</v>
      </c>
      <c r="H923" s="4" t="n">
        <v>158</v>
      </c>
      <c r="I923" s="5" t="n">
        <v>126.6</v>
      </c>
      <c r="J923" s="5" t="n">
        <v>66.7</v>
      </c>
      <c r="K923" s="3" t="inlineStr">
        <is>
          <t>nan</t>
        </is>
      </c>
      <c r="L923" s="6">
        <f>HYPERLINK("https://fin.land.naver.com/articles/2650838247", "매물Link")</f>
        <v/>
      </c>
      <c r="M923" s="6">
        <f>HYPERLINK("https://map.naver.com/p/search/연서면 고복리 221", "지도Link")</f>
        <v/>
      </c>
      <c r="N923" s="6">
        <f>HYPERLINK("http://www.eum.go.kr/web/ar/lu/luLandDet.jsp?pnu=3611036024102210000&amp;isNoScr=script&amp;mode=search", "토지이음")</f>
        <v/>
      </c>
      <c r="O923" s="3" t="inlineStr">
        <is>
          <t>세종금밭</t>
        </is>
      </c>
      <c r="P923" s="4" t="n">
        <v>1</v>
      </c>
      <c r="Q923" s="4" t="n">
        <v>521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고복리 221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20000</v>
      </c>
      <c r="G924" s="4" t="n">
        <v>521</v>
      </c>
      <c r="H924" s="4" t="n">
        <v>158</v>
      </c>
      <c r="I924" s="5" t="n">
        <v>126.6</v>
      </c>
      <c r="J924" s="5" t="n">
        <v>66.7</v>
      </c>
      <c r="K924" s="3" t="inlineStr">
        <is>
          <t>o토지급매o 고복리 계획관리지역으로 주택과 창고 있는 저렴한 토지</t>
        </is>
      </c>
      <c r="L924" s="6">
        <f>HYPERLINK("https://fin.land.naver.com/articles/2650800982", "매물Link")</f>
        <v/>
      </c>
      <c r="M924" s="6">
        <f>HYPERLINK("https://map.naver.com/p/search/연서면 고복리 221", "지도Link")</f>
        <v/>
      </c>
      <c r="N924" s="6">
        <f>HYPERLINK("http://www.eum.go.kr/web/ar/lu/luLandDet.jsp?pnu=3611036024102210000&amp;isNoScr=script&amp;mode=search", "토지이음")</f>
        <v/>
      </c>
      <c r="O924" s="3" t="inlineStr">
        <is>
          <t>은주</t>
        </is>
      </c>
      <c r="P924" s="4" t="n">
        <v>1</v>
      </c>
      <c r="Q924" s="4" t="n">
        <v>521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2922</v>
      </c>
      <c r="H925" s="4" t="n">
        <v>884</v>
      </c>
      <c r="I925" s="5" t="n">
        <v>90.5</v>
      </c>
      <c r="J925" s="5" t="n">
        <v>32.5</v>
      </c>
      <c r="K925" s="3" t="inlineStr">
        <is>
          <t>급매, 연서면 고복리 마을포장도로에 접한 생산관리지역 과수원을 급매합니다</t>
        </is>
      </c>
      <c r="L925" s="6">
        <f>HYPERLINK("https://fin.land.naver.com/articles/2647005012", "매물Link")</f>
        <v/>
      </c>
      <c r="M925" s="6">
        <f>HYPERLINK("https://map.naver.com/p/search/연서면 고복리 294", "지도Link")</f>
        <v/>
      </c>
      <c r="N925" s="6">
        <f>HYPERLINK("http://www.eum.go.kr/web/ar/lu/luLandDet.jsp?pnu=3611036024102940000&amp;isNoScr=script&amp;mode=search",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2922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5623</v>
      </c>
      <c r="H926" s="4" t="n">
        <v>1701</v>
      </c>
      <c r="I926" s="5" t="n">
        <v>70.5</v>
      </c>
      <c r="J926" s="5" t="n">
        <v>38.3</v>
      </c>
      <c r="K926" s="3" t="inlineStr">
        <is>
          <t>고복저수지 3분, 조치원 5분 이내.</t>
        </is>
      </c>
      <c r="L926" s="6">
        <f>HYPERLINK("https://fin.land.naver.com/articles/2649922113", "매물Link")</f>
        <v/>
      </c>
      <c r="M926" s="6">
        <f>HYPERLINK("https://map.naver.com/p/search/연서면 고복리 373", "지도Link")</f>
        <v/>
      </c>
      <c r="N926" s="6">
        <f>HYPERLINK("http://www.eum.go.kr/web/ar/lu/luLandDet.jsp?pnu=3611036024103730000&amp;isNoScr=script&amp;mode=search",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395</t>
        </is>
      </c>
      <c r="B927" s="3" t="inlineStr">
        <is>
          <t>보전관리지역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60000</v>
      </c>
      <c r="G927" s="4" t="n">
        <v>3587</v>
      </c>
      <c r="H927" s="4" t="n">
        <v>1085</v>
      </c>
      <c r="I927" s="5" t="n">
        <v>55.3</v>
      </c>
      <c r="J927" s="5" t="n">
        <v>21.6</v>
      </c>
      <c r="K927" s="3" t="inlineStr">
        <is>
          <t>고복저수지 인근 투자용도로 추천  가격 조율 가능</t>
        </is>
      </c>
      <c r="L927" s="6">
        <f>HYPERLINK("https://fin.land.naver.com/articles/2649200788", "매물Link")</f>
        <v/>
      </c>
      <c r="M927" s="6">
        <f>HYPERLINK("https://map.naver.com/p/search/연서면 고복리 395", "지도Link")</f>
        <v/>
      </c>
      <c r="N927" s="6">
        <f>HYPERLINK("http://www.eum.go.kr/web/ar/lu/luLandDet.jsp?pnu=3611036024103950000&amp;isNoScr=script&amp;mode=search", "토지이음")</f>
        <v/>
      </c>
      <c r="O927" s="3" t="inlineStr">
        <is>
          <t>뉴엘리트탑</t>
        </is>
      </c>
      <c r="P927" s="4" t="n">
        <v>1</v>
      </c>
      <c r="Q927" s="4" t="n">
        <v>3587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415-34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54000</v>
      </c>
      <c r="G928" s="4" t="n">
        <v>725</v>
      </c>
      <c r="H928" s="4" t="n">
        <v>219</v>
      </c>
      <c r="I928" s="5" t="n">
        <v>246.6</v>
      </c>
      <c r="J928" s="5" t="n">
        <v>122.9</v>
      </c>
      <c r="K928" s="3" t="inlineStr">
        <is>
          <t>고복저수지 뷰 좋아요</t>
        </is>
      </c>
      <c r="L928" s="6">
        <f>HYPERLINK("https://fin.land.naver.com/articles/2646008035", "매물Link")</f>
        <v/>
      </c>
      <c r="M928" s="6">
        <f>HYPERLINK("https://map.naver.com/p/search/연서면 고복리 415-34", "지도Link")</f>
        <v/>
      </c>
      <c r="N928" s="6">
        <f>HYPERLINK("http://www.eum.go.kr/web/ar/lu/luLandDet.jsp?pnu=3611036024104150034&amp;isNoScr=script&amp;mode=search", "토지이음")</f>
        <v/>
      </c>
      <c r="O928" s="3" t="inlineStr">
        <is>
          <t>세종대박</t>
        </is>
      </c>
      <c r="P928" s="4" t="n">
        <v>1</v>
      </c>
      <c r="Q928" s="4" t="n">
        <v>725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고복리 415-54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404000</v>
      </c>
      <c r="G929" s="4" t="n">
        <v>3904</v>
      </c>
      <c r="H929" s="4" t="n">
        <v>1181</v>
      </c>
      <c r="I929" s="5" t="n">
        <v>342.1</v>
      </c>
      <c r="J929" s="5" t="n">
        <v>116.1</v>
      </c>
      <c r="K929" s="3" t="inlineStr">
        <is>
          <t>고복저수지 바로 인접한 토지매매 넓은 면적에 탁트인 전망 매매가격 조절가</t>
        </is>
      </c>
      <c r="L929" s="6">
        <f>HYPERLINK("https://fin.land.naver.com/articles/2647450406", "매물Link")</f>
        <v/>
      </c>
      <c r="M929" s="6">
        <f>HYPERLINK("https://map.naver.com/p/search/연서면 고복리 415-54", "지도Link")</f>
        <v/>
      </c>
      <c r="N929" s="6">
        <f>HYPERLINK("http://www.eum.go.kr/web/ar/lu/luLandDet.jsp?pnu=3611036024104150054&amp;isNoScr=script&amp;mode=search", "토지이음")</f>
        <v/>
      </c>
      <c r="O929" s="3" t="inlineStr">
        <is>
          <t>효성해링턴오복</t>
        </is>
      </c>
      <c r="P929" s="4" t="n">
        <v>1</v>
      </c>
      <c r="Q929" s="4" t="n">
        <v>599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자루형</t>
        </is>
      </c>
      <c r="V929" s="3" t="inlineStr">
        <is>
          <t>세로한면(가)</t>
        </is>
      </c>
    </row>
    <row r="930">
      <c r="A930" s="3" t="inlineStr">
        <is>
          <t>연서면 고복리 42-7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53340</v>
      </c>
      <c r="G930" s="4" t="n">
        <v>2940</v>
      </c>
      <c r="H930" s="4" t="n">
        <v>889</v>
      </c>
      <c r="I930" s="5" t="n">
        <v>60</v>
      </c>
      <c r="J930" s="5" t="n">
        <v>21.1</v>
      </c>
      <c r="K930" s="3" t="inlineStr">
        <is>
          <t>nan</t>
        </is>
      </c>
      <c r="L930" s="6">
        <f>HYPERLINK("https://fin.land.naver.com/articles/2648826287", "매물Link")</f>
        <v/>
      </c>
      <c r="M930" s="6">
        <f>HYPERLINK("https://map.naver.com/p/search/연서면 고복리 42-7", "지도Link")</f>
        <v/>
      </c>
      <c r="N930" s="6">
        <f>HYPERLINK("http://www.eum.go.kr/web/ar/lu/luLandDet.jsp?pnu=3611036024100420007&amp;isNoScr=script&amp;mode=search", "토지이음")</f>
        <v/>
      </c>
      <c r="O930" s="3" t="inlineStr">
        <is>
          <t>푸른들</t>
        </is>
      </c>
      <c r="P930" s="4" t="n">
        <v>1</v>
      </c>
      <c r="Q930" s="4" t="n">
        <v>2940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HYPERLINK("http://www.eum.go.kr/web/ar/lu/luLandDet.jsp?pnu=3611036024100460005&amp;isNoScr=script&amp;mode=search",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HYPERLINK("http://www.eum.go.kr/web/ar/lu/luLandDet.jsp?pnu=3611036024104690002&amp;isNoScr=script&amp;mode=search",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548-3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90000</v>
      </c>
      <c r="G933" s="4" t="n">
        <v>1922</v>
      </c>
      <c r="H933" s="4" t="n">
        <v>581</v>
      </c>
      <c r="I933" s="5" t="n">
        <v>154.9</v>
      </c>
      <c r="J933" s="5" t="n">
        <v>42.1</v>
      </c>
      <c r="K933" s="3" t="inlineStr">
        <is>
          <t>도로지분있음,주변개발가능성많은곳임야.맹지아님.조절가능.연서면고복저수지조망</t>
        </is>
      </c>
      <c r="L933" s="6">
        <f>HYPERLINK("https://fin.land.naver.com/articles/2646411392", "매물Link")</f>
        <v/>
      </c>
      <c r="M933" s="6">
        <f>HYPERLINK("https://map.naver.com/p/search/연서면 고복리 548-3", "지도Link")</f>
        <v/>
      </c>
      <c r="N933" s="6">
        <f>HYPERLINK("http://www.eum.go.kr/web/ar/lu/luLandDet.jsp?pnu=3611036024105480003&amp;isNoScr=script&amp;mode=search", "토지이음")</f>
        <v/>
      </c>
      <c r="O933" s="3" t="inlineStr">
        <is>
          <t>테크노금성</t>
        </is>
      </c>
      <c r="P933" s="4" t="n">
        <v>1</v>
      </c>
      <c r="Q933" s="4" t="n">
        <v>1714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고복리 556-28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184000</v>
      </c>
      <c r="G934" s="4" t="n">
        <v>1520</v>
      </c>
      <c r="H934" s="4" t="n">
        <v>460</v>
      </c>
      <c r="I934" s="5" t="n">
        <v>400</v>
      </c>
      <c r="J934" s="5" t="n">
        <v>119.4</v>
      </c>
      <c r="K934" s="3" t="inlineStr">
        <is>
          <t>2필지 대지와근생건물 일괄매매.고복저수지인접.</t>
        </is>
      </c>
      <c r="L934" s="6">
        <f>HYPERLINK("https://fin.land.naver.com/articles/2646788234", "매물Link")</f>
        <v/>
      </c>
      <c r="M934" s="6">
        <f>HYPERLINK("https://map.naver.com/p/search/연서면 고복리 556-28", "지도Link")</f>
        <v/>
      </c>
      <c r="N934" s="6">
        <f>HYPERLINK("http://www.eum.go.kr/web/ar/lu/luLandDet.jsp?pnu=3611036024105560028&amp;isNoScr=script&amp;mode=search",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793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557-4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100000</v>
      </c>
      <c r="G935" s="4" t="n">
        <v>2085</v>
      </c>
      <c r="H935" s="4" t="n">
        <v>631</v>
      </c>
      <c r="I935" s="5" t="n">
        <v>158.5</v>
      </c>
      <c r="J935" s="5" t="n">
        <v>50.7</v>
      </c>
      <c r="K935" s="3" t="inlineStr">
        <is>
          <t>저수지 뷰가 최상이며 필요한 평수 만큼 분할 매매도 가능합니다.</t>
        </is>
      </c>
      <c r="L935" s="6">
        <f>HYPERLINK("https://fin.land.naver.com/articles/2649234828", "매물Link")</f>
        <v/>
      </c>
      <c r="M935" s="6">
        <f>HYPERLINK("https://map.naver.com/p/search/연서면 고복리 557-4", "지도Link")</f>
        <v/>
      </c>
      <c r="N935" s="6">
        <f>HYPERLINK("http://www.eum.go.kr/web/ar/lu/luLandDet.jsp?pnu=3611036024105570004&amp;isNoScr=script&amp;mode=search", "토지이음")</f>
        <v/>
      </c>
      <c r="O935" s="3" t="inlineStr">
        <is>
          <t>신흥주공</t>
        </is>
      </c>
      <c r="P935" s="4" t="n">
        <v>1</v>
      </c>
      <c r="Q935" s="4" t="n">
        <v>775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56-10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21000</v>
      </c>
      <c r="G936" s="4" t="n">
        <v>2010</v>
      </c>
      <c r="H936" s="4" t="n">
        <v>608</v>
      </c>
      <c r="I936" s="5" t="n">
        <v>34.5</v>
      </c>
      <c r="J936" s="5" t="n">
        <v>22</v>
      </c>
      <c r="K936" s="3" t="inlineStr">
        <is>
          <t>투자용, 주말 농장용으로 추천 합니다</t>
        </is>
      </c>
      <c r="L936" s="6">
        <f>HYPERLINK("https://fin.land.naver.com/articles/2650856617", "매물Link")</f>
        <v/>
      </c>
      <c r="M936" s="6">
        <f>HYPERLINK("https://map.naver.com/p/search/연서면 고복리 56-10", "지도Link")</f>
        <v/>
      </c>
      <c r="N936" s="6">
        <f>HYPERLINK("http://www.eum.go.kr/web/ar/lu/luLandDet.jsp?pnu=3611036024100560010&amp;isNoScr=script&amp;mode=search", "토지이음")</f>
        <v/>
      </c>
      <c r="O936" s="3" t="inlineStr">
        <is>
          <t>세종대박</t>
        </is>
      </c>
      <c r="P936" s="4" t="n">
        <v>1</v>
      </c>
      <c r="Q936" s="4" t="n">
        <v>2010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HYPERLINK("http://www.eum.go.kr/web/ar/lu/luLandDet.jsp?pnu=3611036024100560010&amp;isNoScr=script&amp;mode=search",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589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108000</v>
      </c>
      <c r="G938" s="4" t="n">
        <v>3716</v>
      </c>
      <c r="H938" s="4" t="n">
        <v>1124</v>
      </c>
      <c r="I938" s="5" t="n">
        <v>96.09999999999999</v>
      </c>
      <c r="J938" s="5" t="n">
        <v>42.8</v>
      </c>
      <c r="K938" s="3" t="inlineStr">
        <is>
          <t>대토용, 자경용, 전원주택, 투자용으로 추천.</t>
        </is>
      </c>
      <c r="L938" s="6">
        <f>HYPERLINK("https://fin.land.naver.com/articles/2650165339", "매물Link")</f>
        <v/>
      </c>
      <c r="M938" s="6">
        <f>HYPERLINK("https://map.naver.com/p/search/연서면 고복리 589", "지도Link")</f>
        <v/>
      </c>
      <c r="N938" s="6">
        <f>HYPERLINK("http://www.eum.go.kr/web/ar/lu/luLandDet.jsp?pnu=3611036024105890000&amp;isNoScr=script&amp;mode=search", "토지이음")</f>
        <v/>
      </c>
      <c r="O938" s="3" t="inlineStr">
        <is>
          <t>세종대장</t>
        </is>
      </c>
      <c r="P938" s="4" t="n">
        <v>1</v>
      </c>
      <c r="Q938" s="4" t="n">
        <v>3716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고복리 97-4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118000</v>
      </c>
      <c r="G939" s="4" t="n">
        <v>3905</v>
      </c>
      <c r="H939" s="4" t="n">
        <v>1181</v>
      </c>
      <c r="I939" s="5" t="n">
        <v>99.90000000000001</v>
      </c>
      <c r="J939" s="5" t="n">
        <v>24.4</v>
      </c>
      <c r="K939" s="3" t="inlineStr">
        <is>
          <t>고복저수지 인근의 전원주택지, 3필지</t>
        </is>
      </c>
      <c r="L939" s="6">
        <f>HYPERLINK("https://fin.land.naver.com/articles/2647255708", "매물Link")</f>
        <v/>
      </c>
      <c r="M939" s="6">
        <f>HYPERLINK("https://map.naver.com/p/search/연서면 고복리 97-4", "지도Link")</f>
        <v/>
      </c>
      <c r="N939" s="6">
        <f>HYPERLINK("http://www.eum.go.kr/web/ar/lu/luLandDet.jsp?pnu=3611036024100970004&amp;isNoScr=script&amp;mode=search", "토지이음")</f>
        <v/>
      </c>
      <c r="O939" s="3" t="inlineStr">
        <is>
          <t>세종공감</t>
        </is>
      </c>
      <c r="P939" s="4" t="n">
        <v>1</v>
      </c>
      <c r="Q939" s="4" t="n">
        <v>2787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고복리 산 3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4300</v>
      </c>
      <c r="G940" s="4" t="n">
        <v>661</v>
      </c>
      <c r="H940" s="4" t="n">
        <v>200</v>
      </c>
      <c r="I940" s="5" t="n">
        <v>21.5</v>
      </c>
      <c r="J940" s="5" t="n">
        <v>5.1</v>
      </c>
      <c r="K940" s="3" t="inlineStr">
        <is>
          <t>세종시 임야 지분 매매</t>
        </is>
      </c>
      <c r="L940" s="6">
        <f>HYPERLINK("https://fin.land.naver.com/articles/2649010337", "매물Link")</f>
        <v/>
      </c>
      <c r="M940" s="6">
        <f>HYPERLINK("https://map.naver.com/p/search/연서면 고복리 산 3", "지도Link")</f>
        <v/>
      </c>
      <c r="N940" s="6">
        <f>HYPERLINK("http://www.eum.go.kr/web/ar/lu/luLandDet.jsp?pnu=3611036024200030000&amp;isNoScr=script&amp;mode=search", "토지이음")</f>
        <v/>
      </c>
      <c r="O940" s="3" t="inlineStr">
        <is>
          <t>최고봉</t>
        </is>
      </c>
      <c r="P940" s="4" t="n">
        <v>1</v>
      </c>
      <c r="Q940" s="4" t="n">
        <v>27769</v>
      </c>
      <c r="R940" s="3" t="inlineStr">
        <is>
          <t>농림지역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HYPERLINK("https://fin.land.naver.com/articles/2650852401",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HYPERLINK("http://www.eum.go.kr/web/ar/lu/luLandDet.jsp?pnu=3611036024201020001&amp;isNoScr=script&amp;mode=search",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HYPERLINK("https://fin.land.naver.com/articles/2648172406",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HYPERLINK("http://www.eum.go.kr/web/ar/lu/luLandDet.jsp?pnu=3611036024200340006&amp;isNoScr=script&amp;mode=search",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HYPERLINK("http://www.eum.go.kr/web/ar/lu/luLandDet.jsp?pnu=3611036030100240000&amp;isNoScr=script&amp;mode=search",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HYPERLINK("https://fin.land.naver.com/articles/2650938722",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HYPERLINK("http://www.eum.go.kr/web/ar/lu/luLandDet.jsp?pnu=3611036030100240000&amp;isNoScr=script&amp;mode=search",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HYPERLINK("https://fin.land.naver.com/articles/2649193716",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HYPERLINK("http://www.eum.go.kr/web/ar/lu/luLandDet.jsp?pnu=3611036030103210008&amp;isNoScr=script&amp;mode=search",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HYPERLINK("http://www.eum.go.kr/web/ar/lu/luLandDet.jsp?pnu=3611036030103220044&amp;isNoScr=script&amp;mode=search",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1644</v>
      </c>
      <c r="H949" s="4" t="n">
        <v>497</v>
      </c>
      <c r="I949" s="5" t="n">
        <v>80.5</v>
      </c>
      <c r="J949" s="5" t="n">
        <v>28.8</v>
      </c>
      <c r="K949" s="3" t="inlineStr">
        <is>
          <t>연서면 국촌리 농림지역 토지, 국가산업단지 인근, 대토, 필지별 매매</t>
        </is>
      </c>
      <c r="L949" s="6">
        <f>HYPERLINK("https://fin.land.naver.com/articles/2648714185", "매물Link")</f>
        <v/>
      </c>
      <c r="M949" s="6">
        <f>HYPERLINK("https://map.naver.com/p/search/연서면 국촌리 53-4", "지도Link")</f>
        <v/>
      </c>
      <c r="N949" s="6">
        <f>HYPERLINK("http://www.eum.go.kr/web/ar/lu/luLandDet.jsp?pnu=3611036030100530004&amp;isNoScr=script&amp;mode=search",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1644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1663</v>
      </c>
      <c r="H950" s="4" t="n">
        <v>503</v>
      </c>
      <c r="I950" s="5" t="n">
        <v>89.5</v>
      </c>
      <c r="J950" s="5" t="n">
        <v>28.8</v>
      </c>
      <c r="K950" s="3" t="inlineStr">
        <is>
          <t>대토,투자로 좋은 위치의 토지입니다</t>
        </is>
      </c>
      <c r="L950" s="6">
        <f>HYPERLINK("https://fin.land.naver.com/articles/2650858546", "매물Link")</f>
        <v/>
      </c>
      <c r="M950" s="6">
        <f>HYPERLINK("https://map.naver.com/p/search/연서면 국촌리 53-5", "지도Link")</f>
        <v/>
      </c>
      <c r="N950" s="6">
        <f>HYPERLINK("http://www.eum.go.kr/web/ar/lu/luLandDet.jsp?pnu=3611036030100530005&amp;isNoScr=script&amp;mode=search",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1663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1964</v>
      </c>
      <c r="H951" s="4" t="n">
        <v>594</v>
      </c>
      <c r="I951" s="5" t="n">
        <v>104.4</v>
      </c>
      <c r="J951" s="5" t="n">
        <v>30</v>
      </c>
      <c r="K951" s="3" t="inlineStr">
        <is>
          <t>세종국가산업단지 연서면 국촌리 토지</t>
        </is>
      </c>
      <c r="L951" s="6">
        <f>HYPERLINK("https://fin.land.naver.com/articles/2646241465", "매물Link")</f>
        <v/>
      </c>
      <c r="M951" s="6">
        <f>HYPERLINK("https://map.naver.com/p/search/연서면 국촌리 59-9", "지도Link")</f>
        <v/>
      </c>
      <c r="N951" s="6">
        <f>HYPERLINK("http://www.eum.go.kr/web/ar/lu/luLandDet.jsp?pnu=3611036030100590009&amp;isNoScr=script&amp;mode=search", "토지이음")</f>
        <v/>
      </c>
      <c r="O951" s="3" t="inlineStr">
        <is>
          <t>지성</t>
        </is>
      </c>
      <c r="P951" s="4" t="n">
        <v>3</v>
      </c>
      <c r="Q951" s="4" t="n">
        <v>1964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HYPERLINK("https://fin.land.naver.com/articles/2648906327",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HYPERLINK("http://www.eum.go.kr/web/ar/lu/luLandDet.jsp?pnu=3611036028101370003&amp;isNoScr=script&amp;mode=search",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HYPERLINK("https://fin.land.naver.com/articles/2650477202",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HYPERLINK("http://www.eum.go.kr/web/ar/lu/luLandDet.jsp?pnu=3611036028101430000&amp;isNoScr=script&amp;mode=search",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156-3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13000</v>
      </c>
      <c r="G956" s="4" t="n">
        <v>1158</v>
      </c>
      <c r="H956" s="4" t="n">
        <v>350</v>
      </c>
      <c r="I956" s="5" t="n">
        <v>37.1</v>
      </c>
      <c r="J956" s="5" t="n">
        <v>14.5</v>
      </c>
      <c r="K956" s="3" t="inlineStr">
        <is>
          <t>급매, 토지옆 구거를 이용하여 출입가능</t>
        </is>
      </c>
      <c r="L956" s="6">
        <f>HYPERLINK("https://fin.land.naver.com/articles/2650478075", "매물Link")</f>
        <v/>
      </c>
      <c r="M956" s="6">
        <f>HYPERLINK("https://map.naver.com/p/search/연서면 기룡리 156-3", "지도Link")</f>
        <v/>
      </c>
      <c r="N956" s="6">
        <f>HYPERLINK("http://www.eum.go.kr/web/ar/lu/luLandDet.jsp?pnu=3611036028101560003&amp;isNoScr=script&amp;mode=search", "토지이음")</f>
        <v/>
      </c>
      <c r="O956" s="3" t="inlineStr">
        <is>
          <t>해들일번지</t>
        </is>
      </c>
      <c r="P956" s="4" t="n">
        <v>1</v>
      </c>
      <c r="Q956" s="4" t="n">
        <v>1158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급경사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17000</v>
      </c>
      <c r="G957" s="4" t="n">
        <v>1020</v>
      </c>
      <c r="H957" s="4" t="n">
        <v>309</v>
      </c>
      <c r="I957" s="5" t="n">
        <v>55</v>
      </c>
      <c r="J957" s="5" t="n">
        <v>15</v>
      </c>
      <c r="K957" s="3" t="inlineStr">
        <is>
          <t>급매, 구거 이용하여 출입 가능함</t>
        </is>
      </c>
      <c r="L957" s="6">
        <f>HYPERLINK("https://fin.land.naver.com/articles/2646204251", "매물Link")</f>
        <v/>
      </c>
      <c r="M957" s="6">
        <f>HYPERLINK("https://map.naver.com/p/search/연서면 기룡리 156-4", "지도Link")</f>
        <v/>
      </c>
      <c r="N957" s="6">
        <f>HYPERLINK("http://www.eum.go.kr/web/ar/lu/luLandDet.jsp?pnu=3611036028101560004&amp;isNoScr=script&amp;mode=search", "토지이음")</f>
        <v/>
      </c>
      <c r="O957" s="3" t="inlineStr">
        <is>
          <t>해들일번지</t>
        </is>
      </c>
      <c r="P957" s="4" t="n">
        <v>1</v>
      </c>
      <c r="Q957" s="4" t="n">
        <v>1020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17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63000</v>
      </c>
      <c r="G958" s="4" t="n">
        <v>2314</v>
      </c>
      <c r="H958" s="4" t="n">
        <v>700</v>
      </c>
      <c r="I958" s="5" t="n">
        <v>90</v>
      </c>
      <c r="J958" s="5" t="n">
        <v>30.7</v>
      </c>
      <c r="K958" s="3" t="inlineStr">
        <is>
          <t>연서면 기룡리 생산관리 토지, 도로접, 국가산단 인근</t>
        </is>
      </c>
      <c r="L958" s="6">
        <f>HYPERLINK("https://fin.land.naver.com/articles/2647371400", "매물Link")</f>
        <v/>
      </c>
      <c r="M958" s="6">
        <f>HYPERLINK("https://map.naver.com/p/search/연서면 기룡리 17", "지도Link")</f>
        <v/>
      </c>
      <c r="N958" s="6">
        <f>HYPERLINK("http://www.eum.go.kr/web/ar/lu/luLandDet.jsp?pnu=3611036028100170000&amp;isNoScr=script&amp;mode=search",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2314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170-1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50900</v>
      </c>
      <c r="G959" s="4" t="n">
        <v>1683</v>
      </c>
      <c r="H959" s="4" t="n">
        <v>509</v>
      </c>
      <c r="I959" s="5" t="n">
        <v>100</v>
      </c>
      <c r="J959" s="5" t="n">
        <v>49.5</v>
      </c>
      <c r="K959" s="3" t="inlineStr">
        <is>
          <t>나대지로 텃밭 주택,창고,주말농장 등이 어울리는 기룡리 토지</t>
        </is>
      </c>
      <c r="L959" s="6">
        <f>HYPERLINK("https://fin.land.naver.com/articles/2650397810", "매물Link")</f>
        <v/>
      </c>
      <c r="M959" s="6">
        <f>HYPERLINK("https://map.naver.com/p/search/연서면 기룡리 170-1", "지도Link")</f>
        <v/>
      </c>
      <c r="N959" s="6">
        <f>HYPERLINK("http://www.eum.go.kr/web/ar/lu/luLandDet.jsp?pnu=3611036028101700001&amp;isNoScr=script&amp;mode=search", "토지이음")</f>
        <v/>
      </c>
      <c r="O959" s="3" t="inlineStr">
        <is>
          <t>지성</t>
        </is>
      </c>
      <c r="P959" s="4" t="n">
        <v>1</v>
      </c>
      <c r="Q959" s="4" t="n">
        <v>1683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HYPERLINK("http://www.eum.go.kr/web/ar/lu/luLandDet.jsp?pnu=3611036028102770001&amp;isNoScr=script&amp;mode=search",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332-2</t>
        </is>
      </c>
      <c r="B961" s="3" t="inlineStr">
        <is>
          <t>계획관리지역</t>
        </is>
      </c>
      <c r="C961" s="3" t="inlineStr">
        <is>
          <t>목장용지</t>
        </is>
      </c>
      <c r="D961" s="3" t="inlineStr">
        <is>
          <t>목장용지</t>
        </is>
      </c>
      <c r="E961" s="3" t="inlineStr">
        <is>
          <t>매매</t>
        </is>
      </c>
      <c r="F961" s="4" t="n">
        <v>327000</v>
      </c>
      <c r="G961" s="4" t="n">
        <v>9018</v>
      </c>
      <c r="H961" s="4" t="n">
        <v>2728</v>
      </c>
      <c r="I961" s="5" t="n">
        <v>119.9</v>
      </c>
      <c r="J961" s="5" t="n">
        <v>46.1</v>
      </c>
      <c r="K961" s="3" t="inlineStr">
        <is>
          <t>계획관리지역</t>
        </is>
      </c>
      <c r="L961" s="6">
        <f>HYPERLINK("https://fin.land.naver.com/articles/2648732748", "매물Link")</f>
        <v/>
      </c>
      <c r="M961" s="6">
        <f>HYPERLINK("https://map.naver.com/p/search/연서면 기룡리 332-2", "지도Link")</f>
        <v/>
      </c>
      <c r="N961" s="6">
        <f>HYPERLINK("http://www.eum.go.kr/web/ar/lu/luLandDet.jsp?pnu=3611036028103320002&amp;isNoScr=script&amp;mode=search",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9004</v>
      </c>
      <c r="R961" s="3" t="inlineStr">
        <is>
          <t>지정되지않음</t>
        </is>
      </c>
      <c r="S961" s="3" t="inlineStr">
        <is>
          <t>전축사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기룡리 425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237860</v>
      </c>
      <c r="G962" s="4" t="n">
        <v>11234</v>
      </c>
      <c r="H962" s="4" t="n">
        <v>3398</v>
      </c>
      <c r="I962" s="5" t="n">
        <v>70</v>
      </c>
      <c r="J962" s="5" t="n">
        <v>30.8</v>
      </c>
      <c r="K962" s="3" t="inlineStr">
        <is>
          <t>여러필지이며 투자및 경작용으로 매우 좋음</t>
        </is>
      </c>
      <c r="L962" s="6">
        <f>HYPERLINK("https://fin.land.naver.com/articles/2648549270", "매물Link")</f>
        <v/>
      </c>
      <c r="M962" s="6">
        <f>HYPERLINK("https://map.naver.com/p/search/연서면 기룡리 425", "지도Link")</f>
        <v/>
      </c>
      <c r="N962" s="6">
        <f>HYPERLINK("http://www.eum.go.kr/web/ar/lu/luLandDet.jsp?pnu=3611036028104250000&amp;isNoScr=script&amp;mode=search", "토지이음")</f>
        <v/>
      </c>
      <c r="O962" s="3" t="inlineStr">
        <is>
          <t>세종리츠</t>
        </is>
      </c>
      <c r="P962" s="4" t="n">
        <v>1</v>
      </c>
      <c r="Q962" s="4" t="n">
        <v>1699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426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16000</v>
      </c>
      <c r="G963" s="4" t="n">
        <v>654</v>
      </c>
      <c r="H963" s="4" t="n">
        <v>198</v>
      </c>
      <c r="I963" s="5" t="n">
        <v>80.8</v>
      </c>
      <c r="J963" s="5" t="n">
        <v>32.9</v>
      </c>
      <c r="K963" s="3" t="inlineStr">
        <is>
          <t>기룡리 마을인근 토지매매</t>
        </is>
      </c>
      <c r="L963" s="6">
        <f>HYPERLINK("https://fin.land.naver.com/articles/2645513432", "매물Link")</f>
        <v/>
      </c>
      <c r="M963" s="6">
        <f>HYPERLINK("https://map.naver.com/p/search/연서면 기룡리 426", "지도Link")</f>
        <v/>
      </c>
      <c r="N963" s="6">
        <f>HYPERLINK("http://www.eum.go.kr/web/ar/lu/luLandDet.jsp?pnu=3611036028104260000&amp;isNoScr=script&amp;mode=search", "토지이음")</f>
        <v/>
      </c>
      <c r="O963" s="3" t="inlineStr">
        <is>
          <t>에이스</t>
        </is>
      </c>
      <c r="P963" s="4" t="n">
        <v>1</v>
      </c>
      <c r="Q963" s="4" t="n">
        <v>654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세로각지(가)</t>
        </is>
      </c>
    </row>
    <row r="964">
      <c r="A964" s="3" t="inlineStr">
        <is>
          <t>연서면 기룡리 444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63000</v>
      </c>
      <c r="G964" s="4" t="n">
        <v>2971</v>
      </c>
      <c r="H964" s="4" t="n">
        <v>899</v>
      </c>
      <c r="I964" s="5" t="n">
        <v>70.09999999999999</v>
      </c>
      <c r="J964" s="5" t="n">
        <v>30.8</v>
      </c>
      <c r="K964" s="3" t="inlineStr">
        <is>
          <t>연서면 기룡리 마을 포장도로에 접한 생산관리지역의 토지 입니다.</t>
        </is>
      </c>
      <c r="L964" s="6">
        <f>HYPERLINK("https://fin.land.naver.com/articles/2647461023", "매물Link")</f>
        <v/>
      </c>
      <c r="M964" s="6">
        <f>HYPERLINK("https://map.naver.com/p/search/연서면 기룡리 444", "지도Link")</f>
        <v/>
      </c>
      <c r="N964" s="6">
        <f>HYPERLINK("http://www.eum.go.kr/web/ar/lu/luLandDet.jsp?pnu=3611036028104440000&amp;isNoScr=script&amp;mode=search",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2971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484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75000</v>
      </c>
      <c r="G965" s="4" t="n">
        <v>2886</v>
      </c>
      <c r="H965" s="4" t="n">
        <v>873</v>
      </c>
      <c r="I965" s="5" t="n">
        <v>85.90000000000001</v>
      </c>
      <c r="J965" s="5" t="n">
        <v>27.3</v>
      </c>
      <c r="K965" s="3" t="inlineStr">
        <is>
          <t>보상이 시작된 세종국가산단과 인접하여 투자가치가 높음</t>
        </is>
      </c>
      <c r="L965" s="6">
        <f>HYPERLINK("https://fin.land.naver.com/articles/2646696444", "매물Link")</f>
        <v/>
      </c>
      <c r="M965" s="6">
        <f>HYPERLINK("https://map.naver.com/p/search/연서면 기룡리 484", "지도Link")</f>
        <v/>
      </c>
      <c r="N965" s="6">
        <f>HYPERLINK("http://www.eum.go.kr/web/ar/lu/luLandDet.jsp?pnu=3611036028104840000&amp;isNoScr=script&amp;mode=search", "토지이음")</f>
        <v/>
      </c>
      <c r="O965" s="3" t="inlineStr">
        <is>
          <t>가람</t>
        </is>
      </c>
      <c r="P965" s="4" t="n">
        <v>1</v>
      </c>
      <c r="Q965" s="4" t="n">
        <v>2886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51-2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21000</v>
      </c>
      <c r="G966" s="4" t="n">
        <v>252</v>
      </c>
      <c r="H966" s="4" t="n">
        <v>76</v>
      </c>
      <c r="I966" s="5" t="n">
        <v>276.3</v>
      </c>
      <c r="J966" s="5" t="n">
        <v>73.2</v>
      </c>
      <c r="K966" s="3" t="inlineStr">
        <is>
          <t>급매 가격조정가능</t>
        </is>
      </c>
      <c r="L966" s="6">
        <f>HYPERLINK("https://fin.land.naver.com/articles/2648261882", "매물Link")</f>
        <v/>
      </c>
      <c r="M966" s="6">
        <f>HYPERLINK("https://map.naver.com/p/search/연서면 기룡리 51-2", "지도Link")</f>
        <v/>
      </c>
      <c r="N966" s="6">
        <f>HYPERLINK("http://www.eum.go.kr/web/ar/lu/luLandDet.jsp?pnu=3611036028100510002&amp;isNoScr=script&amp;mode=search",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252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연서면 기룡리 52-12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79000</v>
      </c>
      <c r="G967" s="4" t="n">
        <v>965</v>
      </c>
      <c r="H967" s="4" t="n">
        <v>292</v>
      </c>
      <c r="I967" s="5" t="n">
        <v>270.5</v>
      </c>
      <c r="J967" s="5" t="n">
        <v>46.6</v>
      </c>
      <c r="K967" s="3" t="inlineStr">
        <is>
          <t>연서면 기룡리 개발된 계획관리 토지, 양어장, 국가산단 인근, 건축 추천</t>
        </is>
      </c>
      <c r="L967" s="6">
        <f>HYPERLINK("https://fin.land.naver.com/articles/2645609544", "매물Link")</f>
        <v/>
      </c>
      <c r="M967" s="6">
        <f>HYPERLINK("https://map.naver.com/p/search/연서면 기룡리 52-12", "지도Link")</f>
        <v/>
      </c>
      <c r="N967" s="6">
        <f>HYPERLINK("http://www.eum.go.kr/web/ar/lu/luLandDet.jsp?pnu=3611036028100520012&amp;isNoScr=script&amp;mode=search", "토지이음")</f>
        <v/>
      </c>
      <c r="O967" s="3" t="inlineStr">
        <is>
          <t>스카이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연서면 기룡리 52-14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39000</v>
      </c>
      <c r="G968" s="4" t="n">
        <v>503</v>
      </c>
      <c r="H968" s="4" t="n">
        <v>152</v>
      </c>
      <c r="I968" s="5" t="n">
        <v>256.6</v>
      </c>
      <c r="J968" s="5" t="n">
        <v>46.6</v>
      </c>
      <c r="K968" s="3" t="inlineStr">
        <is>
          <t>계획관리지역 양어장</t>
        </is>
      </c>
      <c r="L968" s="6">
        <f>HYPERLINK("https://fin.land.naver.com/articles/2645416710", "매물Link")</f>
        <v/>
      </c>
      <c r="M968" s="6">
        <f>HYPERLINK("https://map.naver.com/p/search/연서면 기룡리 52-14", "지도Link")</f>
        <v/>
      </c>
      <c r="N968" s="6">
        <f>HYPERLINK("http://www.eum.go.kr/web/ar/lu/luLandDet.jsp?pnu=3611036028100520014&amp;isNoScr=script&amp;mode=search", "토지이음")</f>
        <v/>
      </c>
      <c r="O968" s="3" t="inlineStr">
        <is>
          <t>그래그</t>
        </is>
      </c>
      <c r="P968" s="4" t="n">
        <v>1</v>
      </c>
      <c r="Q968" s="4" t="n">
        <v>503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연서면 기룡리 52-14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80000</v>
      </c>
      <c r="G969" s="4" t="n">
        <v>1028</v>
      </c>
      <c r="H969" s="4" t="n">
        <v>311</v>
      </c>
      <c r="I969" s="5" t="n">
        <v>257.2</v>
      </c>
      <c r="J969" s="5" t="n">
        <v>46.6</v>
      </c>
      <c r="K969" s="3" t="inlineStr">
        <is>
          <t>연서면 기룡리 개발된 계획관리 토지, 국가산단 인근, 양어장, 건축 추천</t>
        </is>
      </c>
      <c r="L969" s="6">
        <f>HYPERLINK("https://fin.land.naver.com/articles/2645609549", "매물Link")</f>
        <v/>
      </c>
      <c r="M969" s="6">
        <f>HYPERLINK("https://map.naver.com/p/search/연서면 기룡리 52-14", "지도Link")</f>
        <v/>
      </c>
      <c r="N969" s="6">
        <f>HYPERLINK("http://www.eum.go.kr/web/ar/lu/luLandDet.jsp?pnu=3611036028100520014&amp;isNoScr=script&amp;mode=search",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503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연서면 기룡리 52-17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21000</v>
      </c>
      <c r="G970" s="4" t="n">
        <v>254</v>
      </c>
      <c r="H970" s="4" t="n">
        <v>77</v>
      </c>
      <c r="I970" s="5" t="n">
        <v>272.7</v>
      </c>
      <c r="J970" s="5" t="n">
        <v>44.4</v>
      </c>
      <c r="K970" s="3" t="inlineStr">
        <is>
          <t>급매 가격조정가능</t>
        </is>
      </c>
      <c r="L970" s="6">
        <f>HYPERLINK("https://fin.land.naver.com/articles/2648261531", "매물Link")</f>
        <v/>
      </c>
      <c r="M970" s="6">
        <f>HYPERLINK("https://map.naver.com/p/search/연서면 기룡리 52-17", "지도Link")</f>
        <v/>
      </c>
      <c r="N970" s="6">
        <f>HYPERLINK("http://www.eum.go.kr/web/ar/lu/luLandDet.jsp?pnu=3611036028100520017&amp;isNoScr=script&amp;mode=search", "토지이음")</f>
        <v/>
      </c>
      <c r="O970" s="3" t="inlineStr">
        <is>
          <t>그래그</t>
        </is>
      </c>
      <c r="P970" s="4" t="n">
        <v>1</v>
      </c>
      <c r="Q970" s="4" t="n">
        <v>254</v>
      </c>
      <c r="R970" s="3" t="inlineStr">
        <is>
          <t>지정되지않음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기룡리 526-2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20000</v>
      </c>
      <c r="G971" s="4" t="n">
        <v>1486</v>
      </c>
      <c r="H971" s="4" t="n">
        <v>450</v>
      </c>
      <c r="I971" s="5" t="n">
        <v>44.4</v>
      </c>
      <c r="J971" s="5" t="n">
        <v>28.9</v>
      </c>
      <c r="K971" s="3" t="inlineStr">
        <is>
          <t>관리지역 토지가격조율가능</t>
        </is>
      </c>
      <c r="L971" s="6">
        <f>HYPERLINK("https://fin.land.naver.com/articles/2646007805", "매물Link")</f>
        <v/>
      </c>
      <c r="M971" s="6">
        <f>HYPERLINK("https://map.naver.com/p/search/연서면 기룡리 526-2", "지도Link")</f>
        <v/>
      </c>
      <c r="N971" s="6">
        <f>HYPERLINK("http://www.eum.go.kr/web/ar/lu/luLandDet.jsp?pnu=3611036028105260002&amp;isNoScr=script&amp;mode=search",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1486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599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1246</v>
      </c>
      <c r="H972" s="4" t="n">
        <v>377</v>
      </c>
      <c r="I972" s="5" t="n">
        <v>79.59999999999999</v>
      </c>
      <c r="J972" s="5" t="n">
        <v>31.2</v>
      </c>
      <c r="K972" s="3" t="inlineStr">
        <is>
          <t>대전 보건전문대 부지 근거리위치 투자가치좋음</t>
        </is>
      </c>
      <c r="L972" s="6">
        <f>HYPERLINK("https://fin.land.naver.com/articles/2646003750", "매물Link")</f>
        <v/>
      </c>
      <c r="M972" s="6">
        <f>HYPERLINK("https://map.naver.com/p/search/연서면 기룡리 599", "지도Link")</f>
        <v/>
      </c>
      <c r="N972" s="6">
        <f>HYPERLINK("http://www.eum.go.kr/web/ar/lu/luLandDet.jsp?pnu=3611036028105990000&amp;isNoScr=script&amp;mode=search", "토지이음")</f>
        <v/>
      </c>
      <c r="O972" s="3" t="inlineStr">
        <is>
          <t>대박</t>
        </is>
      </c>
      <c r="P972" s="4" t="n">
        <v>1</v>
      </c>
      <c r="Q972" s="4" t="n">
        <v>1246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609-1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49000</v>
      </c>
      <c r="G973" s="4" t="n">
        <v>1808</v>
      </c>
      <c r="H973" s="4" t="n">
        <v>547</v>
      </c>
      <c r="I973" s="5" t="n">
        <v>89.59999999999999</v>
      </c>
      <c r="J973" s="5" t="n">
        <v>31.2</v>
      </c>
      <c r="K973" s="3" t="inlineStr">
        <is>
          <t>기룡리 전망 좋고 공기 맑은 세컨하우스나 주말쉼터로 투자추천.</t>
        </is>
      </c>
      <c r="L973" s="6">
        <f>HYPERLINK("https://fin.land.naver.com/articles/2649342597", "매물Link")</f>
        <v/>
      </c>
      <c r="M973" s="6">
        <f>HYPERLINK("https://map.naver.com/p/search/연서면 기룡리 609-1", "지도Link")</f>
        <v/>
      </c>
      <c r="N973" s="6">
        <f>HYPERLINK("http://www.eum.go.kr/web/ar/lu/luLandDet.jsp?pnu=3611036028106090001&amp;isNoScr=script&amp;mode=search", "토지이음")</f>
        <v/>
      </c>
      <c r="O973" s="3" t="inlineStr">
        <is>
          <t>세종대장</t>
        </is>
      </c>
      <c r="P973" s="4" t="n">
        <v>1</v>
      </c>
      <c r="Q973" s="4" t="n">
        <v>1808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급매물 마을앞 코너각지 도로접한 대지와 전매매</t>
        </is>
      </c>
      <c r="L974" s="6">
        <f>HYPERLINK("https://fin.land.naver.com/articles/2650172378",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제이파크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전망좋은 전원택지및 다용도,투자적지</t>
        </is>
      </c>
      <c r="L975" s="6">
        <f>HYPERLINK("https://fin.land.naver.com/articles/2649946421",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행복가득한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급매. 계획관리지역. 포장도로 접. 전원주택,세컨하우스강추. 현,나대지.</t>
        </is>
      </c>
      <c r="L977" s="6">
        <f>HYPERLINK("https://fin.land.naver.com/articles/2650838151",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리슈빌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기룡리 도로 접한 대지,일부답 세종스마트국가산업단지 개발 등 투자 호재</t>
        </is>
      </c>
      <c r="L978" s="6">
        <f>HYPERLINK("https://fin.land.naver.com/articles/2651109883",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HYPERLINK("http://www.eum.go.kr/web/ar/lu/luLandDet.jsp?pnu=3611036028106510005&amp;isNoScr=script&amp;mode=search", "토지이음")</f>
        <v/>
      </c>
      <c r="O978" s="3" t="inlineStr">
        <is>
          <t>믿음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364</v>
      </c>
      <c r="H979" s="4" t="n">
        <v>110</v>
      </c>
      <c r="I979" s="5" t="n">
        <v>177.3</v>
      </c>
      <c r="J979" s="5" t="n">
        <v>66.7</v>
      </c>
      <c r="K979" s="3" t="inlineStr">
        <is>
          <t>nan</t>
        </is>
      </c>
      <c r="L979" s="6">
        <f>HYPERLINK("https://fin.land.naver.com/articles/2650531119",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HYPERLINK("http://www.eum.go.kr/web/ar/lu/luLandDet.jsp?pnu=3611036028106510005&amp;isNoScr=script&amp;mode=search", "토지이음")</f>
        <v/>
      </c>
      <c r="O979" s="3" t="inlineStr">
        <is>
          <t>돈방석</t>
        </is>
      </c>
      <c r="P979" s="4" t="n">
        <v>11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483</v>
      </c>
      <c r="H980" s="4" t="n">
        <v>146</v>
      </c>
      <c r="I980" s="5" t="n">
        <v>133.6</v>
      </c>
      <c r="J980" s="5" t="n">
        <v>66.7</v>
      </c>
      <c r="K980" s="3" t="inlineStr">
        <is>
          <t>급매매 계획관리 도로접 건축가능 세종 연서 기룡리</t>
        </is>
      </c>
      <c r="L980" s="6">
        <f>HYPERLINK("https://fin.land.naver.com/articles/2649923225", "매물Link")</f>
        <v/>
      </c>
      <c r="M980" s="6">
        <f>HYPERLINK("https://map.naver.com/p/search/연서면 기룡리 651-5", "지도Link")</f>
        <v/>
      </c>
      <c r="N980" s="6">
        <f>HYPERLINK("http://www.eum.go.kr/web/ar/lu/luLandDet.jsp?pnu=3611036028106510005&amp;isNoScr=script&amp;mode=search", "토지이음")</f>
        <v/>
      </c>
      <c r="O980" s="3" t="inlineStr">
        <is>
          <t>명장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482</v>
      </c>
      <c r="H981" s="4" t="n">
        <v>146</v>
      </c>
      <c r="I981" s="5" t="n">
        <v>133.6</v>
      </c>
      <c r="J981" s="5" t="n">
        <v>66.7</v>
      </c>
      <c r="K981" s="3" t="inlineStr">
        <is>
          <t>연서면 기룡리 토지 계획관리지역 전원주택등</t>
        </is>
      </c>
      <c r="L981" s="6">
        <f>HYPERLINK("https://fin.land.naver.com/articles/2645841572", "매물Link")</f>
        <v/>
      </c>
      <c r="M981" s="6">
        <f>HYPERLINK("https://map.naver.com/p/search/연서면 기룡리 651-5", "지도Link")</f>
        <v/>
      </c>
      <c r="N981" s="6">
        <f>HYPERLINK("http://www.eum.go.kr/web/ar/lu/luLandDet.jsp?pnu=3611036028106510005&amp;isNoScr=script&amp;mode=search", "토지이음")</f>
        <v/>
      </c>
      <c r="O981" s="3" t="inlineStr">
        <is>
          <t>반석원무소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급매,투자추천,나대지</t>
        </is>
      </c>
      <c r="L982" s="6">
        <f>HYPERLINK("https://fin.land.naver.com/articles/2648731146",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HYPERLINK("http://www.eum.go.kr/web/ar/lu/luLandDet.jsp?pnu=3611036028106620001&amp;isNoScr=script&amp;mode=search", "토지이음")</f>
        <v/>
      </c>
      <c r="O982" s="3" t="inlineStr">
        <is>
          <t>다산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HYPERLINK("https://fin.land.naver.com/articles/2649747414",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HYPERLINK("http://www.eum.go.kr/web/ar/lu/luLandDet.jsp?pnu=3611036028106920001&amp;isNoScr=script&amp;mode=search",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HYPERLINK("https://fin.land.naver.com/articles/2649748210",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HYPERLINK("http://www.eum.go.kr/web/ar/lu/luLandDet.jsp?pnu=3611036028106930005&amp;isNoScr=script&amp;mode=search", "토지이음")</f>
        <v/>
      </c>
      <c r="O984" s="3" t="inlineStr">
        <is>
          <t>세종한울</t>
        </is>
      </c>
      <c r="P984" s="4" t="n">
        <v>1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91-2</t>
        </is>
      </c>
      <c r="B985" s="3" t="inlineStr">
        <is>
          <t>생산관리지역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62000</v>
      </c>
      <c r="G985" s="4" t="n">
        <v>2621</v>
      </c>
      <c r="H985" s="4" t="n">
        <v>793</v>
      </c>
      <c r="I985" s="5" t="n">
        <v>78.2</v>
      </c>
      <c r="J985" s="5" t="n">
        <v>32.1</v>
      </c>
      <c r="K985" s="3" t="inlineStr">
        <is>
          <t>3.3m2당 82만원입니다.</t>
        </is>
      </c>
      <c r="L985" s="6">
        <f>HYPERLINK("https://fin.land.naver.com/articles/2648760077", "매물Link")</f>
        <v/>
      </c>
      <c r="M985" s="6">
        <f>HYPERLINK("https://map.naver.com/p/search/연서면 기룡리 91-2", "지도Link")</f>
        <v/>
      </c>
      <c r="N985" s="6">
        <f>HYPERLINK("http://www.eum.go.kr/web/ar/lu/luLandDet.jsp?pnu=3611036028100910002&amp;isNoScr=script&amp;mode=search", "토지이음")</f>
        <v/>
      </c>
      <c r="O985" s="3" t="inlineStr">
        <is>
          <t>하늘</t>
        </is>
      </c>
      <c r="P985" s="4" t="n">
        <v>1</v>
      </c>
      <c r="Q985" s="4" t="n">
        <v>2621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HYPERLINK("http://www.eum.go.kr/web/ar/lu/luLandDet.jsp?pnu=3611036028201260000&amp;isNoScr=script&amp;mode=search",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HYPERLINK("http://www.eum.go.kr/web/ar/lu/luLandDet.jsp?pnu=3611036028201540001&amp;isNoScr=script&amp;mode=search",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봉암리 102-8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70116</v>
      </c>
      <c r="G988" s="4" t="n">
        <v>1783</v>
      </c>
      <c r="H988" s="4" t="n">
        <v>539</v>
      </c>
      <c r="I988" s="5" t="n">
        <v>130.1</v>
      </c>
      <c r="J988" s="5" t="n">
        <v>30.9</v>
      </c>
      <c r="K988" s="3" t="inlineStr">
        <is>
          <t>농업용창고부지,농수산공장용지 추천</t>
        </is>
      </c>
      <c r="L988" s="6">
        <f>HYPERLINK("https://fin.land.naver.com/articles/2650866717", "매물Link")</f>
        <v/>
      </c>
      <c r="M988" s="6">
        <f>HYPERLINK("https://map.naver.com/p/search/연서면 봉암리 102-8", "지도Link")</f>
        <v/>
      </c>
      <c r="N988" s="6">
        <f>HYPERLINK("http://www.eum.go.kr/web/ar/lu/luLandDet.jsp?pnu=3611036033101020008&amp;isNoScr=script&amp;mode=search", "토지이음")</f>
        <v/>
      </c>
      <c r="O988" s="3" t="inlineStr">
        <is>
          <t>서생과상인</t>
        </is>
      </c>
      <c r="P988" s="4" t="n">
        <v>2</v>
      </c>
      <c r="Q988" s="4" t="n">
        <v>1783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1082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36500</v>
      </c>
      <c r="G989" s="4" t="n">
        <v>916</v>
      </c>
      <c r="H989" s="4" t="n">
        <v>277</v>
      </c>
      <c r="I989" s="5" t="n">
        <v>131.8</v>
      </c>
      <c r="J989" s="5" t="n">
        <v>23.9</v>
      </c>
      <c r="K989" s="3" t="inlineStr">
        <is>
          <t>추천. 세종 스마트국가산업단지 인근 농지</t>
        </is>
      </c>
      <c r="L989" s="6">
        <f>HYPERLINK("https://fin.land.naver.com/articles/2645465949", "매물Link")</f>
        <v/>
      </c>
      <c r="M989" s="6">
        <f>HYPERLINK("https://map.naver.com/p/search/연서면 봉암리 1082", "지도Link")</f>
        <v/>
      </c>
      <c r="N989" s="6">
        <f>HYPERLINK("http://www.eum.go.kr/web/ar/lu/luLandDet.jsp?pnu=3611036033110820000&amp;isNoScr=script&amp;mode=search",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916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125</v>
      </c>
      <c r="H990" s="4" t="n">
        <v>38</v>
      </c>
      <c r="I990" s="5" t="n">
        <v>1000</v>
      </c>
      <c r="J990" s="5" t="n">
        <v>341.8</v>
      </c>
      <c r="K990" s="3" t="inlineStr">
        <is>
          <t>봉암리 상가 밀집지역 핵심   대지 매매</t>
        </is>
      </c>
      <c r="L990" s="6">
        <f>HYPERLINK("https://fin.land.naver.com/articles/2650096965", "매물Link")</f>
        <v/>
      </c>
      <c r="M990" s="6">
        <f>HYPERLINK("https://map.naver.com/p/search/연서면 봉암리 214-13", "지도Link")</f>
        <v/>
      </c>
      <c r="N990" s="6">
        <f>HYPERLINK("http://www.eum.go.kr/web/ar/lu/luLandDet.jsp?pnu=3611036033102140013&amp;isNoScr=script&amp;mode=search", "토지이음")</f>
        <v/>
      </c>
      <c r="O990" s="3" t="inlineStr">
        <is>
          <t>해들삼성</t>
        </is>
      </c>
      <c r="P990" s="4" t="n">
        <v>2</v>
      </c>
      <c r="Q990" s="4" t="n">
        <v>125</v>
      </c>
      <c r="R990" s="3" t="inlineStr">
        <is>
          <t>지정되지않음</t>
        </is>
      </c>
      <c r="S990" s="3" t="inlineStr">
        <is>
          <t>상업용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1361</v>
      </c>
      <c r="H991" s="4" t="n">
        <v>412</v>
      </c>
      <c r="I991" s="5" t="n">
        <v>315.5</v>
      </c>
      <c r="J991" s="5" t="n">
        <v>81.2</v>
      </c>
      <c r="K991" s="3" t="inlineStr">
        <is>
          <t>추천. 연서면 봉암리 계획관리</t>
        </is>
      </c>
      <c r="L991" s="6">
        <f>HYPERLINK("https://fin.land.naver.com/articles/2645465916", "매물Link")</f>
        <v/>
      </c>
      <c r="M991" s="6">
        <f>HYPERLINK("https://map.naver.com/p/search/연서면 봉암리 229-21", "지도Link")</f>
        <v/>
      </c>
      <c r="N991" s="6">
        <f>HYPERLINK("http://www.eum.go.kr/web/ar/lu/luLandDet.jsp?pnu=3611036033102290021&amp;isNoScr=script&amp;mode=search",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796</v>
      </c>
      <c r="H992" s="4" t="n">
        <v>241</v>
      </c>
      <c r="I992" s="5" t="n">
        <v>497.9</v>
      </c>
      <c r="J992" s="5" t="n">
        <v>88.8</v>
      </c>
      <c r="K992" s="3" t="inlineStr">
        <is>
          <t>8차선 BRT 도로 근접, 와촌리 국가산단 근교, 세종시의 가장 중심지.</t>
        </is>
      </c>
      <c r="L992" s="6">
        <f>HYPERLINK("https://fin.land.naver.com/articles/2647588359", "매물Link")</f>
        <v/>
      </c>
      <c r="M992" s="6">
        <f>HYPERLINK("https://map.naver.com/p/search/연서면 봉암리 230-60", "지도Link")</f>
        <v/>
      </c>
      <c r="N992" s="6">
        <f>HYPERLINK("http://www.eum.go.kr/web/ar/lu/luLandDet.jsp?pnu=3611036033102300060&amp;isNoScr=script&amp;mode=search",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661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661</v>
      </c>
      <c r="H993" s="4" t="n">
        <v>200</v>
      </c>
      <c r="I993" s="5" t="n">
        <v>1100</v>
      </c>
      <c r="J993" s="5" t="n">
        <v>228.2</v>
      </c>
      <c r="K993" s="3" t="inlineStr">
        <is>
          <t>급매</t>
        </is>
      </c>
      <c r="L993" s="6">
        <f>HYPERLINK("https://fin.land.naver.com/articles/2648100817", "매물Link")</f>
        <v/>
      </c>
      <c r="M993" s="6">
        <f>HYPERLINK("https://map.naver.com/p/search/연서면 봉암리 232", "지도Link")</f>
        <v/>
      </c>
      <c r="N993" s="6">
        <f>HYPERLINK("http://www.eum.go.kr/web/ar/lu/luLandDet.jsp?pnu=3611036033102320000&amp;isNoScr=script&amp;mode=search", "토지이음")</f>
        <v/>
      </c>
      <c r="O993" s="3" t="inlineStr">
        <is>
          <t>세종공주제일</t>
        </is>
      </c>
      <c r="P993" s="4" t="n">
        <v>2</v>
      </c>
      <c r="Q993" s="4" t="n">
        <v>369</v>
      </c>
      <c r="R993" s="3" t="inlineStr">
        <is>
          <t>지정되지않음</t>
        </is>
      </c>
      <c r="S993" s="3" t="inlineStr">
        <is>
          <t>업무용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중로한면</t>
        </is>
      </c>
    </row>
    <row r="994">
      <c r="A994" s="3" t="inlineStr">
        <is>
          <t>연서면 봉암리 234-43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210000</v>
      </c>
      <c r="G994" s="4" t="n">
        <v>671</v>
      </c>
      <c r="H994" s="4" t="n">
        <v>203</v>
      </c>
      <c r="I994" s="5" t="n">
        <v>1034.5</v>
      </c>
      <c r="J994" s="5" t="n">
        <v>145.8</v>
      </c>
      <c r="K994" s="3" t="inlineStr">
        <is>
          <t>광고효과최상, 투자효가높은지역 추천</t>
        </is>
      </c>
      <c r="L994" s="6">
        <f>HYPERLINK("https://fin.land.naver.com/articles/2646690318", "매물Link")</f>
        <v/>
      </c>
      <c r="M994" s="6">
        <f>HYPERLINK("https://map.naver.com/p/search/연서면 봉암리 234-43", "지도Link")</f>
        <v/>
      </c>
      <c r="N994" s="6">
        <f>HYPERLINK("http://www.eum.go.kr/web/ar/lu/luLandDet.jsp?pnu=3611036033102340043&amp;isNoScr=script&amp;mode=search",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186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348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168000</v>
      </c>
      <c r="G995" s="4" t="n">
        <v>4830</v>
      </c>
      <c r="H995" s="4" t="n">
        <v>1461</v>
      </c>
      <c r="I995" s="5" t="n">
        <v>115</v>
      </c>
      <c r="J995" s="5" t="n">
        <v>29.8</v>
      </c>
      <c r="K995" s="3" t="inlineStr">
        <is>
          <t>추천. 세종국가산단 인근 토지</t>
        </is>
      </c>
      <c r="L995" s="6">
        <f>HYPERLINK("https://fin.land.naver.com/articles/2645464688", "매물Link")</f>
        <v/>
      </c>
      <c r="M995" s="6">
        <f>HYPERLINK("https://map.naver.com/p/search/연서면 봉암리 348", "지도Link")</f>
        <v/>
      </c>
      <c r="N995" s="6">
        <f>HYPERLINK("http://www.eum.go.kr/web/ar/lu/luLandDet.jsp?pnu=3611036033103480000&amp;isNoScr=script&amp;mode=search",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4830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세로한면(가)</t>
        </is>
      </c>
    </row>
    <row r="996">
      <c r="A996" s="3" t="inlineStr">
        <is>
          <t>연서면 봉암리 427-12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78000</v>
      </c>
      <c r="G996" s="4" t="n">
        <v>569</v>
      </c>
      <c r="H996" s="4" t="n">
        <v>172</v>
      </c>
      <c r="I996" s="5" t="n">
        <v>453.5</v>
      </c>
      <c r="J996" s="5" t="n">
        <v>134</v>
      </c>
      <c r="K996" s="3" t="inlineStr">
        <is>
          <t>계획관리지역 ,주택있는 대지</t>
        </is>
      </c>
      <c r="L996" s="6">
        <f>HYPERLINK("https://fin.land.naver.com/articles/2648106375", "매물Link")</f>
        <v/>
      </c>
      <c r="M996" s="6">
        <f>HYPERLINK("https://map.naver.com/p/search/연서면 봉암리 427-12", "지도Link")</f>
        <v/>
      </c>
      <c r="N996" s="6">
        <f>HYPERLINK("http://www.eum.go.kr/web/ar/lu/luLandDet.jsp?pnu=3611036033104270012&amp;isNoScr=script&amp;mode=search", "토지이음")</f>
        <v/>
      </c>
      <c r="O996" s="3" t="inlineStr">
        <is>
          <t>마메종</t>
        </is>
      </c>
      <c r="P996" s="4" t="n">
        <v>1</v>
      </c>
      <c r="Q996" s="4" t="n">
        <v>569.8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448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13200</v>
      </c>
      <c r="G997" s="4" t="n">
        <v>132</v>
      </c>
      <c r="H997" s="4" t="n">
        <v>40</v>
      </c>
      <c r="I997" s="5" t="n">
        <v>330</v>
      </c>
      <c r="J997" s="5" t="n">
        <v>122.3</v>
      </c>
      <c r="K997" s="3" t="inlineStr">
        <is>
          <t>계획관리 2차선도로 인근 작은 텃밭 토지</t>
        </is>
      </c>
      <c r="L997" s="6">
        <f>HYPERLINK("https://fin.land.naver.com/articles/2649966247", "매물Link")</f>
        <v/>
      </c>
      <c r="M997" s="6">
        <f>HYPERLINK("https://map.naver.com/p/search/연서면 봉암리 448", "지도Link")</f>
        <v/>
      </c>
      <c r="N997" s="6">
        <f>HYPERLINK("http://www.eum.go.kr/web/ar/lu/luLandDet.jsp?pnu=3611036033104480000&amp;isNoScr=script&amp;mode=search",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132.5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45</t>
        </is>
      </c>
      <c r="B998" s="3" t="inlineStr">
        <is>
          <t>보전관리지역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670000</v>
      </c>
      <c r="G998" s="4" t="n">
        <v>8848</v>
      </c>
      <c r="H998" s="4" t="n">
        <v>2677</v>
      </c>
      <c r="I998" s="5" t="n">
        <v>250.3</v>
      </c>
      <c r="J998" s="5" t="n">
        <v>22.7</v>
      </c>
      <c r="K998" s="3" t="inlineStr">
        <is>
          <t>1번국도 바로옆 임야  고도제한없어요,</t>
        </is>
      </c>
      <c r="L998" s="6">
        <f>HYPERLINK("https://fin.land.naver.com/articles/2646790913", "매물Link")</f>
        <v/>
      </c>
      <c r="M998" s="6">
        <f>HYPERLINK("https://map.naver.com/p/search/연서면 봉암리 45", "지도Link")</f>
        <v/>
      </c>
      <c r="N998" s="6">
        <f>HYPERLINK("http://www.eum.go.kr/web/ar/lu/luLandDet.jsp?pnu=3611036033100450000&amp;isNoScr=script&amp;mode=search", "토지이음")</f>
        <v/>
      </c>
      <c r="O998" s="3" t="inlineStr">
        <is>
          <t>담뜰</t>
        </is>
      </c>
      <c r="P998" s="4" t="n">
        <v>2</v>
      </c>
      <c r="Q998" s="4" t="n">
        <v>8848</v>
      </c>
      <c r="R998" s="3" t="inlineStr">
        <is>
          <t>지정되지않음</t>
        </is>
      </c>
      <c r="S998" s="3" t="inlineStr">
        <is>
          <t>자연림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중로한면</t>
        </is>
      </c>
    </row>
    <row r="999">
      <c r="A999" s="3" t="inlineStr">
        <is>
          <t>연서면 봉암리 532-2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197000</v>
      </c>
      <c r="G999" s="4" t="n">
        <v>1183</v>
      </c>
      <c r="H999" s="4" t="n">
        <v>358</v>
      </c>
      <c r="I999" s="5" t="n">
        <v>550.3</v>
      </c>
      <c r="J999" s="5" t="n">
        <v>99.8</v>
      </c>
      <c r="K999" s="3" t="inlineStr">
        <is>
          <t>연기사거리 인근 건축 가능한 계획관리지역 투자목적 토지 급매매</t>
        </is>
      </c>
      <c r="L999" s="6">
        <f>HYPERLINK("https://fin.land.naver.com/articles/2650452623", "매물Link")</f>
        <v/>
      </c>
      <c r="M999" s="6">
        <f>HYPERLINK("https://map.naver.com/p/search/연서면 봉암리 532-2", "지도Link")</f>
        <v/>
      </c>
      <c r="N999" s="6">
        <f>HYPERLINK("http://www.eum.go.kr/web/ar/lu/luLandDet.jsp?pnu=3611036033105320002&amp;isNoScr=script&amp;mode=search", "토지이음")</f>
        <v/>
      </c>
      <c r="O999" s="3" t="inlineStr">
        <is>
          <t>(주)해뜰터</t>
        </is>
      </c>
      <c r="P999" s="4" t="n">
        <v>1</v>
      </c>
      <c r="Q999" s="4" t="n">
        <v>1183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세로한면(불)</t>
        </is>
      </c>
    </row>
    <row r="1000">
      <c r="A1000" s="3" t="inlineStr">
        <is>
          <t>연서면 봉암리 579-1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48000</v>
      </c>
      <c r="G1000" s="4" t="n">
        <v>387</v>
      </c>
      <c r="H1000" s="4" t="n">
        <v>117</v>
      </c>
      <c r="I1000" s="5" t="n">
        <v>410.3</v>
      </c>
      <c r="J1000" s="5" t="n">
        <v>107.9</v>
      </c>
      <c r="K1000" s="3" t="inlineStr">
        <is>
          <t>행복도시 인근 나대지 이며 시세대비 저렴한매물</t>
        </is>
      </c>
      <c r="L1000" s="6">
        <f>HYPERLINK("https://fin.land.naver.com/articles/2647763887", "매물Link")</f>
        <v/>
      </c>
      <c r="M1000" s="6">
        <f>HYPERLINK("https://map.naver.com/p/search/연서면 봉암리 579-1", "지도Link")</f>
        <v/>
      </c>
      <c r="N1000" s="6">
        <f>HYPERLINK("http://www.eum.go.kr/web/ar/lu/luLandDet.jsp?pnu=3611036033105790001&amp;isNoScr=script&amp;mode=search", "토지이음")</f>
        <v/>
      </c>
      <c r="O1000" s="3" t="inlineStr">
        <is>
          <t>지호주식회사</t>
        </is>
      </c>
      <c r="P1000" s="4" t="n">
        <v>1</v>
      </c>
      <c r="Q1000" s="4" t="n">
        <v>387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완경사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봉암리 604-3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84000</v>
      </c>
      <c r="G1001" s="4" t="n">
        <v>1061</v>
      </c>
      <c r="H1001" s="4" t="n">
        <v>321</v>
      </c>
      <c r="I1001" s="5" t="n">
        <v>261.7</v>
      </c>
      <c r="J1001" s="5" t="n">
        <v>149.2</v>
      </c>
      <c r="K1001" s="3" t="inlineStr">
        <is>
          <t>주거개발진흥지구, 성장관리계획구역,자연취락지구 정방형 급매</t>
        </is>
      </c>
      <c r="L1001" s="6">
        <f>HYPERLINK("https://fin.land.naver.com/articles/2648051486", "매물Link")</f>
        <v/>
      </c>
      <c r="M1001" s="6">
        <f>HYPERLINK("https://map.naver.com/p/search/연서면 봉암리 604-3", "지도Link")</f>
        <v/>
      </c>
      <c r="N1001" s="6">
        <f>HYPERLINK("http://www.eum.go.kr/web/ar/lu/luLandDet.jsp?pnu=3611036033106040003&amp;isNoScr=script&amp;mode=search",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1061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연서면 봉암리 620-22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524</v>
      </c>
      <c r="H1002" s="4" t="n">
        <v>159</v>
      </c>
      <c r="I1002" s="5" t="n">
        <v>503.1</v>
      </c>
      <c r="J1002" s="5" t="n">
        <v>112.7</v>
      </c>
      <c r="K1002" s="3" t="inlineStr">
        <is>
          <t>8차선으로 확장된 BRT 도로와 2차선변.와촌리국가 산단 중심 근교임.</t>
        </is>
      </c>
      <c r="L1002" s="6">
        <f>HYPERLINK("https://fin.land.naver.com/articles/2647892832", "매물Link")</f>
        <v/>
      </c>
      <c r="M1002" s="6">
        <f>HYPERLINK("https://map.naver.com/p/search/연서면 봉암리 620-22", "지도Link")</f>
        <v/>
      </c>
      <c r="N1002" s="6">
        <f>HYPERLINK("http://www.eum.go.kr/web/ar/lu/luLandDet.jsp?pnu=3611036033106200022&amp;isNoScr=script&amp;mode=search", "토지이음")</f>
        <v/>
      </c>
      <c r="O1002" s="3" t="inlineStr">
        <is>
          <t>꿈드림</t>
        </is>
      </c>
      <c r="P1002" s="4" t="n">
        <v>1</v>
      </c>
      <c r="Q1002" s="4" t="n">
        <v>428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연서면 봉암리 657-13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1322</v>
      </c>
      <c r="H1003" s="4" t="n">
        <v>400</v>
      </c>
      <c r="I1003" s="5" t="n">
        <v>200</v>
      </c>
      <c r="J1003" s="5" t="n">
        <v>38</v>
      </c>
      <c r="K1003" s="3" t="inlineStr">
        <is>
          <t>봉암리 세종스마트산단 초입 2차선인접  위치 좋습니다</t>
        </is>
      </c>
      <c r="L1003" s="6">
        <f>HYPERLINK("https://fin.land.naver.com/articles/2648077629", "매물Link")</f>
        <v/>
      </c>
      <c r="M1003" s="6">
        <f>HYPERLINK("https://map.naver.com/p/search/연서면 봉암리 657-13", "지도Link")</f>
        <v/>
      </c>
      <c r="N1003" s="6">
        <f>HYPERLINK("http://www.eum.go.kr/web/ar/lu/luLandDet.jsp?pnu=3611036033106570013&amp;isNoScr=script&amp;mode=search", "토지이음")</f>
        <v/>
      </c>
      <c r="O1003" s="3" t="inlineStr">
        <is>
          <t>OK수</t>
        </is>
      </c>
      <c r="P1003" s="4" t="n">
        <v>1</v>
      </c>
      <c r="Q1003" s="4" t="n">
        <v>1322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676-10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50000</v>
      </c>
      <c r="G1004" s="4" t="n">
        <v>330</v>
      </c>
      <c r="H1004" s="4" t="n">
        <v>100</v>
      </c>
      <c r="I1004" s="5" t="n">
        <v>500</v>
      </c>
      <c r="J1004" s="5" t="n">
        <v>75</v>
      </c>
      <c r="K1004" s="3" t="inlineStr">
        <is>
          <t>세종스마트국가산업단지 근접, 작은 근생용지나창고부지로 적합</t>
        </is>
      </c>
      <c r="L1004" s="6">
        <f>HYPERLINK("https://fin.land.naver.com/articles/2646790177", "매물Link")</f>
        <v/>
      </c>
      <c r="M1004" s="6">
        <f>HYPERLINK("https://map.naver.com/p/search/연서면 봉암리 676-10", "지도Link")</f>
        <v/>
      </c>
      <c r="N1004" s="6">
        <f>HYPERLINK("http://www.eum.go.kr/web/ar/lu/luLandDet.jsp?pnu=3611036033106760010&amp;isNoScr=script&amp;mode=search",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331</v>
      </c>
      <c r="R1004" s="3" t="inlineStr">
        <is>
          <t>지정되지않음</t>
        </is>
      </c>
      <c r="S1004" s="3" t="inlineStr">
        <is>
          <t>전창고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677-2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400000</v>
      </c>
      <c r="G1005" s="4" t="n">
        <v>2202</v>
      </c>
      <c r="H1005" s="4" t="n">
        <v>666</v>
      </c>
      <c r="I1005" s="5" t="n">
        <v>600.6</v>
      </c>
      <c r="J1005" s="5" t="n">
        <v>116.6</v>
      </c>
      <c r="K1005" s="3" t="inlineStr">
        <is>
          <t>세종스마트국가산업단지 근접 도로접근 용이</t>
        </is>
      </c>
      <c r="L1005" s="6">
        <f>HYPERLINK("https://fin.land.naver.com/articles/2646904487", "매물Link")</f>
        <v/>
      </c>
      <c r="M1005" s="6">
        <f>HYPERLINK("https://map.naver.com/p/search/연서면 봉암리 677-2", "지도Link")</f>
        <v/>
      </c>
      <c r="N1005" s="6">
        <f>HYPERLINK("http://www.eum.go.kr/web/ar/lu/luLandDet.jsp?pnu=3611036033106770002&amp;isNoScr=script&amp;mode=search", "토지이음")</f>
        <v/>
      </c>
      <c r="O1005" s="3" t="inlineStr">
        <is>
          <t>오송파라곤리치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주거기타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봉암리 705-2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680000</v>
      </c>
      <c r="G1006" s="4" t="n">
        <v>4515</v>
      </c>
      <c r="H1006" s="4" t="n">
        <v>1366</v>
      </c>
      <c r="I1006" s="5" t="n">
        <v>497.8</v>
      </c>
      <c r="J1006" s="5" t="n">
        <v>101.8</v>
      </c>
      <c r="K1006" s="3" t="inlineStr">
        <is>
          <t>세종시  제일 핫한 명당지역 시세보다 저렴</t>
        </is>
      </c>
      <c r="L1006" s="6">
        <f>HYPERLINK("https://fin.land.naver.com/articles/2648233463", "매물Link")</f>
        <v/>
      </c>
      <c r="M1006" s="6">
        <f>HYPERLINK("https://map.naver.com/p/search/연서면 봉암리 705-2", "지도Link")</f>
        <v/>
      </c>
      <c r="N1006" s="6">
        <f>HYPERLINK("http://www.eum.go.kr/web/ar/lu/luLandDet.jsp?pnu=3611036033107050002&amp;isNoScr=script&amp;mode=search", "토지이음")</f>
        <v/>
      </c>
      <c r="O1006" s="3" t="inlineStr">
        <is>
          <t>엔터수진</t>
        </is>
      </c>
      <c r="P1006" s="4" t="n">
        <v>1</v>
      </c>
      <c r="Q1006" s="4" t="n">
        <v>665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세로한면(불)</t>
        </is>
      </c>
    </row>
    <row r="1007">
      <c r="A1007" s="3" t="inlineStr">
        <is>
          <t>연서면 봉암리 828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답</t>
        </is>
      </c>
      <c r="E1007" s="3" t="inlineStr">
        <is>
          <t>매매</t>
        </is>
      </c>
      <c r="F1007" s="4" t="n">
        <v>74000</v>
      </c>
      <c r="G1007" s="4" t="n">
        <v>2023</v>
      </c>
      <c r="H1007" s="4" t="n">
        <v>612</v>
      </c>
      <c r="I1007" s="5" t="n">
        <v>120.9</v>
      </c>
      <c r="J1007" s="5" t="n">
        <v>28.7</v>
      </c>
      <c r="K1007" s="3" t="inlineStr">
        <is>
          <t>하우스시설 사용중인 봉암리 토지 북세종톨게이트 수혜지</t>
        </is>
      </c>
      <c r="L1007" s="6">
        <f>HYPERLINK("https://fin.land.naver.com/articles/2650399290", "매물Link")</f>
        <v/>
      </c>
      <c r="M1007" s="6">
        <f>HYPERLINK("https://map.naver.com/p/search/연서면 봉암리 828", "지도Link")</f>
        <v/>
      </c>
      <c r="N1007" s="6">
        <f>HYPERLINK("http://www.eum.go.kr/web/ar/lu/luLandDet.jsp?pnu=3611036033108280000&amp;isNoScr=script&amp;mode=search", "토지이음")</f>
        <v/>
      </c>
      <c r="O1007" s="3" t="inlineStr">
        <is>
          <t>지성</t>
        </is>
      </c>
      <c r="P1007" s="4" t="n">
        <v>2</v>
      </c>
      <c r="Q1007" s="4" t="n">
        <v>2023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947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답</t>
        </is>
      </c>
      <c r="E1008" s="3" t="inlineStr">
        <is>
          <t>매매</t>
        </is>
      </c>
      <c r="F1008" s="4" t="n">
        <v>36400</v>
      </c>
      <c r="G1008" s="4" t="n">
        <v>1094</v>
      </c>
      <c r="H1008" s="4" t="n">
        <v>331</v>
      </c>
      <c r="I1008" s="5" t="n">
        <v>110</v>
      </c>
      <c r="J1008" s="5" t="n">
        <v>27.6</v>
      </c>
      <c r="K1008" s="3" t="inlineStr">
        <is>
          <t>북세종톨게이트 수혜지 봉암리 토지</t>
        </is>
      </c>
      <c r="L1008" s="6">
        <f>HYPERLINK("https://fin.land.naver.com/articles/2649964850", "매물Link")</f>
        <v/>
      </c>
      <c r="M1008" s="6">
        <f>HYPERLINK("https://map.naver.com/p/search/연서면 봉암리 947", "지도Link")</f>
        <v/>
      </c>
      <c r="N1008" s="6">
        <f>HYPERLINK("http://www.eum.go.kr/web/ar/lu/luLandDet.jsp?pnu=3611036033109470000&amp;isNoScr=script&amp;mode=search", "토지이음")</f>
        <v/>
      </c>
      <c r="O1008" s="3" t="inlineStr">
        <is>
          <t>지성</t>
        </is>
      </c>
      <c r="P1008" s="4" t="n">
        <v>2</v>
      </c>
      <c r="Q1008" s="4" t="n">
        <v>1094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봉암리 996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97200</v>
      </c>
      <c r="G1009" s="4" t="n">
        <v>3214</v>
      </c>
      <c r="H1009" s="4" t="n">
        <v>972</v>
      </c>
      <c r="I1009" s="5" t="n">
        <v>100</v>
      </c>
      <c r="J1009" s="5" t="n">
        <v>25.6</v>
      </c>
      <c r="K1009" s="3" t="inlineStr">
        <is>
          <t>세종 연서면 투자용 토지</t>
        </is>
      </c>
      <c r="L1009" s="6">
        <f>HYPERLINK("https://fin.land.naver.com/articles/2646298669", "매물Link")</f>
        <v/>
      </c>
      <c r="M1009" s="6">
        <f>HYPERLINK("https://map.naver.com/p/search/연서면 봉암리 996", "지도Link")</f>
        <v/>
      </c>
      <c r="N1009" s="6">
        <f>HYPERLINK("http://www.eum.go.kr/web/ar/lu/luLandDet.jsp?pnu=3611036033109960000&amp;isNoScr=script&amp;mode=search", "토지이음")</f>
        <v/>
      </c>
      <c r="O1009" s="3" t="inlineStr">
        <is>
          <t>(주)경진컨설팅</t>
        </is>
      </c>
      <c r="P1009" s="4" t="n">
        <v>1</v>
      </c>
      <c r="Q1009" s="4" t="n">
        <v>3214.4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세로한면(불)</t>
        </is>
      </c>
    </row>
    <row r="1010">
      <c r="A1010" s="3" t="inlineStr">
        <is>
          <t>연서면 부동리 108-1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200000</v>
      </c>
      <c r="G1010" s="4" t="n">
        <v>3098</v>
      </c>
      <c r="H1010" s="4" t="n">
        <v>937</v>
      </c>
      <c r="I1010" s="5" t="n">
        <v>213.4</v>
      </c>
      <c r="J1010" s="5" t="n">
        <v>68.5</v>
      </c>
      <c r="K1010" s="3" t="inlineStr">
        <is>
          <t>국가산단에 근접한토지로 현재전이며 모양이 좋고 2면각지도로에 접함.</t>
        </is>
      </c>
      <c r="L1010" s="6">
        <f>HYPERLINK("https://fin.land.naver.com/articles/2650181594", "매물Link")</f>
        <v/>
      </c>
      <c r="M1010" s="6">
        <f>HYPERLINK("https://map.naver.com/p/search/연서면 부동리 108-1", "지도Link")</f>
        <v/>
      </c>
      <c r="N1010" s="6">
        <f>HYPERLINK("http://www.eum.go.kr/web/ar/lu/luLandDet.jsp?pnu=3611036032101080001&amp;isNoScr=script&amp;mode=search", "토지이음")</f>
        <v/>
      </c>
      <c r="O1010" s="3" t="inlineStr">
        <is>
          <t>세종리츠</t>
        </is>
      </c>
      <c r="P1010" s="4" t="n">
        <v>1</v>
      </c>
      <c r="Q1010" s="4" t="n">
        <v>2943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부동리 108-2</t>
        </is>
      </c>
      <c r="B1011" s="3" t="inlineStr">
        <is>
          <t>계획관리지역</t>
        </is>
      </c>
      <c r="C1011" s="3" t="inlineStr">
        <is>
          <t>도로</t>
        </is>
      </c>
      <c r="D1011" s="3" t="inlineStr">
        <is>
          <t>전</t>
        </is>
      </c>
      <c r="E1011" s="3" t="inlineStr">
        <is>
          <t>매매</t>
        </is>
      </c>
      <c r="F1011" s="4" t="n">
        <v>220000</v>
      </c>
      <c r="G1011" s="4" t="n">
        <v>2943</v>
      </c>
      <c r="H1011" s="4" t="n">
        <v>890</v>
      </c>
      <c r="I1011" s="5" t="n">
        <v>247.2</v>
      </c>
      <c r="J1011" s="5" t="n">
        <v>15.3</v>
      </c>
      <c r="K1011" s="3" t="inlineStr">
        <is>
          <t>세종스마트산단 초인접 계획관리</t>
        </is>
      </c>
      <c r="L1011" s="6">
        <f>HYPERLINK("https://fin.land.naver.com/articles/2645464056", "매물Link")</f>
        <v/>
      </c>
      <c r="M1011" s="6">
        <f>HYPERLINK("https://map.naver.com/p/search/연서면 부동리 108-2", "지도Link")</f>
        <v/>
      </c>
      <c r="N1011" s="6">
        <f>HYPERLINK("http://www.eum.go.kr/web/ar/lu/luLandDet.jsp?pnu=3611036032101080002&amp;isNoScr=script&amp;mode=search", "토지이음")</f>
        <v/>
      </c>
      <c r="O1011" s="3" t="inlineStr">
        <is>
          <t>강아지풀</t>
        </is>
      </c>
      <c r="P1011" s="4" t="n">
        <v>1</v>
      </c>
      <c r="Q1011" s="4" t="n">
        <v>155</v>
      </c>
      <c r="R1011" s="3" t="inlineStr">
        <is>
          <t>지정되지않음</t>
        </is>
      </c>
      <c r="S1011" s="3" t="inlineStr">
        <is>
          <t>도로등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지정되지않음</t>
        </is>
      </c>
    </row>
    <row r="1012">
      <c r="A1012" s="3" t="inlineStr">
        <is>
          <t>연서면 부동리 255-1</t>
        </is>
      </c>
      <c r="B1012" s="3" t="inlineStr">
        <is>
          <t>계획관리지역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280000</v>
      </c>
      <c r="G1012" s="4" t="n">
        <v>2645</v>
      </c>
      <c r="H1012" s="4" t="n">
        <v>800</v>
      </c>
      <c r="I1012" s="5" t="n">
        <v>350</v>
      </c>
      <c r="J1012" s="5" t="n">
        <v>82.59999999999999</v>
      </c>
      <c r="K1012" s="3" t="inlineStr">
        <is>
          <t>도로접한 근생용지,세종국가산업단지와 조치원일반산업단지 근접</t>
        </is>
      </c>
      <c r="L1012" s="6">
        <f>HYPERLINK("https://fin.land.naver.com/articles/2650487993", "매물Link")</f>
        <v/>
      </c>
      <c r="M1012" s="6">
        <f>HYPERLINK("https://map.naver.com/p/search/연서면 부동리 255-1", "지도Link")</f>
        <v/>
      </c>
      <c r="N1012" s="6">
        <f>HYPERLINK("http://www.eum.go.kr/web/ar/lu/luLandDet.jsp?pnu=3611036032102550001&amp;isNoScr=script&amp;mode=search", "토지이음")</f>
        <v/>
      </c>
      <c r="O1012" s="3" t="inlineStr">
        <is>
          <t>세종나라</t>
        </is>
      </c>
      <c r="P1012" s="4" t="n">
        <v>1</v>
      </c>
      <c r="Q1012" s="4" t="n">
        <v>2448</v>
      </c>
      <c r="R1012" s="3" t="inlineStr">
        <is>
          <t>보전관리지역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연서면 부동리 65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138000</v>
      </c>
      <c r="G1013" s="4" t="n">
        <v>1022</v>
      </c>
      <c r="H1013" s="4" t="n">
        <v>309</v>
      </c>
      <c r="I1013" s="5" t="n">
        <v>446.6</v>
      </c>
      <c r="J1013" s="5" t="n">
        <v>55.8</v>
      </c>
      <c r="K1013" s="3" t="inlineStr">
        <is>
          <t>계획관리 전</t>
        </is>
      </c>
      <c r="L1013" s="6">
        <f>HYPERLINK("https://fin.land.naver.com/articles/2649731129", "매물Link")</f>
        <v/>
      </c>
      <c r="M1013" s="6">
        <f>HYPERLINK("https://map.naver.com/p/search/연서면 부동리 65", "지도Link")</f>
        <v/>
      </c>
      <c r="N1013" s="6">
        <f>HYPERLINK("http://www.eum.go.kr/web/ar/lu/luLandDet.jsp?pnu=3611036032100650000&amp;isNoScr=script&amp;mode=search",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1022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1143</v>
      </c>
      <c r="H1014" s="4" t="n">
        <v>346</v>
      </c>
      <c r="I1014" s="5" t="n">
        <v>398.8</v>
      </c>
      <c r="J1014" s="5" t="n">
        <v>55.8</v>
      </c>
      <c r="K1014" s="3" t="inlineStr">
        <is>
          <t>조율가능 국가산단인근 귀한 계획관리 매물</t>
        </is>
      </c>
      <c r="L1014" s="6">
        <f>HYPERLINK("https://fin.land.naver.com/articles/2648979075", "매물Link")</f>
        <v/>
      </c>
      <c r="M1014" s="6">
        <f>HYPERLINK("https://map.naver.com/p/search/연서면 부동리 65", "지도Link")</f>
        <v/>
      </c>
      <c r="N1014" s="6">
        <f>HYPERLINK("http://www.eum.go.kr/web/ar/lu/luLandDet.jsp?pnu=3611036032100650000&amp;isNoScr=script&amp;mode=search",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1022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부동리 80-2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39000</v>
      </c>
      <c r="G1015" s="4" t="n">
        <v>507</v>
      </c>
      <c r="H1015" s="4" t="n">
        <v>153</v>
      </c>
      <c r="I1015" s="5" t="n">
        <v>254.9</v>
      </c>
      <c r="J1015" s="5" t="n">
        <v>86.40000000000001</v>
      </c>
      <c r="K1015" s="3" t="inlineStr">
        <is>
          <t>국가산단인근,조치원산단인근,세종6생활권인근</t>
        </is>
      </c>
      <c r="L1015" s="6">
        <f>HYPERLINK("https://fin.land.naver.com/articles/2647073219", "매물Link")</f>
        <v/>
      </c>
      <c r="M1015" s="6">
        <f>HYPERLINK("https://map.naver.com/p/search/연서면 부동리 80-2", "지도Link")</f>
        <v/>
      </c>
      <c r="N1015" s="6">
        <f>HYPERLINK("http://www.eum.go.kr/web/ar/lu/luLandDet.jsp?pnu=3611036032100800002&amp;isNoScr=script&amp;mode=search", "토지이음")</f>
        <v/>
      </c>
      <c r="O1015" s="3" t="inlineStr">
        <is>
          <t>세종강남</t>
        </is>
      </c>
      <c r="P1015" s="4" t="n">
        <v>1</v>
      </c>
      <c r="Q1015" s="4" t="n">
        <v>507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도로변 성장관리구역 과수원</t>
        </is>
      </c>
      <c r="L1016" s="6">
        <f>HYPERLINK("https://fin.land.naver.com/articles/2650613233",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145-14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205000</v>
      </c>
      <c r="G1017" s="4" t="n">
        <v>2806</v>
      </c>
      <c r="H1017" s="4" t="n">
        <v>849</v>
      </c>
      <c r="I1017" s="5" t="n">
        <v>241.5</v>
      </c>
      <c r="J1017" s="5" t="n">
        <v>56</v>
      </c>
      <c r="K1017" s="3" t="inlineStr">
        <is>
          <t>국가산단인근 도로접한 과수원 매매</t>
        </is>
      </c>
      <c r="L1017" s="6">
        <f>HYPERLINK("https://fin.land.naver.com/articles/2647111799", "매물Link")</f>
        <v/>
      </c>
      <c r="M1017" s="6">
        <f>HYPERLINK("https://map.naver.com/p/search/연서면 성제리 145-14", "지도Link")</f>
        <v/>
      </c>
      <c r="N1017" s="6">
        <f>HYPERLINK("http://www.eum.go.kr/web/ar/lu/luLandDet.jsp?pnu=3611036023101450014&amp;isNoScr=script&amp;mode=search",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57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158-6</t>
        </is>
      </c>
      <c r="B1018" s="3" t="inlineStr">
        <is>
          <t>자연녹지지역</t>
        </is>
      </c>
      <c r="C1018" s="3" t="inlineStr">
        <is>
          <t>창고용지</t>
        </is>
      </c>
      <c r="D1018" s="3" t="inlineStr">
        <is>
          <t>창고용지</t>
        </is>
      </c>
      <c r="E1018" s="3" t="inlineStr">
        <is>
          <t>매매</t>
        </is>
      </c>
      <c r="F1018" s="4" t="n">
        <v>55000</v>
      </c>
      <c r="G1018" s="4" t="n">
        <v>850</v>
      </c>
      <c r="H1018" s="4" t="n">
        <v>257</v>
      </c>
      <c r="I1018" s="5" t="n">
        <v>214</v>
      </c>
      <c r="J1018" s="5" t="n">
        <v>63.8</v>
      </c>
      <c r="K1018" s="3" t="inlineStr">
        <is>
          <t>포장도로에 접해있는 도시지역 자연녹지지역의 농업용창고 66㎡와 전850㎡</t>
        </is>
      </c>
      <c r="L1018" s="6">
        <f>HYPERLINK("https://fin.land.naver.com/articles/2645384692", "매물Link")</f>
        <v/>
      </c>
      <c r="M1018" s="6">
        <f>HYPERLINK("https://map.naver.com/p/search/연서면 성제리 158-6", "지도Link")</f>
        <v/>
      </c>
      <c r="N1018" s="6">
        <f>HYPERLINK("http://www.eum.go.kr/web/ar/lu/luLandDet.jsp?pnu=3611036023101580006&amp;isNoScr=script&amp;mode=search", "토지이음")</f>
        <v/>
      </c>
      <c r="O1018" s="3" t="inlineStr">
        <is>
          <t>스마일세종</t>
        </is>
      </c>
      <c r="P1018" s="4" t="n">
        <v>1</v>
      </c>
      <c r="Q1018" s="4" t="n">
        <v>440</v>
      </c>
      <c r="R1018" s="3" t="inlineStr">
        <is>
          <t>지정되지않음</t>
        </is>
      </c>
      <c r="S1018" s="3" t="inlineStr">
        <is>
          <t>전창고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80500</v>
      </c>
      <c r="G1019" s="4" t="n">
        <v>2045</v>
      </c>
      <c r="H1019" s="4" t="n">
        <v>619</v>
      </c>
      <c r="I1019" s="5" t="n">
        <v>130</v>
      </c>
      <c r="J1019" s="5" t="n">
        <v>27.3</v>
      </c>
      <c r="K1019" s="3" t="inlineStr">
        <is>
          <t>세종시근접 2차선도로접 토지,향후 개발가능성높은 토지입니다.</t>
        </is>
      </c>
      <c r="L1019" s="6">
        <f>HYPERLINK("https://fin.land.naver.com/articles/2648033562",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담뜰</t>
        </is>
      </c>
      <c r="P1019" s="4" t="n">
        <v>3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80000</v>
      </c>
      <c r="G1020" s="4" t="n">
        <v>2045</v>
      </c>
      <c r="H1020" s="4" t="n">
        <v>619</v>
      </c>
      <c r="I1020" s="5" t="n">
        <v>129.2</v>
      </c>
      <c r="J1020" s="5" t="n">
        <v>27.3</v>
      </c>
      <c r="K1020" s="3" t="inlineStr">
        <is>
          <t>2차선 도로접 북세종IC인근</t>
        </is>
      </c>
      <c r="L1020" s="6">
        <f>HYPERLINK("https://fin.land.naver.com/articles/2650478349",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가치잇는</t>
        </is>
      </c>
      <c r="P1020" s="4" t="n">
        <v>4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5090</v>
      </c>
      <c r="H1021" s="4" t="n">
        <v>1540</v>
      </c>
      <c r="I1021" s="5" t="n">
        <v>129.9</v>
      </c>
      <c r="J1021" s="5" t="n">
        <v>27.3</v>
      </c>
      <c r="K1021" s="3" t="inlineStr">
        <is>
          <t>2차선도로접, 개발호재가 강한지역 투자가치최고</t>
        </is>
      </c>
      <c r="L1021" s="6">
        <f>HYPERLINK("https://fin.land.naver.com/articles/2651043984", "매물Link")</f>
        <v/>
      </c>
      <c r="M1021" s="6">
        <f>HYPERLINK("https://map.naver.com/p/search/연서면 성제리 186-5", "지도Link")</f>
        <v/>
      </c>
      <c r="N1021" s="6">
        <f>HYPERLINK("http://www.eum.go.kr/web/ar/lu/luLandDet.jsp?pnu=3611036023101860005&amp;isNoScr=script&amp;mode=search", "토지이음")</f>
        <v/>
      </c>
      <c r="O1021" s="3" t="inlineStr">
        <is>
          <t>원내</t>
        </is>
      </c>
      <c r="P1021" s="4" t="n">
        <v>2</v>
      </c>
      <c r="Q1021" s="4" t="n">
        <v>2045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119800</v>
      </c>
      <c r="G1023" s="4" t="n">
        <v>3045</v>
      </c>
      <c r="H1023" s="4" t="n">
        <v>921</v>
      </c>
      <c r="I1023" s="5" t="n">
        <v>130.1</v>
      </c>
      <c r="J1023" s="5" t="n">
        <v>27.3</v>
      </c>
      <c r="K1023" s="3" t="inlineStr">
        <is>
          <t>2차선접 북세종IC예정지 인근</t>
        </is>
      </c>
      <c r="L1023" s="6">
        <f>HYPERLINK("https://fin.land.naver.com/articles/2650478173",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가치잇는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93000</v>
      </c>
      <c r="G1024" s="4" t="n">
        <v>2045</v>
      </c>
      <c r="H1024" s="4" t="n">
        <v>619</v>
      </c>
      <c r="I1024" s="5" t="n">
        <v>150.2</v>
      </c>
      <c r="J1024" s="5" t="n">
        <v>27.3</v>
      </c>
      <c r="K1024" s="3" t="inlineStr">
        <is>
          <t>2차선 도로변 토지 매매</t>
        </is>
      </c>
      <c r="L1024" s="6">
        <f>HYPERLINK("https://fin.land.naver.com/articles/2647481662", "매물Link")</f>
        <v/>
      </c>
      <c r="M1024" s="6">
        <f>HYPERLINK("https://map.naver.com/p/search/연서면 성제리 186-6", "지도Link")</f>
        <v/>
      </c>
      <c r="N1024" s="6">
        <f>HYPERLINK("http://www.eum.go.kr/web/ar/lu/luLandDet.jsp?pnu=3611036023101860006&amp;isNoScr=script&amp;mode=search", "토지이음")</f>
        <v/>
      </c>
      <c r="O1024" s="3" t="inlineStr">
        <is>
          <t>주식회사넥서스</t>
        </is>
      </c>
      <c r="P1024" s="4" t="n">
        <v>1</v>
      </c>
      <c r="Q1024" s="4" t="n">
        <v>3045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188-3</t>
        </is>
      </c>
      <c r="B1025" s="3" t="inlineStr">
        <is>
          <t>농림지역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69000</v>
      </c>
      <c r="G1025" s="4" t="n">
        <v>1535</v>
      </c>
      <c r="H1025" s="4" t="n">
        <v>464</v>
      </c>
      <c r="I1025" s="5" t="n">
        <v>148.7</v>
      </c>
      <c r="J1025" s="5" t="n">
        <v>26.8</v>
      </c>
      <c r="K1025" s="3" t="inlineStr">
        <is>
          <t>연서면 성제리 지목이 과수원으로 마을 포장도로에 접해 있어 이용가치 높은</t>
        </is>
      </c>
      <c r="L1025" s="6">
        <f>HYPERLINK("https://fin.land.naver.com/articles/2645998585", "매물Link")</f>
        <v/>
      </c>
      <c r="M1025" s="6">
        <f>HYPERLINK("https://map.naver.com/p/search/연서면 성제리 188-3", "지도Link")</f>
        <v/>
      </c>
      <c r="N1025" s="6">
        <f>HYPERLINK("http://www.eum.go.kr/web/ar/lu/luLandDet.jsp?pnu=3611036023101880003&amp;isNoScr=script&amp;mode=search",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1535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190-7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71900</v>
      </c>
      <c r="G1026" s="4" t="n">
        <v>1980</v>
      </c>
      <c r="H1026" s="4" t="n">
        <v>599</v>
      </c>
      <c r="I1026" s="5" t="n">
        <v>120</v>
      </c>
      <c r="J1026" s="5" t="n">
        <v>26.8</v>
      </c>
      <c r="K1026" s="3" t="inlineStr">
        <is>
          <t>포장농로 접한 연서면 평탄 농업용 토지</t>
        </is>
      </c>
      <c r="L1026" s="6">
        <f>HYPERLINK("https://fin.land.naver.com/articles/2647424202", "매물Link")</f>
        <v/>
      </c>
      <c r="M1026" s="6">
        <f>HYPERLINK("https://map.naver.com/p/search/연서면 성제리 190-7", "지도Link")</f>
        <v/>
      </c>
      <c r="N1026" s="6">
        <f>HYPERLINK("http://www.eum.go.kr/web/ar/lu/luLandDet.jsp?pnu=3611036023101900007&amp;isNoScr=script&amp;mode=search",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1980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202-3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54000</v>
      </c>
      <c r="G1027" s="4" t="n">
        <v>1790</v>
      </c>
      <c r="H1027" s="4" t="n">
        <v>541</v>
      </c>
      <c r="I1027" s="5" t="n">
        <v>99.8</v>
      </c>
      <c r="J1027" s="5" t="n">
        <v>25</v>
      </c>
      <c r="K1027" s="3" t="inlineStr">
        <is>
          <t>세종스마트 국가산업단지 인근에 있는 주변시세보다 저렴한 대토용 농지 급매</t>
        </is>
      </c>
      <c r="L1027" s="6">
        <f>HYPERLINK("https://fin.land.naver.com/articles/2649145962", "매물Link")</f>
        <v/>
      </c>
      <c r="M1027" s="6">
        <f>HYPERLINK("https://map.naver.com/p/search/연서면 성제리 202-3", "지도Link")</f>
        <v/>
      </c>
      <c r="N1027" s="6">
        <f>HYPERLINK("http://www.eum.go.kr/web/ar/lu/luLandDet.jsp?pnu=3611036023102020003&amp;isNoScr=script&amp;mode=search", "토지이음")</f>
        <v/>
      </c>
      <c r="O1027" s="3" t="inlineStr">
        <is>
          <t>스마일세종</t>
        </is>
      </c>
      <c r="P1027" s="4" t="n">
        <v>1</v>
      </c>
      <c r="Q1027" s="4" t="n">
        <v>1790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217-1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35000</v>
      </c>
      <c r="G1028" s="4" t="n">
        <v>1430</v>
      </c>
      <c r="H1028" s="4" t="n">
        <v>433</v>
      </c>
      <c r="I1028" s="5" t="n">
        <v>80.8</v>
      </c>
      <c r="J1028" s="5" t="n">
        <v>25.2</v>
      </c>
      <c r="K1028" s="3" t="inlineStr">
        <is>
          <t>도로접한 농지</t>
        </is>
      </c>
      <c r="L1028" s="6">
        <f>HYPERLINK("https://fin.land.naver.com/articles/2650856663", "매물Link")</f>
        <v/>
      </c>
      <c r="M1028" s="6">
        <f>HYPERLINK("https://map.naver.com/p/search/연서면 성제리 217-1", "지도Link")</f>
        <v/>
      </c>
      <c r="N1028" s="6">
        <f>HYPERLINK("http://www.eum.go.kr/web/ar/lu/luLandDet.jsp?pnu=3611036023102170001&amp;isNoScr=script&amp;mode=search", "토지이음")</f>
        <v/>
      </c>
      <c r="O1028" s="3" t="inlineStr">
        <is>
          <t>세종대박</t>
        </is>
      </c>
      <c r="P1028" s="4" t="n">
        <v>1</v>
      </c>
      <c r="Q1028" s="4" t="n">
        <v>1430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273-5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투자가치 높은 도시지역내 과수원</t>
        </is>
      </c>
      <c r="L1029" s="6">
        <f>HYPERLINK("https://fin.land.naver.com/articles/2646007792", "매물Link")</f>
        <v/>
      </c>
      <c r="M1029" s="6">
        <f>HYPERLINK("https://map.naver.com/p/search/연서면 성제리 273-5", "지도Link")</f>
        <v/>
      </c>
      <c r="N1029" s="6">
        <f>HYPERLINK("http://www.eum.go.kr/web/ar/lu/luLandDet.jsp?pnu=3611036023102730005&amp;isNoScr=script&amp;mode=search", "토지이음")</f>
        <v/>
      </c>
      <c r="O1029" s="3" t="inlineStr">
        <is>
          <t>세종대박</t>
        </is>
      </c>
      <c r="P1029" s="4" t="n">
        <v>2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273-6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180000</v>
      </c>
      <c r="G1030" s="4" t="n">
        <v>1984</v>
      </c>
      <c r="H1030" s="4" t="n">
        <v>600</v>
      </c>
      <c r="I1030" s="5" t="n">
        <v>300</v>
      </c>
      <c r="J1030" s="5" t="n">
        <v>55.9</v>
      </c>
      <c r="K1030" s="3" t="inlineStr">
        <is>
          <t>미래가치 높은 관리 잘된 투자형 과수원</t>
        </is>
      </c>
      <c r="L1030" s="6">
        <f>HYPERLINK("https://fin.land.naver.com/articles/2649629027", "매물Link")</f>
        <v/>
      </c>
      <c r="M1030" s="6">
        <f>HYPERLINK("https://map.naver.com/p/search/연서면 성제리 273-6", "지도Link")</f>
        <v/>
      </c>
      <c r="N1030" s="6">
        <f>HYPERLINK("http://www.eum.go.kr/web/ar/lu/luLandDet.jsp?pnu=3611036023102730006&amp;isNoScr=script&amp;mode=search",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1984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19000</v>
      </c>
      <c r="G1031" s="4" t="n">
        <v>730</v>
      </c>
      <c r="H1031" s="4" t="n">
        <v>221</v>
      </c>
      <c r="I1031" s="5" t="n">
        <v>86</v>
      </c>
      <c r="J1031" s="5" t="n">
        <v>39.5</v>
      </c>
      <c r="K1031" s="3" t="inlineStr">
        <is>
          <t>분할매도,실수요와 투자를 동시에.미래가치 충분</t>
        </is>
      </c>
      <c r="L1031" s="6">
        <f>HYPERLINK("https://fin.land.naver.com/articles/2650336389",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가치잇는</t>
        </is>
      </c>
      <c r="P1031" s="4" t="n">
        <v>2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273-9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10000</v>
      </c>
      <c r="G1032" s="4" t="n">
        <v>330</v>
      </c>
      <c r="H1032" s="4" t="n">
        <v>100</v>
      </c>
      <c r="I1032" s="5" t="n">
        <v>100</v>
      </c>
      <c r="J1032" s="5" t="n">
        <v>39.5</v>
      </c>
      <c r="K1032" s="3" t="inlineStr">
        <is>
          <t>nan</t>
        </is>
      </c>
      <c r="L1032" s="6">
        <f>HYPERLINK("https://fin.land.naver.com/articles/2651153583", "매물Link")</f>
        <v/>
      </c>
      <c r="M1032" s="6">
        <f>HYPERLINK("https://map.naver.com/p/search/연서면 성제리 273-9", "지도Link")</f>
        <v/>
      </c>
      <c r="N1032" s="6">
        <f>HYPERLINK("http://www.eum.go.kr/web/ar/lu/luLandDet.jsp?pnu=3611036023102730009&amp;isNoScr=script&amp;mode=search",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3485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280-9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96000</v>
      </c>
      <c r="G1034" s="4" t="n">
        <v>3193</v>
      </c>
      <c r="H1034" s="4" t="n">
        <v>966</v>
      </c>
      <c r="I1034" s="5" t="n">
        <v>99.40000000000001</v>
      </c>
      <c r="J1034" s="5" t="n">
        <v>74.8</v>
      </c>
      <c r="K1034" s="3" t="inlineStr">
        <is>
          <t>연서면행정복지센타 인근토지</t>
        </is>
      </c>
      <c r="L1034" s="6">
        <f>HYPERLINK("https://fin.land.naver.com/articles/2648029985", "매물Link")</f>
        <v/>
      </c>
      <c r="M1034" s="6">
        <f>HYPERLINK("https://map.naver.com/p/search/연서면 성제리 280-9", "지도Link")</f>
        <v/>
      </c>
      <c r="N1034" s="6">
        <f>HYPERLINK("http://www.eum.go.kr/web/ar/lu/luLandDet.jsp?pnu=3611036023102800009&amp;isNoScr=script&amp;mode=search", "토지이음")</f>
        <v/>
      </c>
      <c r="O1034" s="3" t="inlineStr">
        <is>
          <t>THE행복</t>
        </is>
      </c>
      <c r="P1034" s="4" t="n">
        <v>1</v>
      </c>
      <c r="Q1034" s="4" t="n">
        <v>2361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429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73000</v>
      </c>
      <c r="G1035" s="4" t="n">
        <v>959</v>
      </c>
      <c r="H1035" s="4" t="n">
        <v>290</v>
      </c>
      <c r="I1035" s="5" t="n">
        <v>251.7</v>
      </c>
      <c r="J1035" s="5" t="n">
        <v>62.5</v>
      </c>
      <c r="K1035" s="3" t="inlineStr">
        <is>
          <t>2차선 도로 인접 ,용도 변경 가능 미래 투자가치 좋은 금싸라기 땅</t>
        </is>
      </c>
      <c r="L1035" s="6">
        <f>HYPERLINK("https://fin.land.naver.com/articles/2645523085", "매물Link")</f>
        <v/>
      </c>
      <c r="M1035" s="6">
        <f>HYPERLINK("https://map.naver.com/p/search/연서면 성제리 429", "지도Link")</f>
        <v/>
      </c>
      <c r="N1035" s="6">
        <f>HYPERLINK("http://www.eum.go.kr/web/ar/lu/luLandDet.jsp?pnu=3611036023104290000&amp;isNoScr=script&amp;mode=search", "토지이음")</f>
        <v/>
      </c>
      <c r="O1035" s="3" t="inlineStr">
        <is>
          <t>강남뜰</t>
        </is>
      </c>
      <c r="P1035" s="4" t="n">
        <v>1</v>
      </c>
      <c r="Q1035" s="4" t="n">
        <v>959</v>
      </c>
      <c r="R1035" s="3" t="inlineStr">
        <is>
          <t>계획관리지역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1088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코너 도시지역 자연녹지 밭 도심과 가까운 위치</t>
        </is>
      </c>
      <c r="L1036" s="6">
        <f>HYPERLINK("https://fin.land.naver.com/articles/2648498507",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지성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</t>
        </is>
      </c>
      <c r="B1038" s="3" t="inlineStr">
        <is>
          <t>자연녹지지역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1087</v>
      </c>
      <c r="H1038" s="4" t="n">
        <v>329</v>
      </c>
      <c r="I1038" s="5" t="n">
        <v>243.2</v>
      </c>
      <c r="J1038" s="5" t="n">
        <v>65.90000000000001</v>
      </c>
      <c r="K1038" s="3" t="inlineStr">
        <is>
          <t>국가산단인근  성장관리계획구역</t>
        </is>
      </c>
      <c r="L1038" s="6">
        <f>HYPERLINK("https://fin.land.naver.com/articles/2648491546", "매물Link")</f>
        <v/>
      </c>
      <c r="M1038" s="6">
        <f>HYPERLINK("https://map.naver.com/p/search/연서면 성제리 446", "지도Link")</f>
        <v/>
      </c>
      <c r="N1038" s="6">
        <f>HYPERLINK("http://www.eum.go.kr/web/ar/lu/luLandDet.jsp?pnu=3611036023104460000&amp;isNoScr=script&amp;mode=search", "토지이음")</f>
        <v/>
      </c>
      <c r="O1038" s="3" t="inlineStr">
        <is>
          <t>THE행복</t>
        </is>
      </c>
      <c r="P1038" s="4" t="n">
        <v>1</v>
      </c>
      <c r="Q1038" s="4" t="n">
        <v>1088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446-1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16000</v>
      </c>
      <c r="G1039" s="4" t="n">
        <v>330</v>
      </c>
      <c r="H1039" s="4" t="n">
        <v>100</v>
      </c>
      <c r="I1039" s="5" t="n">
        <v>160</v>
      </c>
      <c r="J1039" s="5" t="n">
        <v>56.6</v>
      </c>
      <c r="K1039" s="3" t="inlineStr">
        <is>
          <t>자연녹지 작은텃밭 도심 가까운 성제리 토지매매</t>
        </is>
      </c>
      <c r="L1039" s="6">
        <f>HYPERLINK("https://fin.land.naver.com/articles/2646241377", "매물Link")</f>
        <v/>
      </c>
      <c r="M1039" s="6">
        <f>HYPERLINK("https://map.naver.com/p/search/연서면 성제리 446-1", "지도Link")</f>
        <v/>
      </c>
      <c r="N1039" s="6">
        <f>HYPERLINK("http://www.eum.go.kr/web/ar/lu/luLandDet.jsp?pnu=3611036023104460001&amp;isNoScr=script&amp;mode=search",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330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맹지</t>
        </is>
      </c>
    </row>
    <row r="1040">
      <c r="A1040" s="3" t="inlineStr">
        <is>
          <t>연서면 성제리 448-5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25000</v>
      </c>
      <c r="G1040" s="4" t="n">
        <v>1213</v>
      </c>
      <c r="H1040" s="4" t="n">
        <v>367</v>
      </c>
      <c r="I1040" s="5" t="n">
        <v>68.09999999999999</v>
      </c>
      <c r="J1040" s="5" t="n">
        <v>53.2</v>
      </c>
      <c r="K1040" s="3" t="inlineStr">
        <is>
          <t>국가 산업 단지 근접투자 가치 용 토지</t>
        </is>
      </c>
      <c r="L1040" s="6">
        <f>HYPERLINK("https://fin.land.naver.com/articles/2649511861", "매물Link")</f>
        <v/>
      </c>
      <c r="M1040" s="6">
        <f>HYPERLINK("https://map.naver.com/p/search/연서면 성제리 448-5", "지도Link")</f>
        <v/>
      </c>
      <c r="N1040" s="6">
        <f>HYPERLINK("http://www.eum.go.kr/web/ar/lu/luLandDet.jsp?pnu=3611036023104480005&amp;isNoScr=script&amp;mode=search", "토지이음")</f>
        <v/>
      </c>
      <c r="O1040" s="3" t="inlineStr">
        <is>
          <t>현담</t>
        </is>
      </c>
      <c r="P1040" s="4" t="n">
        <v>1</v>
      </c>
      <c r="Q1040" s="4" t="n">
        <v>1213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452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76400</v>
      </c>
      <c r="G1041" s="4" t="n">
        <v>1259</v>
      </c>
      <c r="H1041" s="4" t="n">
        <v>381</v>
      </c>
      <c r="I1041" s="5" t="n">
        <v>200.5</v>
      </c>
      <c r="J1041" s="5" t="n">
        <v>62.7</v>
      </c>
      <c r="K1041" s="3" t="inlineStr">
        <is>
          <t>자연취락지구, 도로접 평탄농지, 전원형 활용 검토 유리</t>
        </is>
      </c>
      <c r="L1041" s="6">
        <f>HYPERLINK("https://fin.land.naver.com/articles/2648857594", "매물Link")</f>
        <v/>
      </c>
      <c r="M1041" s="6">
        <f>HYPERLINK("https://map.naver.com/p/search/연서면 성제리 452", "지도Link")</f>
        <v/>
      </c>
      <c r="N1041" s="6">
        <f>HYPERLINK("http://www.eum.go.kr/web/ar/lu/luLandDet.jsp?pnu=3611036023104520000&amp;isNoScr=script&amp;mode=search",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1261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455-8</t>
        </is>
      </c>
      <c r="B1042" s="3" t="inlineStr">
        <is>
          <t>계획관리지역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109000</v>
      </c>
      <c r="G1042" s="4" t="n">
        <v>1720</v>
      </c>
      <c r="H1042" s="4" t="n">
        <v>520</v>
      </c>
      <c r="I1042" s="5" t="n">
        <v>209.6</v>
      </c>
      <c r="J1042" s="5" t="n">
        <v>48.9</v>
      </c>
      <c r="K1042" s="3" t="inlineStr">
        <is>
          <t>계획관리 과수원배밭매매</t>
        </is>
      </c>
      <c r="L1042" s="6">
        <f>HYPERLINK("https://fin.land.naver.com/articles/2648813382", "매물Link")</f>
        <v/>
      </c>
      <c r="M1042" s="6">
        <f>HYPERLINK("https://map.naver.com/p/search/연서면 성제리 455-8", "지도Link")</f>
        <v/>
      </c>
      <c r="N1042" s="6">
        <f>HYPERLINK("http://www.eum.go.kr/web/ar/lu/luLandDet.jsp?pnu=3611036023104550008&amp;isNoScr=script&amp;mode=search",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1720</v>
      </c>
      <c r="R1042" s="3" t="inlineStr">
        <is>
          <t>보전관리지역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418</v>
      </c>
      <c r="H1043" s="4" t="n">
        <v>126</v>
      </c>
      <c r="I1043" s="5" t="n">
        <v>888.9</v>
      </c>
      <c r="J1043" s="5" t="n">
        <v>172</v>
      </c>
      <c r="K1043" s="3" t="inlineStr">
        <is>
          <t>현재132.16제곱음식점운영.인접2필지병행매매가합1204제곱.코너각지</t>
        </is>
      </c>
      <c r="L1043" s="6">
        <f>HYPERLINK("https://fin.land.naver.com/articles/2649411604",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돈방석</t>
        </is>
      </c>
      <c r="P1043" s="4" t="n">
        <v>2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1204</v>
      </c>
      <c r="H1044" s="4" t="n">
        <v>364</v>
      </c>
      <c r="I1044" s="5" t="n">
        <v>307.7</v>
      </c>
      <c r="J1044" s="5" t="n">
        <v>172</v>
      </c>
      <c r="K1044" s="3" t="inlineStr">
        <is>
          <t>상가건물있음,  성제네거리코너10m도로접합 계획관리지역 3필지일괄매매</t>
        </is>
      </c>
      <c r="L1044" s="6">
        <f>HYPERLINK("https://fin.land.naver.com/articles/2648410546",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길음(02-983-0110)</t>
        </is>
      </c>
      <c r="P1044" s="4" t="n">
        <v>1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77-1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310000</v>
      </c>
      <c r="G1045" s="4" t="n">
        <v>5153</v>
      </c>
      <c r="H1045" s="4" t="n">
        <v>1559</v>
      </c>
      <c r="I1045" s="5" t="n">
        <v>198.8</v>
      </c>
      <c r="J1045" s="5" t="n">
        <v>42.9</v>
      </c>
      <c r="K1045" s="3" t="inlineStr">
        <is>
          <t>성제리 도로접한 해 잘들어오는 계획관리 토지</t>
        </is>
      </c>
      <c r="L1045" s="6">
        <f>HYPERLINK("https://fin.land.naver.com/articles/2648593585", "매물Link")</f>
        <v/>
      </c>
      <c r="M1045" s="6">
        <f>HYPERLINK("https://map.naver.com/p/search/연서면 성제리 77-1", "지도Link")</f>
        <v/>
      </c>
      <c r="N1045" s="6">
        <f>HYPERLINK("http://www.eum.go.kr/web/ar/lu/luLandDet.jsp?pnu=3611036023100770001&amp;isNoScr=script&amp;mode=search", "토지이음")</f>
        <v/>
      </c>
      <c r="O1045" s="3" t="inlineStr">
        <is>
          <t>엄지척</t>
        </is>
      </c>
      <c r="P1045" s="4" t="n">
        <v>1</v>
      </c>
      <c r="Q1045" s="4" t="n">
        <v>4760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성제리 산 28-1</t>
        </is>
      </c>
      <c r="B1046" s="3" t="inlineStr">
        <is>
          <t>농림지역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215000</v>
      </c>
      <c r="G1046" s="4" t="n">
        <v>40562</v>
      </c>
      <c r="H1046" s="4" t="n">
        <v>12270</v>
      </c>
      <c r="I1046" s="5" t="n">
        <v>17.5</v>
      </c>
      <c r="J1046" s="5" t="n">
        <v>4.7</v>
      </c>
      <c r="K1046" s="3" t="inlineStr">
        <is>
          <t>연서면 성제리 농림지역, 일부 보전관리 임야, 조치원 인근</t>
        </is>
      </c>
      <c r="L1046" s="6">
        <f>HYPERLINK("https://fin.land.naver.com/articles/2645918265", "매물Link")</f>
        <v/>
      </c>
      <c r="M1046" s="6">
        <f>HYPERLINK("https://map.naver.com/p/search/연서면 성제리 산 28-1", "지도Link")</f>
        <v/>
      </c>
      <c r="N1046" s="6">
        <f>HYPERLINK("http://www.eum.go.kr/web/ar/lu/luLandDet.jsp?pnu=3611036023200280001&amp;isNoScr=script&amp;mode=search", "토지이음")</f>
        <v/>
      </c>
      <c r="O1046" s="3" t="inlineStr">
        <is>
          <t>스카이</t>
        </is>
      </c>
      <c r="P1046" s="4" t="n">
        <v>1</v>
      </c>
      <c r="Q1046" s="4" t="n">
        <v>40562</v>
      </c>
      <c r="R1046" s="3" t="inlineStr">
        <is>
          <t>보전관리지역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임야</t>
        </is>
      </c>
      <c r="L1047" s="6">
        <f>HYPERLINK("https://fin.land.naver.com/articles/2647749190",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신대리 115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35000</v>
      </c>
      <c r="G1048" s="4" t="n">
        <v>874</v>
      </c>
      <c r="H1048" s="4" t="n">
        <v>264</v>
      </c>
      <c r="I1048" s="5" t="n">
        <v>132.6</v>
      </c>
      <c r="J1048" s="5" t="n">
        <v>91.59999999999999</v>
      </c>
      <c r="K1048" s="3" t="inlineStr">
        <is>
          <t>연서면 신대리 계획관리 대지, 포장도로접, 조치원 국가산단 인근, 저렴</t>
        </is>
      </c>
      <c r="L1048" s="6">
        <f>HYPERLINK("https://fin.land.naver.com/articles/2647404519", "매물Link")</f>
        <v/>
      </c>
      <c r="M1048" s="6">
        <f>HYPERLINK("https://map.naver.com/p/search/연서면 신대리 115", "지도Link")</f>
        <v/>
      </c>
      <c r="N1048" s="6">
        <f>HYPERLINK("http://www.eum.go.kr/web/ar/lu/luLandDet.jsp?pnu=3611036029101150000&amp;isNoScr=script&amp;mode=search",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124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2324</v>
      </c>
      <c r="H1049" s="4" t="n">
        <v>703</v>
      </c>
      <c r="I1049" s="5" t="n">
        <v>170.7</v>
      </c>
      <c r="J1049" s="5" t="n">
        <v>50.2</v>
      </c>
      <c r="K1049" s="3" t="inlineStr">
        <is>
          <t>급매, 대토용, 투자용</t>
        </is>
      </c>
      <c r="L1049" s="6">
        <f>HYPERLINK("https://fin.land.naver.com/articles/2648500554", "매물Link")</f>
        <v/>
      </c>
      <c r="M1049" s="6">
        <f>HYPERLINK("https://map.naver.com/p/search/연서면 신대리 124", "지도Link")</f>
        <v/>
      </c>
      <c r="N1049" s="6">
        <f>HYPERLINK("http://www.eum.go.kr/web/ar/lu/luLandDet.jsp?pnu=3611036029101240000&amp;isNoScr=script&amp;mode=search",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2324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신대리 192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163000</v>
      </c>
      <c r="G1050" s="4" t="n">
        <v>2569</v>
      </c>
      <c r="H1050" s="4" t="n">
        <v>777</v>
      </c>
      <c r="I1050" s="5" t="n">
        <v>209.8</v>
      </c>
      <c r="J1050" s="5" t="n">
        <v>62</v>
      </c>
      <c r="K1050" s="3" t="inlineStr">
        <is>
          <t>계획관리지역, 성장관리구역, 도로접합, 세종국가산단인근</t>
        </is>
      </c>
      <c r="L1050" s="6">
        <f>HYPERLINK("https://fin.land.naver.com/articles/2650333044", "매물Link")</f>
        <v/>
      </c>
      <c r="M1050" s="6">
        <f>HYPERLINK("https://map.naver.com/p/search/연서면 신대리 192", "지도Link")</f>
        <v/>
      </c>
      <c r="N1050" s="6">
        <f>HYPERLINK("http://www.eum.go.kr/web/ar/lu/luLandDet.jsp?pnu=3611036029101920000&amp;isNoScr=script&amp;mode=search", "토지이음")</f>
        <v/>
      </c>
      <c r="O1050" s="3" t="inlineStr">
        <is>
          <t>세종일조</t>
        </is>
      </c>
      <c r="P1050" s="4" t="n">
        <v>1</v>
      </c>
      <c r="Q1050" s="4" t="n">
        <v>2569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30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63000</v>
      </c>
      <c r="G1051" s="4" t="n">
        <v>913</v>
      </c>
      <c r="H1051" s="4" t="n">
        <v>276</v>
      </c>
      <c r="I1051" s="5" t="n">
        <v>228.3</v>
      </c>
      <c r="J1051" s="5" t="n">
        <v>73.8</v>
      </c>
      <c r="K1051" s="3" t="inlineStr">
        <is>
          <t>세종산업단지 1km이내 계획관리지역, 자연취락지구 토지매매</t>
        </is>
      </c>
      <c r="L1051" s="6">
        <f>HYPERLINK("https://fin.land.naver.com/articles/2645514771", "매물Link")</f>
        <v/>
      </c>
      <c r="M1051" s="6">
        <f>HYPERLINK("https://map.naver.com/p/search/연서면 신대리 30", "지도Link")</f>
        <v/>
      </c>
      <c r="N1051" s="6">
        <f>HYPERLINK("http://www.eum.go.kr/web/ar/lu/luLandDet.jsp?pnu=3611036029100300000&amp;isNoScr=script&amp;mode=search", "토지이음")</f>
        <v/>
      </c>
      <c r="O1051" s="3" t="inlineStr">
        <is>
          <t>에이스</t>
        </is>
      </c>
      <c r="P1051" s="4" t="n">
        <v>1</v>
      </c>
      <c r="Q1051" s="4" t="n">
        <v>364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연서면 신대리 320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45800</v>
      </c>
      <c r="G1052" s="4" t="n">
        <v>2013</v>
      </c>
      <c r="H1052" s="4" t="n">
        <v>609</v>
      </c>
      <c r="I1052" s="5" t="n">
        <v>75.2</v>
      </c>
      <c r="J1052" s="5" t="n">
        <v>23.9</v>
      </c>
      <c r="K1052" s="3" t="inlineStr">
        <is>
          <t>투자하기 좋은 토지</t>
        </is>
      </c>
      <c r="L1052" s="6">
        <f>HYPERLINK("https://fin.land.naver.com/articles/2646792074", "매물Link")</f>
        <v/>
      </c>
      <c r="M1052" s="6">
        <f>HYPERLINK("https://map.naver.com/p/search/연서면 신대리 320", "지도Link")</f>
        <v/>
      </c>
      <c r="N1052" s="6">
        <f>HYPERLINK("http://www.eum.go.kr/web/ar/lu/luLandDet.jsp?pnu=3611036029103200000&amp;isNoScr=script&amp;mode=search", "토지이음")</f>
        <v/>
      </c>
      <c r="O1052" s="3" t="inlineStr">
        <is>
          <t>이로운 사무소</t>
        </is>
      </c>
      <c r="P1052" s="4" t="n">
        <v>1</v>
      </c>
      <c r="Q1052" s="4" t="n">
        <v>2013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323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600000</v>
      </c>
      <c r="G1053" s="4" t="n">
        <v>10277</v>
      </c>
      <c r="H1053" s="4" t="n">
        <v>3109</v>
      </c>
      <c r="I1053" s="5" t="n">
        <v>193</v>
      </c>
      <c r="J1053" s="5" t="n">
        <v>22.7</v>
      </c>
      <c r="K1053" s="3" t="inlineStr">
        <is>
          <t>귀한 연서면 토지이며 인접한 3필지 일괄 매매.분할매도가능</t>
        </is>
      </c>
      <c r="L1053" s="6">
        <f>HYPERLINK("https://fin.land.naver.com/articles/2646723486", "매물Link")</f>
        <v/>
      </c>
      <c r="M1053" s="6">
        <f>HYPERLINK("https://map.naver.com/p/search/연서면 신대리 323", "지도Link")</f>
        <v/>
      </c>
      <c r="N1053" s="6">
        <f>HYPERLINK("http://www.eum.go.kr/web/ar/lu/luLandDet.jsp?pnu=3611036029103230000&amp;isNoScr=script&amp;mode=search", "토지이음")</f>
        <v/>
      </c>
      <c r="O1053" s="3" t="inlineStr">
        <is>
          <t>생생</t>
        </is>
      </c>
      <c r="P1053" s="4" t="n">
        <v>1</v>
      </c>
      <c r="Q1053" s="4" t="n">
        <v>2188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327-5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22500</v>
      </c>
      <c r="G1054" s="4" t="n">
        <v>941</v>
      </c>
      <c r="H1054" s="4" t="n">
        <v>285</v>
      </c>
      <c r="I1054" s="5" t="n">
        <v>78.90000000000001</v>
      </c>
      <c r="J1054" s="5" t="n">
        <v>17.8</v>
      </c>
      <c r="K1054" s="3" t="inlineStr">
        <is>
          <t>국가산단예정지 인접,전원생활과 미래가치를 동시에</t>
        </is>
      </c>
      <c r="L1054" s="6">
        <f>HYPERLINK("https://fin.land.naver.com/articles/2648185485", "매물Link")</f>
        <v/>
      </c>
      <c r="M1054" s="6">
        <f>HYPERLINK("https://map.naver.com/p/search/연서면 신대리 327-5", "지도Link")</f>
        <v/>
      </c>
      <c r="N1054" s="6">
        <f>HYPERLINK("http://www.eum.go.kr/web/ar/lu/luLandDet.jsp?pnu=3611036029103270005&amp;isNoScr=script&amp;mode=search", "토지이음")</f>
        <v/>
      </c>
      <c r="O1054" s="3" t="inlineStr">
        <is>
          <t>가치잇는</t>
        </is>
      </c>
      <c r="P1054" s="4" t="n">
        <v>1</v>
      </c>
      <c r="Q1054" s="4" t="n">
        <v>757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연서면 신대리 365-3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58000</v>
      </c>
      <c r="G1055" s="4" t="n">
        <v>1927</v>
      </c>
      <c r="H1055" s="4" t="n">
        <v>583</v>
      </c>
      <c r="I1055" s="5" t="n">
        <v>99.5</v>
      </c>
      <c r="J1055" s="5" t="n">
        <v>47.8</v>
      </c>
      <c r="K1055" s="3" t="inlineStr">
        <is>
          <t>연서면 신대리에 있는 계획관리지역 대지 3필지를 일괄 매매합니다</t>
        </is>
      </c>
      <c r="L1055" s="6">
        <f>HYPERLINK("https://fin.land.naver.com/articles/2650207850", "매물Link")</f>
        <v/>
      </c>
      <c r="M1055" s="6">
        <f>HYPERLINK("https://map.naver.com/p/search/연서면 신대리 365-3", "지도Link")</f>
        <v/>
      </c>
      <c r="N1055" s="6">
        <f>HYPERLINK("http://www.eum.go.kr/web/ar/lu/luLandDet.jsp?pnu=3611036029103650003&amp;isNoScr=script&amp;mode=search",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853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29700</v>
      </c>
      <c r="G1056" s="4" t="n">
        <v>678</v>
      </c>
      <c r="H1056" s="4" t="n">
        <v>205</v>
      </c>
      <c r="I1056" s="5" t="n">
        <v>144.9</v>
      </c>
      <c r="J1056" s="5" t="n">
        <v>66.59999999999999</v>
      </c>
      <c r="K1056" s="3" t="inlineStr">
        <is>
          <t>고복저수지인근 전원주택 단지 교통편리</t>
        </is>
      </c>
      <c r="L1056" s="6">
        <f>HYPERLINK("https://fin.land.naver.com/articles/2648855823",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30000</v>
      </c>
      <c r="G1057" s="4" t="n">
        <v>720</v>
      </c>
      <c r="H1057" s="4" t="n">
        <v>218</v>
      </c>
      <c r="I1057" s="5" t="n">
        <v>137.6</v>
      </c>
      <c r="J1057" s="5" t="n">
        <v>66.59999999999999</v>
      </c>
      <c r="K1057" s="3" t="inlineStr">
        <is>
          <t>고복저수지근처 지목대지 건축 허가 가능.</t>
        </is>
      </c>
      <c r="L1057" s="6">
        <f>HYPERLINK("https://fin.land.naver.com/articles/2650858228",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57000</v>
      </c>
      <c r="G1058" s="4" t="n">
        <v>582</v>
      </c>
      <c r="H1058" s="4" t="n">
        <v>176</v>
      </c>
      <c r="I1058" s="5" t="n">
        <v>323.9</v>
      </c>
      <c r="J1058" s="5" t="n">
        <v>66.59999999999999</v>
      </c>
      <c r="K1058" s="3" t="inlineStr">
        <is>
          <t>nan</t>
        </is>
      </c>
      <c r="L1058" s="6">
        <f>HYPERLINK("https://fin.land.naver.com/articles/2648579809",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대한민국</t>
        </is>
      </c>
      <c r="P1058" s="4" t="n">
        <v>2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412-25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26000</v>
      </c>
      <c r="G1059" s="4" t="n">
        <v>662</v>
      </c>
      <c r="H1059" s="4" t="n">
        <v>200</v>
      </c>
      <c r="I1059" s="5" t="n">
        <v>130</v>
      </c>
      <c r="J1059" s="5" t="n">
        <v>66.59999999999999</v>
      </c>
      <c r="K1059" s="3" t="inlineStr">
        <is>
          <t>고복저수지근처 로얄빌리지 네모반듯한대지 오수,우수,정화조,수도기반시설완료</t>
        </is>
      </c>
      <c r="L1059" s="6">
        <f>HYPERLINK("https://fin.land.naver.com/articles/2650392071", "매물Link")</f>
        <v/>
      </c>
      <c r="M1059" s="6">
        <f>HYPERLINK("https://map.naver.com/p/search/연서면 신대리 412-25", "지도Link")</f>
        <v/>
      </c>
      <c r="N1059" s="6">
        <f>HYPERLINK("http://www.eum.go.kr/web/ar/lu/luLandDet.jsp?pnu=3611036029104120025&amp;isNoScr=script&amp;mode=search", "토지이음")</f>
        <v/>
      </c>
      <c r="O1059" s="3" t="inlineStr">
        <is>
          <t>담뜰</t>
        </is>
      </c>
      <c r="P1059" s="4" t="n">
        <v>2</v>
      </c>
      <c r="Q1059" s="4" t="n">
        <v>542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신대리 412-28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24000</v>
      </c>
      <c r="G1060" s="4" t="n">
        <v>563</v>
      </c>
      <c r="H1060" s="4" t="n">
        <v>170</v>
      </c>
      <c r="I1060" s="5" t="n">
        <v>141.2</v>
      </c>
      <c r="J1060" s="5" t="n">
        <v>66.59999999999999</v>
      </c>
      <c r="K1060" s="3" t="inlineStr">
        <is>
          <t>nan</t>
        </is>
      </c>
      <c r="L1060" s="6">
        <f>HYPERLINK("https://fin.land.naver.com/articles/2646534350", "매물Link")</f>
        <v/>
      </c>
      <c r="M1060" s="6">
        <f>HYPERLINK("https://map.naver.com/p/search/연서면 신대리 412-28", "지도Link")</f>
        <v/>
      </c>
      <c r="N1060" s="6">
        <f>HYPERLINK("http://www.eum.go.kr/web/ar/lu/luLandDet.jsp?pnu=3611036029104120028&amp;isNoScr=script&amp;mode=search", "토지이음")</f>
        <v/>
      </c>
      <c r="O1060" s="3" t="inlineStr">
        <is>
          <t>은성</t>
        </is>
      </c>
      <c r="P1060" s="4" t="n">
        <v>1</v>
      </c>
      <c r="Q1060" s="4" t="n">
        <v>563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447-3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20000</v>
      </c>
      <c r="G1061" s="4" t="n">
        <v>1316</v>
      </c>
      <c r="H1061" s="4" t="n">
        <v>398</v>
      </c>
      <c r="I1061" s="5" t="n">
        <v>50.3</v>
      </c>
      <c r="J1061" s="5" t="n">
        <v>39.3</v>
      </c>
      <c r="K1061" s="3" t="inlineStr">
        <is>
          <t>nan</t>
        </is>
      </c>
      <c r="L1061" s="6">
        <f>HYPERLINK("https://fin.land.naver.com/articles/2648596717", "매물Link")</f>
        <v/>
      </c>
      <c r="M1061" s="6">
        <f>HYPERLINK("https://map.naver.com/p/search/연서면 신대리 447-3", "지도Link")</f>
        <v/>
      </c>
      <c r="N1061" s="6">
        <f>HYPERLINK("http://www.eum.go.kr/web/ar/lu/luLandDet.jsp?pnu=3611036029104470003&amp;isNoScr=script&amp;mode=search", "토지이음")</f>
        <v/>
      </c>
      <c r="O1061" s="3" t="inlineStr">
        <is>
          <t>효성</t>
        </is>
      </c>
      <c r="P1061" s="4" t="n">
        <v>1</v>
      </c>
      <c r="Q1061" s="4" t="n">
        <v>1316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신대리 454-4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</v>
      </c>
      <c r="G1062" s="4" t="n">
        <v>1121</v>
      </c>
      <c r="H1062" s="4" t="n">
        <v>339</v>
      </c>
      <c r="I1062" s="5" t="n">
        <v>91.40000000000001</v>
      </c>
      <c r="J1062" s="5" t="n">
        <v>22.9</v>
      </c>
      <c r="K1062" s="3" t="inlineStr">
        <is>
          <t>고복 저수지와 전원 마을 단지 사이 신대리 토지매매</t>
        </is>
      </c>
      <c r="L1062" s="6">
        <f>HYPERLINK("https://fin.land.naver.com/articles/2651085963", "매물Link")</f>
        <v/>
      </c>
      <c r="M1062" s="6">
        <f>HYPERLINK("https://map.naver.com/p/search/연서면 신대리 454-4", "지도Link")</f>
        <v/>
      </c>
      <c r="N1062" s="6">
        <f>HYPERLINK("http://www.eum.go.kr/web/ar/lu/luLandDet.jsp?pnu=3611036029104540004&amp;isNoScr=script&amp;mode=search",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신대리 456-2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39800</v>
      </c>
      <c r="G1063" s="4" t="n">
        <v>2632</v>
      </c>
      <c r="H1063" s="4" t="n">
        <v>796</v>
      </c>
      <c r="I1063" s="5" t="n">
        <v>50</v>
      </c>
      <c r="J1063" s="5" t="n">
        <v>22.9</v>
      </c>
      <c r="K1063" s="3" t="inlineStr">
        <is>
          <t>nan</t>
        </is>
      </c>
      <c r="L1063" s="6">
        <f>HYPERLINK("https://fin.land.naver.com/articles/2648596996", "매물Link")</f>
        <v/>
      </c>
      <c r="M1063" s="6">
        <f>HYPERLINK("https://map.naver.com/p/search/연서면 신대리 456-2", "지도Link")</f>
        <v/>
      </c>
      <c r="N1063" s="6">
        <f>HYPERLINK("http://www.eum.go.kr/web/ar/lu/luLandDet.jsp?pnu=3611036029104560002&amp;isNoScr=script&amp;mode=search",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2632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신대리 458-1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427000</v>
      </c>
      <c r="G1064" s="4" t="n">
        <v>10463</v>
      </c>
      <c r="H1064" s="4" t="n">
        <v>3165</v>
      </c>
      <c r="I1064" s="5" t="n">
        <v>134.9</v>
      </c>
      <c r="J1064" s="5" t="n">
        <v>63.8</v>
      </c>
      <c r="K1064" s="3" t="inlineStr">
        <is>
          <t>세종 국가산단 인근 가치 상승지역 토지 매매</t>
        </is>
      </c>
      <c r="L1064" s="6">
        <f>HYPERLINK("https://fin.land.naver.com/articles/2648383274", "매물Link")</f>
        <v/>
      </c>
      <c r="M1064" s="6">
        <f>HYPERLINK("https://map.naver.com/p/search/연서면 신대리 458-1", "지도Link")</f>
        <v/>
      </c>
      <c r="N1064" s="6">
        <f>HYPERLINK("http://www.eum.go.kr/web/ar/lu/luLandDet.jsp?pnu=3611036029104580001&amp;isNoScr=script&amp;mode=search", "토지이음")</f>
        <v/>
      </c>
      <c r="O1064" s="3" t="inlineStr">
        <is>
          <t>세종비전행정사</t>
        </is>
      </c>
      <c r="P1064" s="4" t="n">
        <v>1</v>
      </c>
      <c r="Q1064" s="4" t="n">
        <v>4780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469-44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41800</v>
      </c>
      <c r="G1065" s="4" t="n">
        <v>540</v>
      </c>
      <c r="H1065" s="4" t="n">
        <v>163</v>
      </c>
      <c r="I1065" s="5" t="n">
        <v>256.4</v>
      </c>
      <c r="J1065" s="5" t="n">
        <v>66</v>
      </c>
      <c r="K1065" s="3" t="inlineStr">
        <is>
          <t>남향,전원주택지추천,계획관리,고복저수지인접</t>
        </is>
      </c>
      <c r="L1065" s="6">
        <f>HYPERLINK("https://fin.land.naver.com/articles/2647028639", "매물Link")</f>
        <v/>
      </c>
      <c r="M1065" s="6">
        <f>HYPERLINK("https://map.naver.com/p/search/연서면 신대리 469-44", "지도Link")</f>
        <v/>
      </c>
      <c r="N1065" s="6">
        <f>HYPERLINK("http://www.eum.go.kr/web/ar/lu/luLandDet.jsp?pnu=3611036029104690044&amp;isNoScr=script&amp;mode=search", "토지이음")</f>
        <v/>
      </c>
      <c r="O1065" s="3" t="inlineStr">
        <is>
          <t>따뜻한</t>
        </is>
      </c>
      <c r="P1065" s="4" t="n">
        <v>1</v>
      </c>
      <c r="Q1065" s="4" t="n">
        <v>540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49-9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60000</v>
      </c>
      <c r="G1066" s="4" t="n">
        <v>2512</v>
      </c>
      <c r="H1066" s="4" t="n">
        <v>760</v>
      </c>
      <c r="I1066" s="5" t="n">
        <v>78.90000000000001</v>
      </c>
      <c r="J1066" s="5" t="n">
        <v>31.4</v>
      </c>
      <c r="K1066" s="3" t="inlineStr">
        <is>
          <t>nan</t>
        </is>
      </c>
      <c r="L1066" s="6">
        <f>HYPERLINK("https://fin.land.naver.com/articles/2649736710", "매물Link")</f>
        <v/>
      </c>
      <c r="M1066" s="6">
        <f>HYPERLINK("https://map.naver.com/p/search/연서면 신대리 49-9", "지도Link")</f>
        <v/>
      </c>
      <c r="N1066" s="6">
        <f>HYPERLINK("http://www.eum.go.kr/web/ar/lu/luLandDet.jsp?pnu=3611036029100490009&amp;isNoScr=script&amp;mode=search",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2512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49-9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</v>
      </c>
      <c r="G1067" s="4" t="n">
        <v>2512</v>
      </c>
      <c r="H1067" s="4" t="n">
        <v>760</v>
      </c>
      <c r="I1067" s="5" t="n">
        <v>78.90000000000001</v>
      </c>
      <c r="J1067" s="5" t="n">
        <v>31.4</v>
      </c>
      <c r="K1067" s="3" t="inlineStr">
        <is>
          <t>투자 위치 좋은 신대리 토지 추천</t>
        </is>
      </c>
      <c r="L1067" s="6">
        <f>HYPERLINK("https://fin.land.naver.com/articles/2645963615", "매물Link")</f>
        <v/>
      </c>
      <c r="M1067" s="6">
        <f>HYPERLINK("https://map.naver.com/p/search/연서면 신대리 49-9", "지도Link")</f>
        <v/>
      </c>
      <c r="N1067" s="6">
        <f>HYPERLINK("http://www.eum.go.kr/web/ar/lu/luLandDet.jsp?pnu=3611036029100490009&amp;isNoScr=script&amp;mode=search",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2512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세로한면(가)</t>
        </is>
      </c>
    </row>
    <row r="1068">
      <c r="A1068" s="3" t="inlineStr">
        <is>
          <t>연서면 신대리 537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대</t>
        </is>
      </c>
      <c r="E1068" s="3" t="inlineStr">
        <is>
          <t>매매</t>
        </is>
      </c>
      <c r="F1068" s="4" t="n">
        <v>60350</v>
      </c>
      <c r="G1068" s="4" t="n">
        <v>1147</v>
      </c>
      <c r="H1068" s="4" t="n">
        <v>347</v>
      </c>
      <c r="I1068" s="5" t="n">
        <v>173.9</v>
      </c>
      <c r="J1068" s="5" t="n">
        <v>38.1</v>
      </c>
      <c r="K1068" s="3" t="inlineStr">
        <is>
          <t>2차선도로에 접해있으며 인접 도로 여건이 양호</t>
        </is>
      </c>
      <c r="L1068" s="6">
        <f>HYPERLINK("https://fin.land.naver.com/articles/2648621797", "매물Link")</f>
        <v/>
      </c>
      <c r="M1068" s="6">
        <f>HYPERLINK("https://map.naver.com/p/search/연서면 신대리 537", "지도Link")</f>
        <v/>
      </c>
      <c r="N1068" s="6">
        <f>HYPERLINK("http://www.eum.go.kr/web/ar/lu/luLandDet.jsp?pnu=3611036029105370000&amp;isNoScr=script&amp;mode=search", "토지이음")</f>
        <v/>
      </c>
      <c r="O1068" s="3" t="inlineStr">
        <is>
          <t>더KEY</t>
        </is>
      </c>
      <c r="P1068" s="4" t="n">
        <v>1</v>
      </c>
      <c r="Q1068" s="4" t="n">
        <v>1174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연서면 신대리 75-1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120000</v>
      </c>
      <c r="G1069" s="4" t="n">
        <v>4973</v>
      </c>
      <c r="H1069" s="4" t="n">
        <v>1504</v>
      </c>
      <c r="I1069" s="5" t="n">
        <v>79.8</v>
      </c>
      <c r="J1069" s="5" t="n">
        <v>31.7</v>
      </c>
      <c r="K1069" s="3" t="inlineStr">
        <is>
          <t>연서면 국가 산단 인근 2차선접한 토지 급매</t>
        </is>
      </c>
      <c r="L1069" s="6">
        <f>HYPERLINK("https://fin.land.naver.com/articles/2648418688", "매물Link")</f>
        <v/>
      </c>
      <c r="M1069" s="6">
        <f>HYPERLINK("https://map.naver.com/p/search/연서면 신대리 75-1", "지도Link")</f>
        <v/>
      </c>
      <c r="N1069" s="6">
        <f>HYPERLINK("http://www.eum.go.kr/web/ar/lu/luLandDet.jsp?pnu=3611036029100750001&amp;isNoScr=script&amp;mode=search", "토지이음")</f>
        <v/>
      </c>
      <c r="O1069" s="3" t="inlineStr">
        <is>
          <t>(주)경진컨설팅</t>
        </is>
      </c>
      <c r="P1069" s="4" t="n">
        <v>1</v>
      </c>
      <c r="Q1069" s="4" t="n">
        <v>1928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75-1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43700</v>
      </c>
      <c r="G1070" s="4" t="n">
        <v>1928</v>
      </c>
      <c r="H1070" s="4" t="n">
        <v>583</v>
      </c>
      <c r="I1070" s="5" t="n">
        <v>75</v>
      </c>
      <c r="J1070" s="5" t="n">
        <v>31.7</v>
      </c>
      <c r="K1070" s="3" t="inlineStr">
        <is>
          <t>2차선 도로에 접해 있는 세종 스마트 산업단지 인근의 투자용 토지</t>
        </is>
      </c>
      <c r="L1070" s="6">
        <f>HYPERLINK("https://fin.land.naver.com/articles/2647006031", "매물Link")</f>
        <v/>
      </c>
      <c r="M1070" s="6">
        <f>HYPERLINK("https://map.naver.com/p/search/연서면 신대리 75-1", "지도Link")</f>
        <v/>
      </c>
      <c r="N1070" s="6">
        <f>HYPERLINK("http://www.eum.go.kr/web/ar/lu/luLandDet.jsp?pnu=3611036029100750001&amp;isNoScr=script&amp;mode=search", "토지이음")</f>
        <v/>
      </c>
      <c r="O1070" s="3" t="inlineStr">
        <is>
          <t>스마일세종</t>
        </is>
      </c>
      <c r="P1070" s="4" t="n">
        <v>2</v>
      </c>
      <c r="Q1070" s="4" t="n">
        <v>1928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신대리 75-2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69000</v>
      </c>
      <c r="G1071" s="4" t="n">
        <v>3045</v>
      </c>
      <c r="H1071" s="4" t="n">
        <v>921</v>
      </c>
      <c r="I1071" s="5" t="n">
        <v>74.90000000000001</v>
      </c>
      <c r="J1071" s="5" t="n">
        <v>31.7</v>
      </c>
      <c r="K1071" s="3" t="inlineStr">
        <is>
          <t>세종 스마트 국가산업단지가 예정 돼 있어 향후 투자가치가 높은 토지입니다</t>
        </is>
      </c>
      <c r="L1071" s="6">
        <f>HYPERLINK("https://fin.land.naver.com/articles/2649560776", "매물Link")</f>
        <v/>
      </c>
      <c r="M1071" s="6">
        <f>HYPERLINK("https://map.naver.com/p/search/연서면 신대리 75-2", "지도Link")</f>
        <v/>
      </c>
      <c r="N1071" s="6">
        <f>HYPERLINK("http://www.eum.go.kr/web/ar/lu/luLandDet.jsp?pnu=3611036029100750002&amp;isNoScr=script&amp;mode=search",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3045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세로한면(가)</t>
        </is>
      </c>
    </row>
    <row r="1072">
      <c r="A1072" s="3" t="inlineStr">
        <is>
          <t>연서면 신대리 92-1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54200</v>
      </c>
      <c r="G1072" s="4" t="n">
        <v>896</v>
      </c>
      <c r="H1072" s="4" t="n">
        <v>271</v>
      </c>
      <c r="I1072" s="5" t="n">
        <v>200</v>
      </c>
      <c r="J1072" s="5" t="n">
        <v>55.6</v>
      </c>
      <c r="K1072" s="3" t="inlineStr">
        <is>
          <t>세종국가산단 3km이내 계획관리지역 토지매매</t>
        </is>
      </c>
      <c r="L1072" s="6">
        <f>HYPERLINK("https://fin.land.naver.com/articles/2647596631", "매물Link")</f>
        <v/>
      </c>
      <c r="M1072" s="6">
        <f>HYPERLINK("https://map.naver.com/p/search/연서면 신대리 92-1", "지도Link")</f>
        <v/>
      </c>
      <c r="N1072" s="6">
        <f>HYPERLINK("http://www.eum.go.kr/web/ar/lu/luLandDet.jsp?pnu=3611036029100920001&amp;isNoScr=script&amp;mode=search", "토지이음")</f>
        <v/>
      </c>
      <c r="O1072" s="3" t="inlineStr">
        <is>
          <t>에이스</t>
        </is>
      </c>
      <c r="P1072" s="4" t="n">
        <v>1</v>
      </c>
      <c r="Q1072" s="4" t="n">
        <v>896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산100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75000</v>
      </c>
      <c r="G1073" s="4" t="n">
        <v>6645</v>
      </c>
      <c r="H1073" s="4" t="n">
        <v>2010</v>
      </c>
      <c r="I1073" s="5" t="n">
        <v>37.3</v>
      </c>
      <c r="J1073" s="5" t="n">
        <v>8.5</v>
      </c>
      <c r="K1073" s="3" t="inlineStr">
        <is>
          <t>해구토말형 임야,귀한 명당 자리</t>
        </is>
      </c>
      <c r="L1073" s="6">
        <f>HYPERLINK("https://fin.land.naver.com/articles/2645984384", "매물Link")</f>
        <v/>
      </c>
      <c r="M1073" s="6">
        <f>HYPERLINK("https://map.naver.com/p/search/연서면 신대리 산100", "지도Link")</f>
        <v/>
      </c>
      <c r="N1073" s="6">
        <f>HYPERLINK("http://www.eum.go.kr/web/ar/lu/luLandDet.jsp?pnu=3611036029201000000&amp;isNoScr=script&amp;mode=search", "토지이음")</f>
        <v/>
      </c>
      <c r="O1073" s="3" t="inlineStr">
        <is>
          <t>가치잇는</t>
        </is>
      </c>
      <c r="P1073" s="4" t="n">
        <v>1</v>
      </c>
      <c r="Q1073" s="4" t="n">
        <v>6645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신대리 산19-5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197000</v>
      </c>
      <c r="G1074" s="4" t="n">
        <v>8142</v>
      </c>
      <c r="H1074" s="4" t="n">
        <v>2463</v>
      </c>
      <c r="I1074" s="5" t="n">
        <v>80</v>
      </c>
      <c r="J1074" s="5" t="n">
        <v>4.6</v>
      </c>
      <c r="K1074" s="3" t="inlineStr">
        <is>
          <t>전원주택및다용도</t>
        </is>
      </c>
      <c r="L1074" s="6">
        <f>HYPERLINK("https://fin.land.naver.com/articles/2649186499", "매물Link")</f>
        <v/>
      </c>
      <c r="M1074" s="6">
        <f>HYPERLINK("https://map.naver.com/p/search/연서면 신대리 산19-5", "지도Link")</f>
        <v/>
      </c>
      <c r="N1074" s="6">
        <f>HYPERLINK("http://www.eum.go.kr/web/ar/lu/luLandDet.jsp?pnu=3611036029200190005&amp;isNoScr=script&amp;mode=search",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8142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신대리 산54-1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130000</v>
      </c>
      <c r="G1075" s="4" t="n">
        <v>6171</v>
      </c>
      <c r="H1075" s="4" t="n">
        <v>1867</v>
      </c>
      <c r="I1075" s="5" t="n">
        <v>69.59999999999999</v>
      </c>
      <c r="J1075" s="5" t="n">
        <v>4.7</v>
      </c>
      <c r="K1075" s="3" t="inlineStr">
        <is>
          <t>국가산단옆,취락지구,계획관리포함됨,도로접, 가격조정가.</t>
        </is>
      </c>
      <c r="L1075" s="6">
        <f>HYPERLINK("https://fin.land.naver.com/articles/2649391412", "매물Link")</f>
        <v/>
      </c>
      <c r="M1075" s="6">
        <f>HYPERLINK("https://map.naver.com/p/search/연서면 신대리 산54-1", "지도Link")</f>
        <v/>
      </c>
      <c r="N1075" s="6">
        <f>HYPERLINK("http://www.eum.go.kr/web/ar/lu/luLandDet.jsp?pnu=3611036029200540001&amp;isNoScr=script&amp;mode=search", "토지이음")</f>
        <v/>
      </c>
      <c r="O1075" s="3" t="inlineStr">
        <is>
          <t>카톡</t>
        </is>
      </c>
      <c r="P1075" s="4" t="n">
        <v>1</v>
      </c>
      <c r="Q1075" s="4" t="n">
        <v>5455</v>
      </c>
      <c r="R1075" s="3" t="inlineStr">
        <is>
          <t>계획관리지역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신대리 산64-13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185400</v>
      </c>
      <c r="G1076" s="4" t="n">
        <v>3064</v>
      </c>
      <c r="H1076" s="4" t="n">
        <v>927</v>
      </c>
      <c r="I1076" s="5" t="n">
        <v>200</v>
      </c>
      <c r="J1076" s="5" t="n">
        <v>6.6</v>
      </c>
      <c r="K1076" s="3" t="inlineStr">
        <is>
          <t>연서면 신대리 토지 매매</t>
        </is>
      </c>
      <c r="L1076" s="6">
        <f>HYPERLINK("https://fin.land.naver.com/articles/2646756083", "매물Link")</f>
        <v/>
      </c>
      <c r="M1076" s="6">
        <f>HYPERLINK("https://map.naver.com/p/search/연서면 신대리 산64-13", "지도Link")</f>
        <v/>
      </c>
      <c r="N1076" s="6">
        <f>HYPERLINK("http://www.eum.go.kr/web/ar/lu/luLandDet.jsp?pnu=3611036029200640013&amp;isNoScr=script&amp;mode=search", "토지이음")</f>
        <v/>
      </c>
      <c r="O1076" s="3" t="inlineStr">
        <is>
          <t>주식회사넥서스</t>
        </is>
      </c>
      <c r="P1076" s="4" t="n">
        <v>1</v>
      </c>
      <c r="Q1076" s="4" t="n">
        <v>3064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산64-15</t>
        </is>
      </c>
      <c r="B1077" s="3" t="inlineStr">
        <is>
          <t>계획관리지역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67000</v>
      </c>
      <c r="G1077" s="4" t="n">
        <v>1395</v>
      </c>
      <c r="H1077" s="4" t="n">
        <v>422</v>
      </c>
      <c r="I1077" s="5" t="n">
        <v>158.8</v>
      </c>
      <c r="J1077" s="5" t="n">
        <v>45.6</v>
      </c>
      <c r="K1077" s="3" t="inlineStr">
        <is>
          <t>계획관리 네모 반듯한 임야. 주택 근생 공장 창고 가능 넓은 도로</t>
        </is>
      </c>
      <c r="L1077" s="6">
        <f>HYPERLINK("https://fin.land.naver.com/articles/2645603303", "매물Link")</f>
        <v/>
      </c>
      <c r="M1077" s="6">
        <f>HYPERLINK("https://map.naver.com/p/search/연서면 신대리 산64-15", "지도Link")</f>
        <v/>
      </c>
      <c r="N1077" s="6">
        <f>HYPERLINK("http://www.eum.go.kr/web/ar/lu/luLandDet.jsp?pnu=3611036029200640015&amp;isNoScr=script&amp;mode=search",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1304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쌍류리 101-10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18000</v>
      </c>
      <c r="G1078" s="4" t="n">
        <v>447</v>
      </c>
      <c r="H1078" s="4" t="n">
        <v>135</v>
      </c>
      <c r="I1078" s="5" t="n">
        <v>133.3</v>
      </c>
      <c r="J1078" s="5" t="n">
        <v>31.2</v>
      </c>
      <c r="K1078" s="3" t="inlineStr">
        <is>
          <t>도로지분 포함, 전원생활,귀농,주말농장 검토 가능한 소형 과수원</t>
        </is>
      </c>
      <c r="L1078" s="6">
        <f>HYPERLINK("https://fin.land.naver.com/articles/2646380838", "매물Link")</f>
        <v/>
      </c>
      <c r="M1078" s="6">
        <f>HYPERLINK("https://map.naver.com/p/search/연서면 쌍류리 101-10", "지도Link")</f>
        <v/>
      </c>
      <c r="N1078" s="6">
        <f>HYPERLINK("http://www.eum.go.kr/web/ar/lu/luLandDet.jsp?pnu=3611036026101010010&amp;isNoScr=script&amp;mode=search",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413</v>
      </c>
      <c r="R1078" s="3" t="inlineStr">
        <is>
          <t>지정되지않음</t>
        </is>
      </c>
      <c r="S1078" s="3" t="inlineStr">
        <is>
          <t>전기타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101-10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</v>
      </c>
      <c r="G1079" s="4" t="n">
        <v>413</v>
      </c>
      <c r="H1079" s="4" t="n">
        <v>125</v>
      </c>
      <c r="I1079" s="5" t="n">
        <v>128</v>
      </c>
      <c r="J1079" s="5" t="n">
        <v>31.2</v>
      </c>
      <c r="K1079" s="3" t="inlineStr">
        <is>
          <t>체류형쉼터강추,도로접,국유지사용가,도로지분33제곱별도면적포함가</t>
        </is>
      </c>
      <c r="L1079" s="6">
        <f>HYPERLINK("https://fin.land.naver.com/articles/2648103313", "매물Link")</f>
        <v/>
      </c>
      <c r="M1079" s="6">
        <f>HYPERLINK("https://map.naver.com/p/search/연서면 쌍류리 101-10", "지도Link")</f>
        <v/>
      </c>
      <c r="N1079" s="6">
        <f>HYPERLINK("http://www.eum.go.kr/web/ar/lu/luLandDet.jsp?pnu=3611036026101010010&amp;isNoScr=script&amp;mode=search",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413</v>
      </c>
      <c r="R1079" s="3" t="inlineStr">
        <is>
          <t>지정되지않음</t>
        </is>
      </c>
      <c r="S1079" s="3" t="inlineStr">
        <is>
          <t>전기타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쌍류리 101-15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20000</v>
      </c>
      <c r="G1080" s="4" t="n">
        <v>417</v>
      </c>
      <c r="H1080" s="4" t="n">
        <v>126</v>
      </c>
      <c r="I1080" s="5" t="n">
        <v>158.7</v>
      </c>
      <c r="J1080" s="5" t="n">
        <v>31.2</v>
      </c>
      <c r="K1080" s="3" t="inlineStr">
        <is>
          <t>고복저수지 끝자락  나만의 힐링 텃밭 조성 가능,  농막, 정화조 있음</t>
        </is>
      </c>
      <c r="L1080" s="6">
        <f>HYPERLINK("https://fin.land.naver.com/articles/2647651356", "매물Link")</f>
        <v/>
      </c>
      <c r="M1080" s="6">
        <f>HYPERLINK("https://map.naver.com/p/search/연서면 쌍류리 101-15", "지도Link")</f>
        <v/>
      </c>
      <c r="N1080" s="6">
        <f>HYPERLINK("http://www.eum.go.kr/web/ar/lu/luLandDet.jsp?pnu=3611036026101010015&amp;isNoScr=script&amp;mode=search", "토지이음")</f>
        <v/>
      </c>
      <c r="O1080" s="3" t="inlineStr">
        <is>
          <t>현담</t>
        </is>
      </c>
      <c r="P1080" s="4" t="n">
        <v>1</v>
      </c>
      <c r="Q1080" s="4" t="n">
        <v>417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106-1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56000</v>
      </c>
      <c r="G1081" s="4" t="n">
        <v>1475</v>
      </c>
      <c r="H1081" s="4" t="n">
        <v>446</v>
      </c>
      <c r="I1081" s="5" t="n">
        <v>125.6</v>
      </c>
      <c r="J1081" s="5" t="n">
        <v>31.8</v>
      </c>
      <c r="K1081" s="3" t="inlineStr">
        <is>
          <t>연서면 세종국가산단 인근지, 고복유원지 500m, 2차선 국도 확장 예정</t>
        </is>
      </c>
      <c r="L1081" s="6">
        <f>HYPERLINK("https://fin.land.naver.com/articles/2648088515", "매물Link")</f>
        <v/>
      </c>
      <c r="M1081" s="6">
        <f>HYPERLINK("https://map.naver.com/p/search/연서면 쌍류리 106-1", "지도Link")</f>
        <v/>
      </c>
      <c r="N1081" s="6">
        <f>HYPERLINK("http://www.eum.go.kr/web/ar/lu/luLandDet.jsp?pnu=3611036026101060001&amp;isNoScr=script&amp;mode=search", "토지이음")</f>
        <v/>
      </c>
      <c r="O1081" s="3" t="inlineStr">
        <is>
          <t>오송3산단  사무소</t>
        </is>
      </c>
      <c r="P1081" s="4" t="n">
        <v>1</v>
      </c>
      <c r="Q1081" s="4" t="n">
        <v>747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106-8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29000</v>
      </c>
      <c r="G1082" s="4" t="n">
        <v>728</v>
      </c>
      <c r="H1082" s="4" t="n">
        <v>220</v>
      </c>
      <c r="I1082" s="5" t="n">
        <v>131.8</v>
      </c>
      <c r="J1082" s="5" t="n">
        <v>31.8</v>
      </c>
      <c r="K1082" s="3" t="inlineStr">
        <is>
          <t>도로접한 과수원</t>
        </is>
      </c>
      <c r="L1082" s="6">
        <f>HYPERLINK("https://fin.land.naver.com/articles/2647652152", "매물Link")</f>
        <v/>
      </c>
      <c r="M1082" s="6">
        <f>HYPERLINK("https://map.naver.com/p/search/연서면 쌍류리 106-8", "지도Link")</f>
        <v/>
      </c>
      <c r="N1082" s="6">
        <f>HYPERLINK("http://www.eum.go.kr/web/ar/lu/luLandDet.jsp?pnu=3611036026101060008&amp;isNoScr=script&amp;mode=search", "토지이음")</f>
        <v/>
      </c>
      <c r="O1082" s="3" t="inlineStr">
        <is>
          <t>현담</t>
        </is>
      </c>
      <c r="P1082" s="4" t="n">
        <v>1</v>
      </c>
      <c r="Q1082" s="4" t="n">
        <v>728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116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23800</v>
      </c>
      <c r="G1083" s="4" t="n">
        <v>1959</v>
      </c>
      <c r="H1083" s="4" t="n">
        <v>593</v>
      </c>
      <c r="I1083" s="5" t="n">
        <v>40.1</v>
      </c>
      <c r="J1083" s="5" t="n">
        <v>25.8</v>
      </c>
      <c r="K1083" s="3" t="inlineStr">
        <is>
          <t>급매. 고복저수지 인근 소액토지</t>
        </is>
      </c>
      <c r="L1083" s="6">
        <f>HYPERLINK("https://fin.land.naver.com/articles/2648767659", "매물Link")</f>
        <v/>
      </c>
      <c r="M1083" s="6">
        <f>HYPERLINK("https://map.naver.com/p/search/연서면 쌍류리 116", "지도Link")</f>
        <v/>
      </c>
      <c r="N1083" s="6">
        <f>HYPERLINK("http://www.eum.go.kr/web/ar/lu/luLandDet.jsp?pnu=3611036026101160000&amp;isNoScr=script&amp;mode=search",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1959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쌍류리 117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49500</v>
      </c>
      <c r="G1084" s="4" t="n">
        <v>1022</v>
      </c>
      <c r="H1084" s="4" t="n">
        <v>309</v>
      </c>
      <c r="I1084" s="5" t="n">
        <v>160.2</v>
      </c>
      <c r="J1084" s="5" t="n">
        <v>46</v>
      </c>
      <c r="K1084" s="3" t="inlineStr">
        <is>
          <t>고복저수지근방 2차 도로접,소하천접한 생산,성장관리계획구역 활용도 굿</t>
        </is>
      </c>
      <c r="L1084" s="6">
        <f>HYPERLINK("https://fin.land.naver.com/articles/2650750823", "매물Link")</f>
        <v/>
      </c>
      <c r="M1084" s="6">
        <f>HYPERLINK("https://map.naver.com/p/search/연서면 쌍류리 117", "지도Link")</f>
        <v/>
      </c>
      <c r="N1084" s="6">
        <f>HYPERLINK("http://www.eum.go.kr/web/ar/lu/luLandDet.jsp?pnu=3611036026101170000&amp;isNoScr=script&amp;mode=search", "토지이음")</f>
        <v/>
      </c>
      <c r="O1084" s="3" t="inlineStr">
        <is>
          <t>가경수</t>
        </is>
      </c>
      <c r="P1084" s="4" t="n">
        <v>1</v>
      </c>
      <c r="Q1084" s="4" t="n">
        <v>1022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연서면 쌍류리 126-3</t>
        </is>
      </c>
      <c r="B1085" s="3" t="inlineStr">
        <is>
          <t>생산관리지역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92000</v>
      </c>
      <c r="G1085" s="4" t="n">
        <v>1909</v>
      </c>
      <c r="H1085" s="4" t="n">
        <v>577</v>
      </c>
      <c r="I1085" s="5" t="n">
        <v>159.4</v>
      </c>
      <c r="J1085" s="5" t="n">
        <v>46.6</v>
      </c>
      <c r="K1085" s="3" t="inlineStr">
        <is>
          <t>신축주택과 넓은 마당 갖춘 고복저수지 생활권</t>
        </is>
      </c>
      <c r="L1085" s="6">
        <f>HYPERLINK("https://fin.land.naver.com/articles/2647850817", "매물Link")</f>
        <v/>
      </c>
      <c r="M1085" s="6">
        <f>HYPERLINK("https://map.naver.com/p/search/연서면 쌍류리 126-3", "지도Link")</f>
        <v/>
      </c>
      <c r="N1085" s="6">
        <f>HYPERLINK("http://www.eum.go.kr/web/ar/lu/luLandDet.jsp?pnu=3611036026101260003&amp;isNoScr=script&amp;mode=search",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683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164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35000</v>
      </c>
      <c r="G1086" s="4" t="n">
        <v>1260</v>
      </c>
      <c r="H1086" s="4" t="n">
        <v>381</v>
      </c>
      <c r="I1086" s="5" t="n">
        <v>91.90000000000001</v>
      </c>
      <c r="J1086" s="5" t="n">
        <v>25</v>
      </c>
      <c r="K1086" s="3" t="inlineStr">
        <is>
          <t>nan</t>
        </is>
      </c>
      <c r="L1086" s="6">
        <f>HYPERLINK("https://fin.land.naver.com/articles/2649773331", "매물Link")</f>
        <v/>
      </c>
      <c r="M1086" s="6">
        <f>HYPERLINK("https://map.naver.com/p/search/연서면 쌍류리 164", "지도Link")</f>
        <v/>
      </c>
      <c r="N1086" s="6">
        <f>HYPERLINK("http://www.eum.go.kr/web/ar/lu/luLandDet.jsp?pnu=3611036026101640000&amp;isNoScr=script&amp;mode=search",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1260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171-3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81000</v>
      </c>
      <c r="G1087" s="4" t="n">
        <v>1978</v>
      </c>
      <c r="H1087" s="4" t="n">
        <v>598</v>
      </c>
      <c r="I1087" s="5" t="n">
        <v>135.5</v>
      </c>
      <c r="J1087" s="5" t="n">
        <v>29.7</v>
      </c>
      <c r="K1087" s="3" t="inlineStr">
        <is>
          <t>규모 있는 영농부지 찾는 분 주목</t>
        </is>
      </c>
      <c r="L1087" s="6">
        <f>HYPERLINK("https://fin.land.naver.com/articles/2649776390", "매물Link")</f>
        <v/>
      </c>
      <c r="M1087" s="6">
        <f>HYPERLINK("https://map.naver.com/p/search/연서면 쌍류리 171-3", "지도Link")</f>
        <v/>
      </c>
      <c r="N1087" s="6">
        <f>HYPERLINK("http://www.eum.go.kr/web/ar/lu/luLandDet.jsp?pnu=3611036026101710003&amp;isNoScr=script&amp;mode=search",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1978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224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96300</v>
      </c>
      <c r="G1088" s="4" t="n">
        <v>3183</v>
      </c>
      <c r="H1088" s="4" t="n">
        <v>963</v>
      </c>
      <c r="I1088" s="5" t="n">
        <v>100</v>
      </c>
      <c r="J1088" s="5" t="n">
        <v>35.8</v>
      </c>
      <c r="K1088" s="3" t="inlineStr">
        <is>
          <t>고복저수지, 연기휴게소예정지 인근 생산관리토지</t>
        </is>
      </c>
      <c r="L1088" s="6">
        <f>HYPERLINK("https://fin.land.naver.com/articles/2645606587", "매물Link")</f>
        <v/>
      </c>
      <c r="M1088" s="6">
        <f>HYPERLINK("https://map.naver.com/p/search/연서면 쌍류리 224", "지도Link")</f>
        <v/>
      </c>
      <c r="N1088" s="6">
        <f>HYPERLINK("http://www.eum.go.kr/web/ar/lu/luLandDet.jsp?pnu=3611036026102240000&amp;isNoScr=script&amp;mode=search",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3183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224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110000</v>
      </c>
      <c r="G1089" s="4" t="n">
        <v>3183</v>
      </c>
      <c r="H1089" s="4" t="n">
        <v>963</v>
      </c>
      <c r="I1089" s="5" t="n">
        <v>114.2</v>
      </c>
      <c r="J1089" s="5" t="n">
        <v>35.8</v>
      </c>
      <c r="K1089" s="3" t="inlineStr">
        <is>
          <t>도로접,땅모양좋습니다,성장관리계획구역,조정가</t>
        </is>
      </c>
      <c r="L1089" s="6">
        <f>HYPERLINK("https://fin.land.naver.com/articles/2650425351", "매물Link")</f>
        <v/>
      </c>
      <c r="M1089" s="6">
        <f>HYPERLINK("https://map.naver.com/p/search/연서면 쌍류리 224", "지도Link")</f>
        <v/>
      </c>
      <c r="N1089" s="6">
        <f>HYPERLINK("http://www.eum.go.kr/web/ar/lu/luLandDet.jsp?pnu=3611036026102240000&amp;isNoScr=script&amp;mode=search", "토지이음")</f>
        <v/>
      </c>
      <c r="O1089" s="3" t="inlineStr">
        <is>
          <t>힐스테이트행복</t>
        </is>
      </c>
      <c r="P1089" s="4" t="n">
        <v>1</v>
      </c>
      <c r="Q1089" s="4" t="n">
        <v>3183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227-1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39600</v>
      </c>
      <c r="G1090" s="4" t="n">
        <v>1092</v>
      </c>
      <c r="H1090" s="4" t="n">
        <v>330</v>
      </c>
      <c r="I1090" s="5" t="n">
        <v>120</v>
      </c>
      <c r="J1090" s="5" t="n">
        <v>37.7</v>
      </c>
      <c r="K1090" s="3" t="inlineStr">
        <is>
          <t>도로접함 2필지 일괄매매 현재 과수원 미래가치ok</t>
        </is>
      </c>
      <c r="L1090" s="6">
        <f>HYPERLINK("https://fin.land.naver.com/articles/2650582716", "매물Link")</f>
        <v/>
      </c>
      <c r="M1090" s="6">
        <f>HYPERLINK("https://map.naver.com/p/search/연서면 쌍류리 227-1", "지도Link")</f>
        <v/>
      </c>
      <c r="N1090" s="6">
        <f>HYPERLINK("http://www.eum.go.kr/web/ar/lu/luLandDet.jsp?pnu=3611036026102270001&amp;isNoScr=script&amp;mode=search", "토지이음")</f>
        <v/>
      </c>
      <c r="O1090" s="3" t="inlineStr">
        <is>
          <t>신불당</t>
        </is>
      </c>
      <c r="P1090" s="4" t="n">
        <v>1</v>
      </c>
      <c r="Q1090" s="4" t="n">
        <v>3530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227-1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160000</v>
      </c>
      <c r="G1091" s="4" t="n">
        <v>3530</v>
      </c>
      <c r="H1091" s="4" t="n">
        <v>1068</v>
      </c>
      <c r="I1091" s="5" t="n">
        <v>149.8</v>
      </c>
      <c r="J1091" s="5" t="n">
        <v>37.7</v>
      </c>
      <c r="K1091" s="3" t="inlineStr">
        <is>
          <t>고복저수지인근,2차선접,투자가치좋아요</t>
        </is>
      </c>
      <c r="L1091" s="6">
        <f>HYPERLINK("https://fin.land.naver.com/articles/2650425575", "매물Link")</f>
        <v/>
      </c>
      <c r="M1091" s="6">
        <f>HYPERLINK("https://map.naver.com/p/search/연서면 쌍류리 227-1", "지도Link")</f>
        <v/>
      </c>
      <c r="N1091" s="6">
        <f>HYPERLINK("http://www.eum.go.kr/web/ar/lu/luLandDet.jsp?pnu=3611036026102270001&amp;isNoScr=script&amp;mode=search", "토지이음")</f>
        <v/>
      </c>
      <c r="O1091" s="3" t="inlineStr">
        <is>
          <t>힐스테이트행복</t>
        </is>
      </c>
      <c r="P1091" s="4" t="n">
        <v>1</v>
      </c>
      <c r="Q1091" s="4" t="n">
        <v>3530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232-1</t>
        </is>
      </c>
      <c r="B1092" s="3" t="inlineStr">
        <is>
          <t>생산관리지역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255000</v>
      </c>
      <c r="G1092" s="4" t="n">
        <v>5702</v>
      </c>
      <c r="H1092" s="4" t="n">
        <v>1725</v>
      </c>
      <c r="I1092" s="5" t="n">
        <v>147.8</v>
      </c>
      <c r="J1092" s="5" t="n">
        <v>28.3</v>
      </c>
      <c r="K1092" s="3" t="inlineStr">
        <is>
          <t>고복저수지인근 토지 매매</t>
        </is>
      </c>
      <c r="L1092" s="6">
        <f>HYPERLINK("https://fin.land.naver.com/articles/2648030320", "매물Link")</f>
        <v/>
      </c>
      <c r="M1092" s="6">
        <f>HYPERLINK("https://map.naver.com/p/search/연서면 쌍류리 232-1", "지도Link")</f>
        <v/>
      </c>
      <c r="N1092" s="6">
        <f>HYPERLINK("http://www.eum.go.kr/web/ar/lu/luLandDet.jsp?pnu=3611036026102320001&amp;isNoScr=script&amp;mode=search", "토지이음")</f>
        <v/>
      </c>
      <c r="O1092" s="3" t="inlineStr">
        <is>
          <t>THE행복</t>
        </is>
      </c>
      <c r="P1092" s="4" t="n">
        <v>1</v>
      </c>
      <c r="Q1092" s="4" t="n">
        <v>5605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250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전</t>
        </is>
      </c>
      <c r="E1093" s="3" t="inlineStr">
        <is>
          <t>매매</t>
        </is>
      </c>
      <c r="F1093" s="4" t="n">
        <v>80000</v>
      </c>
      <c r="G1093" s="4" t="n">
        <v>2499</v>
      </c>
      <c r="H1093" s="4" t="n">
        <v>756</v>
      </c>
      <c r="I1093" s="5" t="n">
        <v>105.8</v>
      </c>
      <c r="J1093" s="5" t="n">
        <v>37.1</v>
      </c>
      <c r="K1093" s="3" t="inlineStr">
        <is>
          <t>계획관리 양지바른 남향 탁트인 개방감 국가산단 인근으로 투자용추천</t>
        </is>
      </c>
      <c r="L1093" s="6">
        <f>HYPERLINK("https://fin.land.naver.com/articles/2650281221", "매물Link")</f>
        <v/>
      </c>
      <c r="M1093" s="6">
        <f>HYPERLINK("https://map.naver.com/p/search/연서면 쌍류리 250", "지도Link")</f>
        <v/>
      </c>
      <c r="N1093" s="6">
        <f>HYPERLINK("http://www.eum.go.kr/web/ar/lu/luLandDet.jsp?pnu=3611036026102500000&amp;isNoScr=script&amp;mode=search", "토지이음")</f>
        <v/>
      </c>
      <c r="O1093" s="3" t="inlineStr">
        <is>
          <t>더샵엘리프원탑</t>
        </is>
      </c>
      <c r="P1093" s="4" t="n">
        <v>2</v>
      </c>
      <c r="Q1093" s="4" t="n">
        <v>2499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29-1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38500</v>
      </c>
      <c r="G1094" s="4" t="n">
        <v>1590</v>
      </c>
      <c r="H1094" s="4" t="n">
        <v>481</v>
      </c>
      <c r="I1094" s="5" t="n">
        <v>80</v>
      </c>
      <c r="J1094" s="5" t="n">
        <v>24.9</v>
      </c>
      <c r="K1094" s="3" t="inlineStr">
        <is>
          <t>도로접한 관리지역 토지현과수원</t>
        </is>
      </c>
      <c r="L1094" s="6">
        <f>HYPERLINK("https://fin.land.naver.com/articles/2650858545", "매물Link")</f>
        <v/>
      </c>
      <c r="M1094" s="6">
        <f>HYPERLINK("https://map.naver.com/p/search/연서면 쌍류리 29-1", "지도Link")</f>
        <v/>
      </c>
      <c r="N1094" s="6">
        <f>HYPERLINK("http://www.eum.go.kr/web/ar/lu/luLandDet.jsp?pnu=3611036026100290001&amp;isNoScr=script&amp;mode=search", "토지이음")</f>
        <v/>
      </c>
      <c r="O1094" s="3" t="inlineStr">
        <is>
          <t>세종대박</t>
        </is>
      </c>
      <c r="P1094" s="4" t="n">
        <v>2</v>
      </c>
      <c r="Q1094" s="4" t="n">
        <v>1590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304-1</t>
        </is>
      </c>
      <c r="B1095" s="3" t="inlineStr">
        <is>
          <t>계획관리지역</t>
        </is>
      </c>
      <c r="C1095" s="3" t="inlineStr">
        <is>
          <t>공장용지</t>
        </is>
      </c>
      <c r="D1095" s="3" t="inlineStr">
        <is>
          <t>공장용지</t>
        </is>
      </c>
      <c r="E1095" s="3" t="inlineStr">
        <is>
          <t>매매</t>
        </is>
      </c>
      <c r="F1095" s="4" t="n">
        <v>112000</v>
      </c>
      <c r="G1095" s="4" t="n">
        <v>1851</v>
      </c>
      <c r="H1095" s="4" t="n">
        <v>560</v>
      </c>
      <c r="I1095" s="5" t="n">
        <v>200</v>
      </c>
      <c r="J1095" s="5" t="n">
        <v>63.2</v>
      </c>
      <c r="K1095" s="3" t="inlineStr">
        <is>
          <t>공장 있었으나 멸실됨, 공장 창고 또는 근생부지로도 훌륭함</t>
        </is>
      </c>
      <c r="L1095" s="6">
        <f>HYPERLINK("https://fin.land.naver.com/articles/2645606684", "매물Link")</f>
        <v/>
      </c>
      <c r="M1095" s="6">
        <f>HYPERLINK("https://map.naver.com/p/search/연서면 쌍류리 304-1", "지도Link")</f>
        <v/>
      </c>
      <c r="N1095" s="6">
        <f>HYPERLINK("http://www.eum.go.kr/web/ar/lu/luLandDet.jsp?pnu=3611036026103040001&amp;isNoScr=script&amp;mode=search",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818</v>
      </c>
      <c r="R1095" s="3" t="inlineStr">
        <is>
          <t>지정되지않음</t>
        </is>
      </c>
      <c r="S1095" s="3" t="inlineStr">
        <is>
          <t>공업용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333-1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70200</v>
      </c>
      <c r="G1096" s="4" t="n">
        <v>2340</v>
      </c>
      <c r="H1096" s="4" t="n">
        <v>708</v>
      </c>
      <c r="I1096" s="5" t="n">
        <v>99.2</v>
      </c>
      <c r="J1096" s="5" t="n">
        <v>29.4</v>
      </c>
      <c r="K1096" s="3" t="inlineStr">
        <is>
          <t>연서면 쌍류리 2차선변 과수원 매매</t>
        </is>
      </c>
      <c r="L1096" s="6">
        <f>HYPERLINK("https://fin.land.naver.com/articles/2650946339", "매물Link")</f>
        <v/>
      </c>
      <c r="M1096" s="6">
        <f>HYPERLINK("https://map.naver.com/p/search/연서면 쌍류리 333-1", "지도Link")</f>
        <v/>
      </c>
      <c r="N1096" s="6">
        <f>HYPERLINK("http://www.eum.go.kr/web/ar/lu/luLandDet.jsp?pnu=3611036026103330001&amp;isNoScr=script&amp;mode=search", "토지이음")</f>
        <v/>
      </c>
      <c r="O1096" s="3" t="inlineStr">
        <is>
          <t>길운</t>
        </is>
      </c>
      <c r="P1096" s="4" t="n">
        <v>1</v>
      </c>
      <c r="Q1096" s="4" t="n">
        <v>984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333-1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36500</v>
      </c>
      <c r="G1097" s="4" t="n">
        <v>1334</v>
      </c>
      <c r="H1097" s="4" t="n">
        <v>404</v>
      </c>
      <c r="I1097" s="5" t="n">
        <v>90.3</v>
      </c>
      <c r="J1097" s="5" t="n">
        <v>29.4</v>
      </c>
      <c r="K1097" s="3" t="inlineStr">
        <is>
          <t>하천, 도로접, 포도농원</t>
        </is>
      </c>
      <c r="L1097" s="6">
        <f>HYPERLINK("https://fin.land.naver.com/articles/2650024525", "매물Link")</f>
        <v/>
      </c>
      <c r="M1097" s="6">
        <f>HYPERLINK("https://map.naver.com/p/search/연서면 쌍류리 333-1", "지도Link")</f>
        <v/>
      </c>
      <c r="N1097" s="6">
        <f>HYPERLINK("http://www.eum.go.kr/web/ar/lu/luLandDet.jsp?pnu=3611036026103330001&amp;isNoScr=script&amp;mode=search", "토지이음")</f>
        <v/>
      </c>
      <c r="O1097" s="3" t="inlineStr">
        <is>
          <t>삼보</t>
        </is>
      </c>
      <c r="P1097" s="4" t="n">
        <v>1</v>
      </c>
      <c r="Q1097" s="4" t="n">
        <v>984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333-1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36500</v>
      </c>
      <c r="G1098" s="4" t="n">
        <v>1334</v>
      </c>
      <c r="H1098" s="4" t="n">
        <v>404</v>
      </c>
      <c r="I1098" s="5" t="n">
        <v>90.3</v>
      </c>
      <c r="J1098" s="5" t="n">
        <v>29.4</v>
      </c>
      <c r="K1098" s="3" t="inlineStr">
        <is>
          <t>연서면 쌍류리 2차선변 토지 매매</t>
        </is>
      </c>
      <c r="L1098" s="6">
        <f>HYPERLINK("https://fin.land.naver.com/articles/2649563551", "매물Link")</f>
        <v/>
      </c>
      <c r="M1098" s="6">
        <f>HYPERLINK("https://map.naver.com/p/search/연서면 쌍류리 333-1", "지도Link")</f>
        <v/>
      </c>
      <c r="N1098" s="6">
        <f>HYPERLINK("http://www.eum.go.kr/web/ar/lu/luLandDet.jsp?pnu=3611036026103330001&amp;isNoScr=script&amp;mode=search", "토지이음")</f>
        <v/>
      </c>
      <c r="O1098" s="3" t="inlineStr">
        <is>
          <t>길운</t>
        </is>
      </c>
      <c r="P1098" s="4" t="n">
        <v>1</v>
      </c>
      <c r="Q1098" s="4" t="n">
        <v>984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340-2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65000</v>
      </c>
      <c r="G1099" s="4" t="n">
        <v>1772</v>
      </c>
      <c r="H1099" s="4" t="n">
        <v>536</v>
      </c>
      <c r="I1099" s="5" t="n">
        <v>121.3</v>
      </c>
      <c r="J1099" s="5" t="n">
        <v>30.1</v>
      </c>
      <c r="K1099" s="3" t="inlineStr">
        <is>
          <t>남향토지 도로 접한 농지 초등학교 인근 전원주택지 추천</t>
        </is>
      </c>
      <c r="L1099" s="6">
        <f>HYPERLINK("https://fin.land.naver.com/articles/2646804144", "매물Link")</f>
        <v/>
      </c>
      <c r="M1099" s="6">
        <f>HYPERLINK("https://map.naver.com/p/search/연서면 쌍류리 340-2", "지도Link")</f>
        <v/>
      </c>
      <c r="N1099" s="6">
        <f>HYPERLINK("http://www.eum.go.kr/web/ar/lu/luLandDet.jsp?pnu=3611036026103400002&amp;isNoScr=script&amp;mode=search",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1772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쌍류리 419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196000</v>
      </c>
      <c r="G1100" s="4" t="n">
        <v>6318</v>
      </c>
      <c r="H1100" s="4" t="n">
        <v>1911</v>
      </c>
      <c r="I1100" s="5" t="n">
        <v>102.6</v>
      </c>
      <c r="J1100" s="5" t="n">
        <v>29.8</v>
      </c>
      <c r="K1100" s="3" t="inlineStr">
        <is>
          <t>과수원1필지,임야3필지 일괄매매</t>
        </is>
      </c>
      <c r="L1100" s="6">
        <f>HYPERLINK("https://fin.land.naver.com/articles/2646711526", "매물Link")</f>
        <v/>
      </c>
      <c r="M1100" s="6">
        <f>HYPERLINK("https://map.naver.com/p/search/연서면 쌍류리 419", "지도Link")</f>
        <v/>
      </c>
      <c r="N1100" s="6">
        <f>HYPERLINK("http://www.eum.go.kr/web/ar/lu/luLandDet.jsp?pnu=3611036026104190000&amp;isNoScr=script&amp;mode=search", "토지이음")</f>
        <v/>
      </c>
      <c r="O1100" s="3" t="inlineStr">
        <is>
          <t>빛나</t>
        </is>
      </c>
      <c r="P1100" s="4" t="n">
        <v>1</v>
      </c>
      <c r="Q1100" s="4" t="n">
        <v>711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42-1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22900</v>
      </c>
      <c r="G1101" s="4" t="n">
        <v>840</v>
      </c>
      <c r="H1101" s="4" t="n">
        <v>254</v>
      </c>
      <c r="I1101" s="5" t="n">
        <v>90.2</v>
      </c>
      <c r="J1101" s="5" t="n">
        <v>46</v>
      </c>
      <c r="K1101" s="3" t="inlineStr">
        <is>
          <t>도로확장 되는 부분과 96미터 정도로 길게 접한 좁고 길쭉한 토지</t>
        </is>
      </c>
      <c r="L1101" s="6">
        <f>HYPERLINK("https://fin.land.naver.com/articles/2649904522", "매물Link")</f>
        <v/>
      </c>
      <c r="M1101" s="6">
        <f>HYPERLINK("https://map.naver.com/p/search/연서면 쌍류리 42-1", "지도Link")</f>
        <v/>
      </c>
      <c r="N1101" s="6">
        <f>HYPERLINK("http://www.eum.go.kr/web/ar/lu/luLandDet.jsp?pnu=3611036026100420001&amp;isNoScr=script&amp;mode=search",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840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쌍류리 426-2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16000</v>
      </c>
      <c r="G1102" s="4" t="n">
        <v>476</v>
      </c>
      <c r="H1102" s="4" t="n">
        <v>144</v>
      </c>
      <c r="I1102" s="5" t="n">
        <v>111.1</v>
      </c>
      <c r="J1102" s="5" t="n">
        <v>55.4</v>
      </c>
      <c r="K1102" s="3" t="inlineStr">
        <is>
          <t>nan</t>
        </is>
      </c>
      <c r="L1102" s="6">
        <f>HYPERLINK("https://fin.land.naver.com/articles/2649967157", "매물Link")</f>
        <v/>
      </c>
      <c r="M1102" s="6">
        <f>HYPERLINK("https://map.naver.com/p/search/연서면 쌍류리 426-2", "지도Link")</f>
        <v/>
      </c>
      <c r="N1102" s="6">
        <f>HYPERLINK("http://www.eum.go.kr/web/ar/lu/luLandDet.jsp?pnu=3611036026104260002&amp;isNoScr=script&amp;mode=search",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476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438-1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210000</v>
      </c>
      <c r="G1103" s="4" t="n">
        <v>11425</v>
      </c>
      <c r="H1103" s="4" t="n">
        <v>3456</v>
      </c>
      <c r="I1103" s="5" t="n">
        <v>60.8</v>
      </c>
      <c r="J1103" s="5" t="n">
        <v>27.4</v>
      </c>
      <c r="K1103" s="3" t="inlineStr">
        <is>
          <t>도로있음, 매매가협의가능, 고복저수지7분거리, 분할가능</t>
        </is>
      </c>
      <c r="L1103" s="6">
        <f>HYPERLINK("https://fin.land.naver.com/articles/2649913709", "매물Link")</f>
        <v/>
      </c>
      <c r="M1103" s="6">
        <f>HYPERLINK("https://map.naver.com/p/search/연서면 쌍류리 438-1", "지도Link")</f>
        <v/>
      </c>
      <c r="N1103" s="6">
        <f>HYPERLINK("http://www.eum.go.kr/web/ar/lu/luLandDet.jsp?pnu=3611036026104380001&amp;isNoScr=script&amp;mode=search", "토지이음")</f>
        <v/>
      </c>
      <c r="O1103" s="3" t="inlineStr">
        <is>
          <t>미스터홈즈강남지사</t>
        </is>
      </c>
      <c r="P1103" s="4" t="n">
        <v>2</v>
      </c>
      <c r="Q1103" s="4" t="n">
        <v>11425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쌍류리 451</t>
        </is>
      </c>
      <c r="B1104" s="3" t="inlineStr">
        <is>
          <t>생산관리지역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55680</v>
      </c>
      <c r="G1104" s="4" t="n">
        <v>1534</v>
      </c>
      <c r="H1104" s="4" t="n">
        <v>464</v>
      </c>
      <c r="I1104" s="5" t="n">
        <v>120</v>
      </c>
      <c r="J1104" s="5" t="n">
        <v>23.6</v>
      </c>
      <c r="K1104" s="3" t="inlineStr">
        <is>
          <t>평탄화 작업 완료하여, 전원생활을 위한 원형지를 찾는 분에게 추천</t>
        </is>
      </c>
      <c r="L1104" s="6">
        <f>HYPERLINK("https://fin.land.naver.com/articles/2645605797", "매물Link")</f>
        <v/>
      </c>
      <c r="M1104" s="6">
        <f>HYPERLINK("https://map.naver.com/p/search/연서면 쌍류리 451", "지도Link")</f>
        <v/>
      </c>
      <c r="N1104" s="6">
        <f>HYPERLINK("http://www.eum.go.kr/web/ar/lu/luLandDet.jsp?pnu=3611036026104510000&amp;isNoScr=script&amp;mode=search",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1534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쌍류리 463-2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101500</v>
      </c>
      <c r="G1105" s="4" t="n">
        <v>3355</v>
      </c>
      <c r="H1105" s="4" t="n">
        <v>1015</v>
      </c>
      <c r="I1105" s="5" t="n">
        <v>100</v>
      </c>
      <c r="J1105" s="5" t="n">
        <v>28.9</v>
      </c>
      <c r="K1105" s="3" t="inlineStr">
        <is>
          <t>추천.고복저수지 인근 농지</t>
        </is>
      </c>
      <c r="L1105" s="6">
        <f>HYPERLINK("https://fin.land.naver.com/articles/2645465767", "매물Link")</f>
        <v/>
      </c>
      <c r="M1105" s="6">
        <f>HYPERLINK("https://map.naver.com/p/search/연서면 쌍류리 463-2", "지도Link")</f>
        <v/>
      </c>
      <c r="N1105" s="6">
        <f>HYPERLINK("http://www.eum.go.kr/web/ar/lu/luLandDet.jsp?pnu=3611036026104630002&amp;isNoScr=script&amp;mode=search", "토지이음")</f>
        <v/>
      </c>
      <c r="O1105" s="3" t="inlineStr">
        <is>
          <t>강아지풀</t>
        </is>
      </c>
      <c r="P1105" s="4" t="n">
        <v>1</v>
      </c>
      <c r="Q1105" s="4" t="n">
        <v>3355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53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57000</v>
      </c>
      <c r="G1106" s="4" t="n">
        <v>2734</v>
      </c>
      <c r="H1106" s="4" t="n">
        <v>827</v>
      </c>
      <c r="I1106" s="5" t="n">
        <v>68.90000000000001</v>
      </c>
      <c r="J1106" s="5" t="n">
        <v>24.9</v>
      </c>
      <c r="K1106" s="3" t="inlineStr">
        <is>
          <t>명성공인, 전용827, 연서면 생산관리 추천 매물</t>
        </is>
      </c>
      <c r="L1106" s="6">
        <f>HYPERLINK("https://fin.land.naver.com/articles/2650266078", "매물Link")</f>
        <v/>
      </c>
      <c r="M1106" s="6">
        <f>HYPERLINK("https://map.naver.com/p/search/연서면 쌍류리 53", "지도Link")</f>
        <v/>
      </c>
      <c r="N1106" s="6">
        <f>HYPERLINK("http://www.eum.go.kr/web/ar/lu/luLandDet.jsp?pnu=3611036026100530000&amp;isNoScr=script&amp;mode=search", "토지이음")</f>
        <v/>
      </c>
      <c r="O1106" s="3" t="inlineStr">
        <is>
          <t>명성</t>
        </is>
      </c>
      <c r="P1106" s="4" t="n">
        <v>2</v>
      </c>
      <c r="Q1106" s="4" t="n">
        <v>2734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쌍류리 56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27000</v>
      </c>
      <c r="G1107" s="4" t="n">
        <v>1342</v>
      </c>
      <c r="H1107" s="4" t="n">
        <v>406</v>
      </c>
      <c r="I1107" s="5" t="n">
        <v>66.5</v>
      </c>
      <c r="J1107" s="5" t="n">
        <v>22.8</v>
      </c>
      <c r="K1107" s="3" t="inlineStr">
        <is>
          <t>명성공인, 전용406, 연서면 추천 매물</t>
        </is>
      </c>
      <c r="L1107" s="6">
        <f>HYPERLINK("https://fin.land.naver.com/articles/2648045315", "매물Link")</f>
        <v/>
      </c>
      <c r="M1107" s="6">
        <f>HYPERLINK("https://map.naver.com/p/search/연서면 쌍류리 56", "지도Link")</f>
        <v/>
      </c>
      <c r="N1107" s="6">
        <f>HYPERLINK("http://www.eum.go.kr/web/ar/lu/luLandDet.jsp?pnu=3611036026100560000&amp;isNoScr=script&amp;mode=search",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1011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560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31000</v>
      </c>
      <c r="G1108" s="4" t="n">
        <v>1336</v>
      </c>
      <c r="H1108" s="4" t="n">
        <v>404</v>
      </c>
      <c r="I1108" s="5" t="n">
        <v>76.7</v>
      </c>
      <c r="J1108" s="5" t="n">
        <v>24</v>
      </c>
      <c r="K1108" s="3" t="inlineStr">
        <is>
          <t>nan</t>
        </is>
      </c>
      <c r="L1108" s="6">
        <f>HYPERLINK("https://fin.land.naver.com/articles/2647537025", "매물Link")</f>
        <v/>
      </c>
      <c r="M1108" s="6">
        <f>HYPERLINK("https://map.naver.com/p/search/연서면 쌍류리 560", "지도Link")</f>
        <v/>
      </c>
      <c r="N1108" s="6">
        <f>HYPERLINK("http://www.eum.go.kr/web/ar/lu/luLandDet.jsp?pnu=3611036026105600000&amp;isNoScr=script&amp;mode=search", "토지이음")</f>
        <v/>
      </c>
      <c r="O1108" s="3" t="inlineStr">
        <is>
          <t>신태양</t>
        </is>
      </c>
      <c r="P1108" s="4" t="n">
        <v>1</v>
      </c>
      <c r="Q1108" s="4" t="n">
        <v>1336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564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10000</v>
      </c>
      <c r="G1109" s="4" t="n">
        <v>1127</v>
      </c>
      <c r="H1109" s="4" t="n">
        <v>341</v>
      </c>
      <c r="I1109" s="5" t="n">
        <v>29.3</v>
      </c>
      <c r="J1109" s="5" t="n">
        <v>22</v>
      </c>
      <c r="K1109" s="3" t="inlineStr">
        <is>
          <t>관리지역 토지매매</t>
        </is>
      </c>
      <c r="L1109" s="6">
        <f>HYPERLINK("https://fin.land.naver.com/articles/2648813367", "매물Link")</f>
        <v/>
      </c>
      <c r="M1109" s="6">
        <f>HYPERLINK("https://map.naver.com/p/search/연서면 쌍류리 564", "지도Link")</f>
        <v/>
      </c>
      <c r="N1109" s="6">
        <f>HYPERLINK("http://www.eum.go.kr/web/ar/lu/luLandDet.jsp?pnu=3611036026105640000&amp;isNoScr=script&amp;mode=search",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1127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세로한면(불)</t>
        </is>
      </c>
    </row>
    <row r="1110">
      <c r="A1110" s="3" t="inlineStr">
        <is>
          <t>연서면 쌍류리 584-1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19160</v>
      </c>
      <c r="G1110" s="4" t="n">
        <v>1056</v>
      </c>
      <c r="H1110" s="4" t="n">
        <v>319</v>
      </c>
      <c r="I1110" s="5" t="n">
        <v>60.1</v>
      </c>
      <c r="J1110" s="5" t="n">
        <v>28.9</v>
      </c>
      <c r="K1110" s="3" t="inlineStr">
        <is>
          <t>세종시에서 1억원대에 투자할수 있는땅</t>
        </is>
      </c>
      <c r="L1110" s="6">
        <f>HYPERLINK("https://fin.land.naver.com/articles/2647444352", "매물Link")</f>
        <v/>
      </c>
      <c r="M1110" s="6">
        <f>HYPERLINK("https://map.naver.com/p/search/연서면 쌍류리 584-1", "지도Link")</f>
        <v/>
      </c>
      <c r="N1110" s="6">
        <f>HYPERLINK("http://www.eum.go.kr/web/ar/lu/luLandDet.jsp?pnu=3611036026105840001&amp;isNoScr=script&amp;mode=search", "토지이음")</f>
        <v/>
      </c>
      <c r="O1110" s="3" t="inlineStr">
        <is>
          <t>킹</t>
        </is>
      </c>
      <c r="P1110" s="4" t="n">
        <v>1</v>
      </c>
      <c r="Q1110" s="4" t="n">
        <v>1056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584-3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45000</v>
      </c>
      <c r="G1111" s="4" t="n">
        <v>2463</v>
      </c>
      <c r="H1111" s="4" t="n">
        <v>745</v>
      </c>
      <c r="I1111" s="5" t="n">
        <v>60.4</v>
      </c>
      <c r="J1111" s="5" t="n">
        <v>28.9</v>
      </c>
      <c r="K1111" s="3" t="inlineStr">
        <is>
          <t>쌍류리 저렴한 토지매매</t>
        </is>
      </c>
      <c r="L1111" s="6">
        <f>HYPERLINK("https://fin.land.naver.com/articles/2646861698", "매물Link")</f>
        <v/>
      </c>
      <c r="M1111" s="6">
        <f>HYPERLINK("https://map.naver.com/p/search/연서면 쌍류리 584-3", "지도Link")</f>
        <v/>
      </c>
      <c r="N1111" s="6">
        <f>HYPERLINK("http://www.eum.go.kr/web/ar/lu/luLandDet.jsp?pnu=3611036026105840003&amp;isNoScr=script&amp;mode=search",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1435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598-1</t>
        </is>
      </c>
      <c r="B1112" s="3" t="inlineStr">
        <is>
          <t>생산관리지역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78000</v>
      </c>
      <c r="G1112" s="4" t="n">
        <v>1572</v>
      </c>
      <c r="H1112" s="4" t="n">
        <v>476</v>
      </c>
      <c r="I1112" s="5" t="n">
        <v>163.9</v>
      </c>
      <c r="J1112" s="5" t="n">
        <v>48</v>
      </c>
      <c r="K1112" s="3" t="inlineStr">
        <is>
          <t>2차선 도로 접 하고 있는매물</t>
        </is>
      </c>
      <c r="L1112" s="6">
        <f>HYPERLINK("https://fin.land.naver.com/articles/2647765926", "매물Link")</f>
        <v/>
      </c>
      <c r="M1112" s="6">
        <f>HYPERLINK("https://map.naver.com/p/search/연서면 쌍류리 598-1", "지도Link")</f>
        <v/>
      </c>
      <c r="N1112" s="6">
        <f>HYPERLINK("http://www.eum.go.kr/web/ar/lu/luLandDet.jsp?pnu=3611036026105980001&amp;isNoScr=script&amp;mode=search", "토지이음")</f>
        <v/>
      </c>
      <c r="O1112" s="3" t="inlineStr">
        <is>
          <t>지호주식회사</t>
        </is>
      </c>
      <c r="P1112" s="4" t="n">
        <v>1</v>
      </c>
      <c r="Q1112" s="4" t="n">
        <v>1126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소로각지</t>
        </is>
      </c>
    </row>
    <row r="1113">
      <c r="A1113" s="3" t="inlineStr">
        <is>
          <t>연서면 쌍류리 6-11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46000</v>
      </c>
      <c r="G1113" s="4" t="n">
        <v>6289</v>
      </c>
      <c r="H1113" s="4" t="n">
        <v>1902</v>
      </c>
      <c r="I1113" s="5" t="n">
        <v>24.2</v>
      </c>
      <c r="J1113" s="5" t="n">
        <v>3</v>
      </c>
      <c r="K1113" s="3" t="inlineStr">
        <is>
          <t>연서면 2차선변 야산</t>
        </is>
      </c>
      <c r="L1113" s="6">
        <f>HYPERLINK("https://fin.land.naver.com/articles/2647576378", "매물Link")</f>
        <v/>
      </c>
      <c r="M1113" s="6">
        <f>HYPERLINK("https://map.naver.com/p/search/연서면 쌍류리 6-11", "지도Link")</f>
        <v/>
      </c>
      <c r="N1113" s="6">
        <f>HYPERLINK("http://www.eum.go.kr/web/ar/lu/luLandDet.jsp?pnu=3611036026100060011&amp;isNoScr=script&amp;mode=search", "토지이음")</f>
        <v/>
      </c>
      <c r="O1113" s="3" t="inlineStr">
        <is>
          <t>KB세종</t>
        </is>
      </c>
      <c r="P1113" s="4" t="n">
        <v>1</v>
      </c>
      <c r="Q1113" s="4" t="n">
        <v>6289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연서면 쌍류리 608-4</t>
        </is>
      </c>
      <c r="B1114" s="3" t="inlineStr">
        <is>
          <t>보전관리지역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18000</v>
      </c>
      <c r="G1114" s="4" t="n">
        <v>500</v>
      </c>
      <c r="H1114" s="4" t="n">
        <v>151</v>
      </c>
      <c r="I1114" s="5" t="n">
        <v>119.2</v>
      </c>
      <c r="J1114" s="5" t="n">
        <v>25.4</v>
      </c>
      <c r="K1114" s="3" t="inlineStr">
        <is>
          <t>세종에서 1억원대에 투자할수 있는땅</t>
        </is>
      </c>
      <c r="L1114" s="6">
        <f>HYPERLINK("https://fin.land.naver.com/articles/2647444081", "매물Link")</f>
        <v/>
      </c>
      <c r="M1114" s="6">
        <f>HYPERLINK("https://map.naver.com/p/search/연서면 쌍류리 608-4", "지도Link")</f>
        <v/>
      </c>
      <c r="N1114" s="6">
        <f>HYPERLINK("http://www.eum.go.kr/web/ar/lu/luLandDet.jsp?pnu=3611036026106080004&amp;isNoScr=script&amp;mode=search",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500</v>
      </c>
      <c r="R1114" s="3" t="inlineStr">
        <is>
          <t>생산관리지역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706-99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16300</v>
      </c>
      <c r="G1115" s="4" t="n">
        <v>522</v>
      </c>
      <c r="H1115" s="4" t="n">
        <v>158</v>
      </c>
      <c r="I1115" s="5" t="n">
        <v>103.2</v>
      </c>
      <c r="J1115" s="5" t="n">
        <v>32.8</v>
      </c>
      <c r="K1115" s="3" t="inlineStr">
        <is>
          <t>2차선 도로변의 접근성 좋은 급매 토지</t>
        </is>
      </c>
      <c r="L1115" s="6">
        <f>HYPERLINK("https://fin.land.naver.com/articles/2648746836", "매물Link")</f>
        <v/>
      </c>
      <c r="M1115" s="6">
        <f>HYPERLINK("https://map.naver.com/p/search/연서면 쌍류리 706-99", "지도Link")</f>
        <v/>
      </c>
      <c r="N1115" s="6">
        <f>HYPERLINK("http://www.eum.go.kr/web/ar/lu/luLandDet.jsp?pnu=3611036026107060099&amp;isNoScr=script&amp;mode=search", "토지이음")</f>
        <v/>
      </c>
      <c r="O1115" s="3" t="inlineStr">
        <is>
          <t>용궁</t>
        </is>
      </c>
      <c r="P1115" s="4" t="n">
        <v>1</v>
      </c>
      <c r="Q1115" s="4" t="n">
        <v>314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쌍류리 72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150000</v>
      </c>
      <c r="G1116" s="4" t="n">
        <v>2088</v>
      </c>
      <c r="H1116" s="4" t="n">
        <v>632</v>
      </c>
      <c r="I1116" s="5" t="n">
        <v>237.3</v>
      </c>
      <c r="J1116" s="5" t="n">
        <v>83.09999999999999</v>
      </c>
      <c r="K1116" s="3" t="inlineStr">
        <is>
          <t>인근에서 보기 두문 계획관리 부지</t>
        </is>
      </c>
      <c r="L1116" s="6">
        <f>HYPERLINK("https://fin.land.naver.com/articles/2650344547", "매물Link")</f>
        <v/>
      </c>
      <c r="M1116" s="6">
        <f>HYPERLINK("https://map.naver.com/p/search/연서면 쌍류리 72", "지도Link")</f>
        <v/>
      </c>
      <c r="N1116" s="6">
        <f>HYPERLINK("http://www.eum.go.kr/web/ar/lu/luLandDet.jsp?pnu=3611036026100720000&amp;isNoScr=script&amp;mode=search", "토지이음")</f>
        <v/>
      </c>
      <c r="O1116" s="3" t="inlineStr">
        <is>
          <t>비전</t>
        </is>
      </c>
      <c r="P1116" s="4" t="n">
        <v>1</v>
      </c>
      <c r="Q1116" s="4" t="n">
        <v>650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연서면 쌍류리 94-12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26000</v>
      </c>
      <c r="G1117" s="4" t="n">
        <v>477</v>
      </c>
      <c r="H1117" s="4" t="n">
        <v>144</v>
      </c>
      <c r="I1117" s="5" t="n">
        <v>180.6</v>
      </c>
      <c r="J1117" s="5" t="n">
        <v>30.2</v>
      </c>
      <c r="K1117" s="3" t="inlineStr">
        <is>
          <t>근생 건축허가 및 전기,수도,통신 등 지하와 완료 즉시 신축가능</t>
        </is>
      </c>
      <c r="L1117" s="6">
        <f>HYPERLINK("https://fin.land.naver.com/articles/2649398240", "매물Link")</f>
        <v/>
      </c>
      <c r="M1117" s="6">
        <f>HYPERLINK("https://map.naver.com/p/search/연서면 쌍류리 94-12", "지도Link")</f>
        <v/>
      </c>
      <c r="N1117" s="6">
        <f>HYPERLINK("http://www.eum.go.kr/web/ar/lu/luLandDet.jsp?pnu=3611036026100940012&amp;isNoScr=script&amp;mode=search", "토지이음")</f>
        <v/>
      </c>
      <c r="O1117" s="3" t="inlineStr">
        <is>
          <t>세종나라</t>
        </is>
      </c>
      <c r="P1117" s="4" t="n">
        <v>2</v>
      </c>
      <c r="Q1117" s="4" t="n">
        <v>477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94-12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26560</v>
      </c>
      <c r="G1118" s="4" t="n">
        <v>477</v>
      </c>
      <c r="H1118" s="4" t="n">
        <v>144</v>
      </c>
      <c r="I1118" s="5" t="n">
        <v>184.4</v>
      </c>
      <c r="J1118" s="5" t="n">
        <v>30.2</v>
      </c>
      <c r="K1118" s="3" t="inlineStr">
        <is>
          <t>nan</t>
        </is>
      </c>
      <c r="L1118" s="6">
        <f>HYPERLINK("https://fin.land.naver.com/articles/2650436505", "매물Link")</f>
        <v/>
      </c>
      <c r="M1118" s="6">
        <f>HYPERLINK("https://map.naver.com/p/search/연서면 쌍류리 94-12", "지도Link")</f>
        <v/>
      </c>
      <c r="N1118" s="6">
        <f>HYPERLINK("http://www.eum.go.kr/web/ar/lu/luLandDet.jsp?pnu=3611036026100940012&amp;isNoScr=script&amp;mode=search", "토지이음")</f>
        <v/>
      </c>
      <c r="O1118" s="3" t="inlineStr">
        <is>
          <t>세종소담114</t>
        </is>
      </c>
      <c r="P1118" s="4" t="n">
        <v>1</v>
      </c>
      <c r="Q1118" s="4" t="n">
        <v>477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136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34000</v>
      </c>
      <c r="G1119" s="4" t="n">
        <v>562</v>
      </c>
      <c r="H1119" s="4" t="n">
        <v>170</v>
      </c>
      <c r="I1119" s="5" t="n">
        <v>200</v>
      </c>
      <c r="J1119" s="5" t="n">
        <v>57.1</v>
      </c>
      <c r="K1119" s="3" t="inlineStr">
        <is>
          <t>nan</t>
        </is>
      </c>
      <c r="L1119" s="6">
        <f>HYPERLINK("https://fin.land.naver.com/articles/2646589357", "매물Link")</f>
        <v/>
      </c>
      <c r="M1119" s="6">
        <f>HYPERLINK("https://map.naver.com/p/search/연서면 쌍전리 136", "지도Link")</f>
        <v/>
      </c>
      <c r="N1119" s="6">
        <f>HYPERLINK("http://www.eum.go.kr/web/ar/lu/luLandDet.jsp?pnu=3611036022101360000&amp;isNoScr=script&amp;mode=search", "토지이음")</f>
        <v/>
      </c>
      <c r="O1119" s="3" t="inlineStr">
        <is>
          <t>이순이</t>
        </is>
      </c>
      <c r="P1119" s="4" t="n">
        <v>1</v>
      </c>
      <c r="Q1119" s="4" t="n">
        <v>562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쌍전리 140-2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27400</v>
      </c>
      <c r="G1120" s="4" t="n">
        <v>700</v>
      </c>
      <c r="H1120" s="4" t="n">
        <v>212</v>
      </c>
      <c r="I1120" s="5" t="n">
        <v>129.2</v>
      </c>
      <c r="J1120" s="5" t="n">
        <v>55.9</v>
      </c>
      <c r="K1120" s="3" t="inlineStr">
        <is>
          <t>토지거래허가구역에서 제외된 토지. 향후 미래가치가 높은 소액투자로 추천.</t>
        </is>
      </c>
      <c r="L1120" s="6">
        <f>HYPERLINK("https://fin.land.naver.com/articles/2649342650", "매물Link")</f>
        <v/>
      </c>
      <c r="M1120" s="6">
        <f>HYPERLINK("https://map.naver.com/p/search/연서면 쌍전리 140-2", "지도Link")</f>
        <v/>
      </c>
      <c r="N1120" s="6">
        <f>HYPERLINK("http://www.eum.go.kr/web/ar/lu/luLandDet.jsp?pnu=3611036022101400002&amp;isNoScr=script&amp;mode=search", "토지이음")</f>
        <v/>
      </c>
      <c r="O1120" s="3" t="inlineStr">
        <is>
          <t>세종대장</t>
        </is>
      </c>
      <c r="P1120" s="4" t="n">
        <v>2</v>
      </c>
      <c r="Q1120" s="4" t="n">
        <v>510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150-3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60000</v>
      </c>
      <c r="G1121" s="4" t="n">
        <v>1006</v>
      </c>
      <c r="H1121" s="4" t="n">
        <v>304</v>
      </c>
      <c r="I1121" s="5" t="n">
        <v>197.4</v>
      </c>
      <c r="J1121" s="5" t="n">
        <v>55.9</v>
      </c>
      <c r="K1121" s="3" t="inlineStr">
        <is>
          <t>세종국가산단 인접 토지</t>
        </is>
      </c>
      <c r="L1121" s="6">
        <f>HYPERLINK("https://fin.land.naver.com/articles/2645464603", "매물Link")</f>
        <v/>
      </c>
      <c r="M1121" s="6">
        <f>HYPERLINK("https://map.naver.com/p/search/연서면 쌍전리 150-3", "지도Link")</f>
        <v/>
      </c>
      <c r="N1121" s="6">
        <f>HYPERLINK("http://www.eum.go.kr/web/ar/lu/luLandDet.jsp?pnu=3611036022101500003&amp;isNoScr=script&amp;mode=search",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1006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쌍전리 151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67730</v>
      </c>
      <c r="G1122" s="4" t="n">
        <v>1722</v>
      </c>
      <c r="H1122" s="4" t="n">
        <v>521</v>
      </c>
      <c r="I1122" s="5" t="n">
        <v>130</v>
      </c>
      <c r="J1122" s="5" t="n">
        <v>59.5</v>
      </c>
      <c r="K1122" s="3" t="inlineStr">
        <is>
          <t>시세 대비 저렴한 물건으로 대토나 주말농장용 농지로 추천</t>
        </is>
      </c>
      <c r="L1122" s="6">
        <f>HYPERLINK("https://fin.land.naver.com/articles/2647392151", "매물Link")</f>
        <v/>
      </c>
      <c r="M1122" s="6">
        <f>HYPERLINK("https://map.naver.com/p/search/연서면 쌍전리 151", "지도Link")</f>
        <v/>
      </c>
      <c r="N1122" s="6">
        <f>HYPERLINK("http://www.eum.go.kr/web/ar/lu/luLandDet.jsp?pnu=3611036022101510000&amp;isNoScr=script&amp;mode=search",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1722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175-14</t>
        </is>
      </c>
      <c r="B1123" s="3" t="inlineStr">
        <is>
          <t>자연녹지지역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40300</v>
      </c>
      <c r="G1123" s="4" t="n">
        <v>635</v>
      </c>
      <c r="H1123" s="4" t="n">
        <v>192</v>
      </c>
      <c r="I1123" s="5" t="n">
        <v>209.9</v>
      </c>
      <c r="J1123" s="5" t="n">
        <v>66.90000000000001</v>
      </c>
      <c r="K1123" s="3" t="inlineStr">
        <is>
          <t>도심근처 주택지 공방,찻집 등이 어울리는 호재성 좋은 토지</t>
        </is>
      </c>
      <c r="L1123" s="6">
        <f>HYPERLINK("https://fin.land.naver.com/articles/2650398102", "매물Link")</f>
        <v/>
      </c>
      <c r="M1123" s="6">
        <f>HYPERLINK("https://map.naver.com/p/search/연서면 쌍전리 175-14", "지도Link")</f>
        <v/>
      </c>
      <c r="N1123" s="6">
        <f>HYPERLINK("http://www.eum.go.kr/web/ar/lu/luLandDet.jsp?pnu=3611036022101750014&amp;isNoScr=script&amp;mode=search",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518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쌍전리 175-14</t>
        </is>
      </c>
      <c r="B1124" s="3" t="inlineStr">
        <is>
          <t>자연녹지지역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39200</v>
      </c>
      <c r="G1124" s="4" t="n">
        <v>518</v>
      </c>
      <c r="H1124" s="4" t="n">
        <v>157</v>
      </c>
      <c r="I1124" s="5" t="n">
        <v>249.7</v>
      </c>
      <c r="J1124" s="5" t="n">
        <v>66.90000000000001</v>
      </c>
      <c r="K1124" s="3" t="inlineStr">
        <is>
          <t>전원주택단지 최고의 입지  단지조성완료  협의가능  연기군아파트공급호재</t>
        </is>
      </c>
      <c r="L1124" s="6">
        <f>HYPERLINK("https://fin.land.naver.com/articles/2647888422", "매물Link")</f>
        <v/>
      </c>
      <c r="M1124" s="6">
        <f>HYPERLINK("https://map.naver.com/p/search/연서면 쌍전리 175-14", "지도Link")</f>
        <v/>
      </c>
      <c r="N1124" s="6">
        <f>HYPERLINK("http://www.eum.go.kr/web/ar/lu/luLandDet.jsp?pnu=3611036022101750014&amp;isNoScr=script&amp;mode=search", "토지이음")</f>
        <v/>
      </c>
      <c r="O1124" s="3" t="inlineStr">
        <is>
          <t>연세</t>
        </is>
      </c>
      <c r="P1124" s="4" t="n">
        <v>1</v>
      </c>
      <c r="Q1124" s="4" t="n">
        <v>518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쌍전리 200-1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105000</v>
      </c>
      <c r="G1125" s="4" t="n">
        <v>1878</v>
      </c>
      <c r="H1125" s="4" t="n">
        <v>568</v>
      </c>
      <c r="I1125" s="5" t="n">
        <v>184.9</v>
      </c>
      <c r="J1125" s="5" t="n">
        <v>64.5</v>
      </c>
      <c r="K1125" s="3" t="inlineStr">
        <is>
          <t>급매,568P 도로접, 연서면 쌍전리 자연녹지</t>
        </is>
      </c>
      <c r="L1125" s="6">
        <f>HYPERLINK("https://fin.land.naver.com/articles/2646815489", "매물Link")</f>
        <v/>
      </c>
      <c r="M1125" s="6">
        <f>HYPERLINK("https://map.naver.com/p/search/연서면 쌍전리 200-1", "지도Link")</f>
        <v/>
      </c>
      <c r="N1125" s="6">
        <f>HYPERLINK("http://www.eum.go.kr/web/ar/lu/luLandDet.jsp?pnu=3611036022102000001&amp;isNoScr=script&amp;mode=search", "토지이음")</f>
        <v/>
      </c>
      <c r="O1125" s="3" t="inlineStr">
        <is>
          <t>광장</t>
        </is>
      </c>
      <c r="P1125" s="4" t="n">
        <v>1</v>
      </c>
      <c r="Q1125" s="4" t="n">
        <v>1878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쌍전리 400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955</v>
      </c>
      <c r="H1126" s="4" t="n">
        <v>289</v>
      </c>
      <c r="I1126" s="5" t="n">
        <v>197.2</v>
      </c>
      <c r="J1126" s="5" t="n">
        <v>59.5</v>
      </c>
      <c r="K1126" s="3" t="inlineStr">
        <is>
          <t>nan</t>
        </is>
      </c>
      <c r="L1126" s="6">
        <f>HYPERLINK("https://fin.land.naver.com/articles/2646589140", "매물Link")</f>
        <v/>
      </c>
      <c r="M1126" s="6">
        <f>HYPERLINK("https://map.naver.com/p/search/연서면 쌍전리 400", "지도Link")</f>
        <v/>
      </c>
      <c r="N1126" s="6">
        <f>HYPERLINK("http://www.eum.go.kr/web/ar/lu/luLandDet.jsp?pnu=3611036022104000000&amp;isNoScr=script&amp;mode=search", "토지이음")</f>
        <v/>
      </c>
      <c r="O1126" s="3" t="inlineStr">
        <is>
          <t>이순이</t>
        </is>
      </c>
      <c r="P1126" s="4" t="n">
        <v>1</v>
      </c>
      <c r="Q1126" s="4" t="n">
        <v>955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세로각지(가)</t>
        </is>
      </c>
    </row>
    <row r="1127">
      <c r="A1127" s="3" t="inlineStr">
        <is>
          <t>연서면 쌍전리 405-4</t>
        </is>
      </c>
      <c r="B1127" s="3" t="inlineStr">
        <is>
          <t>자연녹지지역</t>
        </is>
      </c>
      <c r="C1127" s="3" t="inlineStr">
        <is>
          <t>임야</t>
        </is>
      </c>
      <c r="D1127" s="3" t="inlineStr">
        <is>
          <t>임야</t>
        </is>
      </c>
      <c r="E1127" s="3" t="inlineStr">
        <is>
          <t>매매</t>
        </is>
      </c>
      <c r="F1127" s="4" t="n">
        <v>81000</v>
      </c>
      <c r="G1127" s="4" t="n">
        <v>1498</v>
      </c>
      <c r="H1127" s="4" t="n">
        <v>453</v>
      </c>
      <c r="I1127" s="5" t="n">
        <v>178.8</v>
      </c>
      <c r="J1127" s="5" t="n">
        <v>24.2</v>
      </c>
      <c r="K1127" s="3" t="inlineStr">
        <is>
          <t>자연녹지 임야 매매</t>
        </is>
      </c>
      <c r="L1127" s="6">
        <f>HYPERLINK("https://fin.land.naver.com/articles/2648813384", "매물Link")</f>
        <v/>
      </c>
      <c r="M1127" s="6">
        <f>HYPERLINK("https://map.naver.com/p/search/연서면 쌍전리 405-4", "지도Link")</f>
        <v/>
      </c>
      <c r="N1127" s="6">
        <f>HYPERLINK("http://www.eum.go.kr/web/ar/lu/luLandDet.jsp?pnu=3611036022104050004&amp;isNoScr=script&amp;mode=search",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1498</v>
      </c>
      <c r="R1127" s="3" t="inlineStr">
        <is>
          <t>지정되지않음</t>
        </is>
      </c>
      <c r="S1127" s="3" t="inlineStr">
        <is>
          <t>자연림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연서면 쌍전리 407-3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83000</v>
      </c>
      <c r="G1128" s="4" t="n">
        <v>1831</v>
      </c>
      <c r="H1128" s="4" t="n">
        <v>554</v>
      </c>
      <c r="I1128" s="5" t="n">
        <v>149.8</v>
      </c>
      <c r="J1128" s="5" t="n">
        <v>50.6</v>
      </c>
      <c r="K1128" s="3" t="inlineStr">
        <is>
          <t>본 토지에진입로가 접하고 있으며세종시에는흔치않 은희소성 이 있는토지임</t>
        </is>
      </c>
      <c r="L1128" s="6">
        <f>HYPERLINK("https://fin.land.naver.com/articles/2648740927", "매물Link")</f>
        <v/>
      </c>
      <c r="M1128" s="6">
        <f>HYPERLINK("https://map.naver.com/p/search/연서면 쌍전리 407-3", "지도Link")</f>
        <v/>
      </c>
      <c r="N1128" s="6">
        <f>HYPERLINK("http://www.eum.go.kr/web/ar/lu/luLandDet.jsp?pnu=3611036022104070003&amp;isNoScr=script&amp;mode=search", "토지이음")</f>
        <v/>
      </c>
      <c r="O1128" s="3" t="inlineStr">
        <is>
          <t>대흥</t>
        </is>
      </c>
      <c r="P1128" s="4" t="n">
        <v>1</v>
      </c>
      <c r="Q1128" s="4" t="n">
        <v>1831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쌍전리 419-2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92500</v>
      </c>
      <c r="G1129" s="4" t="n">
        <v>2043</v>
      </c>
      <c r="H1129" s="4" t="n">
        <v>618</v>
      </c>
      <c r="I1129" s="5" t="n">
        <v>149.7</v>
      </c>
      <c r="J1129" s="5" t="n">
        <v>46.5</v>
      </c>
      <c r="K1129" s="3" t="inlineStr">
        <is>
          <t>급매 지대가 높아 조망이 좋은 전원주택지 및 과수원으로 활용</t>
        </is>
      </c>
      <c r="L1129" s="6">
        <f>HYPERLINK("https://fin.land.naver.com/articles/2649203247", "매물Link")</f>
        <v/>
      </c>
      <c r="M1129" s="6">
        <f>HYPERLINK("https://map.naver.com/p/search/연서면 쌍전리 419-2", "지도Link")</f>
        <v/>
      </c>
      <c r="N1129" s="6">
        <f>HYPERLINK("http://www.eum.go.kr/web/ar/lu/luLandDet.jsp?pnu=3611036022104190002&amp;isNoScr=script&amp;mode=search",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2043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세로한면(불)</t>
        </is>
      </c>
    </row>
    <row r="1130">
      <c r="A1130" s="3" t="inlineStr">
        <is>
          <t>연서면 쌍전리 433-1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1230</v>
      </c>
      <c r="H1130" s="4" t="n">
        <v>372</v>
      </c>
      <c r="I1130" s="5" t="n">
        <v>96.8</v>
      </c>
      <c r="J1130" s="5" t="n">
        <v>86.3</v>
      </c>
      <c r="K1130" s="3" t="inlineStr">
        <is>
          <t>nan</t>
        </is>
      </c>
      <c r="L1130" s="6">
        <f>HYPERLINK("https://fin.land.naver.com/articles/2648997031", "매물Link")</f>
        <v/>
      </c>
      <c r="M1130" s="6">
        <f>HYPERLINK("https://map.naver.com/p/search/연서면 쌍전리 433-1", "지도Link")</f>
        <v/>
      </c>
      <c r="N1130" s="6">
        <f>HYPERLINK("http://www.eum.go.kr/web/ar/lu/luLandDet.jsp?pnu=3611036022104330001&amp;isNoScr=script&amp;mode=search", "토지이음")</f>
        <v/>
      </c>
      <c r="O1130" s="3" t="inlineStr">
        <is>
          <t>KB세종</t>
        </is>
      </c>
      <c r="P1130" s="4" t="n">
        <v>1</v>
      </c>
      <c r="Q1130" s="4" t="n">
        <v>1230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463-1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86700</v>
      </c>
      <c r="G1131" s="4" t="n">
        <v>957</v>
      </c>
      <c r="H1131" s="4" t="n">
        <v>289</v>
      </c>
      <c r="I1131" s="5" t="n">
        <v>300</v>
      </c>
      <c r="J1131" s="5" t="n">
        <v>44.1</v>
      </c>
      <c r="K1131" s="3" t="inlineStr">
        <is>
          <t>매매합니다</t>
        </is>
      </c>
      <c r="L1131" s="6">
        <f>HYPERLINK("https://fin.land.naver.com/articles/2649833628", "매물Link")</f>
        <v/>
      </c>
      <c r="M1131" s="6">
        <f>HYPERLINK("https://map.naver.com/p/search/연서면 쌍전리 463-1", "지도Link")</f>
        <v/>
      </c>
      <c r="N1131" s="6">
        <f>HYPERLINK("http://www.eum.go.kr/web/ar/lu/luLandDet.jsp?pnu=3611036022104630001&amp;isNoScr=script&amp;mode=search", "토지이음")</f>
        <v/>
      </c>
      <c r="O1131" s="3" t="inlineStr">
        <is>
          <t>마니</t>
        </is>
      </c>
      <c r="P1131" s="4" t="n">
        <v>1</v>
      </c>
      <c r="Q1131" s="4" t="n">
        <v>957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464-3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135000</v>
      </c>
      <c r="G1132" s="4" t="n">
        <v>2626</v>
      </c>
      <c r="H1132" s="4" t="n">
        <v>794</v>
      </c>
      <c r="I1132" s="5" t="n">
        <v>170</v>
      </c>
      <c r="J1132" s="5" t="n">
        <v>44.1</v>
      </c>
      <c r="K1132" s="3" t="inlineStr">
        <is>
          <t>2차선도로와 본 토지 사이에 국유지가 있어 점용허가를 받아 넓게 사용가능</t>
        </is>
      </c>
      <c r="L1132" s="6">
        <f>HYPERLINK("https://fin.land.naver.com/articles/2648695807", "매물Link")</f>
        <v/>
      </c>
      <c r="M1132" s="6">
        <f>HYPERLINK("https://map.naver.com/p/search/연서면 쌍전리 464-3", "지도Link")</f>
        <v/>
      </c>
      <c r="N1132" s="6">
        <f>HYPERLINK("http://www.eum.go.kr/web/ar/lu/luLandDet.jsp?pnu=3611036022104640003&amp;isNoScr=script&amp;mode=search", "토지이음")</f>
        <v/>
      </c>
      <c r="O1132" s="3" t="inlineStr">
        <is>
          <t>스마일세종</t>
        </is>
      </c>
      <c r="P1132" s="4" t="n">
        <v>1</v>
      </c>
      <c r="Q1132" s="4" t="n">
        <v>2626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쌍전리 513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83000</v>
      </c>
      <c r="G1133" s="4" t="n">
        <v>3454</v>
      </c>
      <c r="H1133" s="4" t="n">
        <v>1045</v>
      </c>
      <c r="I1133" s="5" t="n">
        <v>79.40000000000001</v>
      </c>
      <c r="J1133" s="5" t="n">
        <v>27.2</v>
      </c>
      <c r="K1133" s="3" t="inlineStr">
        <is>
          <t>북세종IC 인근 농림지역으로 투자가치 높고 저렴한 가격인 대토로 추천.</t>
        </is>
      </c>
      <c r="L1133" s="6">
        <f>HYPERLINK("https://fin.land.naver.com/articles/2650939648", "매물Link")</f>
        <v/>
      </c>
      <c r="M1133" s="6">
        <f>HYPERLINK("https://map.naver.com/p/search/연서면 쌍전리 513", "지도Link")</f>
        <v/>
      </c>
      <c r="N1133" s="6">
        <f>HYPERLINK("http://www.eum.go.kr/web/ar/lu/luLandDet.jsp?pnu=3611036022105130000&amp;isNoScr=script&amp;mode=search",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3454.8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쌍전리 580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58000</v>
      </c>
      <c r="G1134" s="4" t="n">
        <v>2557</v>
      </c>
      <c r="H1134" s="4" t="n">
        <v>773</v>
      </c>
      <c r="I1134" s="5" t="n">
        <v>75</v>
      </c>
      <c r="J1134" s="5" t="n">
        <v>28.3</v>
      </c>
      <c r="K1134" s="3" t="inlineStr">
        <is>
          <t>도로접한 농림지역, 인근 북세종IC예정</t>
        </is>
      </c>
      <c r="L1134" s="6">
        <f>HYPERLINK("https://fin.land.naver.com/articles/2648813360", "매물Link")</f>
        <v/>
      </c>
      <c r="M1134" s="6">
        <f>HYPERLINK("https://map.naver.com/p/search/연서면 쌍전리 580", "지도Link")</f>
        <v/>
      </c>
      <c r="N1134" s="6">
        <f>HYPERLINK("http://www.eum.go.kr/web/ar/lu/luLandDet.jsp?pnu=3611036022105800000&amp;isNoScr=script&amp;mode=search", "토지이음")</f>
        <v/>
      </c>
      <c r="O1134" s="3" t="inlineStr">
        <is>
          <t>세종대박</t>
        </is>
      </c>
      <c r="P1134" s="4" t="n">
        <v>1</v>
      </c>
      <c r="Q1134" s="4" t="n">
        <v>2557.2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연서면 쌍전리 584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126500</v>
      </c>
      <c r="G1135" s="4" t="n">
        <v>5295</v>
      </c>
      <c r="H1135" s="4" t="n">
        <v>1602</v>
      </c>
      <c r="I1135" s="5" t="n">
        <v>79</v>
      </c>
      <c r="J1135" s="5" t="n">
        <v>28.3</v>
      </c>
      <c r="K1135" s="3" t="inlineStr">
        <is>
          <t>nan</t>
        </is>
      </c>
      <c r="L1135" s="6">
        <f>HYPERLINK("https://fin.land.naver.com/articles/2650856719", "매물Link")</f>
        <v/>
      </c>
      <c r="M1135" s="6">
        <f>HYPERLINK("https://map.naver.com/p/search/연서면 쌍전리 584", "지도Link")</f>
        <v/>
      </c>
      <c r="N1135" s="6">
        <f>HYPERLINK("http://www.eum.go.kr/web/ar/lu/luLandDet.jsp?pnu=3611036022105840000&amp;isNoScr=script&amp;mode=search",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5295.3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쌍전리 619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120000</v>
      </c>
      <c r="G1136" s="4" t="n">
        <v>3607</v>
      </c>
      <c r="H1136" s="4" t="n">
        <v>1091</v>
      </c>
      <c r="I1136" s="5" t="n">
        <v>110</v>
      </c>
      <c r="J1136" s="5" t="n">
        <v>30.3</v>
      </c>
      <c r="K1136" s="3" t="inlineStr">
        <is>
          <t>도로 접한 코너 답 토지 접근성 우수</t>
        </is>
      </c>
      <c r="L1136" s="6">
        <f>HYPERLINK("https://fin.land.naver.com/articles/2648379661", "매물Link")</f>
        <v/>
      </c>
      <c r="M1136" s="6">
        <f>HYPERLINK("https://map.naver.com/p/search/연서면 쌍전리 619", "지도Link")</f>
        <v/>
      </c>
      <c r="N1136" s="6">
        <f>HYPERLINK("http://www.eum.go.kr/web/ar/lu/luLandDet.jsp?pnu=3611036022106190000&amp;isNoScr=script&amp;mode=search", "토지이음")</f>
        <v/>
      </c>
      <c r="O1136" s="3" t="inlineStr">
        <is>
          <t>몬스터</t>
        </is>
      </c>
      <c r="P1136" s="4" t="n">
        <v>1</v>
      </c>
      <c r="Q1136" s="4" t="n">
        <v>3607.3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연서면 쌍전리 619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110000</v>
      </c>
      <c r="G1137" s="4" t="n">
        <v>3607</v>
      </c>
      <c r="H1137" s="4" t="n">
        <v>1091</v>
      </c>
      <c r="I1137" s="5" t="n">
        <v>100.8</v>
      </c>
      <c r="J1137" s="5" t="n">
        <v>30.3</v>
      </c>
      <c r="K1137" s="3" t="inlineStr">
        <is>
          <t>2차선 도로에접한 토지로 현재가보다 매우 저렴하게 나온 매물임.</t>
        </is>
      </c>
      <c r="L1137" s="6">
        <f>HYPERLINK("https://fin.land.naver.com/articles/2648518171", "매물Link")</f>
        <v/>
      </c>
      <c r="M1137" s="6">
        <f>HYPERLINK("https://map.naver.com/p/search/연서면 쌍전리 619", "지도Link")</f>
        <v/>
      </c>
      <c r="N1137" s="6">
        <f>HYPERLINK("http://www.eum.go.kr/web/ar/lu/luLandDet.jsp?pnu=3611036022106190000&amp;isNoScr=script&amp;mode=search", "토지이음")</f>
        <v/>
      </c>
      <c r="O1137" s="3" t="inlineStr">
        <is>
          <t>세종리츠</t>
        </is>
      </c>
      <c r="P1137" s="4" t="n">
        <v>1</v>
      </c>
      <c r="Q1137" s="4" t="n">
        <v>3607.3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연서면 쌍전리 638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103800</v>
      </c>
      <c r="G1138" s="4" t="n">
        <v>3431</v>
      </c>
      <c r="H1138" s="4" t="n">
        <v>1038</v>
      </c>
      <c r="I1138" s="5" t="n">
        <v>100</v>
      </c>
      <c r="J1138" s="5" t="n">
        <v>28.3</v>
      </c>
      <c r="K1138" s="3" t="inlineStr">
        <is>
          <t>쌍전리 2차선도로 가까운 토지 북세종톨게이트 예정지 수혜지</t>
        </is>
      </c>
      <c r="L1138" s="6">
        <f>HYPERLINK("https://fin.land.naver.com/articles/2649964374", "매물Link")</f>
        <v/>
      </c>
      <c r="M1138" s="6">
        <f>HYPERLINK("https://map.naver.com/p/search/연서면 쌍전리 638", "지도Link")</f>
        <v/>
      </c>
      <c r="N1138" s="6">
        <f>HYPERLINK("http://www.eum.go.kr/web/ar/lu/luLandDet.jsp?pnu=3611036022106380000&amp;isNoScr=script&amp;mode=search",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3431.4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654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132000</v>
      </c>
      <c r="G1139" s="4" t="n">
        <v>3980</v>
      </c>
      <c r="H1139" s="4" t="n">
        <v>1204</v>
      </c>
      <c r="I1139" s="5" t="n">
        <v>109.6</v>
      </c>
      <c r="J1139" s="5" t="n">
        <v>28</v>
      </c>
      <c r="K1139" s="3" t="inlineStr">
        <is>
          <t>도로접한 농림지역 농지. 대토추천</t>
        </is>
      </c>
      <c r="L1139" s="6">
        <f>HYPERLINK("https://fin.land.naver.com/articles/2649890122", "매물Link")</f>
        <v/>
      </c>
      <c r="M1139" s="6">
        <f>HYPERLINK("https://map.naver.com/p/search/연서면 쌍전리 654", "지도Link")</f>
        <v/>
      </c>
      <c r="N1139" s="6">
        <f>HYPERLINK("http://www.eum.go.kr/web/ar/lu/luLandDet.jsp?pnu=3611036022106540000&amp;isNoScr=script&amp;mode=search",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3980.6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쌍전리 684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70000</v>
      </c>
      <c r="G1140" s="4" t="n">
        <v>1016</v>
      </c>
      <c r="H1140" s="4" t="n">
        <v>307</v>
      </c>
      <c r="I1140" s="5" t="n">
        <v>228</v>
      </c>
      <c r="J1140" s="5" t="n">
        <v>30.3</v>
      </c>
      <c r="K1140" s="3" t="inlineStr">
        <is>
          <t>4차선계획도로접.6미터간선도로접.북세종IC예정지앞.도로높이성토작업완료</t>
        </is>
      </c>
      <c r="L1140" s="6">
        <f>HYPERLINK("https://fin.land.naver.com/articles/2650529732", "매물Link")</f>
        <v/>
      </c>
      <c r="M1140" s="6">
        <f>HYPERLINK("https://map.naver.com/p/search/연서면 쌍전리 684", "지도Link")</f>
        <v/>
      </c>
      <c r="N1140" s="6">
        <f>HYPERLINK("http://www.eum.go.kr/web/ar/lu/luLandDet.jsp?pnu=3611036022106840000&amp;isNoScr=script&amp;mode=search", "토지이음")</f>
        <v/>
      </c>
      <c r="O1140" s="3" t="inlineStr">
        <is>
          <t>돈방석</t>
        </is>
      </c>
      <c r="P1140" s="4" t="n">
        <v>7</v>
      </c>
      <c r="Q1140" s="4" t="n">
        <v>1015.5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684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70000</v>
      </c>
      <c r="G1141" s="4" t="n">
        <v>1015</v>
      </c>
      <c r="H1141" s="4" t="n">
        <v>307</v>
      </c>
      <c r="I1141" s="5" t="n">
        <v>228</v>
      </c>
      <c r="J1141" s="5" t="n">
        <v>30.3</v>
      </c>
      <c r="K1141" s="3" t="inlineStr">
        <is>
          <t>2차선접,대토강추,투자가치최고</t>
        </is>
      </c>
      <c r="L1141" s="6">
        <f>HYPERLINK("https://fin.land.naver.com/articles/2648102972", "매물Link")</f>
        <v/>
      </c>
      <c r="M1141" s="6">
        <f>HYPERLINK("https://map.naver.com/p/search/연서면 쌍전리 684", "지도Link")</f>
        <v/>
      </c>
      <c r="N1141" s="6">
        <f>HYPERLINK("http://www.eum.go.kr/web/ar/lu/luLandDet.jsp?pnu=3611036022106840000&amp;isNoScr=script&amp;mode=search", "토지이음")</f>
        <v/>
      </c>
      <c r="O1141" s="3" t="inlineStr">
        <is>
          <t>힐스테이트행복</t>
        </is>
      </c>
      <c r="P1141" s="4" t="n">
        <v>2</v>
      </c>
      <c r="Q1141" s="4" t="n">
        <v>1015.5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78</t>
        </is>
      </c>
      <c r="B1142" s="3" t="inlineStr">
        <is>
          <t>자연녹지지역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24500</v>
      </c>
      <c r="G1142" s="4" t="n">
        <v>324</v>
      </c>
      <c r="H1142" s="4" t="n">
        <v>98</v>
      </c>
      <c r="I1142" s="5" t="n">
        <v>250</v>
      </c>
      <c r="J1142" s="5" t="n">
        <v>106.9</v>
      </c>
      <c r="K1142" s="3" t="inlineStr">
        <is>
          <t>자연녹지, 자연취락지구 내 대지. 현재는 나대지임. 건폐율 60</t>
        </is>
      </c>
      <c r="L1142" s="6">
        <f>HYPERLINK("https://fin.land.naver.com/articles/2649900081", "매물Link")</f>
        <v/>
      </c>
      <c r="M1142" s="6">
        <f>HYPERLINK("https://map.naver.com/p/search/연서면 쌍전리 78", "지도Link")</f>
        <v/>
      </c>
      <c r="N1142" s="6">
        <f>HYPERLINK("http://www.eum.go.kr/web/ar/lu/luLandDet.jsp?pnu=3611036022100780000&amp;isNoScr=script&amp;mode=search", "토지이음")</f>
        <v/>
      </c>
      <c r="O1142" s="3" t="inlineStr">
        <is>
          <t>미스터홈즈강남지사</t>
        </is>
      </c>
      <c r="P1142" s="4" t="n">
        <v>1</v>
      </c>
      <c r="Q1142" s="4" t="n">
        <v>324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쌍전리 산18-6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196000</v>
      </c>
      <c r="G1143" s="4" t="n">
        <v>6318</v>
      </c>
      <c r="H1143" s="4" t="n">
        <v>1911</v>
      </c>
      <c r="I1143" s="5" t="n">
        <v>102.6</v>
      </c>
      <c r="J1143" s="5" t="n">
        <v>21.7</v>
      </c>
      <c r="K1143" s="3" t="inlineStr">
        <is>
          <t>연서면 쌍전리 임야와 과수원을 일괄하여 급매로 매매합니다</t>
        </is>
      </c>
      <c r="L1143" s="6">
        <f>HYPERLINK("https://fin.land.naver.com/articles/2649203413", "매물Link")</f>
        <v/>
      </c>
      <c r="M1143" s="6">
        <f>HYPERLINK("https://map.naver.com/p/search/연서면 쌍전리 산18-6", "지도Link")</f>
        <v/>
      </c>
      <c r="N1143" s="6">
        <f>HYPERLINK("http://www.eum.go.kr/web/ar/lu/luLandDet.jsp?pnu=3611036022200180006&amp;isNoScr=script&amp;mode=search", "토지이음")</f>
        <v/>
      </c>
      <c r="O1143" s="3" t="inlineStr">
        <is>
          <t>스마일세종</t>
        </is>
      </c>
      <c r="P1143" s="4" t="n">
        <v>1</v>
      </c>
      <c r="Q1143" s="4" t="n">
        <v>1463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와촌리 1075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1600</v>
      </c>
      <c r="H1144" s="4" t="n">
        <v>484</v>
      </c>
      <c r="I1144" s="5" t="n">
        <v>150.8</v>
      </c>
      <c r="J1144" s="5" t="n">
        <v>41.7</v>
      </c>
      <c r="K1144" s="3" t="inlineStr">
        <is>
          <t>세종 연서면 와촌리 토지</t>
        </is>
      </c>
      <c r="L1144" s="6">
        <f>HYPERLINK("https://fin.land.naver.com/articles/2649772695", "매물Link")</f>
        <v/>
      </c>
      <c r="M1144" s="6">
        <f>HYPERLINK("https://map.naver.com/p/search/연서면 와촌리 1075", "지도Link")</f>
        <v/>
      </c>
      <c r="N1144" s="6">
        <f>HYPERLINK("http://www.eum.go.kr/web/ar/lu/luLandDet.jsp?pnu=3611036031110750000&amp;isNoScr=script&amp;mode=search", "토지이음")</f>
        <v/>
      </c>
      <c r="O1144" s="3" t="inlineStr">
        <is>
          <t>세종몽땅</t>
        </is>
      </c>
      <c r="P1144" s="4" t="n">
        <v>1</v>
      </c>
      <c r="Q1144" s="4" t="n">
        <v>1600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와촌리 1075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72600</v>
      </c>
      <c r="G1145" s="4" t="n">
        <v>1600</v>
      </c>
      <c r="H1145" s="4" t="n">
        <v>484</v>
      </c>
      <c r="I1145" s="5" t="n">
        <v>150</v>
      </c>
      <c r="J1145" s="5" t="n">
        <v>41.7</v>
      </c>
      <c r="K1145" s="3" t="inlineStr">
        <is>
          <t>주말농장 및 투자용</t>
        </is>
      </c>
      <c r="L1145" s="6">
        <f>HYPERLINK("https://fin.land.naver.com/articles/2647763444", "매물Link")</f>
        <v/>
      </c>
      <c r="M1145" s="6">
        <f>HYPERLINK("https://map.naver.com/p/search/연서면 와촌리 1075", "지도Link")</f>
        <v/>
      </c>
      <c r="N1145" s="6">
        <f>HYPERLINK("http://www.eum.go.kr/web/ar/lu/luLandDet.jsp?pnu=3611036031110750000&amp;isNoScr=script&amp;mode=search", "토지이음")</f>
        <v/>
      </c>
      <c r="O1145" s="3" t="inlineStr">
        <is>
          <t>지호주식회사</t>
        </is>
      </c>
      <c r="P1145" s="4" t="n">
        <v>1</v>
      </c>
      <c r="Q1145" s="4" t="n">
        <v>1600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1092-4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150000</v>
      </c>
      <c r="G1146" s="4" t="n">
        <v>1661</v>
      </c>
      <c r="H1146" s="4" t="n">
        <v>502</v>
      </c>
      <c r="I1146" s="5" t="n">
        <v>298.8</v>
      </c>
      <c r="J1146" s="5" t="n">
        <v>59.2</v>
      </c>
      <c r="K1146" s="3" t="inlineStr">
        <is>
          <t>지방도 접해 있고 다양한 용도로 활용성 높은 투자가치 높은 용지</t>
        </is>
      </c>
      <c r="L1146" s="6">
        <f>HYPERLINK("https://fin.land.naver.com/articles/2649282774", "매물Link")</f>
        <v/>
      </c>
      <c r="M1146" s="6">
        <f>HYPERLINK("https://map.naver.com/p/search/연서면 와촌리 1092-4", "지도Link")</f>
        <v/>
      </c>
      <c r="N1146" s="6">
        <f>HYPERLINK("http://www.eum.go.kr/web/ar/lu/luLandDet.jsp?pnu=3611036031110920004&amp;isNoScr=script&amp;mode=search", "토지이음")</f>
        <v/>
      </c>
      <c r="O1146" s="3" t="inlineStr">
        <is>
          <t>반곡황금더샵</t>
        </is>
      </c>
      <c r="P1146" s="4" t="n">
        <v>2</v>
      </c>
      <c r="Q1146" s="4" t="n">
        <v>1661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1109-1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87000</v>
      </c>
      <c r="G1147" s="4" t="n">
        <v>960</v>
      </c>
      <c r="H1147" s="4" t="n">
        <v>290</v>
      </c>
      <c r="I1147" s="5" t="n">
        <v>300</v>
      </c>
      <c r="J1147" s="5" t="n">
        <v>80.09999999999999</v>
      </c>
      <c r="K1147" s="3" t="inlineStr">
        <is>
          <t>도로접한 근생 건축 가능 토지</t>
        </is>
      </c>
      <c r="L1147" s="6">
        <f>HYPERLINK("https://fin.land.naver.com/articles/2647548610", "매물Link")</f>
        <v/>
      </c>
      <c r="M1147" s="6">
        <f>HYPERLINK("https://map.naver.com/p/search/연서면 와촌리 1109-1", "지도Link")</f>
        <v/>
      </c>
      <c r="N1147" s="6">
        <f>HYPERLINK("http://www.eum.go.kr/web/ar/lu/luLandDet.jsp?pnu=3611036031111090001&amp;isNoScr=script&amp;mode=search", "토지이음")</f>
        <v/>
      </c>
      <c r="O1147" s="3" t="inlineStr">
        <is>
          <t>강우림</t>
        </is>
      </c>
      <c r="P1147" s="4" t="n">
        <v>1</v>
      </c>
      <c r="Q1147" s="4" t="n">
        <v>960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1180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2380</v>
      </c>
      <c r="H1148" s="4" t="n">
        <v>720</v>
      </c>
      <c r="I1148" s="5" t="n">
        <v>250</v>
      </c>
      <c r="J1148" s="5" t="n">
        <v>84.8</v>
      </c>
      <c r="K1148" s="3" t="inlineStr">
        <is>
          <t>마을 맨 윗쪽 넓은 전원주택지. 현재 전 및 일부 축사</t>
        </is>
      </c>
      <c r="L1148" s="6">
        <f>HYPERLINK("https://fin.land.naver.com/articles/2645548376", "매물Link")</f>
        <v/>
      </c>
      <c r="M1148" s="6">
        <f>HYPERLINK("https://map.naver.com/p/search/연서면 와촌리 1180", "지도Link")</f>
        <v/>
      </c>
      <c r="N1148" s="6">
        <f>HYPERLINK("http://www.eum.go.kr/web/ar/lu/luLandDet.jsp?pnu=3611036031111800000&amp;isNoScr=script&amp;mode=search",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2380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와촌리 1180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180000</v>
      </c>
      <c r="G1149" s="4" t="n">
        <v>2380</v>
      </c>
      <c r="H1149" s="4" t="n">
        <v>720</v>
      </c>
      <c r="I1149" s="5" t="n">
        <v>250</v>
      </c>
      <c r="J1149" s="5" t="n">
        <v>84.8</v>
      </c>
      <c r="K1149" s="3" t="inlineStr">
        <is>
          <t>세종시 인기지역, 국가산업단지 인근, 현재 축사건물있음 , 투자가치높음</t>
        </is>
      </c>
      <c r="L1149" s="6">
        <f>HYPERLINK("https://fin.land.naver.com/articles/2646426712", "매물Link")</f>
        <v/>
      </c>
      <c r="M1149" s="6">
        <f>HYPERLINK("https://map.naver.com/p/search/연서면 와촌리 1180", "지도Link")</f>
        <v/>
      </c>
      <c r="N1149" s="6">
        <f>HYPERLINK("http://www.eum.go.kr/web/ar/lu/luLandDet.jsp?pnu=3611036031111800000&amp;isNoScr=script&amp;mode=search", "토지이음")</f>
        <v/>
      </c>
      <c r="O1149" s="3" t="inlineStr">
        <is>
          <t>세종특별시</t>
        </is>
      </c>
      <c r="P1149" s="4" t="n">
        <v>1</v>
      </c>
      <c r="Q1149" s="4" t="n">
        <v>2380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와촌리 1182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140000</v>
      </c>
      <c r="G1150" s="4" t="n">
        <v>1689</v>
      </c>
      <c r="H1150" s="4" t="n">
        <v>511</v>
      </c>
      <c r="I1150" s="5" t="n">
        <v>274</v>
      </c>
      <c r="J1150" s="5" t="n">
        <v>85.59999999999999</v>
      </c>
      <c r="K1150" s="3" t="inlineStr">
        <is>
          <t>복숭아 나무 식재 중, 토지모양 굿, 자연취락지구, 성장관리계획구역</t>
        </is>
      </c>
      <c r="L1150" s="6">
        <f>HYPERLINK("https://fin.land.naver.com/articles/2647190456", "매물Link")</f>
        <v/>
      </c>
      <c r="M1150" s="6">
        <f>HYPERLINK("https://map.naver.com/p/search/연서면 와촌리 1182", "지도Link")</f>
        <v/>
      </c>
      <c r="N1150" s="6">
        <f>HYPERLINK("http://www.eum.go.kr/web/ar/lu/luLandDet.jsp?pnu=3611036031111820000&amp;isNoScr=script&amp;mode=search", "토지이음")</f>
        <v/>
      </c>
      <c r="O1150" s="3" t="inlineStr">
        <is>
          <t>올바른</t>
        </is>
      </c>
      <c r="P1150" s="4" t="n">
        <v>1</v>
      </c>
      <c r="Q1150" s="4" t="n">
        <v>1689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와촌리 1185-1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240000</v>
      </c>
      <c r="G1151" s="4" t="n">
        <v>2432</v>
      </c>
      <c r="H1151" s="4" t="n">
        <v>736</v>
      </c>
      <c r="I1151" s="5" t="n">
        <v>326.1</v>
      </c>
      <c r="J1151" s="5" t="n">
        <v>77.09999999999999</v>
      </c>
      <c r="K1151" s="3" t="inlineStr">
        <is>
          <t>계획관리, 성장관리 지역, 2차선 도로 바로 옆 토지, 국가산단 5분거리</t>
        </is>
      </c>
      <c r="L1151" s="6">
        <f>HYPERLINK("https://fin.land.naver.com/articles/2647190264", "매물Link")</f>
        <v/>
      </c>
      <c r="M1151" s="6">
        <f>HYPERLINK("https://map.naver.com/p/search/연서면 와촌리 1185-1", "지도Link")</f>
        <v/>
      </c>
      <c r="N1151" s="6">
        <f>HYPERLINK("http://www.eum.go.kr/web/ar/lu/luLandDet.jsp?pnu=3611036031111850001&amp;isNoScr=script&amp;mode=search", "토지이음")</f>
        <v/>
      </c>
      <c r="O1151" s="3" t="inlineStr">
        <is>
          <t>올바른</t>
        </is>
      </c>
      <c r="P1151" s="4" t="n">
        <v>1</v>
      </c>
      <c r="Q1151" s="4" t="n">
        <v>1660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172-1</t>
        </is>
      </c>
      <c r="B1152" s="3" t="inlineStr">
        <is>
          <t>계획관리지역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270000</v>
      </c>
      <c r="G1152" s="4" t="n">
        <v>2749</v>
      </c>
      <c r="H1152" s="4" t="n">
        <v>832</v>
      </c>
      <c r="I1152" s="5" t="n">
        <v>324.5</v>
      </c>
      <c r="J1152" s="5" t="n">
        <v>57.5</v>
      </c>
      <c r="K1152" s="3" t="inlineStr">
        <is>
          <t>세종 스마트 국가산업단지 길건너 발전가능성 높은 귀한 토지 매도</t>
        </is>
      </c>
      <c r="L1152" s="6">
        <f>HYPERLINK("https://fin.land.naver.com/articles/2648901026", "매물Link")</f>
        <v/>
      </c>
      <c r="M1152" s="6">
        <f>HYPERLINK("https://map.naver.com/p/search/연서면 와촌리 172-1", "지도Link")</f>
        <v/>
      </c>
      <c r="N1152" s="6">
        <f>HYPERLINK("http://www.eum.go.kr/web/ar/lu/luLandDet.jsp?pnu=3611036031101720001&amp;isNoScr=script&amp;mode=search", "토지이음")</f>
        <v/>
      </c>
      <c r="O1152" s="3" t="inlineStr">
        <is>
          <t>번영</t>
        </is>
      </c>
      <c r="P1152" s="4" t="n">
        <v>1</v>
      </c>
      <c r="Q1152" s="4" t="n">
        <v>2749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자루형</t>
        </is>
      </c>
      <c r="V1152" s="3" t="inlineStr">
        <is>
          <t>맹지</t>
        </is>
      </c>
    </row>
    <row r="1153">
      <c r="A1153" s="3" t="inlineStr">
        <is>
          <t>연서면 와촌리 314-2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91683</v>
      </c>
      <c r="G1153" s="4" t="n">
        <v>1656</v>
      </c>
      <c r="H1153" s="4" t="n">
        <v>501</v>
      </c>
      <c r="I1153" s="5" t="n">
        <v>183</v>
      </c>
      <c r="J1153" s="5" t="n">
        <v>63.1</v>
      </c>
      <c r="K1153" s="3" t="inlineStr">
        <is>
          <t>와촌리 급매 투자 및 국가산단 보상 대토 강력 추천 계획관리</t>
        </is>
      </c>
      <c r="L1153" s="6">
        <f>HYPERLINK("https://fin.land.naver.com/articles/2646956103", "매물Link")</f>
        <v/>
      </c>
      <c r="M1153" s="6">
        <f>HYPERLINK("https://map.naver.com/p/search/연서면 와촌리 314-2", "지도Link")</f>
        <v/>
      </c>
      <c r="N1153" s="6">
        <f>HYPERLINK("http://www.eum.go.kr/web/ar/lu/luLandDet.jsp?pnu=3611036031103140002&amp;isNoScr=script&amp;mode=search", "토지이음")</f>
        <v/>
      </c>
      <c r="O1153" s="3" t="inlineStr">
        <is>
          <t>연서</t>
        </is>
      </c>
      <c r="P1153" s="4" t="n">
        <v>1</v>
      </c>
      <c r="Q1153" s="4" t="n">
        <v>1656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와촌리 430-9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109500</v>
      </c>
      <c r="G1154" s="4" t="n">
        <v>3017</v>
      </c>
      <c r="H1154" s="4" t="n">
        <v>913</v>
      </c>
      <c r="I1154" s="5" t="n">
        <v>119.9</v>
      </c>
      <c r="J1154" s="5" t="n">
        <v>40.4</v>
      </c>
      <c r="K1154" s="3" t="inlineStr">
        <is>
          <t>세종스마트국가산업단지와 200여m 인근에 있는 투자용 토지입니다</t>
        </is>
      </c>
      <c r="L1154" s="6">
        <f>HYPERLINK("https://fin.land.naver.com/articles/2650738784", "매물Link")</f>
        <v/>
      </c>
      <c r="M1154" s="6">
        <f>HYPERLINK("https://map.naver.com/p/search/연서면 와촌리 430-9", "지도Link")</f>
        <v/>
      </c>
      <c r="N1154" s="6">
        <f>HYPERLINK("http://www.eum.go.kr/web/ar/lu/luLandDet.jsp?pnu=3611036031104300009&amp;isNoScr=script&amp;mode=search", "토지이음")</f>
        <v/>
      </c>
      <c r="O1154" s="3" t="inlineStr">
        <is>
          <t>스마일세종</t>
        </is>
      </c>
      <c r="P1154" s="4" t="n">
        <v>3</v>
      </c>
      <c r="Q1154" s="4" t="n">
        <v>3017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와촌리 437-2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33000</v>
      </c>
      <c r="G1155" s="4" t="n">
        <v>1092</v>
      </c>
      <c r="H1155" s="4" t="n">
        <v>330</v>
      </c>
      <c r="I1155" s="5" t="n">
        <v>100</v>
      </c>
      <c r="J1155" s="5" t="n">
        <v>40.8</v>
      </c>
      <c r="K1155" s="3" t="inlineStr">
        <is>
          <t>세종스마트 국가산업단지 옆 와촌리 토지 급매.</t>
        </is>
      </c>
      <c r="L1155" s="6">
        <f>HYPERLINK("https://fin.land.naver.com/articles/2650939358", "매물Link")</f>
        <v/>
      </c>
      <c r="M1155" s="6">
        <f>HYPERLINK("https://map.naver.com/p/search/연서면 와촌리 437-2", "지도Link")</f>
        <v/>
      </c>
      <c r="N1155" s="6">
        <f>HYPERLINK("http://www.eum.go.kr/web/ar/lu/luLandDet.jsp?pnu=3611036031104370002&amp;isNoScr=script&amp;mode=search",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1092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와촌리 437-3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150000</v>
      </c>
      <c r="G1156" s="4" t="n">
        <v>2991</v>
      </c>
      <c r="H1156" s="4" t="n">
        <v>905</v>
      </c>
      <c r="I1156" s="5" t="n">
        <v>165.7</v>
      </c>
      <c r="J1156" s="5" t="n">
        <v>40.8</v>
      </c>
      <c r="K1156" s="3" t="inlineStr">
        <is>
          <t>조치원산단 인근 농지. 투자용으로 추천</t>
        </is>
      </c>
      <c r="L1156" s="6">
        <f>HYPERLINK("https://fin.land.naver.com/articles/2650858525", "매물Link")</f>
        <v/>
      </c>
      <c r="M1156" s="6">
        <f>HYPERLINK("https://map.naver.com/p/search/연서면 와촌리 437-3", "지도Link")</f>
        <v/>
      </c>
      <c r="N1156" s="6">
        <f>HYPERLINK("http://www.eum.go.kr/web/ar/lu/luLandDet.jsp?pnu=3611036031104370003&amp;isNoScr=script&amp;mode=search",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2992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와촌리 438-3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82000</v>
      </c>
      <c r="G1157" s="4" t="n">
        <v>1687</v>
      </c>
      <c r="H1157" s="4" t="n">
        <v>510</v>
      </c>
      <c r="I1157" s="5" t="n">
        <v>160.8</v>
      </c>
      <c r="J1157" s="5" t="n">
        <v>40.4</v>
      </c>
      <c r="K1157" s="3" t="inlineStr">
        <is>
          <t>성토된 농지, 도로접한 전현황</t>
        </is>
      </c>
      <c r="L1157" s="6">
        <f>HYPERLINK("https://fin.land.naver.com/articles/2648813655", "매물Link")</f>
        <v/>
      </c>
      <c r="M1157" s="6">
        <f>HYPERLINK("https://map.naver.com/p/search/연서면 와촌리 438-3", "지도Link")</f>
        <v/>
      </c>
      <c r="N1157" s="6">
        <f>HYPERLINK("http://www.eum.go.kr/web/ar/lu/luLandDet.jsp?pnu=3611036031104380003&amp;isNoScr=script&amp;mode=search",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1687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와촌리 858-1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230000</v>
      </c>
      <c r="G1158" s="4" t="n">
        <v>1264</v>
      </c>
      <c r="H1158" s="4" t="n">
        <v>382</v>
      </c>
      <c r="I1158" s="5" t="n">
        <v>602.1</v>
      </c>
      <c r="J1158" s="5" t="n">
        <v>134.5</v>
      </c>
      <c r="K1158" s="3" t="inlineStr">
        <is>
          <t>세종산업단지인근 2차선도로 계획관리지역 토지매매</t>
        </is>
      </c>
      <c r="L1158" s="6">
        <f>HYPERLINK("https://fin.land.naver.com/articles/2645513821", "매물Link")</f>
        <v/>
      </c>
      <c r="M1158" s="6">
        <f>HYPERLINK("https://map.naver.com/p/search/연서면 와촌리 858-1", "지도Link")</f>
        <v/>
      </c>
      <c r="N1158" s="6">
        <f>HYPERLINK("http://www.eum.go.kr/web/ar/lu/luLandDet.jsp?pnu=3611036031108580001&amp;isNoScr=script&amp;mode=search", "토지이음")</f>
        <v/>
      </c>
      <c r="O1158" s="3" t="inlineStr">
        <is>
          <t>에이스</t>
        </is>
      </c>
      <c r="P1158" s="4" t="n">
        <v>1</v>
      </c>
      <c r="Q1158" s="4" t="n">
        <v>548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연서면 와촌리 862-3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90000</v>
      </c>
      <c r="G1159" s="4" t="n">
        <v>661</v>
      </c>
      <c r="H1159" s="4" t="n">
        <v>200</v>
      </c>
      <c r="I1159" s="5" t="n">
        <v>450</v>
      </c>
      <c r="J1159" s="5" t="n">
        <v>63.1</v>
      </c>
      <c r="K1159" s="3" t="inlineStr">
        <is>
          <t>연서면 와촌리 와촌보건소 인근 2차선 도로에 접한 농지 분할 매매 합니다</t>
        </is>
      </c>
      <c r="L1159" s="6">
        <f>HYPERLINK("https://fin.land.naver.com/articles/2646999752", "매물Link")</f>
        <v/>
      </c>
      <c r="M1159" s="6">
        <f>HYPERLINK("https://map.naver.com/p/search/연서면 와촌리 862-3", "지도Link")</f>
        <v/>
      </c>
      <c r="N1159" s="6">
        <f>HYPERLINK("http://www.eum.go.kr/web/ar/lu/luLandDet.jsp?pnu=3611036031108620003&amp;isNoScr=script&amp;mode=search",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3171</v>
      </c>
      <c r="R1159" s="3" t="inlineStr">
        <is>
          <t>보전관리지역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연서면 와촌리 866-4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40000</v>
      </c>
      <c r="G1160" s="4" t="n">
        <v>662</v>
      </c>
      <c r="H1160" s="4" t="n">
        <v>200</v>
      </c>
      <c r="I1160" s="5" t="n">
        <v>200</v>
      </c>
      <c r="J1160" s="5" t="n">
        <v>60.6</v>
      </c>
      <c r="K1160" s="3" t="inlineStr">
        <is>
          <t>스마트국가산단 인근 생산관리 토지</t>
        </is>
      </c>
      <c r="L1160" s="6">
        <f>HYPERLINK("https://fin.land.naver.com/articles/2649915561", "매물Link")</f>
        <v/>
      </c>
      <c r="M1160" s="6">
        <f>HYPERLINK("https://map.naver.com/p/search/연서면 와촌리 866-4", "지도Link")</f>
        <v/>
      </c>
      <c r="N1160" s="6">
        <f>HYPERLINK("http://www.eum.go.kr/web/ar/lu/luLandDet.jsp?pnu=3611036031108660004&amp;isNoScr=script&amp;mode=search",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214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955-2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250000</v>
      </c>
      <c r="G1161" s="4" t="n">
        <v>7871</v>
      </c>
      <c r="H1161" s="4" t="n">
        <v>2381</v>
      </c>
      <c r="I1161" s="5" t="n">
        <v>105</v>
      </c>
      <c r="J1161" s="5" t="n">
        <v>40.5</v>
      </c>
      <c r="K1161" s="3" t="inlineStr">
        <is>
          <t>nan</t>
        </is>
      </c>
      <c r="L1161" s="6">
        <f>HYPERLINK("https://fin.land.naver.com/articles/2645463701", "매물Link")</f>
        <v/>
      </c>
      <c r="M1161" s="6">
        <f>HYPERLINK("https://map.naver.com/p/search/연서면 와촌리 955-2", "지도Link")</f>
        <v/>
      </c>
      <c r="N1161" s="6">
        <f>HYPERLINK("http://www.eum.go.kr/web/ar/lu/luLandDet.jsp?pnu=3611036031109550002&amp;isNoScr=script&amp;mode=search", "토지이음")</f>
        <v/>
      </c>
      <c r="O1161" s="3" t="inlineStr">
        <is>
          <t>강아지풀</t>
        </is>
      </c>
      <c r="P1161" s="4" t="n">
        <v>1</v>
      </c>
      <c r="Q1161" s="4" t="n">
        <v>2364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963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943200</v>
      </c>
      <c r="G1162" s="4" t="n">
        <v>15593</v>
      </c>
      <c r="H1162" s="4" t="n">
        <v>4717</v>
      </c>
      <c r="I1162" s="5" t="n">
        <v>200</v>
      </c>
      <c r="J1162" s="5" t="n">
        <v>50.3</v>
      </c>
      <c r="K1162" s="3" t="inlineStr">
        <is>
          <t>국가산업단지 길목, 수혜지역.투자용,상업용,산업용 용도 다양</t>
        </is>
      </c>
      <c r="L1162" s="6">
        <f>HYPERLINK("https://fin.land.naver.com/articles/2651168285", "매물Link")</f>
        <v/>
      </c>
      <c r="M1162" s="6">
        <f>HYPERLINK("https://map.naver.com/p/search/연서면 와촌리 963", "지도Link")</f>
        <v/>
      </c>
      <c r="N1162" s="6">
        <f>HYPERLINK("http://www.eum.go.kr/web/ar/lu/luLandDet.jsp?pnu=3611036031109630000&amp;isNoScr=script&amp;mode=search", "토지이음")</f>
        <v/>
      </c>
      <c r="O1162" s="3" t="inlineStr">
        <is>
          <t>세종시해냄공인</t>
        </is>
      </c>
      <c r="P1162" s="4" t="n">
        <v>1</v>
      </c>
      <c r="Q1162" s="4" t="n">
        <v>2199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산 80-1</t>
        </is>
      </c>
      <c r="B1163" s="3" t="inlineStr">
        <is>
          <t>농림지역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192000</v>
      </c>
      <c r="G1163" s="4" t="n">
        <v>41058</v>
      </c>
      <c r="H1163" s="4" t="n">
        <v>12420</v>
      </c>
      <c r="I1163" s="5" t="n">
        <v>15.5</v>
      </c>
      <c r="J1163" s="5" t="n">
        <v>3.7</v>
      </c>
      <c r="K1163" s="3" t="inlineStr">
        <is>
          <t>연서면 와촌리 농림지역 임야, 국가산단 인근</t>
        </is>
      </c>
      <c r="L1163" s="6">
        <f>HYPERLINK("https://fin.land.naver.com/articles/2645316124", "매물Link")</f>
        <v/>
      </c>
      <c r="M1163" s="6">
        <f>HYPERLINK("https://map.naver.com/p/search/연서면 와촌리 산 80-1", "지도Link")</f>
        <v/>
      </c>
      <c r="N1163" s="6">
        <f>HYPERLINK("http://www.eum.go.kr/web/ar/lu/luLandDet.jsp?pnu=3611036031200800001&amp;isNoScr=script&amp;mode=search",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41058</v>
      </c>
      <c r="R1163" s="3" t="inlineStr">
        <is>
          <t>보전관리지역</t>
        </is>
      </c>
      <c r="S1163" s="3" t="inlineStr">
        <is>
          <t>자연림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와촌리 산112-3</t>
        </is>
      </c>
      <c r="B1164" s="3" t="inlineStr">
        <is>
          <t>농림지역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140000</v>
      </c>
      <c r="G1164" s="4" t="n">
        <v>23140</v>
      </c>
      <c r="H1164" s="4" t="n">
        <v>7000</v>
      </c>
      <c r="I1164" s="5" t="n">
        <v>20</v>
      </c>
      <c r="J1164" s="5" t="n">
        <v>3.9</v>
      </c>
      <c r="K1164" s="3" t="inlineStr">
        <is>
          <t>장기투자 개발 하기 좋은 세종시 토지 매매</t>
        </is>
      </c>
      <c r="L1164" s="6">
        <f>HYPERLINK("https://fin.land.naver.com/articles/2646721829", "매물Link")</f>
        <v/>
      </c>
      <c r="M1164" s="6">
        <f>HYPERLINK("https://map.naver.com/p/search/연서면 와촌리 산112-3", "지도Link")</f>
        <v/>
      </c>
      <c r="N1164" s="6">
        <f>HYPERLINK("http://www.eum.go.kr/web/ar/lu/luLandDet.jsp?pnu=3611036031201120003&amp;isNoScr=script&amp;mode=search", "토지이음")</f>
        <v/>
      </c>
      <c r="O1164" s="3" t="inlineStr">
        <is>
          <t>(주)정민근</t>
        </is>
      </c>
      <c r="P1164" s="4" t="n">
        <v>1</v>
      </c>
      <c r="Q1164" s="4" t="n">
        <v>16528</v>
      </c>
      <c r="R1164" s="3" t="inlineStr">
        <is>
          <t>보전관리지역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와촌리 산135</t>
        </is>
      </c>
      <c r="B1165" s="3" t="inlineStr">
        <is>
          <t>농림지역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19500</v>
      </c>
      <c r="G1165" s="4" t="n">
        <v>6446</v>
      </c>
      <c r="H1165" s="4" t="n">
        <v>1950</v>
      </c>
      <c r="I1165" s="5" t="n">
        <v>10</v>
      </c>
      <c r="J1165" s="5" t="n">
        <v>3.5</v>
      </c>
      <c r="K1165" s="3" t="inlineStr">
        <is>
          <t>임업용산지</t>
        </is>
      </c>
      <c r="L1165" s="6">
        <f>HYPERLINK("https://fin.land.naver.com/articles/2645530400", "매물Link")</f>
        <v/>
      </c>
      <c r="M1165" s="6">
        <f>HYPERLINK("https://map.naver.com/p/search/연서면 와촌리 산135", "지도Link")</f>
        <v/>
      </c>
      <c r="N1165" s="6">
        <f>HYPERLINK("http://www.eum.go.kr/web/ar/lu/luLandDet.jsp?pnu=3611036031201350000&amp;isNoScr=script&amp;mode=search", "토지이음")</f>
        <v/>
      </c>
      <c r="O1165" s="3" t="inlineStr">
        <is>
          <t>세종소담114</t>
        </is>
      </c>
      <c r="P1165" s="4" t="n">
        <v>1</v>
      </c>
      <c r="Q1165" s="4" t="n">
        <v>6446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산136-2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5400</v>
      </c>
      <c r="G1166" s="4" t="n">
        <v>2347</v>
      </c>
      <c r="H1166" s="4" t="n">
        <v>710</v>
      </c>
      <c r="I1166" s="5" t="n">
        <v>7.6</v>
      </c>
      <c r="J1166" s="5" t="n">
        <v>3.2</v>
      </c>
      <c r="K1166" s="3" t="inlineStr">
        <is>
          <t>nan</t>
        </is>
      </c>
      <c r="L1166" s="6">
        <f>HYPERLINK("https://fin.land.naver.com/articles/2646485649", "매물Link")</f>
        <v/>
      </c>
      <c r="M1166" s="6">
        <f>HYPERLINK("https://map.naver.com/p/search/연서면 와촌리 산136-2", "지도Link")</f>
        <v/>
      </c>
      <c r="N1166" s="6">
        <f>HYPERLINK("http://www.eum.go.kr/web/ar/lu/luLandDet.jsp?pnu=3611036031201360002&amp;isNoScr=script&amp;mode=search", "토지이음")</f>
        <v/>
      </c>
      <c r="O1166" s="3" t="inlineStr">
        <is>
          <t>땅부자 사무소</t>
        </is>
      </c>
      <c r="P1166" s="4" t="n">
        <v>1</v>
      </c>
      <c r="Q1166" s="4" t="n">
        <v>7041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고지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산209</t>
        </is>
      </c>
      <c r="B1167" s="3" t="inlineStr">
        <is>
          <t>일반공업지역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92000</v>
      </c>
      <c r="G1167" s="4" t="n">
        <v>4670</v>
      </c>
      <c r="H1167" s="4" t="n">
        <v>1413</v>
      </c>
      <c r="I1167" s="5" t="n">
        <v>65.09999999999999</v>
      </c>
      <c r="J1167" s="5" t="n">
        <v>49.3</v>
      </c>
      <c r="K1167" s="3" t="inlineStr">
        <is>
          <t>산업단지 확장을 대비한 토지거래허가구역의 마을 앞 야산으로투자전망 좋음</t>
        </is>
      </c>
      <c r="L1167" s="6">
        <f>HYPERLINK("https://fin.land.naver.com/articles/2650742264", "매물Link")</f>
        <v/>
      </c>
      <c r="M1167" s="6">
        <f>HYPERLINK("https://map.naver.com/p/search/연서면 와촌리 산209", "지도Link")</f>
        <v/>
      </c>
      <c r="N1167" s="6">
        <f>HYPERLINK("http://www.eum.go.kr/web/ar/lu/luLandDet.jsp?pnu=3611036031202090000&amp;isNoScr=script&amp;mode=search", "토지이음")</f>
        <v/>
      </c>
      <c r="O1167" s="3" t="inlineStr">
        <is>
          <t>성실</t>
        </is>
      </c>
      <c r="P1167" s="4" t="n">
        <v>1</v>
      </c>
      <c r="Q1167" s="4" t="n">
        <v>4675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연서면 와촌리 산96-15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178790</v>
      </c>
      <c r="G1168" s="4" t="n">
        <v>6221</v>
      </c>
      <c r="H1168" s="4" t="n">
        <v>1882</v>
      </c>
      <c r="I1168" s="5" t="n">
        <v>95</v>
      </c>
      <c r="J1168" s="5" t="n">
        <v>5.6</v>
      </c>
      <c r="K1168" s="3" t="inlineStr">
        <is>
          <t>세종국가산업단지 예정지와 근접하며 향후 개발가능성 높은 임야,6생활권인접</t>
        </is>
      </c>
      <c r="L1168" s="6">
        <f>HYPERLINK("https://fin.land.naver.com/articles/2648678203", "매물Link")</f>
        <v/>
      </c>
      <c r="M1168" s="6">
        <f>HYPERLINK("https://map.naver.com/p/search/연서면 와촌리 산96-15", "지도Link")</f>
        <v/>
      </c>
      <c r="N1168" s="6">
        <f>HYPERLINK("http://www.eum.go.kr/web/ar/lu/luLandDet.jsp?pnu=3611036031200960015&amp;isNoScr=script&amp;mode=search", "토지이음")</f>
        <v/>
      </c>
      <c r="O1168" s="3" t="inlineStr">
        <is>
          <t>담뜰</t>
        </is>
      </c>
      <c r="P1168" s="4" t="n">
        <v>1</v>
      </c>
      <c r="Q1168" s="4" t="n">
        <v>6221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166-5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304800</v>
      </c>
      <c r="G1169" s="4" t="n">
        <v>869</v>
      </c>
      <c r="H1169" s="4" t="n">
        <v>263</v>
      </c>
      <c r="I1169" s="5" t="n">
        <v>1158.9</v>
      </c>
      <c r="J1169" s="5" t="n">
        <v>220.9</v>
      </c>
      <c r="K1169" s="3" t="inlineStr">
        <is>
          <t>와촌리 국가산업단지와 가까움, 2차선변 주차용이,투자로최고</t>
        </is>
      </c>
      <c r="L1169" s="6">
        <f>HYPERLINK("https://fin.land.naver.com/articles/2647982475", "매물Link")</f>
        <v/>
      </c>
      <c r="M1169" s="6">
        <f>HYPERLINK("https://map.naver.com/p/search/연서면 용암리 166-5", "지도Link")</f>
        <v/>
      </c>
      <c r="N1169" s="6">
        <f>HYPERLINK("http://www.eum.go.kr/web/ar/lu/luLandDet.jsp?pnu=3611036025101660005&amp;isNoScr=script&amp;mode=search", "토지이음")</f>
        <v/>
      </c>
      <c r="O1169" s="3" t="inlineStr">
        <is>
          <t>세종공주제일</t>
        </is>
      </c>
      <c r="P1169" s="4" t="n">
        <v>1</v>
      </c>
      <c r="Q1169" s="4" t="n">
        <v>869</v>
      </c>
      <c r="R1169" s="3" t="inlineStr">
        <is>
          <t>지정되지않음</t>
        </is>
      </c>
      <c r="S1169" s="3" t="inlineStr">
        <is>
          <t>상업용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용암리 212-11</t>
        </is>
      </c>
      <c r="B1170" s="3" t="inlineStr">
        <is>
          <t>자연환경보전지역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89000</v>
      </c>
      <c r="G1170" s="4" t="n">
        <v>1484</v>
      </c>
      <c r="H1170" s="4" t="n">
        <v>449</v>
      </c>
      <c r="I1170" s="5" t="n">
        <v>198.2</v>
      </c>
      <c r="J1170" s="5" t="n">
        <v>42.3</v>
      </c>
      <c r="K1170" s="3" t="inlineStr">
        <is>
          <t>고복저수지 월하천변 농지. 경치좋은 지역. 서울세종간고속도로인근</t>
        </is>
      </c>
      <c r="L1170" s="6">
        <f>HYPERLINK("https://fin.land.naver.com/articles/2649914984", "매물Link")</f>
        <v/>
      </c>
      <c r="M1170" s="6">
        <f>HYPERLINK("https://map.naver.com/p/search/연서면 용암리 212-11", "지도Link")</f>
        <v/>
      </c>
      <c r="N1170" s="6">
        <f>HYPERLINK("http://www.eum.go.kr/web/ar/lu/luLandDet.jsp?pnu=3611036025102120011&amp;isNoScr=script&amp;mode=search",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1484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용암리 216-5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58000</v>
      </c>
      <c r="G1171" s="4" t="n">
        <v>1059</v>
      </c>
      <c r="H1171" s="4" t="n">
        <v>320</v>
      </c>
      <c r="I1171" s="5" t="n">
        <v>181.2</v>
      </c>
      <c r="J1171" s="5" t="n">
        <v>116.5</v>
      </c>
      <c r="K1171" s="3" t="inlineStr">
        <is>
          <t>급매, 조율도가능, 건축 휴게음식점 가능</t>
        </is>
      </c>
      <c r="L1171" s="6">
        <f>HYPERLINK("https://fin.land.naver.com/articles/2650890760", "매물Link")</f>
        <v/>
      </c>
      <c r="M1171" s="6">
        <f>HYPERLINK("https://map.naver.com/p/search/연서면 용암리 216-5", "지도Link")</f>
        <v/>
      </c>
      <c r="N1171" s="6">
        <f>HYPERLINK("http://www.eum.go.kr/web/ar/lu/luLandDet.jsp?pnu=3611036025102160005&amp;isNoScr=script&amp;mode=search",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858</v>
      </c>
      <c r="R1171" s="3" t="inlineStr">
        <is>
          <t>자연환경보전지역</t>
        </is>
      </c>
      <c r="S1171" s="3" t="inlineStr">
        <is>
          <t>주상기타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용암리 225-12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151000</v>
      </c>
      <c r="G1172" s="4" t="n">
        <v>6254</v>
      </c>
      <c r="H1172" s="4" t="n">
        <v>1892</v>
      </c>
      <c r="I1172" s="5" t="n">
        <v>79.8</v>
      </c>
      <c r="J1172" s="5" t="n">
        <v>30</v>
      </c>
      <c r="K1172" s="3" t="inlineStr">
        <is>
          <t>고복저수지 인근 용암리 도로접한 농업보호구역 토지 급매.</t>
        </is>
      </c>
      <c r="L1172" s="6">
        <f>HYPERLINK("https://fin.land.naver.com/articles/2648906608", "매물Link")</f>
        <v/>
      </c>
      <c r="M1172" s="6">
        <f>HYPERLINK("https://map.naver.com/p/search/연서면 용암리 225-12", "지도Link")</f>
        <v/>
      </c>
      <c r="N1172" s="6">
        <f>HYPERLINK("http://www.eum.go.kr/web/ar/lu/luLandDet.jsp?pnu=3611036025102250012&amp;isNoScr=script&amp;mode=search", "토지이음")</f>
        <v/>
      </c>
      <c r="O1172" s="3" t="inlineStr">
        <is>
          <t>세종대장</t>
        </is>
      </c>
      <c r="P1172" s="4" t="n">
        <v>1</v>
      </c>
      <c r="Q1172" s="4" t="n">
        <v>3198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229-1</t>
        </is>
      </c>
      <c r="B1173" s="3" t="inlineStr">
        <is>
          <t>농림지역</t>
        </is>
      </c>
      <c r="C1173" s="3" t="inlineStr">
        <is>
          <t>목장용지</t>
        </is>
      </c>
      <c r="D1173" s="3" t="inlineStr">
        <is>
          <t>목장용지</t>
        </is>
      </c>
      <c r="E1173" s="3" t="inlineStr">
        <is>
          <t>매매</t>
        </is>
      </c>
      <c r="F1173" s="4" t="n">
        <v>42000</v>
      </c>
      <c r="G1173" s="4" t="n">
        <v>929</v>
      </c>
      <c r="H1173" s="4" t="n">
        <v>281</v>
      </c>
      <c r="I1173" s="5" t="n">
        <v>149.5</v>
      </c>
      <c r="J1173" s="5" t="n">
        <v>35</v>
      </c>
      <c r="K1173" s="3" t="inlineStr">
        <is>
          <t>고복저수지 인근, 연기휴게소 근처임. 넓은국유지접함</t>
        </is>
      </c>
      <c r="L1173" s="6">
        <f>HYPERLINK("https://fin.land.naver.com/articles/2645604122", "매물Link")</f>
        <v/>
      </c>
      <c r="M1173" s="6">
        <f>HYPERLINK("https://map.naver.com/p/search/연서면 용암리 229-1", "지도Link")</f>
        <v/>
      </c>
      <c r="N1173" s="6">
        <f>HYPERLINK("http://www.eum.go.kr/web/ar/lu/luLandDet.jsp?pnu=3611036025102290001&amp;isNoScr=script&amp;mode=search",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929</v>
      </c>
      <c r="R1173" s="3" t="inlineStr">
        <is>
          <t>생산관리지역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용암리 239-11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25000</v>
      </c>
      <c r="G1174" s="4" t="n">
        <v>654</v>
      </c>
      <c r="H1174" s="4" t="n">
        <v>198</v>
      </c>
      <c r="I1174" s="5" t="n">
        <v>126.3</v>
      </c>
      <c r="J1174" s="5" t="n">
        <v>43.2</v>
      </c>
      <c r="K1174" s="3" t="inlineStr">
        <is>
          <t>도로지분포함매매,남향토지.</t>
        </is>
      </c>
      <c r="L1174" s="6">
        <f>HYPERLINK("https://fin.land.naver.com/articles/2649852384", "매물Link")</f>
        <v/>
      </c>
      <c r="M1174" s="6">
        <f>HYPERLINK("https://map.naver.com/p/search/연서면 용암리 239-11", "지도Link")</f>
        <v/>
      </c>
      <c r="N1174" s="6">
        <f>HYPERLINK("http://www.eum.go.kr/web/ar/lu/luLandDet.jsp?pnu=3611036025102390011&amp;isNoScr=script&amp;mode=search", "토지이음")</f>
        <v/>
      </c>
      <c r="O1174" s="3" t="inlineStr">
        <is>
          <t>담뜰</t>
        </is>
      </c>
      <c r="P1174" s="4" t="n">
        <v>2</v>
      </c>
      <c r="Q1174" s="4" t="n">
        <v>577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용암리 239-3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59000</v>
      </c>
      <c r="G1175" s="4" t="n">
        <v>1443</v>
      </c>
      <c r="H1175" s="4" t="n">
        <v>437</v>
      </c>
      <c r="I1175" s="5" t="n">
        <v>135</v>
      </c>
      <c r="J1175" s="5" t="n">
        <v>45.4</v>
      </c>
      <c r="K1175" s="3" t="inlineStr">
        <is>
          <t>nan</t>
        </is>
      </c>
      <c r="L1175" s="6">
        <f>HYPERLINK("https://fin.land.naver.com/articles/2645406875", "매물Link")</f>
        <v/>
      </c>
      <c r="M1175" s="6">
        <f>HYPERLINK("https://map.naver.com/p/search/연서면 용암리 239-3", "지도Link")</f>
        <v/>
      </c>
      <c r="N1175" s="6">
        <f>HYPERLINK("http://www.eum.go.kr/web/ar/lu/luLandDet.jsp?pnu=3611036025102390003&amp;isNoScr=script&amp;mode=search", "토지이음")</f>
        <v/>
      </c>
      <c r="O1175" s="3" t="inlineStr">
        <is>
          <t>그래그</t>
        </is>
      </c>
      <c r="P1175" s="4" t="n">
        <v>1</v>
      </c>
      <c r="Q1175" s="4" t="n">
        <v>1443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용암리 245-2</t>
        </is>
      </c>
      <c r="B1176" s="3" t="inlineStr">
        <is>
          <t>농림지역</t>
        </is>
      </c>
      <c r="C1176" s="3" t="inlineStr">
        <is>
          <t>잡종지</t>
        </is>
      </c>
      <c r="D1176" s="3" t="inlineStr">
        <is>
          <t>잡종지</t>
        </is>
      </c>
      <c r="E1176" s="3" t="inlineStr">
        <is>
          <t>매매</t>
        </is>
      </c>
      <c r="F1176" s="4" t="n">
        <v>323000</v>
      </c>
      <c r="G1176" s="4" t="n">
        <v>17797</v>
      </c>
      <c r="H1176" s="4" t="n">
        <v>5384</v>
      </c>
      <c r="I1176" s="5" t="n">
        <v>60</v>
      </c>
      <c r="J1176" s="5" t="n">
        <v>37.9</v>
      </c>
      <c r="K1176" s="3" t="inlineStr">
        <is>
          <t>태양광 시설 및 경사도 없는 야산으로 태양광 시설을 확장할 수 있는 임야</t>
        </is>
      </c>
      <c r="L1176" s="6">
        <f>HYPERLINK("https://fin.land.naver.com/articles/2646127462", "매물Link")</f>
        <v/>
      </c>
      <c r="M1176" s="6">
        <f>HYPERLINK("https://map.naver.com/p/search/연서면 용암리 245-2", "지도Link")</f>
        <v/>
      </c>
      <c r="N1176" s="6">
        <f>HYPERLINK("http://www.eum.go.kr/web/ar/lu/luLandDet.jsp?pnu=3611036025102450002&amp;isNoScr=script&amp;mode=search",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4332</v>
      </c>
      <c r="R1176" s="3" t="inlineStr">
        <is>
          <t>지정되지않음</t>
        </is>
      </c>
      <c r="S1176" s="3" t="inlineStr">
        <is>
          <t>태양광발전소부지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용암리 259-1</t>
        </is>
      </c>
      <c r="B1177" s="3" t="inlineStr">
        <is>
          <t>계획관리지역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45000</v>
      </c>
      <c r="G1177" s="4" t="n">
        <v>1305</v>
      </c>
      <c r="H1177" s="4" t="n">
        <v>395</v>
      </c>
      <c r="I1177" s="5" t="n">
        <v>113.9</v>
      </c>
      <c r="J1177" s="5" t="n">
        <v>55.7</v>
      </c>
      <c r="K1177" s="3" t="inlineStr">
        <is>
          <t>연서면 용암리 고복저수지 인근 계획관리 토지, 국가산단 인근</t>
        </is>
      </c>
      <c r="L1177" s="6">
        <f>HYPERLINK("https://fin.land.naver.com/articles/2648394462", "매물Link")</f>
        <v/>
      </c>
      <c r="M1177" s="6">
        <f>HYPERLINK("https://map.naver.com/p/search/연서면 용암리 259-1", "지도Link")</f>
        <v/>
      </c>
      <c r="N1177" s="6">
        <f>HYPERLINK("http://www.eum.go.kr/web/ar/lu/luLandDet.jsp?pnu=3611036025102590001&amp;isNoScr=script&amp;mode=search", "토지이음")</f>
        <v/>
      </c>
      <c r="O1177" s="3" t="inlineStr">
        <is>
          <t>스카이</t>
        </is>
      </c>
      <c r="P1177" s="4" t="n">
        <v>1</v>
      </c>
      <c r="Q1177" s="4" t="n">
        <v>826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283</t>
        </is>
      </c>
      <c r="B1178" s="3" t="inlineStr">
        <is>
          <t>생산관리지역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16300</v>
      </c>
      <c r="G1178" s="4" t="n">
        <v>770</v>
      </c>
      <c r="H1178" s="4" t="n">
        <v>233</v>
      </c>
      <c r="I1178" s="5" t="n">
        <v>70</v>
      </c>
      <c r="J1178" s="5" t="n">
        <v>20.7</v>
      </c>
      <c r="K1178" s="3" t="inlineStr">
        <is>
          <t>세종시 휴게소 예정지 인근 토지매매, 과수원매매</t>
        </is>
      </c>
      <c r="L1178" s="6">
        <f>HYPERLINK("https://fin.land.naver.com/articles/2645317868", "매물Link")</f>
        <v/>
      </c>
      <c r="M1178" s="6">
        <f>HYPERLINK("https://map.naver.com/p/search/연서면 용암리 283", "지도Link")</f>
        <v/>
      </c>
      <c r="N1178" s="6">
        <f>HYPERLINK("http://www.eum.go.kr/web/ar/lu/luLandDet.jsp?pnu=3611036025102830000&amp;isNoScr=script&amp;mode=search", "토지이음")</f>
        <v/>
      </c>
      <c r="O1178" s="3" t="inlineStr">
        <is>
          <t>유성대박</t>
        </is>
      </c>
      <c r="P1178" s="4" t="n">
        <v>1</v>
      </c>
      <c r="Q1178" s="4" t="n">
        <v>770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295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31150</v>
      </c>
      <c r="G1179" s="4" t="n">
        <v>1471</v>
      </c>
      <c r="H1179" s="4" t="n">
        <v>445</v>
      </c>
      <c r="I1179" s="5" t="n">
        <v>70</v>
      </c>
      <c r="J1179" s="5" t="n">
        <v>17.6</v>
      </c>
      <c r="K1179" s="3" t="inlineStr">
        <is>
          <t>세종시 고속도로 휴게소 예정지 인근 토지매매</t>
        </is>
      </c>
      <c r="L1179" s="6">
        <f>HYPERLINK("https://fin.land.naver.com/articles/2645317862", "매물Link")</f>
        <v/>
      </c>
      <c r="M1179" s="6">
        <f>HYPERLINK("https://map.naver.com/p/search/연서면 용암리 295", "지도Link")</f>
        <v/>
      </c>
      <c r="N1179" s="6">
        <f>HYPERLINK("http://www.eum.go.kr/web/ar/lu/luLandDet.jsp?pnu=3611036025102950000&amp;isNoScr=script&amp;mode=search", "토지이음")</f>
        <v/>
      </c>
      <c r="O1179" s="3" t="inlineStr">
        <is>
          <t>유성대박</t>
        </is>
      </c>
      <c r="P1179" s="4" t="n">
        <v>1</v>
      </c>
      <c r="Q1179" s="4" t="n">
        <v>1471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296</t>
        </is>
      </c>
      <c r="B1180" s="3" t="inlineStr">
        <is>
          <t>생산관리지역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41000</v>
      </c>
      <c r="G1180" s="4" t="n">
        <v>1921</v>
      </c>
      <c r="H1180" s="4" t="n">
        <v>581</v>
      </c>
      <c r="I1180" s="5" t="n">
        <v>70.59999999999999</v>
      </c>
      <c r="J1180" s="5" t="n">
        <v>20.7</v>
      </c>
      <c r="K1180" s="3" t="inlineStr">
        <is>
          <t>세종시 토지매매. 휴게소 예정지 인근</t>
        </is>
      </c>
      <c r="L1180" s="6">
        <f>HYPERLINK("https://fin.land.naver.com/articles/2645317252", "매물Link")</f>
        <v/>
      </c>
      <c r="M1180" s="6">
        <f>HYPERLINK("https://map.naver.com/p/search/연서면 용암리 296", "지도Link")</f>
        <v/>
      </c>
      <c r="N1180" s="6">
        <f>HYPERLINK("http://www.eum.go.kr/web/ar/lu/luLandDet.jsp?pnu=3611036025102960000&amp;isNoScr=script&amp;mode=search", "토지이음")</f>
        <v/>
      </c>
      <c r="O1180" s="3" t="inlineStr">
        <is>
          <t>유성대박</t>
        </is>
      </c>
      <c r="P1180" s="4" t="n">
        <v>1</v>
      </c>
      <c r="Q1180" s="4" t="n">
        <v>1921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용암리 45-23</t>
        </is>
      </c>
      <c r="B1181" s="3" t="inlineStr">
        <is>
          <t>농림지역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40000</v>
      </c>
      <c r="G1181" s="4" t="n">
        <v>335</v>
      </c>
      <c r="H1181" s="4" t="n">
        <v>101</v>
      </c>
      <c r="I1181" s="5" t="n">
        <v>396</v>
      </c>
      <c r="J1181" s="5" t="n">
        <v>35.7</v>
      </c>
      <c r="K1181" s="3" t="inlineStr">
        <is>
          <t>고복저수지 뷰 도로에접한 저렴한 토지</t>
        </is>
      </c>
      <c r="L1181" s="6">
        <f>HYPERLINK("https://fin.land.naver.com/articles/2650856648", "매물Link")</f>
        <v/>
      </c>
      <c r="M1181" s="6">
        <f>HYPERLINK("https://map.naver.com/p/search/연서면 용암리 45-23", "지도Link")</f>
        <v/>
      </c>
      <c r="N1181" s="6">
        <f>HYPERLINK("http://www.eum.go.kr/web/ar/lu/luLandDet.jsp?pnu=3611036025100450023&amp;isNoScr=script&amp;mode=search", "토지이음")</f>
        <v/>
      </c>
      <c r="O1181" s="3" t="inlineStr">
        <is>
          <t>세종대박</t>
        </is>
      </c>
      <c r="P1181" s="4" t="n">
        <v>1</v>
      </c>
      <c r="Q1181" s="4" t="n">
        <v>335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용암리 산28-16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73000</v>
      </c>
      <c r="G1182" s="4" t="n">
        <v>3377</v>
      </c>
      <c r="H1182" s="4" t="n">
        <v>1022</v>
      </c>
      <c r="I1182" s="5" t="n">
        <v>71.40000000000001</v>
      </c>
      <c r="J1182" s="5" t="n">
        <v>2.3</v>
      </c>
      <c r="K1182" s="3" t="inlineStr">
        <is>
          <t>세종 연서면 약 10만평 대규모 토지 통매매｜대단위 부지 찾는 분 주목</t>
        </is>
      </c>
      <c r="L1182" s="6">
        <f>HYPERLINK("https://fin.land.naver.com/articles/2646226640", "매물Link")</f>
        <v/>
      </c>
      <c r="M1182" s="6">
        <f>HYPERLINK("https://map.naver.com/p/search/연서면 용암리 산28-16", "지도Link")</f>
        <v/>
      </c>
      <c r="N1182" s="6">
        <f>HYPERLINK("http://www.eum.go.kr/web/ar/lu/luLandDet.jsp?pnu=3611036025200280016&amp;isNoScr=script&amp;mode=search",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1512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월하리 1024-2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44000</v>
      </c>
      <c r="G1183" s="4" t="n">
        <v>926</v>
      </c>
      <c r="H1183" s="4" t="n">
        <v>280</v>
      </c>
      <c r="I1183" s="5" t="n">
        <v>157.1</v>
      </c>
      <c r="J1183" s="5" t="n">
        <v>95.59999999999999</v>
      </c>
      <c r="K1183" s="3" t="inlineStr">
        <is>
          <t>도심 가까운 여유있는 텃밭 공공택지 개발지 인근</t>
        </is>
      </c>
      <c r="L1183" s="6">
        <f>HYPERLINK("https://fin.land.naver.com/articles/2645359652", "매물Link")</f>
        <v/>
      </c>
      <c r="M1183" s="6">
        <f>HYPERLINK("https://map.naver.com/p/search/연서면 월하리 1024-2", "지도Link")</f>
        <v/>
      </c>
      <c r="N1183" s="6">
        <f>HYPERLINK("http://www.eum.go.kr/web/ar/lu/luLandDet.jsp?pnu=3611036021110240002&amp;isNoScr=script&amp;mode=search",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926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월하리 1035-2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176000</v>
      </c>
      <c r="G1184" s="4" t="n">
        <v>1455</v>
      </c>
      <c r="H1184" s="4" t="n">
        <v>440</v>
      </c>
      <c r="I1184" s="5" t="n">
        <v>400</v>
      </c>
      <c r="J1184" s="5" t="n">
        <v>113</v>
      </c>
      <c r="K1184" s="3" t="inlineStr">
        <is>
          <t>연서면 월하리 2차선, 4차선 계획 예정 도로에 접한 투자가치 좋은 급매</t>
        </is>
      </c>
      <c r="L1184" s="6">
        <f>HYPERLINK("https://fin.land.naver.com/articles/2646728467", "매물Link")</f>
        <v/>
      </c>
      <c r="M1184" s="6">
        <f>HYPERLINK("https://map.naver.com/p/search/연서면 월하리 1035-2", "지도Link")</f>
        <v/>
      </c>
      <c r="N1184" s="6">
        <f>HYPERLINK("http://www.eum.go.kr/web/ar/lu/luLandDet.jsp?pnu=3611036021110350002&amp;isNoScr=script&amp;mode=search",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1455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HYPERLINK("https://fin.land.naver.com/articles/2649466633",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HYPERLINK("http://www.eum.go.kr/web/ar/lu/luLandDet.jsp?pnu=3611036021110550001&amp;isNoScr=script&amp;mode=search",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1055-1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330000</v>
      </c>
      <c r="G1186" s="4" t="n">
        <v>3712</v>
      </c>
      <c r="H1186" s="4" t="n">
        <v>1123</v>
      </c>
      <c r="I1186" s="5" t="n">
        <v>293.9</v>
      </c>
      <c r="J1186" s="5" t="n">
        <v>96.59999999999999</v>
      </c>
      <c r="K1186" s="3" t="inlineStr">
        <is>
          <t>자연녹지토지 분할매매가능</t>
        </is>
      </c>
      <c r="L1186" s="6">
        <f>HYPERLINK("https://fin.land.naver.com/articles/2646008031", "매물Link")</f>
        <v/>
      </c>
      <c r="M1186" s="6">
        <f>HYPERLINK("https://map.naver.com/p/search/연서면 월하리 1055-1", "지도Link")</f>
        <v/>
      </c>
      <c r="N1186" s="6">
        <f>HYPERLINK("http://www.eum.go.kr/web/ar/lu/luLandDet.jsp?pnu=3611036021110550001&amp;isNoScr=script&amp;mode=search", "토지이음")</f>
        <v/>
      </c>
      <c r="O1186" s="3" t="inlineStr">
        <is>
          <t>세종대박</t>
        </is>
      </c>
      <c r="P1186" s="4" t="n">
        <v>2</v>
      </c>
      <c r="Q1186" s="4" t="n">
        <v>3712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1055-1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200000</v>
      </c>
      <c r="G1187" s="4" t="n">
        <v>1653</v>
      </c>
      <c r="H1187" s="4" t="n">
        <v>500</v>
      </c>
      <c r="I1187" s="5" t="n">
        <v>400</v>
      </c>
      <c r="J1187" s="5" t="n">
        <v>96.59999999999999</v>
      </c>
      <c r="K1187" s="3" t="inlineStr">
        <is>
          <t>nan</t>
        </is>
      </c>
      <c r="L1187" s="6">
        <f>HYPERLINK("https://fin.land.naver.com/articles/2649692747", "매물Link")</f>
        <v/>
      </c>
      <c r="M1187" s="6">
        <f>HYPERLINK("https://map.naver.com/p/search/연서면 월하리 1055-1", "지도Link")</f>
        <v/>
      </c>
      <c r="N1187" s="6">
        <f>HYPERLINK("http://www.eum.go.kr/web/ar/lu/luLandDet.jsp?pnu=3611036021110550001&amp;isNoScr=script&amp;mode=search", "토지이음")</f>
        <v/>
      </c>
      <c r="O1187" s="3" t="inlineStr">
        <is>
          <t>온뜰</t>
        </is>
      </c>
      <c r="P1187" s="4" t="n">
        <v>1</v>
      </c>
      <c r="Q1187" s="4" t="n">
        <v>3712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1056</t>
        </is>
      </c>
      <c r="B1188" s="3" t="inlineStr">
        <is>
          <t>자연녹지지역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247000</v>
      </c>
      <c r="G1188" s="4" t="n">
        <v>4087</v>
      </c>
      <c r="H1188" s="4" t="n">
        <v>1236</v>
      </c>
      <c r="I1188" s="5" t="n">
        <v>199.8</v>
      </c>
      <c r="J1188" s="5" t="n">
        <v>96.59999999999999</v>
      </c>
      <c r="K1188" s="3" t="inlineStr">
        <is>
          <t>월하리 포장도로 접한 자연녹지지역 밭으로 이용. 총 4필지로 급매.</t>
        </is>
      </c>
      <c r="L1188" s="6">
        <f>HYPERLINK("https://fin.land.naver.com/articles/2649104014", "매물Link")</f>
        <v/>
      </c>
      <c r="M1188" s="6">
        <f>HYPERLINK("https://map.naver.com/p/search/연서면 월하리 1056", "지도Link")</f>
        <v/>
      </c>
      <c r="N1188" s="6">
        <f>HYPERLINK("http://www.eum.go.kr/web/ar/lu/luLandDet.jsp?pnu=3611036021110560000&amp;isNoScr=script&amp;mode=search", "토지이음")</f>
        <v/>
      </c>
      <c r="O1188" s="3" t="inlineStr">
        <is>
          <t>세종대장</t>
        </is>
      </c>
      <c r="P1188" s="4" t="n">
        <v>1</v>
      </c>
      <c r="Q1188" s="4" t="n">
        <v>2086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월하리 1103-51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150000</v>
      </c>
      <c r="G1189" s="4" t="n">
        <v>3313</v>
      </c>
      <c r="H1189" s="4" t="n">
        <v>1002</v>
      </c>
      <c r="I1189" s="5" t="n">
        <v>149.7</v>
      </c>
      <c r="J1189" s="5" t="n">
        <v>72.2</v>
      </c>
      <c r="K1189" s="3" t="inlineStr">
        <is>
          <t>조치원 공공택지 개발지 인근</t>
        </is>
      </c>
      <c r="L1189" s="6">
        <f>HYPERLINK("https://fin.land.naver.com/articles/2650022169", "매물Link")</f>
        <v/>
      </c>
      <c r="M1189" s="6">
        <f>HYPERLINK("https://map.naver.com/p/search/연서면 월하리 1103-51", "지도Link")</f>
        <v/>
      </c>
      <c r="N1189" s="6">
        <f>HYPERLINK("http://www.eum.go.kr/web/ar/lu/luLandDet.jsp?pnu=3611036021111030051&amp;isNoScr=script&amp;mode=search", "토지이음")</f>
        <v/>
      </c>
      <c r="O1189" s="3" t="inlineStr">
        <is>
          <t>나릿재OK</t>
        </is>
      </c>
      <c r="P1189" s="4" t="n">
        <v>1</v>
      </c>
      <c r="Q1189" s="4" t="n">
        <v>3313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1103-54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1676</v>
      </c>
      <c r="H1190" s="4" t="n">
        <v>507</v>
      </c>
      <c r="I1190" s="5" t="n">
        <v>355</v>
      </c>
      <c r="J1190" s="5" t="n">
        <v>121.8</v>
      </c>
      <c r="K1190" s="3" t="inlineStr">
        <is>
          <t>2차선 도로에 접해 있어 근생 부지로 적합한 도시지역 자연녹지의 과수원</t>
        </is>
      </c>
      <c r="L1190" s="6">
        <f>HYPERLINK("https://fin.land.naver.com/articles/2645638593", "매물Link")</f>
        <v/>
      </c>
      <c r="M1190" s="6">
        <f>HYPERLINK("https://map.naver.com/p/search/연서면 월하리 1103-54", "지도Link")</f>
        <v/>
      </c>
      <c r="N1190" s="6">
        <f>HYPERLINK("http://www.eum.go.kr/web/ar/lu/luLandDet.jsp?pnu=3611036021111030054&amp;isNoScr=script&amp;mode=search",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1676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연서면 월하리 1110-1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대</t>
        </is>
      </c>
      <c r="E1191" s="3" t="inlineStr">
        <is>
          <t>매매</t>
        </is>
      </c>
      <c r="F1191" s="4" t="n">
        <v>190000</v>
      </c>
      <c r="G1191" s="4" t="n">
        <v>7242</v>
      </c>
      <c r="H1191" s="4" t="n">
        <v>2191</v>
      </c>
      <c r="I1191" s="5" t="n">
        <v>86.7</v>
      </c>
      <c r="J1191" s="5" t="n">
        <v>69.59999999999999</v>
      </c>
      <c r="K1191" s="3" t="inlineStr">
        <is>
          <t>시세저렴 공시지가 연서면 월하리 과수원 및 대지</t>
        </is>
      </c>
      <c r="L1191" s="6">
        <f>HYPERLINK("https://fin.land.naver.com/articles/2649446319", "매물Link")</f>
        <v/>
      </c>
      <c r="M1191" s="6">
        <f>HYPERLINK("https://map.naver.com/p/search/연서면 월하리 1110-1", "지도Link")</f>
        <v/>
      </c>
      <c r="N1191" s="6">
        <f>HYPERLINK("http://www.eum.go.kr/web/ar/lu/luLandDet.jsp?pnu=3611036021111100001&amp;isNoScr=script&amp;mode=search", "토지이음")</f>
        <v/>
      </c>
      <c r="O1191" s="3" t="inlineStr">
        <is>
          <t>명당</t>
        </is>
      </c>
      <c r="P1191" s="4" t="n">
        <v>1</v>
      </c>
      <c r="Q1191" s="4" t="n">
        <v>4326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월하리 1138-4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68000</v>
      </c>
      <c r="G1192" s="4" t="n">
        <v>1818</v>
      </c>
      <c r="H1192" s="4" t="n">
        <v>550</v>
      </c>
      <c r="I1192" s="5" t="n">
        <v>123.6</v>
      </c>
      <c r="J1192" s="5" t="n">
        <v>69.59999999999999</v>
      </c>
      <c r="K1192" s="3" t="inlineStr">
        <is>
          <t>위치가 좋은 토지</t>
        </is>
      </c>
      <c r="L1192" s="6">
        <f>HYPERLINK("https://fin.land.naver.com/articles/2648555111", "매물Link")</f>
        <v/>
      </c>
      <c r="M1192" s="6">
        <f>HYPERLINK("https://map.naver.com/p/search/연서면 월하리 1138-4", "지도Link")</f>
        <v/>
      </c>
      <c r="N1192" s="6">
        <f>HYPERLINK("http://www.eum.go.kr/web/ar/lu/luLandDet.jsp?pnu=3611036021111380004&amp;isNoScr=script&amp;mode=search",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1818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월하리 1153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27500</v>
      </c>
      <c r="G1193" s="4" t="n">
        <v>826</v>
      </c>
      <c r="H1193" s="4" t="n">
        <v>250</v>
      </c>
      <c r="I1193" s="5" t="n">
        <v>110</v>
      </c>
      <c r="J1193" s="5" t="n">
        <v>113.1</v>
      </c>
      <c r="K1193" s="3" t="inlineStr">
        <is>
          <t>조치원 생활권 인접 도로접 자연녹지 토지</t>
        </is>
      </c>
      <c r="L1193" s="6">
        <f>HYPERLINK("https://fin.land.naver.com/articles/2648855584", "매물Link")</f>
        <v/>
      </c>
      <c r="M1193" s="6">
        <f>HYPERLINK("https://map.naver.com/p/search/연서면 월하리 1153", "지도Link")</f>
        <v/>
      </c>
      <c r="N1193" s="6">
        <f>HYPERLINK("http://www.eum.go.kr/web/ar/lu/luLandDet.jsp?pnu=3611036021111530000&amp;isNoScr=script&amp;mode=search", "토지이음")</f>
        <v/>
      </c>
      <c r="O1193" s="3" t="inlineStr">
        <is>
          <t>세종소담황금</t>
        </is>
      </c>
      <c r="P1193" s="4" t="n">
        <v>1</v>
      </c>
      <c r="Q1193" s="4" t="n">
        <v>650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1153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27500</v>
      </c>
      <c r="G1194" s="4" t="n">
        <v>828</v>
      </c>
      <c r="H1194" s="4" t="n">
        <v>250</v>
      </c>
      <c r="I1194" s="5" t="n">
        <v>110</v>
      </c>
      <c r="J1194" s="5" t="n">
        <v>113.1</v>
      </c>
      <c r="K1194" s="3" t="inlineStr">
        <is>
          <t>월하리 도시지역 자연녹지의 포장도로에 접한 농촌체류형 쉼터로 적합한 전</t>
        </is>
      </c>
      <c r="L1194" s="6">
        <f>HYPERLINK("https://fin.land.naver.com/articles/2649862201", "매물Link")</f>
        <v/>
      </c>
      <c r="M1194" s="6">
        <f>HYPERLINK("https://map.naver.com/p/search/연서면 월하리 1153", "지도Link")</f>
        <v/>
      </c>
      <c r="N1194" s="6">
        <f>HYPERLINK("http://www.eum.go.kr/web/ar/lu/luLandDet.jsp?pnu=3611036021111530000&amp;isNoScr=script&amp;mode=search", "토지이음")</f>
        <v/>
      </c>
      <c r="O1194" s="3" t="inlineStr">
        <is>
          <t>스마일세종</t>
        </is>
      </c>
      <c r="P1194" s="4" t="n">
        <v>4</v>
      </c>
      <c r="Q1194" s="4" t="n">
        <v>650</v>
      </c>
      <c r="R1194" s="3" t="inlineStr">
        <is>
          <t>지정되지않음</t>
        </is>
      </c>
      <c r="S1194" s="3" t="inlineStr">
        <is>
          <t>전축사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1274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50000</v>
      </c>
      <c r="G1195" s="4" t="n">
        <v>3263</v>
      </c>
      <c r="H1195" s="4" t="n">
        <v>987</v>
      </c>
      <c r="I1195" s="5" t="n">
        <v>50.7</v>
      </c>
      <c r="J1195" s="5" t="n">
        <v>33</v>
      </c>
      <c r="K1195" s="3" t="inlineStr">
        <is>
          <t>농림진흥구역 농지,코너각지, 도로 양면 접, 대토추천</t>
        </is>
      </c>
      <c r="L1195" s="6">
        <f>HYPERLINK("https://fin.land.naver.com/articles/2645595709", "매물Link")</f>
        <v/>
      </c>
      <c r="M1195" s="6">
        <f>HYPERLINK("https://map.naver.com/p/search/연서면 월하리 1274", "지도Link")</f>
        <v/>
      </c>
      <c r="N1195" s="6">
        <f>HYPERLINK("http://www.eum.go.kr/web/ar/lu/luLandDet.jsp?pnu=3611036021112740000&amp;isNoScr=script&amp;mode=search", "토지이음")</f>
        <v/>
      </c>
      <c r="O1195" s="3" t="inlineStr">
        <is>
          <t>신안무소</t>
        </is>
      </c>
      <c r="P1195" s="4" t="n">
        <v>1</v>
      </c>
      <c r="Q1195" s="4" t="n">
        <v>3263.7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월하리 15-1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20000</v>
      </c>
      <c r="G1196" s="4" t="n">
        <v>407</v>
      </c>
      <c r="H1196" s="4" t="n">
        <v>123</v>
      </c>
      <c r="I1196" s="5" t="n">
        <v>162.6</v>
      </c>
      <c r="J1196" s="5" t="n">
        <v>105.5</v>
      </c>
      <c r="K1196" s="3" t="inlineStr">
        <is>
          <t>nan</t>
        </is>
      </c>
      <c r="L1196" s="6">
        <f>HYPERLINK("https://fin.land.naver.com/articles/2648746259", "매물Link")</f>
        <v/>
      </c>
      <c r="M1196" s="6">
        <f>HYPERLINK("https://map.naver.com/p/search/연서면 월하리 15-1", "지도Link")</f>
        <v/>
      </c>
      <c r="N1196" s="6">
        <f>HYPERLINK("http://www.eum.go.kr/web/ar/lu/luLandDet.jsp?pnu=3611036021100150001&amp;isNoScr=script&amp;mode=search", "토지이음")</f>
        <v/>
      </c>
      <c r="O1196" s="3" t="inlineStr">
        <is>
          <t>용궁</t>
        </is>
      </c>
      <c r="P1196" s="4" t="n">
        <v>2</v>
      </c>
      <c r="Q1196" s="4" t="n">
        <v>407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월하리 25-7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130000</v>
      </c>
      <c r="G1197" s="4" t="n">
        <v>1615</v>
      </c>
      <c r="H1197" s="4" t="n">
        <v>489</v>
      </c>
      <c r="I1197" s="5" t="n">
        <v>265.8</v>
      </c>
      <c r="J1197" s="5" t="n">
        <v>76.40000000000001</v>
      </c>
      <c r="K1197" s="3" t="inlineStr">
        <is>
          <t>미호강인근,주택부지포함,차도바로옆 금액최대협의</t>
        </is>
      </c>
      <c r="L1197" s="6">
        <f>HYPERLINK("https://fin.land.naver.com/articles/2648051944", "매물Link")</f>
        <v/>
      </c>
      <c r="M1197" s="6">
        <f>HYPERLINK("https://map.naver.com/p/search/연서면 월하리 25-7", "지도Link")</f>
        <v/>
      </c>
      <c r="N1197" s="6">
        <f>HYPERLINK("http://www.eum.go.kr/web/ar/lu/luLandDet.jsp?pnu=3611036021100250007&amp;isNoScr=script&amp;mode=search", "토지이음")</f>
        <v/>
      </c>
      <c r="O1197" s="3" t="inlineStr">
        <is>
          <t>세종새빛</t>
        </is>
      </c>
      <c r="P1197" s="4" t="n">
        <v>1</v>
      </c>
      <c r="Q1197" s="4" t="n">
        <v>1301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25-7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130000</v>
      </c>
      <c r="G1198" s="4" t="n">
        <v>1615</v>
      </c>
      <c r="H1198" s="4" t="n">
        <v>489</v>
      </c>
      <c r="I1198" s="5" t="n">
        <v>265.8</v>
      </c>
      <c r="J1198" s="5" t="n">
        <v>76.40000000000001</v>
      </c>
      <c r="K1198" s="3" t="inlineStr">
        <is>
          <t>도시지역내 자연녹지,미호강변 개발가능</t>
        </is>
      </c>
      <c r="L1198" s="6">
        <f>HYPERLINK("https://fin.land.naver.com/articles/2650859611", "매물Link")</f>
        <v/>
      </c>
      <c r="M1198" s="6">
        <f>HYPERLINK("https://map.naver.com/p/search/연서면 월하리 25-7", "지도Link")</f>
        <v/>
      </c>
      <c r="N1198" s="6">
        <f>HYPERLINK("http://www.eum.go.kr/web/ar/lu/luLandDet.jsp?pnu=3611036021100250007&amp;isNoScr=script&amp;mode=search",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1301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27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132000</v>
      </c>
      <c r="G1199" s="4" t="n">
        <v>1746</v>
      </c>
      <c r="H1199" s="4" t="n">
        <v>528</v>
      </c>
      <c r="I1199" s="5" t="n">
        <v>250</v>
      </c>
      <c r="J1199" s="5" t="n">
        <v>75.7</v>
      </c>
      <c r="K1199" s="3" t="inlineStr">
        <is>
          <t>미호강변 오천자전거길 옆 카페나 주택지, 근생으로 개발해도 좋음</t>
        </is>
      </c>
      <c r="L1199" s="6">
        <f>HYPERLINK("https://fin.land.naver.com/articles/2645605477", "매물Link")</f>
        <v/>
      </c>
      <c r="M1199" s="6">
        <f>HYPERLINK("https://map.naver.com/p/search/연서면 월하리 27", "지도Link")</f>
        <v/>
      </c>
      <c r="N1199" s="6">
        <f>HYPERLINK("http://www.eum.go.kr/web/ar/lu/luLandDet.jsp?pnu=3611036021100270000&amp;isNoScr=script&amp;mode=search", "토지이음")</f>
        <v/>
      </c>
      <c r="O1199" s="3" t="inlineStr">
        <is>
          <t>미스터홈즈강남지사</t>
        </is>
      </c>
      <c r="P1199" s="4" t="n">
        <v>1</v>
      </c>
      <c r="Q1199" s="4" t="n">
        <v>983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35-3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69000</v>
      </c>
      <c r="G1200" s="4" t="n">
        <v>987</v>
      </c>
      <c r="H1200" s="4" t="n">
        <v>299</v>
      </c>
      <c r="I1200" s="5" t="n">
        <v>230.8</v>
      </c>
      <c r="J1200" s="5" t="n">
        <v>73.3</v>
      </c>
      <c r="K1200" s="3" t="inlineStr">
        <is>
          <t>공장부지, 299P, 주차6대, 1층 공장 건물 및 부속건물</t>
        </is>
      </c>
      <c r="L1200" s="6">
        <f>HYPERLINK("https://fin.land.naver.com/articles/2650988901", "매물Link")</f>
        <v/>
      </c>
      <c r="M1200" s="6">
        <f>HYPERLINK("https://map.naver.com/p/search/연서면 월하리 35-3", "지도Link")</f>
        <v/>
      </c>
      <c r="N1200" s="6">
        <f>HYPERLINK("http://www.eum.go.kr/web/ar/lu/luLandDet.jsp?pnu=3611036021100350003&amp;isNoScr=script&amp;mode=search", "토지이음")</f>
        <v/>
      </c>
      <c r="O1200" s="3" t="inlineStr">
        <is>
          <t>엄마와딸</t>
        </is>
      </c>
      <c r="P1200" s="4" t="n">
        <v>1</v>
      </c>
      <c r="Q1200" s="4" t="n">
        <v>987</v>
      </c>
      <c r="R1200" s="3" t="inlineStr">
        <is>
          <t>지정되지않음</t>
        </is>
      </c>
      <c r="S1200" s="3" t="inlineStr">
        <is>
          <t>공업용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35-7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100000</v>
      </c>
      <c r="G1201" s="4" t="n">
        <v>1077</v>
      </c>
      <c r="H1201" s="4" t="n">
        <v>326</v>
      </c>
      <c r="I1201" s="5" t="n">
        <v>306.7</v>
      </c>
      <c r="J1201" s="5" t="n">
        <v>62.5</v>
      </c>
      <c r="K1201" s="3" t="inlineStr">
        <is>
          <t>미호강이 흐르는 경치 좋은 곳에 카페, 식당  상업용을 추천합니다.</t>
        </is>
      </c>
      <c r="L1201" s="6">
        <f>HYPERLINK("https://fin.land.naver.com/articles/2649621498", "매물Link")</f>
        <v/>
      </c>
      <c r="M1201" s="6">
        <f>HYPERLINK("https://map.naver.com/p/search/연서면 월하리 35-7", "지도Link")</f>
        <v/>
      </c>
      <c r="N1201" s="6">
        <f>HYPERLINK("http://www.eum.go.kr/web/ar/lu/luLandDet.jsp?pnu=3611036021100350007&amp;isNoScr=script&amp;mode=search", "토지이음")</f>
        <v/>
      </c>
      <c r="O1201" s="3" t="inlineStr">
        <is>
          <t>효자</t>
        </is>
      </c>
      <c r="P1201" s="4" t="n">
        <v>1</v>
      </c>
      <c r="Q1201" s="4" t="n">
        <v>1077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자루형</t>
        </is>
      </c>
      <c r="V1201" s="3" t="inlineStr">
        <is>
          <t>세로한면(가)</t>
        </is>
      </c>
    </row>
    <row r="1202">
      <c r="A1202" s="3" t="inlineStr">
        <is>
          <t>연서면 월하리 507-2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320000</v>
      </c>
      <c r="G1202" s="4" t="n">
        <v>2647</v>
      </c>
      <c r="H1202" s="4" t="n">
        <v>801</v>
      </c>
      <c r="I1202" s="5" t="n">
        <v>399.5</v>
      </c>
      <c r="J1202" s="5" t="n">
        <v>264.4</v>
      </c>
      <c r="K1202" s="3" t="inlineStr">
        <is>
          <t>1번 국도에 인접한 근생 및 상업용 토지</t>
        </is>
      </c>
      <c r="L1202" s="6">
        <f>HYPERLINK("https://fin.land.naver.com/articles/2647392720", "매물Link")</f>
        <v/>
      </c>
      <c r="M1202" s="6">
        <f>HYPERLINK("https://map.naver.com/p/search/연서면 월하리 507-2", "지도Link")</f>
        <v/>
      </c>
      <c r="N1202" s="6">
        <f>HYPERLINK("http://www.eum.go.kr/web/ar/lu/luLandDet.jsp?pnu=3611036021105070002&amp;isNoScr=script&amp;mode=search", "토지이음")</f>
        <v/>
      </c>
      <c r="O1202" s="3" t="inlineStr">
        <is>
          <t>신와촌</t>
        </is>
      </c>
      <c r="P1202" s="4" t="n">
        <v>1</v>
      </c>
      <c r="Q1202" s="4" t="n">
        <v>1382</v>
      </c>
      <c r="R1202" s="3" t="inlineStr">
        <is>
          <t>지정되지않음</t>
        </is>
      </c>
      <c r="S1202" s="3" t="inlineStr">
        <is>
          <t>상업용</t>
        </is>
      </c>
      <c r="T1202" s="3" t="inlineStr">
        <is>
          <t>평지</t>
        </is>
      </c>
      <c r="U1202" s="3" t="inlineStr">
        <is>
          <t>자루형</t>
        </is>
      </c>
      <c r="V1202" s="3" t="inlineStr">
        <is>
          <t>세로한면(가)</t>
        </is>
      </c>
    </row>
    <row r="1203">
      <c r="A1203" s="3" t="inlineStr">
        <is>
          <t>연서면 월하리 619</t>
        </is>
      </c>
      <c r="B1203" s="3" t="inlineStr">
        <is>
          <t>자연녹지지역</t>
        </is>
      </c>
      <c r="C1203" s="3" t="inlineStr">
        <is>
          <t>주차장</t>
        </is>
      </c>
      <c r="D1203" s="3" t="inlineStr">
        <is>
          <t>주차장</t>
        </is>
      </c>
      <c r="E1203" s="3" t="inlineStr">
        <is>
          <t>매매</t>
        </is>
      </c>
      <c r="F1203" s="4" t="n">
        <v>250000</v>
      </c>
      <c r="G1203" s="4" t="n">
        <v>2400</v>
      </c>
      <c r="H1203" s="4" t="n">
        <v>726</v>
      </c>
      <c r="I1203" s="5" t="n">
        <v>344.4</v>
      </c>
      <c r="J1203" s="5" t="n">
        <v>61.5</v>
      </c>
      <c r="K1203" s="3" t="inlineStr">
        <is>
          <t>명성공인, 월하리, 1번국도 가까운 활용도 좋은 추천 매물</t>
        </is>
      </c>
      <c r="L1203" s="6">
        <f>HYPERLINK("https://fin.land.naver.com/articles/2646316879", "매물Link")</f>
        <v/>
      </c>
      <c r="M1203" s="6">
        <f>HYPERLINK("https://map.naver.com/p/search/연서면 월하리 619", "지도Link")</f>
        <v/>
      </c>
      <c r="N1203" s="6">
        <f>HYPERLINK("http://www.eum.go.kr/web/ar/lu/luLandDet.jsp?pnu=3611036021106190000&amp;isNoScr=script&amp;mode=search",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963</v>
      </c>
      <c r="R1203" s="3" t="inlineStr">
        <is>
          <t>지정되지않음</t>
        </is>
      </c>
      <c r="S1203" s="3" t="inlineStr">
        <is>
          <t>주차장등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619</t>
        </is>
      </c>
      <c r="B1204" s="3" t="inlineStr">
        <is>
          <t>자연녹지지역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230000</v>
      </c>
      <c r="G1204" s="4" t="n">
        <v>2234</v>
      </c>
      <c r="H1204" s="4" t="n">
        <v>676</v>
      </c>
      <c r="I1204" s="5" t="n">
        <v>340.2</v>
      </c>
      <c r="J1204" s="5" t="n">
        <v>61.5</v>
      </c>
      <c r="K1204" s="3" t="inlineStr">
        <is>
          <t>상가건물건축용</t>
        </is>
      </c>
      <c r="L1204" s="6">
        <f>HYPERLINK("https://fin.land.naver.com/articles/2648552601", "매물Link")</f>
        <v/>
      </c>
      <c r="M1204" s="6">
        <f>HYPERLINK("https://map.naver.com/p/search/연서면 월하리 619", "지도Link")</f>
        <v/>
      </c>
      <c r="N1204" s="6">
        <f>HYPERLINK("http://www.eum.go.kr/web/ar/lu/luLandDet.jsp?pnu=3611036021106190000&amp;isNoScr=script&amp;mode=search", "토지이음")</f>
        <v/>
      </c>
      <c r="O1204" s="3" t="inlineStr">
        <is>
          <t>세종리츠</t>
        </is>
      </c>
      <c r="P1204" s="4" t="n">
        <v>1</v>
      </c>
      <c r="Q1204" s="4" t="n">
        <v>963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658-4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98000</v>
      </c>
      <c r="G1205" s="4" t="n">
        <v>463</v>
      </c>
      <c r="H1205" s="4" t="n">
        <v>140</v>
      </c>
      <c r="I1205" s="5" t="n">
        <v>700</v>
      </c>
      <c r="J1205" s="5" t="n">
        <v>163.7</v>
      </c>
      <c r="K1205" s="3" t="inlineStr">
        <is>
          <t>도로 인접한  활용도 높은  토지 매매</t>
        </is>
      </c>
      <c r="L1205" s="6">
        <f>HYPERLINK("https://fin.land.naver.com/articles/2648014033", "매물Link")</f>
        <v/>
      </c>
      <c r="M1205" s="6">
        <f>HYPERLINK("https://map.naver.com/p/search/연서면 월하리 658-4", "지도Link")</f>
        <v/>
      </c>
      <c r="N1205" s="6">
        <f>HYPERLINK("http://www.eum.go.kr/web/ar/lu/luLandDet.jsp?pnu=3611036021106580004&amp;isNoScr=script&amp;mode=search", "토지이음")</f>
        <v/>
      </c>
      <c r="O1205" s="3" t="inlineStr">
        <is>
          <t>오송2단지창조</t>
        </is>
      </c>
      <c r="P1205" s="4" t="n">
        <v>1</v>
      </c>
      <c r="Q1205" s="4" t="n">
        <v>463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광대로한면</t>
        </is>
      </c>
    </row>
    <row r="1206">
      <c r="A1206" s="3" t="inlineStr">
        <is>
          <t>연서면 월하리 658-8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87500</v>
      </c>
      <c r="G1206" s="4" t="n">
        <v>414</v>
      </c>
      <c r="H1206" s="4" t="n">
        <v>125</v>
      </c>
      <c r="I1206" s="5" t="n">
        <v>700</v>
      </c>
      <c r="J1206" s="5" t="n">
        <v>163.7</v>
      </c>
      <c r="K1206" s="3" t="inlineStr">
        <is>
          <t>대도로변에 위치해 있는 토지 매매</t>
        </is>
      </c>
      <c r="L1206" s="6">
        <f>HYPERLINK("https://fin.land.naver.com/articles/2648014288", "매물Link")</f>
        <v/>
      </c>
      <c r="M1206" s="6">
        <f>HYPERLINK("https://map.naver.com/p/search/연서면 월하리 658-8", "지도Link")</f>
        <v/>
      </c>
      <c r="N1206" s="6">
        <f>HYPERLINK("http://www.eum.go.kr/web/ar/lu/luLandDet.jsp?pnu=3611036021106580008&amp;isNoScr=script&amp;mode=search",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414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광대로한면</t>
        </is>
      </c>
    </row>
    <row r="1207">
      <c r="A1207" s="3" t="inlineStr">
        <is>
          <t>연서면 월하리 663-38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474300</v>
      </c>
      <c r="G1207" s="4" t="n">
        <v>5229</v>
      </c>
      <c r="H1207" s="4" t="n">
        <v>1582</v>
      </c>
      <c r="I1207" s="5" t="n">
        <v>299.8</v>
      </c>
      <c r="J1207" s="5" t="n">
        <v>102.4</v>
      </c>
      <c r="K1207" s="3" t="inlineStr">
        <is>
          <t>위치 좋은 넓은 토지.연락주세요</t>
        </is>
      </c>
      <c r="L1207" s="6">
        <f>HYPERLINK("https://fin.land.naver.com/articles/2648522838", "매물Link")</f>
        <v/>
      </c>
      <c r="M1207" s="6">
        <f>HYPERLINK("https://map.naver.com/p/search/연서면 월하리 663-38", "지도Link")</f>
        <v/>
      </c>
      <c r="N1207" s="6">
        <f>HYPERLINK("http://www.eum.go.kr/web/ar/lu/luLandDet.jsp?pnu=3611036021106630038&amp;isNoScr=script&amp;mode=search", "토지이음")</f>
        <v/>
      </c>
      <c r="O1207" s="3" t="inlineStr">
        <is>
          <t>수자인</t>
        </is>
      </c>
      <c r="P1207" s="4" t="n">
        <v>1</v>
      </c>
      <c r="Q1207" s="4" t="n">
        <v>5222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월하리 663-38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474300</v>
      </c>
      <c r="G1208" s="4" t="n">
        <v>5229</v>
      </c>
      <c r="H1208" s="4" t="n">
        <v>1582</v>
      </c>
      <c r="I1208" s="5" t="n">
        <v>299.8</v>
      </c>
      <c r="J1208" s="5" t="n">
        <v>102.4</v>
      </c>
      <c r="K1208" s="3" t="inlineStr">
        <is>
          <t>세종 연서면 월하리 톨게이트예정지인근 시내인근 개발지 도로접 조정가능</t>
        </is>
      </c>
      <c r="L1208" s="6">
        <f>HYPERLINK("https://fin.land.naver.com/articles/2650823939", "매물Link")</f>
        <v/>
      </c>
      <c r="M1208" s="6">
        <f>HYPERLINK("https://map.naver.com/p/search/연서면 월하리 663-38", "지도Link")</f>
        <v/>
      </c>
      <c r="N1208" s="6">
        <f>HYPERLINK("http://www.eum.go.kr/web/ar/lu/luLandDet.jsp?pnu=3611036021106630038&amp;isNoScr=script&amp;mode=search", "토지이음")</f>
        <v/>
      </c>
      <c r="O1208" s="3" t="inlineStr">
        <is>
          <t>MK</t>
        </is>
      </c>
      <c r="P1208" s="4" t="n">
        <v>1</v>
      </c>
      <c r="Q1208" s="4" t="n">
        <v>5222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707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252000</v>
      </c>
      <c r="G1209" s="4" t="n">
        <v>4637</v>
      </c>
      <c r="H1209" s="4" t="n">
        <v>1403</v>
      </c>
      <c r="I1209" s="5" t="n">
        <v>179.6</v>
      </c>
      <c r="J1209" s="5" t="n">
        <v>91.2</v>
      </c>
      <c r="K1209" s="3" t="inlineStr">
        <is>
          <t>코너 2차선에 접하고 향후 4차선 계획도로 예정임. 시세보다 저렴.</t>
        </is>
      </c>
      <c r="L1209" s="6">
        <f>HYPERLINK("https://fin.land.naver.com/articles/2649104055", "매물Link")</f>
        <v/>
      </c>
      <c r="M1209" s="6">
        <f>HYPERLINK("https://map.naver.com/p/search/연서면 월하리 707", "지도Link")</f>
        <v/>
      </c>
      <c r="N1209" s="6">
        <f>HYPERLINK("http://www.eum.go.kr/web/ar/lu/luLandDet.jsp?pnu=3611036021107070000&amp;isNoScr=script&amp;mode=search",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연서면 월하리 809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48000</v>
      </c>
      <c r="G1210" s="4" t="n">
        <v>668</v>
      </c>
      <c r="H1210" s="4" t="n">
        <v>202</v>
      </c>
      <c r="I1210" s="5" t="n">
        <v>237.6</v>
      </c>
      <c r="J1210" s="5" t="n">
        <v>156.1</v>
      </c>
      <c r="K1210" s="3" t="inlineStr">
        <is>
          <t>월하리 2차선 도로접한 대지 급매. 자연취락지구로 토지거래허가구역임</t>
        </is>
      </c>
      <c r="L1210" s="6">
        <f>HYPERLINK("https://fin.land.naver.com/articles/2645640747", "매물Link")</f>
        <v/>
      </c>
      <c r="M1210" s="6">
        <f>HYPERLINK("https://map.naver.com/p/search/연서면 월하리 809", "지도Link")</f>
        <v/>
      </c>
      <c r="N1210" s="6">
        <f>HYPERLINK("http://www.eum.go.kr/web/ar/lu/luLandDet.jsp?pnu=3611036021108090000&amp;isNoScr=script&amp;mode=search",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668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연서면 월하리 818-1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78000</v>
      </c>
      <c r="G1211" s="4" t="n">
        <v>745</v>
      </c>
      <c r="H1211" s="4" t="n">
        <v>225</v>
      </c>
      <c r="I1211" s="5" t="n">
        <v>346.7</v>
      </c>
      <c r="J1211" s="5" t="n">
        <v>80.3</v>
      </c>
      <c r="K1211" s="3" t="inlineStr">
        <is>
          <t>조치원 월하리 아파트 분양 예정지 근접,개발 투자가치로 좋아요</t>
        </is>
      </c>
      <c r="L1211" s="6">
        <f>HYPERLINK("https://fin.land.naver.com/articles/2645497722", "매물Link")</f>
        <v/>
      </c>
      <c r="M1211" s="6">
        <f>HYPERLINK("https://map.naver.com/p/search/연서면 월하리 818-1", "지도Link")</f>
        <v/>
      </c>
      <c r="N1211" s="6">
        <f>HYPERLINK("http://www.eum.go.kr/web/ar/lu/luLandDet.jsp?pnu=3611036021108180001&amp;isNoScr=script&amp;mode=search", "토지이음")</f>
        <v/>
      </c>
      <c r="O1211" s="3" t="inlineStr">
        <is>
          <t>담뜰</t>
        </is>
      </c>
      <c r="P1211" s="4" t="n">
        <v>1</v>
      </c>
      <c r="Q1211" s="4" t="n">
        <v>745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889-1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442000</v>
      </c>
      <c r="G1212" s="4" t="n">
        <v>5415</v>
      </c>
      <c r="H1212" s="4" t="n">
        <v>1638</v>
      </c>
      <c r="I1212" s="5" t="n">
        <v>269.8</v>
      </c>
      <c r="J1212" s="5" t="n">
        <v>81.3</v>
      </c>
      <c r="K1212" s="3" t="inlineStr">
        <is>
          <t>세종 조치원 공공주택지구 접한 투자용 토지 매매</t>
        </is>
      </c>
      <c r="L1212" s="6">
        <f>HYPERLINK("https://fin.land.naver.com/articles/2650462664", "매물Link")</f>
        <v/>
      </c>
      <c r="M1212" s="6">
        <f>HYPERLINK("https://map.naver.com/p/search/연서면 월하리 889-1", "지도Link")</f>
        <v/>
      </c>
      <c r="N1212" s="6">
        <f>HYPERLINK("http://www.eum.go.kr/web/ar/lu/luLandDet.jsp?pnu=3611036021108890001&amp;isNoScr=script&amp;mode=search", "토지이음")</f>
        <v/>
      </c>
      <c r="O1212" s="3" t="inlineStr">
        <is>
          <t>(주)해뜰터</t>
        </is>
      </c>
      <c r="P1212" s="4" t="n">
        <v>2</v>
      </c>
      <c r="Q1212" s="4" t="n">
        <v>5415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월하리 892-1</t>
        </is>
      </c>
      <c r="B1213" s="3" t="inlineStr">
        <is>
          <t>자연녹지지역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305640</v>
      </c>
      <c r="G1213" s="4" t="n">
        <v>2806</v>
      </c>
      <c r="H1213" s="4" t="n">
        <v>849</v>
      </c>
      <c r="I1213" s="5" t="n">
        <v>360</v>
      </c>
      <c r="J1213" s="5" t="n">
        <v>86.40000000000001</v>
      </c>
      <c r="K1213" s="3" t="inlineStr">
        <is>
          <t>공공주택단지 인접토지 매매</t>
        </is>
      </c>
      <c r="L1213" s="6">
        <f>HYPERLINK("https://fin.land.naver.com/articles/2648030210", "매물Link")</f>
        <v/>
      </c>
      <c r="M1213" s="6">
        <f>HYPERLINK("https://map.naver.com/p/search/연서면 월하리 892-1", "지도Link")</f>
        <v/>
      </c>
      <c r="N1213" s="6">
        <f>HYPERLINK("http://www.eum.go.kr/web/ar/lu/luLandDet.jsp?pnu=3611036021108920001&amp;isNoScr=script&amp;mode=search", "토지이음")</f>
        <v/>
      </c>
      <c r="O1213" s="3" t="inlineStr">
        <is>
          <t>THE행복</t>
        </is>
      </c>
      <c r="P1213" s="4" t="n">
        <v>1</v>
      </c>
      <c r="Q1213" s="4" t="n">
        <v>1879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월하리 898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200000</v>
      </c>
      <c r="G1214" s="4" t="n">
        <v>1652</v>
      </c>
      <c r="H1214" s="4" t="n">
        <v>500</v>
      </c>
      <c r="I1214" s="5" t="n">
        <v>400</v>
      </c>
      <c r="J1214" s="5" t="n">
        <v>100.6</v>
      </c>
      <c r="K1214" s="3" t="inlineStr">
        <is>
          <t>포장도로 접한 답. 조치원 공공주택지구 인근 자연녹지</t>
        </is>
      </c>
      <c r="L1214" s="6">
        <f>HYPERLINK("https://fin.land.naver.com/articles/2648329552", "매물Link")</f>
        <v/>
      </c>
      <c r="M1214" s="6">
        <f>HYPERLINK("https://map.naver.com/p/search/연서면 월하리 898", "지도Link")</f>
        <v/>
      </c>
      <c r="N1214" s="6">
        <f>HYPERLINK("http://www.eum.go.kr/web/ar/lu/luLandDet.jsp?pnu=3611036021108980000&amp;isNoScr=script&amp;mode=search", "토지이음")</f>
        <v/>
      </c>
      <c r="O1214" s="3" t="inlineStr">
        <is>
          <t>미스터홈즈강남지사</t>
        </is>
      </c>
      <c r="P1214" s="4" t="n">
        <v>1</v>
      </c>
      <c r="Q1214" s="4" t="n">
        <v>1084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월하리 960-4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70000</v>
      </c>
      <c r="G1215" s="4" t="n">
        <v>574</v>
      </c>
      <c r="H1215" s="4" t="n">
        <v>174</v>
      </c>
      <c r="I1215" s="5" t="n">
        <v>402.3</v>
      </c>
      <c r="J1215" s="5" t="n">
        <v>208.2</v>
      </c>
      <c r="K1215" s="3" t="inlineStr">
        <is>
          <t>2차선 도로에 접한 3거리 코너각지에 있는 도시지역자연녹지  투자용 토지</t>
        </is>
      </c>
      <c r="L1215" s="6">
        <f>HYPERLINK("https://fin.land.naver.com/articles/2646257545", "매물Link")</f>
        <v/>
      </c>
      <c r="M1215" s="6">
        <f>HYPERLINK("https://map.naver.com/p/search/연서면 월하리 960-4", "지도Link")</f>
        <v/>
      </c>
      <c r="N1215" s="6">
        <f>HYPERLINK("http://www.eum.go.kr/web/ar/lu/luLandDet.jsp?pnu=3611036021109600004&amp;isNoScr=script&amp;mode=search",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574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소로각지</t>
        </is>
      </c>
    </row>
    <row r="1216">
      <c r="A1216" s="3" t="inlineStr">
        <is>
          <t>연서면 월하리 966-14</t>
        </is>
      </c>
      <c r="B1216" s="3" t="inlineStr">
        <is>
          <t>자연녹지지역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29000</v>
      </c>
      <c r="G1216" s="4" t="n">
        <v>384</v>
      </c>
      <c r="H1216" s="4" t="n">
        <v>116</v>
      </c>
      <c r="I1216" s="5" t="n">
        <v>250</v>
      </c>
      <c r="J1216" s="5" t="n">
        <v>102.6</v>
      </c>
      <c r="K1216" s="3" t="inlineStr">
        <is>
          <t>주말농장 및 미래가치 높은 투자형, 토지거래 허가구역</t>
        </is>
      </c>
      <c r="L1216" s="6">
        <f>HYPERLINK("https://fin.land.naver.com/articles/2649406700", "매물Link")</f>
        <v/>
      </c>
      <c r="M1216" s="6">
        <f>HYPERLINK("https://map.naver.com/p/search/연서면 월하리 966-14", "지도Link")</f>
        <v/>
      </c>
      <c r="N1216" s="6">
        <f>HYPERLINK("http://www.eum.go.kr/web/ar/lu/luLandDet.jsp?pnu=3611036021109660014&amp;isNoScr=script&amp;mode=search", "토지이음")</f>
        <v/>
      </c>
      <c r="O1216" s="3" t="inlineStr">
        <is>
          <t>천우</t>
        </is>
      </c>
      <c r="P1216" s="4" t="n">
        <v>1</v>
      </c>
      <c r="Q1216" s="4" t="n">
        <v>384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월하리 966-3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110000</v>
      </c>
      <c r="G1217" s="4" t="n">
        <v>981</v>
      </c>
      <c r="H1217" s="4" t="n">
        <v>297</v>
      </c>
      <c r="I1217" s="5" t="n">
        <v>370.4</v>
      </c>
      <c r="J1217" s="5" t="n">
        <v>168.6</v>
      </c>
      <c r="K1217" s="3" t="inlineStr">
        <is>
          <t>실거주, 미래가치 높은 투자형, 토지거래 허가구역</t>
        </is>
      </c>
      <c r="L1217" s="6">
        <f>HYPERLINK("https://fin.land.naver.com/articles/2649406297", "매물Link")</f>
        <v/>
      </c>
      <c r="M1217" s="6">
        <f>HYPERLINK("https://map.naver.com/p/search/연서면 월하리 966-3", "지도Link")</f>
        <v/>
      </c>
      <c r="N1217" s="6">
        <f>HYPERLINK("http://www.eum.go.kr/web/ar/lu/luLandDet.jsp?pnu=3611036021109660003&amp;isNoScr=script&amp;mode=search", "토지이음")</f>
        <v/>
      </c>
      <c r="O1217" s="3" t="inlineStr">
        <is>
          <t>천우</t>
        </is>
      </c>
      <c r="P1217" s="4" t="n">
        <v>1</v>
      </c>
      <c r="Q1217" s="4" t="n">
        <v>639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연서면 월하리 986-3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168000</v>
      </c>
      <c r="G1218" s="4" t="n">
        <v>1157</v>
      </c>
      <c r="H1218" s="4" t="n">
        <v>350</v>
      </c>
      <c r="I1218" s="5" t="n">
        <v>480</v>
      </c>
      <c r="J1218" s="5" t="n">
        <v>208.4</v>
      </c>
      <c r="K1218" s="3" t="inlineStr">
        <is>
          <t>조치원 서북부 개발지역 근접  농지로 투자용으로도 추천, 포장도로 접함</t>
        </is>
      </c>
      <c r="L1218" s="6">
        <f>HYPERLINK("https://fin.land.naver.com/articles/2647543173", "매물Link")</f>
        <v/>
      </c>
      <c r="M1218" s="6">
        <f>HYPERLINK("https://map.naver.com/p/search/연서면 월하리 986-3", "지도Link")</f>
        <v/>
      </c>
      <c r="N1218" s="6">
        <f>HYPERLINK("http://www.eum.go.kr/web/ar/lu/luLandDet.jsp?pnu=3611036021109860003&amp;isNoScr=script&amp;mode=search", "토지이음")</f>
        <v/>
      </c>
      <c r="O1218" s="3" t="inlineStr">
        <is>
          <t>the다올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산 26-1</t>
        </is>
      </c>
      <c r="B1219" s="3" t="inlineStr">
        <is>
          <t>자연녹지지역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94000</v>
      </c>
      <c r="G1219" s="4" t="n">
        <v>3891</v>
      </c>
      <c r="H1219" s="4" t="n">
        <v>1177</v>
      </c>
      <c r="I1219" s="5" t="n">
        <v>79.90000000000001</v>
      </c>
      <c r="J1219" s="5" t="n">
        <v>72.09999999999999</v>
      </c>
      <c r="K1219" s="3" t="inlineStr">
        <is>
          <t>월하리 자연녹지지역 지목은 임야로 현재 전으로 사용. 2필지 급매</t>
        </is>
      </c>
      <c r="L1219" s="6">
        <f>HYPERLINK("https://fin.land.naver.com/articles/2645850271", "매물Link")</f>
        <v/>
      </c>
      <c r="M1219" s="6">
        <f>HYPERLINK("https://map.naver.com/p/search/연서면 월하리 산 26-1", "지도Link")</f>
        <v/>
      </c>
      <c r="N1219" s="6">
        <f>HYPERLINK("http://www.eum.go.kr/web/ar/lu/luLandDet.jsp?pnu=3611036021200260001&amp;isNoScr=script&amp;mode=search",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4185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월하리 산144-1</t>
        </is>
      </c>
      <c r="B1220" s="3" t="inlineStr">
        <is>
          <t>자연녹지지역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860000</v>
      </c>
      <c r="G1220" s="4" t="n">
        <v>22983</v>
      </c>
      <c r="H1220" s="4" t="n">
        <v>6952</v>
      </c>
      <c r="I1220" s="5" t="n">
        <v>123.7</v>
      </c>
      <c r="J1220" s="5" t="n">
        <v>22.5</v>
      </c>
      <c r="K1220" s="3" t="inlineStr">
        <is>
          <t>미호강변 경관좋은 완경사 임야</t>
        </is>
      </c>
      <c r="L1220" s="6">
        <f>HYPERLINK("https://fin.land.naver.com/articles/2646263025", "매물Link")</f>
        <v/>
      </c>
      <c r="M1220" s="6">
        <f>HYPERLINK("https://map.naver.com/p/search/연서면 월하리 산144-1", "지도Link")</f>
        <v/>
      </c>
      <c r="N1220" s="6">
        <f>HYPERLINK("http://www.eum.go.kr/web/ar/lu/luLandDet.jsp?pnu=3611036021201440001&amp;isNoScr=script&amp;mode=search", "토지이음")</f>
        <v/>
      </c>
      <c r="O1220" s="3" t="inlineStr">
        <is>
          <t>번영</t>
        </is>
      </c>
      <c r="P1220" s="4" t="n">
        <v>1</v>
      </c>
      <c r="Q1220" s="4" t="n">
        <v>22641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산7-12</t>
        </is>
      </c>
      <c r="B1221" s="3" t="inlineStr">
        <is>
          <t>자연녹지지역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15800</v>
      </c>
      <c r="G1221" s="4" t="n">
        <v>660</v>
      </c>
      <c r="H1221" s="4" t="n">
        <v>200</v>
      </c>
      <c r="I1221" s="5" t="n">
        <v>79</v>
      </c>
      <c r="J1221" s="5" t="n">
        <v>21.7</v>
      </c>
      <c r="K1221" s="3" t="inlineStr">
        <is>
          <t>연서면 월하리 도시지역 자연녹지, 경사도 완만한 투 자용 임야입니다</t>
        </is>
      </c>
      <c r="L1221" s="6">
        <f>HYPERLINK("https://fin.land.naver.com/articles/2648168085", "매물Link")</f>
        <v/>
      </c>
      <c r="M1221" s="6">
        <f>HYPERLINK("https://map.naver.com/p/search/연서면 월하리 산7-12", "지도Link")</f>
        <v/>
      </c>
      <c r="N1221" s="6">
        <f>HYPERLINK("http://www.eum.go.kr/web/ar/lu/luLandDet.jsp?pnu=3611036021200070012&amp;isNoScr=script&amp;mode=search", "토지이음")</f>
        <v/>
      </c>
      <c r="O1221" s="3" t="inlineStr">
        <is>
          <t>스마일세종</t>
        </is>
      </c>
      <c r="P1221" s="4" t="n">
        <v>2</v>
      </c>
      <c r="Q1221" s="4" t="n">
        <v>660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12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12000</v>
      </c>
      <c r="G1222" s="4" t="n">
        <v>1838</v>
      </c>
      <c r="H1222" s="4" t="n">
        <v>556</v>
      </c>
      <c r="I1222" s="5" t="n">
        <v>21.6</v>
      </c>
      <c r="J1222" s="5" t="n">
        <v>23.5</v>
      </c>
      <c r="K1222" s="3" t="inlineStr">
        <is>
          <t>연서면 청라리토지 세종국가산업단지인근 싸고 넓은 토지</t>
        </is>
      </c>
      <c r="L1222" s="6">
        <f>HYPERLINK("https://fin.land.naver.com/articles/2646801132", "매물Link")</f>
        <v/>
      </c>
      <c r="M1222" s="6">
        <f>HYPERLINK("https://map.naver.com/p/search/연서면 청라리 12", "지도Link")</f>
        <v/>
      </c>
      <c r="N1222" s="6">
        <f>HYPERLINK("http://www.eum.go.kr/web/ar/lu/luLandDet.jsp?pnu=3611036027100120000&amp;isNoScr=script&amp;mode=search", "토지이음")</f>
        <v/>
      </c>
      <c r="O1222" s="3" t="inlineStr">
        <is>
          <t>지성</t>
        </is>
      </c>
      <c r="P1222" s="4" t="n">
        <v>3</v>
      </c>
      <c r="Q1222" s="4" t="n">
        <v>1838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127-1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53000</v>
      </c>
      <c r="G1223" s="4" t="n">
        <v>1249</v>
      </c>
      <c r="H1223" s="4" t="n">
        <v>378</v>
      </c>
      <c r="I1223" s="5" t="n">
        <v>140.2</v>
      </c>
      <c r="J1223" s="5" t="n">
        <v>30.6</v>
      </c>
      <c r="K1223" s="3" t="inlineStr">
        <is>
          <t>조용하고 쾌적해서 전원주택지나 체류형 쉼터로 좋은 생산관리지역의 과수원</t>
        </is>
      </c>
      <c r="L1223" s="6">
        <f>HYPERLINK("https://fin.land.naver.com/articles/2650932015", "매물Link")</f>
        <v/>
      </c>
      <c r="M1223" s="6">
        <f>HYPERLINK("https://map.naver.com/p/search/연서면 청라리 127-1", "지도Link")</f>
        <v/>
      </c>
      <c r="N1223" s="6">
        <f>HYPERLINK("http://www.eum.go.kr/web/ar/lu/luLandDet.jsp?pnu=3611036027101270001&amp;isNoScr=script&amp;mode=search", "토지이음")</f>
        <v/>
      </c>
      <c r="O1223" s="3" t="inlineStr">
        <is>
          <t>스마일세종</t>
        </is>
      </c>
      <c r="P1223" s="4" t="n">
        <v>8</v>
      </c>
      <c r="Q1223" s="4" t="n">
        <v>1249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127-1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53000</v>
      </c>
      <c r="G1224" s="4" t="n">
        <v>1249</v>
      </c>
      <c r="H1224" s="4" t="n">
        <v>378</v>
      </c>
      <c r="I1224" s="5" t="n">
        <v>140.2</v>
      </c>
      <c r="J1224" s="5" t="n">
        <v>30.6</v>
      </c>
      <c r="K1224" s="3" t="inlineStr">
        <is>
          <t>l청년l 세종시 투자가치 있는 토지 입니다.</t>
        </is>
      </c>
      <c r="L1224" s="6">
        <f>HYPERLINK("https://fin.land.naver.com/articles/2646721360", "매물Link")</f>
        <v/>
      </c>
      <c r="M1224" s="6">
        <f>HYPERLINK("https://map.naver.com/p/search/연서면 청라리 127-1", "지도Link")</f>
        <v/>
      </c>
      <c r="N1224" s="6">
        <f>HYPERLINK("http://www.eum.go.kr/web/ar/lu/luLandDet.jsp?pnu=3611036027101270001&amp;isNoScr=script&amp;mode=search", "토지이음")</f>
        <v/>
      </c>
      <c r="O1224" s="3" t="inlineStr">
        <is>
          <t>청년사사무소</t>
        </is>
      </c>
      <c r="P1224" s="4" t="n">
        <v>1</v>
      </c>
      <c r="Q1224" s="4" t="n">
        <v>1249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127-1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53000</v>
      </c>
      <c r="G1225" s="4" t="n">
        <v>1249</v>
      </c>
      <c r="H1225" s="4" t="n">
        <v>378</v>
      </c>
      <c r="I1225" s="5" t="n">
        <v>140.2</v>
      </c>
      <c r="J1225" s="5" t="n">
        <v>30.6</v>
      </c>
      <c r="K1225" s="3" t="inlineStr">
        <is>
          <t>포장도로 접한 세종 북부권 전원주택 검토형 토지</t>
        </is>
      </c>
      <c r="L1225" s="6">
        <f>HYPERLINK("https://fin.land.naver.com/articles/2649753980", "매물Link")</f>
        <v/>
      </c>
      <c r="M1225" s="6">
        <f>HYPERLINK("https://map.naver.com/p/search/연서면 청라리 127-1", "지도Link")</f>
        <v/>
      </c>
      <c r="N1225" s="6">
        <f>HYPERLINK("http://www.eum.go.kr/web/ar/lu/luLandDet.jsp?pnu=3611036027101270001&amp;isNoScr=script&amp;mode=search",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1249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청라리 16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42000</v>
      </c>
      <c r="G1226" s="4" t="n">
        <v>2023</v>
      </c>
      <c r="H1226" s="4" t="n">
        <v>612</v>
      </c>
      <c r="I1226" s="5" t="n">
        <v>68.59999999999999</v>
      </c>
      <c r="J1226" s="5" t="n">
        <v>23.5</v>
      </c>
      <c r="K1226" s="3" t="inlineStr">
        <is>
          <t>풍수지리 최고위치 국가산단 배후지 급매물</t>
        </is>
      </c>
      <c r="L1226" s="6">
        <f>HYPERLINK("https://fin.land.naver.com/articles/2650378739", "매물Link")</f>
        <v/>
      </c>
      <c r="M1226" s="6">
        <f>HYPERLINK("https://map.naver.com/p/search/연서면 청라리 16", "지도Link")</f>
        <v/>
      </c>
      <c r="N1226" s="6">
        <f>HYPERLINK("http://www.eum.go.kr/web/ar/lu/luLandDet.jsp?pnu=3611036027100160000&amp;isNoScr=script&amp;mode=search",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2023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16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42000</v>
      </c>
      <c r="G1227" s="4" t="n">
        <v>2023</v>
      </c>
      <c r="H1227" s="4" t="n">
        <v>612</v>
      </c>
      <c r="I1227" s="5" t="n">
        <v>68.59999999999999</v>
      </c>
      <c r="J1227" s="5" t="n">
        <v>23.5</v>
      </c>
      <c r="K1227" s="3" t="inlineStr">
        <is>
          <t>차량진입완경사, 고복저수지 6분국가산단 15분권</t>
        </is>
      </c>
      <c r="L1227" s="6">
        <f>HYPERLINK("https://fin.land.naver.com/articles/2650328099", "매물Link")</f>
        <v/>
      </c>
      <c r="M1227" s="6">
        <f>HYPERLINK("https://map.naver.com/p/search/연서면 청라리 16", "지도Link")</f>
        <v/>
      </c>
      <c r="N1227" s="6">
        <f>HYPERLINK("http://www.eum.go.kr/web/ar/lu/luLandDet.jsp?pnu=3611036027100160000&amp;isNoScr=script&amp;mode=search",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2023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청라리 163-8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31000</v>
      </c>
      <c r="G1228" s="4" t="n">
        <v>778</v>
      </c>
      <c r="H1228" s="4" t="n">
        <v>235</v>
      </c>
      <c r="I1228" s="5" t="n">
        <v>131.9</v>
      </c>
      <c r="J1228" s="5" t="n">
        <v>27</v>
      </c>
      <c r="K1228" s="3" t="inlineStr">
        <is>
          <t>급매  남향  토목공사 완료  조망권 좋음</t>
        </is>
      </c>
      <c r="L1228" s="6">
        <f>HYPERLINK("https://fin.land.naver.com/articles/2648711196", "매물Link")</f>
        <v/>
      </c>
      <c r="M1228" s="6">
        <f>HYPERLINK("https://map.naver.com/p/search/연서면 청라리 163-8", "지도Link")</f>
        <v/>
      </c>
      <c r="N1228" s="6">
        <f>HYPERLINK("http://www.eum.go.kr/web/ar/lu/luLandDet.jsp?pnu=3611036027101630008&amp;isNoScr=script&amp;mode=search", "토지이음")</f>
        <v/>
      </c>
      <c r="O1228" s="3" t="inlineStr">
        <is>
          <t>보람진솔한</t>
        </is>
      </c>
      <c r="P1228" s="4" t="n">
        <v>1</v>
      </c>
      <c r="Q1228" s="4" t="n">
        <v>778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청라리 17-1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44000</v>
      </c>
      <c r="G1229" s="4" t="n">
        <v>1828</v>
      </c>
      <c r="H1229" s="4" t="n">
        <v>553</v>
      </c>
      <c r="I1229" s="5" t="n">
        <v>79.59999999999999</v>
      </c>
      <c r="J1229" s="5" t="n">
        <v>23.5</v>
      </c>
      <c r="K1229" s="3" t="inlineStr">
        <is>
          <t>연서면 청라리에 있는 전원주택도 지을 수 있는 투자용 토지 입니다</t>
        </is>
      </c>
      <c r="L1229" s="6">
        <f>HYPERLINK("https://fin.land.naver.com/articles/2650766989", "매물Link")</f>
        <v/>
      </c>
      <c r="M1229" s="6">
        <f>HYPERLINK("https://map.naver.com/p/search/연서면 청라리 17-1", "지도Link")</f>
        <v/>
      </c>
      <c r="N1229" s="6">
        <f>HYPERLINK("http://www.eum.go.kr/web/ar/lu/luLandDet.jsp?pnu=3611036027100170001&amp;isNoScr=script&amp;mode=search",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1729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191-1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75000</v>
      </c>
      <c r="G1230" s="4" t="n">
        <v>2096</v>
      </c>
      <c r="H1230" s="4" t="n">
        <v>634</v>
      </c>
      <c r="I1230" s="5" t="n">
        <v>118.3</v>
      </c>
      <c r="J1230" s="5" t="n">
        <v>32.1</v>
      </c>
      <c r="K1230" s="3" t="inlineStr">
        <is>
          <t>생산관리, 도로접함, 대토용, 투자용</t>
        </is>
      </c>
      <c r="L1230" s="6">
        <f>HYPERLINK("https://fin.land.naver.com/articles/2650332745", "매물Link")</f>
        <v/>
      </c>
      <c r="M1230" s="6">
        <f>HYPERLINK("https://map.naver.com/p/search/연서면 청라리 191-1", "지도Link")</f>
        <v/>
      </c>
      <c r="N1230" s="6">
        <f>HYPERLINK("http://www.eum.go.kr/web/ar/lu/luLandDet.jsp?pnu=3611036027101910001&amp;isNoScr=script&amp;mode=search", "토지이음")</f>
        <v/>
      </c>
      <c r="O1230" s="3" t="inlineStr">
        <is>
          <t>세종일조</t>
        </is>
      </c>
      <c r="P1230" s="4" t="n">
        <v>1</v>
      </c>
      <c r="Q1230" s="4" t="n">
        <v>2096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청라리 244-1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20000</v>
      </c>
      <c r="G1231" s="4" t="n">
        <v>833</v>
      </c>
      <c r="H1231" s="4" t="n">
        <v>252</v>
      </c>
      <c r="I1231" s="5" t="n">
        <v>79.40000000000001</v>
      </c>
      <c r="J1231" s="5" t="n">
        <v>20.8</v>
      </c>
      <c r="K1231" s="3" t="inlineStr">
        <is>
          <t>nan</t>
        </is>
      </c>
      <c r="L1231" s="6">
        <f>HYPERLINK("https://fin.land.naver.com/articles/2645939242", "매물Link")</f>
        <v/>
      </c>
      <c r="M1231" s="6">
        <f>HYPERLINK("https://map.naver.com/p/search/연서면 청라리 244-1", "지도Link")</f>
        <v/>
      </c>
      <c r="N1231" s="6">
        <f>HYPERLINK("http://www.eum.go.kr/web/ar/lu/luLandDet.jsp?pnu=3611036027102440001&amp;isNoScr=script&amp;mode=search", "토지이음")</f>
        <v/>
      </c>
      <c r="O1231" s="3" t="inlineStr">
        <is>
          <t>고운하임</t>
        </is>
      </c>
      <c r="P1231" s="4" t="n">
        <v>1</v>
      </c>
      <c r="Q1231" s="4" t="n">
        <v>833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청라리 261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330000</v>
      </c>
      <c r="G1232" s="4" t="n">
        <v>11198</v>
      </c>
      <c r="H1232" s="4" t="n">
        <v>3387</v>
      </c>
      <c r="I1232" s="5" t="n">
        <v>97.40000000000001</v>
      </c>
      <c r="J1232" s="5" t="n">
        <v>22.9</v>
      </c>
      <c r="K1232" s="3" t="inlineStr">
        <is>
          <t>산업단지개발구역 인근 투자가치 높은 곳입니다.</t>
        </is>
      </c>
      <c r="L1232" s="6">
        <f>HYPERLINK("https://fin.land.naver.com/articles/2646627780", "매물Link")</f>
        <v/>
      </c>
      <c r="M1232" s="6">
        <f>HYPERLINK("https://map.naver.com/p/search/연서면 청라리 261", "지도Link")</f>
        <v/>
      </c>
      <c r="N1232" s="6">
        <f>HYPERLINK("http://www.eum.go.kr/web/ar/lu/luLandDet.jsp?pnu=3611036027102610000&amp;isNoScr=script&amp;mode=search", "토지이음")</f>
        <v/>
      </c>
      <c r="O1232" s="3" t="inlineStr">
        <is>
          <t>노은탑</t>
        </is>
      </c>
      <c r="P1232" s="4" t="n">
        <v>1</v>
      </c>
      <c r="Q1232" s="4" t="n">
        <v>4502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263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38500</v>
      </c>
      <c r="G1233" s="4" t="n">
        <v>2314</v>
      </c>
      <c r="H1233" s="4" t="n">
        <v>700</v>
      </c>
      <c r="I1233" s="5" t="n">
        <v>55</v>
      </c>
      <c r="J1233" s="5" t="n">
        <v>20.8</v>
      </c>
      <c r="K1233" s="3" t="inlineStr">
        <is>
          <t>연서면 청라리 농지매매</t>
        </is>
      </c>
      <c r="L1233" s="6">
        <f>HYPERLINK("https://fin.land.naver.com/articles/2650941248", "매물Link")</f>
        <v/>
      </c>
      <c r="M1233" s="6">
        <f>HYPERLINK("https://map.naver.com/p/search/연서면 청라리 263", "지도Link")</f>
        <v/>
      </c>
      <c r="N1233" s="6">
        <f>HYPERLINK("http://www.eum.go.kr/web/ar/lu/luLandDet.jsp?pnu=3611036027102630000&amp;isNoScr=script&amp;mode=search", "토지이음")</f>
        <v/>
      </c>
      <c r="O1233" s="3" t="inlineStr">
        <is>
          <t>OK세종 사무소</t>
        </is>
      </c>
      <c r="P1233" s="4" t="n">
        <v>1</v>
      </c>
      <c r="Q1233" s="4" t="n">
        <v>2314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연서면 청라리 264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25000</v>
      </c>
      <c r="G1234" s="4" t="n">
        <v>1646</v>
      </c>
      <c r="H1234" s="4" t="n">
        <v>498</v>
      </c>
      <c r="I1234" s="5" t="n">
        <v>50.2</v>
      </c>
      <c r="J1234" s="5" t="n">
        <v>21</v>
      </c>
      <c r="K1234" s="3" t="inlineStr">
        <is>
          <t>저렴한 농지 나무식재 농업경영체 등록가능 토지 찾으시는분</t>
        </is>
      </c>
      <c r="L1234" s="6">
        <f>HYPERLINK("https://fin.land.naver.com/articles/2645606420", "매물Link")</f>
        <v/>
      </c>
      <c r="M1234" s="6">
        <f>HYPERLINK("https://map.naver.com/p/search/연서면 청라리 264", "지도Link")</f>
        <v/>
      </c>
      <c r="N1234" s="6">
        <f>HYPERLINK("http://www.eum.go.kr/web/ar/lu/luLandDet.jsp?pnu=3611036027102640000&amp;isNoScr=script&amp;mode=search",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1646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청라리 277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63000</v>
      </c>
      <c r="G1235" s="4" t="n">
        <v>3472</v>
      </c>
      <c r="H1235" s="4" t="n">
        <v>1050</v>
      </c>
      <c r="I1235" s="5" t="n">
        <v>60</v>
      </c>
      <c r="J1235" s="5" t="n">
        <v>22</v>
      </c>
      <c r="K1235" s="3" t="inlineStr">
        <is>
          <t>현황도로 길게 접한 생산관리 토지. 대토, 전원주택 추천</t>
        </is>
      </c>
      <c r="L1235" s="6">
        <f>HYPERLINK("https://fin.land.naver.com/articles/2645604558", "매물Link")</f>
        <v/>
      </c>
      <c r="M1235" s="6">
        <f>HYPERLINK("https://map.naver.com/p/search/연서면 청라리 277", "지도Link")</f>
        <v/>
      </c>
      <c r="N1235" s="6">
        <f>HYPERLINK("http://www.eum.go.kr/web/ar/lu/luLandDet.jsp?pnu=3611036027102770000&amp;isNoScr=script&amp;mode=search",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3472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295-2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71800</v>
      </c>
      <c r="G1236" s="4" t="n">
        <v>2372</v>
      </c>
      <c r="H1236" s="4" t="n">
        <v>718</v>
      </c>
      <c r="I1236" s="5" t="n">
        <v>100</v>
      </c>
      <c r="J1236" s="5" t="n">
        <v>23.5</v>
      </c>
      <c r="K1236" s="3" t="inlineStr">
        <is>
          <t>고복저수지인근 2차선변 답</t>
        </is>
      </c>
      <c r="L1236" s="6">
        <f>HYPERLINK("https://fin.land.naver.com/articles/2645606345", "매물Link")</f>
        <v/>
      </c>
      <c r="M1236" s="6">
        <f>HYPERLINK("https://map.naver.com/p/search/연서면 청라리 295-2", "지도Link")</f>
        <v/>
      </c>
      <c r="N1236" s="6">
        <f>HYPERLINK("http://www.eum.go.kr/web/ar/lu/luLandDet.jsp?pnu=3611036027102950002&amp;isNoScr=script&amp;mode=search",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2372.4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420-1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37000</v>
      </c>
      <c r="G1237" s="4" t="n">
        <v>657</v>
      </c>
      <c r="H1237" s="4" t="n">
        <v>199</v>
      </c>
      <c r="I1237" s="5" t="n">
        <v>185.9</v>
      </c>
      <c r="J1237" s="5" t="n">
        <v>56.6</v>
      </c>
      <c r="K1237" s="3" t="inlineStr">
        <is>
          <t>계획관리지역.성장관리계획구역.단독주택있슴</t>
        </is>
      </c>
      <c r="L1237" s="6">
        <f>HYPERLINK("https://fin.land.naver.com/articles/2648373796", "매물Link")</f>
        <v/>
      </c>
      <c r="M1237" s="6">
        <f>HYPERLINK("https://map.naver.com/p/search/연서면 청라리 420-1", "지도Link")</f>
        <v/>
      </c>
      <c r="N1237" s="6">
        <f>HYPERLINK("http://www.eum.go.kr/web/ar/lu/luLandDet.jsp?pnu=3611036027104200001&amp;isNoScr=script&amp;mode=search", "토지이음")</f>
        <v/>
      </c>
      <c r="O1237" s="3" t="inlineStr">
        <is>
          <t>돈방석</t>
        </is>
      </c>
      <c r="P1237" s="4" t="n">
        <v>1</v>
      </c>
      <c r="Q1237" s="4" t="n">
        <v>657.4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청라리 448</t>
        </is>
      </c>
      <c r="B1238" s="3" t="inlineStr">
        <is>
          <t>계획관리지역</t>
        </is>
      </c>
      <c r="C1238" s="3" t="inlineStr">
        <is>
          <t>창고용지</t>
        </is>
      </c>
      <c r="D1238" s="3" t="inlineStr">
        <is>
          <t>대</t>
        </is>
      </c>
      <c r="E1238" s="3" t="inlineStr">
        <is>
          <t>매매</t>
        </is>
      </c>
      <c r="F1238" s="4" t="n">
        <v>425400</v>
      </c>
      <c r="G1238" s="4" t="n">
        <v>7031</v>
      </c>
      <c r="H1238" s="4" t="n">
        <v>2127</v>
      </c>
      <c r="I1238" s="5" t="n">
        <v>200</v>
      </c>
      <c r="J1238" s="5" t="n">
        <v>36.8</v>
      </c>
      <c r="K1238" s="3" t="inlineStr">
        <is>
          <t>2차선도로 접한 토지</t>
        </is>
      </c>
      <c r="L1238" s="6">
        <f>HYPERLINK("https://fin.land.naver.com/articles/2648565269", "매물Link")</f>
        <v/>
      </c>
      <c r="M1238" s="6">
        <f>HYPERLINK("https://map.naver.com/p/search/연서면 청라리 448", "지도Link")</f>
        <v/>
      </c>
      <c r="N1238" s="6">
        <f>HYPERLINK("http://www.eum.go.kr/web/ar/lu/luLandDet.jsp?pnu=3611036027104480000&amp;isNoScr=script&amp;mode=search", "토지이음")</f>
        <v/>
      </c>
      <c r="O1238" s="3" t="inlineStr">
        <is>
          <t>더KEY</t>
        </is>
      </c>
      <c r="P1238" s="4" t="n">
        <v>1</v>
      </c>
      <c r="Q1238" s="4" t="n">
        <v>1158</v>
      </c>
      <c r="R1238" s="3" t="inlineStr">
        <is>
          <t>지정되지않음</t>
        </is>
      </c>
      <c r="S1238" s="3" t="inlineStr">
        <is>
          <t>답기타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490</t>
        </is>
      </c>
      <c r="B1239" s="3" t="inlineStr">
        <is>
          <t>보전관리지역</t>
        </is>
      </c>
      <c r="C1239" s="3" t="inlineStr">
        <is>
          <t>답</t>
        </is>
      </c>
      <c r="D1239" s="3" t="inlineStr">
        <is>
          <t>전</t>
        </is>
      </c>
      <c r="E1239" s="3" t="inlineStr">
        <is>
          <t>매매</t>
        </is>
      </c>
      <c r="F1239" s="4" t="n">
        <v>7000</v>
      </c>
      <c r="G1239" s="4" t="n">
        <v>1401</v>
      </c>
      <c r="H1239" s="4" t="n">
        <v>424</v>
      </c>
      <c r="I1239" s="5" t="n">
        <v>16.5</v>
      </c>
      <c r="J1239" s="5" t="n">
        <v>10.8</v>
      </c>
      <c r="K1239" s="3" t="inlineStr">
        <is>
          <t>급매.과수원추천.보전관리.성장관리계획구역.영농여건불리농지. 대토추천.</t>
        </is>
      </c>
      <c r="L1239" s="6">
        <f>HYPERLINK("https://fin.land.naver.com/articles/2646070061", "매물Link")</f>
        <v/>
      </c>
      <c r="M1239" s="6">
        <f>HYPERLINK("https://map.naver.com/p/search/연서면 청라리 490", "지도Link")</f>
        <v/>
      </c>
      <c r="N1239" s="6">
        <f>HYPERLINK("http://www.eum.go.kr/web/ar/lu/luLandDet.jsp?pnu=3611036027104900000&amp;isNoScr=script&amp;mode=search", "토지이음")</f>
        <v/>
      </c>
      <c r="O1239" s="3" t="inlineStr">
        <is>
          <t>휴튼9단지세교신도시</t>
        </is>
      </c>
      <c r="P1239" s="4" t="n">
        <v>1</v>
      </c>
      <c r="Q1239" s="4" t="n">
        <v>724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청라리 490</t>
        </is>
      </c>
      <c r="B1240" s="3" t="inlineStr">
        <is>
          <t>보전관리지역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12700</v>
      </c>
      <c r="G1240" s="4" t="n">
        <v>1402</v>
      </c>
      <c r="H1240" s="4" t="n">
        <v>424</v>
      </c>
      <c r="I1240" s="5" t="n">
        <v>30</v>
      </c>
      <c r="J1240" s="5" t="n">
        <v>10.8</v>
      </c>
      <c r="K1240" s="3" t="inlineStr">
        <is>
          <t>절충가능하고 대토용으로 추천드림니다</t>
        </is>
      </c>
      <c r="L1240" s="6">
        <f>HYPERLINK("https://fin.land.naver.com/articles/2649224599", "매물Link")</f>
        <v/>
      </c>
      <c r="M1240" s="6">
        <f>HYPERLINK("https://map.naver.com/p/search/연서면 청라리 490", "지도Link")</f>
        <v/>
      </c>
      <c r="N1240" s="6">
        <f>HYPERLINK("http://www.eum.go.kr/web/ar/lu/luLandDet.jsp?pnu=3611036027104900000&amp;isNoScr=script&amp;mode=search",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724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청라리 490</t>
        </is>
      </c>
      <c r="B1241" s="3" t="inlineStr">
        <is>
          <t>보전관리지역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6750</v>
      </c>
      <c r="G1241" s="4" t="n">
        <v>1402</v>
      </c>
      <c r="H1241" s="4" t="n">
        <v>424</v>
      </c>
      <c r="I1241" s="5" t="n">
        <v>15.9</v>
      </c>
      <c r="J1241" s="5" t="n">
        <v>10.8</v>
      </c>
      <c r="K1241" s="3" t="inlineStr">
        <is>
          <t>구거 접해 있지만 맹지입니다.</t>
        </is>
      </c>
      <c r="L1241" s="6">
        <f>HYPERLINK("https://fin.land.naver.com/articles/2645859316", "매물Link")</f>
        <v/>
      </c>
      <c r="M1241" s="6">
        <f>HYPERLINK("https://map.naver.com/p/search/연서면 청라리 490", "지도Link")</f>
        <v/>
      </c>
      <c r="N1241" s="6">
        <f>HYPERLINK("http://www.eum.go.kr/web/ar/lu/luLandDet.jsp?pnu=3611036027104900000&amp;isNoScr=script&amp;mode=search", "토지이음")</f>
        <v/>
      </c>
      <c r="O1241" s="3" t="inlineStr">
        <is>
          <t>세종땅사랑</t>
        </is>
      </c>
      <c r="P1241" s="4" t="n">
        <v>1</v>
      </c>
      <c r="Q1241" s="4" t="n">
        <v>724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급경사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청라리 70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55200</v>
      </c>
      <c r="G1242" s="4" t="n">
        <v>1587</v>
      </c>
      <c r="H1242" s="4" t="n">
        <v>480</v>
      </c>
      <c r="I1242" s="5" t="n">
        <v>115</v>
      </c>
      <c r="J1242" s="5" t="n">
        <v>31.6</v>
      </c>
      <c r="K1242" s="3" t="inlineStr">
        <is>
          <t>국가산업단지 인근 전원주택부지 추천 계획관리 전</t>
        </is>
      </c>
      <c r="L1242" s="6">
        <f>HYPERLINK("https://fin.land.naver.com/articles/2646439538", "매물Link")</f>
        <v/>
      </c>
      <c r="M1242" s="6">
        <f>HYPERLINK("https://map.naver.com/p/search/연서면 청라리 70", "지도Link")</f>
        <v/>
      </c>
      <c r="N1242" s="6">
        <f>HYPERLINK("http://www.eum.go.kr/web/ar/lu/luLandDet.jsp?pnu=3611036027100700000&amp;isNoScr=script&amp;mode=search", "토지이음")</f>
        <v/>
      </c>
      <c r="O1242" s="3" t="inlineStr">
        <is>
          <t>노은탑</t>
        </is>
      </c>
      <c r="P1242" s="4" t="n">
        <v>1</v>
      </c>
      <c r="Q1242" s="4" t="n">
        <v>1587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오송읍 공북리 184-1</t>
        </is>
      </c>
      <c r="B1243" s="3" t="inlineStr">
        <is>
          <t>농림지역</t>
        </is>
      </c>
      <c r="C1243" s="3" t="inlineStr">
        <is>
          <t>잡종지</t>
        </is>
      </c>
      <c r="D1243" s="3" t="inlineStr">
        <is>
          <t>잡종지</t>
        </is>
      </c>
      <c r="E1243" s="3" t="inlineStr">
        <is>
          <t>매매</t>
        </is>
      </c>
      <c r="F1243" s="4" t="n">
        <v>130000</v>
      </c>
      <c r="G1243" s="4" t="n">
        <v>2146</v>
      </c>
      <c r="H1243" s="4" t="n">
        <v>649</v>
      </c>
      <c r="I1243" s="5" t="n">
        <v>200.3</v>
      </c>
      <c r="J1243" s="5" t="n">
        <v>53.7</v>
      </c>
      <c r="K1243" s="3" t="inlineStr">
        <is>
          <t>오송역.산단인접 개발 활용도 좋은 잡종지 토지 매매.2차선 도로접</t>
        </is>
      </c>
      <c r="L1243" s="6">
        <f>HYPERLINK("https://fin.land.naver.com/articles/2650636899", "매물Link")</f>
        <v/>
      </c>
      <c r="M1243" s="6">
        <f>HYPERLINK("https://map.naver.com/p/search/오송읍 공북리 184-1", "지도Link")</f>
        <v/>
      </c>
      <c r="N1243" s="6">
        <f>HYPERLINK("http://www.eum.go.kr/web/ar/lu/luLandDet.jsp?pnu=4311325023101840001&amp;isNoScr=script&amp;mode=search", "토지이음")</f>
        <v/>
      </c>
      <c r="O1243" s="3" t="inlineStr">
        <is>
          <t>삼성사무소</t>
        </is>
      </c>
      <c r="P1243" s="4" t="n">
        <v>1</v>
      </c>
      <c r="Q1243" s="4" t="n">
        <v>746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오송읍 공북리 184-2</t>
        </is>
      </c>
      <c r="B1244" s="3" t="inlineStr">
        <is>
          <t>농림지역</t>
        </is>
      </c>
      <c r="C1244" s="3" t="inlineStr">
        <is>
          <t>잡종지</t>
        </is>
      </c>
      <c r="D1244" s="3" t="inlineStr">
        <is>
          <t>잡종지</t>
        </is>
      </c>
      <c r="E1244" s="3" t="inlineStr">
        <is>
          <t>매매</t>
        </is>
      </c>
      <c r="F1244" s="4" t="n">
        <v>130000</v>
      </c>
      <c r="G1244" s="4" t="n">
        <v>2146</v>
      </c>
      <c r="H1244" s="4" t="n">
        <v>649</v>
      </c>
      <c r="I1244" s="5" t="n">
        <v>200.3</v>
      </c>
      <c r="J1244" s="5" t="n">
        <v>53.7</v>
      </c>
      <c r="K1244" s="3" t="inlineStr">
        <is>
          <t>2차선 도로 접, 서울 세종간 고속도로 오송진입로 1.3km, 투자 적지</t>
        </is>
      </c>
      <c r="L1244" s="6">
        <f>HYPERLINK("https://fin.land.naver.com/articles/2646041698", "매물Link")</f>
        <v/>
      </c>
      <c r="M1244" s="6">
        <f>HYPERLINK("https://map.naver.com/p/search/오송읍 공북리 184-2", "지도Link")</f>
        <v/>
      </c>
      <c r="N1244" s="6">
        <f>HYPERLINK("http://www.eum.go.kr/web/ar/lu/luLandDet.jsp?pnu=4311325023101840002&amp;isNoScr=script&amp;mode=search", "토지이음")</f>
        <v/>
      </c>
      <c r="O1244" s="3" t="inlineStr">
        <is>
          <t>OK파라곤</t>
        </is>
      </c>
      <c r="P1244" s="4" t="n">
        <v>1</v>
      </c>
      <c r="Q1244" s="4" t="n">
        <v>1400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오송읍 공북리 308-1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전</t>
        </is>
      </c>
      <c r="E1245" s="3" t="inlineStr">
        <is>
          <t>매매</t>
        </is>
      </c>
      <c r="F1245" s="4" t="n">
        <v>10720</v>
      </c>
      <c r="G1245" s="4" t="n">
        <v>222</v>
      </c>
      <c r="H1245" s="4" t="n">
        <v>67</v>
      </c>
      <c r="I1245" s="5" t="n">
        <v>160</v>
      </c>
      <c r="J1245" s="5" t="n">
        <v>75.5</v>
      </c>
      <c r="K1245" s="3" t="inlineStr">
        <is>
          <t>공북리 계획관리토지 마을안쪽 국가도로연결됨 저렴소자본 매수가능</t>
        </is>
      </c>
      <c r="L1245" s="6">
        <f>HYPERLINK("https://fin.land.naver.com/articles/2647606151", "매물Link")</f>
        <v/>
      </c>
      <c r="M1245" s="6">
        <f>HYPERLINK("https://map.naver.com/p/search/오송읍 공북리 308-1", "지도Link")</f>
        <v/>
      </c>
      <c r="N1245" s="6">
        <f>HYPERLINK("http://www.eum.go.kr/web/ar/lu/luLandDet.jsp?pnu=4311325023103080001&amp;isNoScr=script&amp;mode=search", "토지이음")</f>
        <v/>
      </c>
      <c r="O1245" s="3" t="inlineStr">
        <is>
          <t>자이원</t>
        </is>
      </c>
      <c r="P1245" s="4" t="n">
        <v>1</v>
      </c>
      <c r="Q1245" s="4" t="n">
        <v>222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공북리 308-2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108600</v>
      </c>
      <c r="G1246" s="4" t="n">
        <v>2244</v>
      </c>
      <c r="H1246" s="4" t="n">
        <v>679</v>
      </c>
      <c r="I1246" s="5" t="n">
        <v>159.9</v>
      </c>
      <c r="J1246" s="5" t="n">
        <v>41.3</v>
      </c>
      <c r="K1246" s="3" t="inlineStr">
        <is>
          <t>공북리 계획관리 전 전체 또는 분할 매매 가능</t>
        </is>
      </c>
      <c r="L1246" s="6">
        <f>HYPERLINK("https://fin.land.naver.com/articles/2647606366", "매물Link")</f>
        <v/>
      </c>
      <c r="M1246" s="6">
        <f>HYPERLINK("https://map.naver.com/p/search/오송읍 공북리 308-2", "지도Link")</f>
        <v/>
      </c>
      <c r="N1246" s="6">
        <f>HYPERLINK("http://www.eum.go.kr/web/ar/lu/luLandDet.jsp?pnu=4311325023103080002&amp;isNoScr=script&amp;mode=search", "토지이음")</f>
        <v/>
      </c>
      <c r="O1246" s="3" t="inlineStr">
        <is>
          <t>자이원</t>
        </is>
      </c>
      <c r="P1246" s="4" t="n">
        <v>1</v>
      </c>
      <c r="Q1246" s="4" t="n">
        <v>2244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474</t>
        </is>
      </c>
      <c r="B1247" s="3" t="inlineStr">
        <is>
          <t>농림지역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70000</v>
      </c>
      <c r="G1247" s="4" t="n">
        <v>586</v>
      </c>
      <c r="H1247" s="4" t="n">
        <v>177</v>
      </c>
      <c r="I1247" s="5" t="n">
        <v>395.5</v>
      </c>
      <c r="J1247" s="5" t="n">
        <v>49.7</v>
      </c>
      <c r="K1247" s="3" t="inlineStr">
        <is>
          <t>두필지 매매 미래가치 보고 들어오는 공북리 핵심 토지</t>
        </is>
      </c>
      <c r="L1247" s="6">
        <f>HYPERLINK("https://fin.land.naver.com/articles/2646878581", "매물Link")</f>
        <v/>
      </c>
      <c r="M1247" s="6">
        <f>HYPERLINK("https://map.naver.com/p/search/오송읍 공북리 474", "지도Link")</f>
        <v/>
      </c>
      <c r="N1247" s="6">
        <f>HYPERLINK("http://www.eum.go.kr/web/ar/lu/luLandDet.jsp?pnu=4311325023104740000&amp;isNoScr=script&amp;mode=search", "토지이음")</f>
        <v/>
      </c>
      <c r="O1247" s="3" t="inlineStr">
        <is>
          <t>우영</t>
        </is>
      </c>
      <c r="P1247" s="4" t="n">
        <v>1</v>
      </c>
      <c r="Q1247" s="4" t="n">
        <v>293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공북리 568-28</t>
        </is>
      </c>
      <c r="B1248" s="3" t="inlineStr">
        <is>
          <t>계획관리지역</t>
        </is>
      </c>
      <c r="C1248" s="3" t="inlineStr">
        <is>
          <t>잡종지</t>
        </is>
      </c>
      <c r="D1248" s="3" t="inlineStr">
        <is>
          <t>대</t>
        </is>
      </c>
      <c r="E1248" s="3" t="inlineStr">
        <is>
          <t>매매</t>
        </is>
      </c>
      <c r="F1248" s="4" t="n">
        <v>220000</v>
      </c>
      <c r="G1248" s="4" t="n">
        <v>2707</v>
      </c>
      <c r="H1248" s="4" t="n">
        <v>819</v>
      </c>
      <c r="I1248" s="5" t="n">
        <v>268.6</v>
      </c>
      <c r="J1248" s="5" t="n">
        <v>72.2</v>
      </c>
      <c r="K1248" s="3" t="inlineStr">
        <is>
          <t>오송생명과학단지 바로옆,옥산IC인근,전체 계획관리지역,공장 창고 추천</t>
        </is>
      </c>
      <c r="L1248" s="6">
        <f>HYPERLINK("https://fin.land.naver.com/articles/2648182036", "매물Link")</f>
        <v/>
      </c>
      <c r="M1248" s="6">
        <f>HYPERLINK("https://map.naver.com/p/search/오송읍 공북리 568-28", "지도Link")</f>
        <v/>
      </c>
      <c r="N1248" s="6">
        <f>HYPERLINK("http://www.eum.go.kr/web/ar/lu/luLandDet.jsp?pnu=4311325023105680028&amp;isNoScr=script&amp;mode=search", "토지이음")</f>
        <v/>
      </c>
      <c r="O1248" s="3" t="inlineStr">
        <is>
          <t>(주)미르</t>
        </is>
      </c>
      <c r="P1248" s="4" t="n">
        <v>1</v>
      </c>
      <c r="Q1248" s="4" t="n">
        <v>79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공북리 568-30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220000</v>
      </c>
      <c r="G1249" s="4" t="n">
        <v>2707</v>
      </c>
      <c r="H1249" s="4" t="n">
        <v>819</v>
      </c>
      <c r="I1249" s="5" t="n">
        <v>268.6</v>
      </c>
      <c r="J1249" s="5" t="n">
        <v>72.2</v>
      </c>
      <c r="K1249" s="3" t="inlineStr">
        <is>
          <t>오송생명과학단지 , 오송 화장품산업단지 인근 공장 창고 추천</t>
        </is>
      </c>
      <c r="L1249" s="6">
        <f>HYPERLINK("https://fin.land.naver.com/articles/2646993084", "매물Link")</f>
        <v/>
      </c>
      <c r="M1249" s="6">
        <f>HYPERLINK("https://map.naver.com/p/search/오송읍 공북리 568-30", "지도Link")</f>
        <v/>
      </c>
      <c r="N1249" s="6">
        <f>HYPERLINK("http://www.eum.go.kr/web/ar/lu/luLandDet.jsp?pnu=4311325023105680030&amp;isNoScr=script&amp;mode=search", "토지이음")</f>
        <v/>
      </c>
      <c r="O1249" s="3" t="inlineStr">
        <is>
          <t>더원</t>
        </is>
      </c>
      <c r="P1249" s="4" t="n">
        <v>1</v>
      </c>
      <c r="Q1249" s="4" t="n">
        <v>144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오송읍 공북리 639-1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20600</v>
      </c>
      <c r="G1250" s="4" t="n">
        <v>975</v>
      </c>
      <c r="H1250" s="4" t="n">
        <v>295</v>
      </c>
      <c r="I1250" s="5" t="n">
        <v>69.8</v>
      </c>
      <c r="J1250" s="5" t="n">
        <v>21.6</v>
      </c>
      <c r="K1250" s="3" t="inlineStr">
        <is>
          <t>오송역 오송철도클러스터단지인근토지 수도 전기 화장실 컨테이너 설치</t>
        </is>
      </c>
      <c r="L1250" s="6">
        <f>HYPERLINK("https://fin.land.naver.com/articles/2648195920", "매물Link")</f>
        <v/>
      </c>
      <c r="M1250" s="6">
        <f>HYPERLINK("https://map.naver.com/p/search/오송읍 공북리 639-1", "지도Link")</f>
        <v/>
      </c>
      <c r="N1250" s="6">
        <f>HYPERLINK("http://www.eum.go.kr/web/ar/lu/luLandDet.jsp?pnu=4311325023106390001&amp;isNoScr=script&amp;mode=search", "토지이음")</f>
        <v/>
      </c>
      <c r="O1250" s="3" t="inlineStr">
        <is>
          <t>아임</t>
        </is>
      </c>
      <c r="P1250" s="4" t="n">
        <v>2</v>
      </c>
      <c r="Q1250" s="4" t="n">
        <v>975</v>
      </c>
      <c r="R1250" s="3" t="inlineStr">
        <is>
          <t>생산관리지역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산 52-7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190000</v>
      </c>
      <c r="G1251" s="4" t="n">
        <v>39425</v>
      </c>
      <c r="H1251" s="4" t="n">
        <v>11926</v>
      </c>
      <c r="I1251" s="5" t="n">
        <v>15.9</v>
      </c>
      <c r="J1251" s="5" t="n">
        <v>3.1</v>
      </c>
      <c r="K1251" s="3" t="inlineStr">
        <is>
          <t>카폐,전원주택 개발 가능여지 있음</t>
        </is>
      </c>
      <c r="L1251" s="6">
        <f>HYPERLINK("https://fin.land.naver.com/articles/2648226259", "매물Link")</f>
        <v/>
      </c>
      <c r="M1251" s="6">
        <f>HYPERLINK("https://map.naver.com/p/search/오송읍 공북리 산 52-7", "지도Link")</f>
        <v/>
      </c>
      <c r="N1251" s="6">
        <f>HYPERLINK("http://www.eum.go.kr/web/ar/lu/luLandDet.jsp?pnu=4311325023200520007&amp;isNoScr=script&amp;mode=search", "토지이음")</f>
        <v/>
      </c>
      <c r="O1251" s="3" t="inlineStr">
        <is>
          <t>조은</t>
        </is>
      </c>
      <c r="P1251" s="4" t="n">
        <v>1</v>
      </c>
      <c r="Q1251" s="4" t="n">
        <v>2791</v>
      </c>
      <c r="R1251" s="3" t="inlineStr">
        <is>
          <t>지정되지않음</t>
        </is>
      </c>
      <c r="S1251" s="3" t="inlineStr">
        <is>
          <t>조림</t>
        </is>
      </c>
      <c r="T1251" s="3" t="inlineStr">
        <is>
          <t>급경사</t>
        </is>
      </c>
      <c r="U1251" s="3" t="inlineStr">
        <is>
          <t>부정형</t>
        </is>
      </c>
      <c r="V1251" s="3" t="inlineStr">
        <is>
          <t>맹지</t>
        </is>
      </c>
    </row>
    <row r="1252">
      <c r="A1252" s="3" t="inlineStr">
        <is>
          <t>오송읍 궁평리 121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90000</v>
      </c>
      <c r="G1252" s="4" t="n">
        <v>2265</v>
      </c>
      <c r="H1252" s="4" t="n">
        <v>685</v>
      </c>
      <c r="I1252" s="5" t="n">
        <v>131.4</v>
      </c>
      <c r="J1252" s="5" t="n">
        <v>35.7</v>
      </c>
      <c r="K1252" s="3" t="inlineStr">
        <is>
          <t>1산단 남측 포장도로접한 하우스 농지</t>
        </is>
      </c>
      <c r="L1252" s="6">
        <f>HYPERLINK("https://fin.land.naver.com/articles/2649950672", "매물Link")</f>
        <v/>
      </c>
      <c r="M1252" s="6">
        <f>HYPERLINK("https://map.naver.com/p/search/오송읍 궁평리 121", "지도Link")</f>
        <v/>
      </c>
      <c r="N1252" s="6">
        <f>HYPERLINK("http://www.eum.go.kr/web/ar/lu/luLandDet.jsp?pnu=4311325027101210000&amp;isNoScr=script&amp;mode=search", "토지이음")</f>
        <v/>
      </c>
      <c r="O1252" s="3" t="inlineStr">
        <is>
          <t>오송k랜드</t>
        </is>
      </c>
      <c r="P1252" s="4" t="n">
        <v>1</v>
      </c>
      <c r="Q1252" s="4" t="n">
        <v>2265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궁평리 204-8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95000</v>
      </c>
      <c r="G1253" s="4" t="n">
        <v>2036</v>
      </c>
      <c r="H1253" s="4" t="n">
        <v>616</v>
      </c>
      <c r="I1253" s="5" t="n">
        <v>154.2</v>
      </c>
      <c r="J1253" s="5" t="n">
        <v>27.4</v>
      </c>
      <c r="K1253" s="3" t="inlineStr">
        <is>
          <t>오송읍 투자가치 높은 토지 매매</t>
        </is>
      </c>
      <c r="L1253" s="6">
        <f>HYPERLINK("https://fin.land.naver.com/articles/2647596088", "매물Link")</f>
        <v/>
      </c>
      <c r="M1253" s="6">
        <f>HYPERLINK("https://map.naver.com/p/search/오송읍 궁평리 204-8", "지도Link")</f>
        <v/>
      </c>
      <c r="N1253" s="6">
        <f>HYPERLINK("http://www.eum.go.kr/web/ar/lu/luLandDet.jsp?pnu=4311325027102040008&amp;isNoScr=script&amp;mode=search", "토지이음")</f>
        <v/>
      </c>
      <c r="O1253" s="3" t="inlineStr">
        <is>
          <t>대지</t>
        </is>
      </c>
      <c r="P1253" s="4" t="n">
        <v>1</v>
      </c>
      <c r="Q1253" s="4" t="n">
        <v>2036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궁평리 213-3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47500</v>
      </c>
      <c r="G1254" s="4" t="n">
        <v>2093</v>
      </c>
      <c r="H1254" s="4" t="n">
        <v>633</v>
      </c>
      <c r="I1254" s="5" t="n">
        <v>75</v>
      </c>
      <c r="J1254" s="5" t="n">
        <v>30</v>
      </c>
      <c r="K1254" s="3" t="inlineStr">
        <is>
          <t>nan</t>
        </is>
      </c>
      <c r="L1254" s="6">
        <f>HYPERLINK("https://fin.land.naver.com/articles/2650456829", "매물Link")</f>
        <v/>
      </c>
      <c r="M1254" s="6">
        <f>HYPERLINK("https://map.naver.com/p/search/오송읍 궁평리 213-3", "지도Link")</f>
        <v/>
      </c>
      <c r="N1254" s="6">
        <f>HYPERLINK("http://www.eum.go.kr/web/ar/lu/luLandDet.jsp?pnu=4311325027102130003&amp;isNoScr=script&amp;mode=search", "토지이음")</f>
        <v/>
      </c>
      <c r="O1254" s="3" t="inlineStr">
        <is>
          <t>OK파라곤</t>
        </is>
      </c>
      <c r="P1254" s="4" t="n">
        <v>1</v>
      </c>
      <c r="Q1254" s="4" t="n">
        <v>2093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궁평리 216-6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90700</v>
      </c>
      <c r="G1255" s="4" t="n">
        <v>3740</v>
      </c>
      <c r="H1255" s="4" t="n">
        <v>1131</v>
      </c>
      <c r="I1255" s="5" t="n">
        <v>80.2</v>
      </c>
      <c r="J1255" s="5" t="n">
        <v>27</v>
      </c>
      <c r="K1255" s="3" t="inlineStr">
        <is>
          <t>궁평리 청주오스코 인근</t>
        </is>
      </c>
      <c r="L1255" s="6">
        <f>HYPERLINK("https://fin.land.naver.com/articles/2647428893", "매물Link")</f>
        <v/>
      </c>
      <c r="M1255" s="6">
        <f>HYPERLINK("https://map.naver.com/p/search/오송읍 궁평리 216-6", "지도Link")</f>
        <v/>
      </c>
      <c r="N1255" s="6">
        <f>HYPERLINK("http://www.eum.go.kr/web/ar/lu/luLandDet.jsp?pnu=4311325027102160006&amp;isNoScr=script&amp;mode=search", "토지이음")</f>
        <v/>
      </c>
      <c r="O1255" s="3" t="inlineStr">
        <is>
          <t>수풀림</t>
        </is>
      </c>
      <c r="P1255" s="4" t="n">
        <v>2</v>
      </c>
      <c r="Q1255" s="4" t="n">
        <v>3743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세로한면(불)</t>
        </is>
      </c>
    </row>
    <row r="1256">
      <c r="A1256" s="3" t="inlineStr">
        <is>
          <t>오송읍 궁평리 217-1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53500</v>
      </c>
      <c r="G1256" s="4" t="n">
        <v>2356</v>
      </c>
      <c r="H1256" s="4" t="n">
        <v>713</v>
      </c>
      <c r="I1256" s="5" t="n">
        <v>75</v>
      </c>
      <c r="J1256" s="5" t="n">
        <v>27</v>
      </c>
      <c r="K1256" s="3" t="inlineStr">
        <is>
          <t>오스코 인근, 영농에 종사하면서 지가 상승 기대되는 농지 투자</t>
        </is>
      </c>
      <c r="L1256" s="6">
        <f>HYPERLINK("https://fin.land.naver.com/articles/2648152740", "매물Link")</f>
        <v/>
      </c>
      <c r="M1256" s="6">
        <f>HYPERLINK("https://map.naver.com/p/search/오송읍 궁평리 217-1", "지도Link")</f>
        <v/>
      </c>
      <c r="N1256" s="6">
        <f>HYPERLINK("http://www.eum.go.kr/web/ar/lu/luLandDet.jsp?pnu=4311325027102170001&amp;isNoScr=script&amp;mode=search", "토지이음")</f>
        <v/>
      </c>
      <c r="O1256" s="3" t="inlineStr">
        <is>
          <t>제이</t>
        </is>
      </c>
      <c r="P1256" s="4" t="n">
        <v>1</v>
      </c>
      <c r="Q1256" s="4" t="n">
        <v>2356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궁평리 234-6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3003</v>
      </c>
      <c r="H1257" s="4" t="n">
        <v>908</v>
      </c>
      <c r="I1257" s="5" t="n">
        <v>149.8</v>
      </c>
      <c r="J1257" s="5" t="n">
        <v>37.1</v>
      </c>
      <c r="K1257" s="3" t="inlineStr">
        <is>
          <t>매물특징</t>
        </is>
      </c>
      <c r="L1257" s="6">
        <f>HYPERLINK("https://fin.land.naver.com/articles/2648780208", "매물Link")</f>
        <v/>
      </c>
      <c r="M1257" s="6">
        <f>HYPERLINK("https://map.naver.com/p/search/오송읍 궁평리 234-6", "지도Link")</f>
        <v/>
      </c>
      <c r="N1257" s="6">
        <f>HYPERLINK("http://www.eum.go.kr/web/ar/lu/luLandDet.jsp?pnu=4311325027102340006&amp;isNoScr=script&amp;mode=search",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3003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궁평리 252-9</t>
        </is>
      </c>
      <c r="B1258" s="3" t="inlineStr">
        <is>
          <t>농림지역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160000</v>
      </c>
      <c r="G1258" s="4" t="n">
        <v>2951</v>
      </c>
      <c r="H1258" s="4" t="n">
        <v>893</v>
      </c>
      <c r="I1258" s="5" t="n">
        <v>179.2</v>
      </c>
      <c r="J1258" s="5" t="n">
        <v>63</v>
      </c>
      <c r="K1258" s="3" t="inlineStr">
        <is>
          <t>오송 2역세권 ,환지 예정지</t>
        </is>
      </c>
      <c r="L1258" s="6">
        <f>HYPERLINK("https://fin.land.naver.com/articles/2646725924", "매물Link")</f>
        <v/>
      </c>
      <c r="M1258" s="6">
        <f>HYPERLINK("https://map.naver.com/p/search/오송읍 궁평리 252-9", "지도Link")</f>
        <v/>
      </c>
      <c r="N1258" s="6">
        <f>HYPERLINK("http://www.eum.go.kr/web/ar/lu/luLandDet.jsp?pnu=4311325027102520009&amp;isNoScr=script&amp;mode=search",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1874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중로한면</t>
        </is>
      </c>
    </row>
    <row r="1259">
      <c r="A1259" s="3" t="inlineStr">
        <is>
          <t>오송읍 궁평리 259-14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1144</v>
      </c>
      <c r="H1259" s="4" t="n">
        <v>346</v>
      </c>
      <c r="I1259" s="5" t="n">
        <v>231.2</v>
      </c>
      <c r="J1259" s="5" t="n">
        <v>93.90000000000001</v>
      </c>
      <c r="K1259" s="3" t="inlineStr">
        <is>
          <t>오송역 및 오스코 600m, 6차선 지하차도 예정지에 인접한 계획관리토지</t>
        </is>
      </c>
      <c r="L1259" s="6">
        <f>HYPERLINK("https://fin.land.naver.com/articles/2648087819", "매물Link")</f>
        <v/>
      </c>
      <c r="M1259" s="6">
        <f>HYPERLINK("https://map.naver.com/p/search/오송읍 궁평리 259-14", "지도Link")</f>
        <v/>
      </c>
      <c r="N1259" s="6">
        <f>HYPERLINK("http://www.eum.go.kr/web/ar/lu/luLandDet.jsp?pnu=4311325027102590014&amp;isNoScr=script&amp;mode=search",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1144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오송읍 궁평리 259-14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80000</v>
      </c>
      <c r="G1260" s="4" t="n">
        <v>1144</v>
      </c>
      <c r="H1260" s="4" t="n">
        <v>346</v>
      </c>
      <c r="I1260" s="5" t="n">
        <v>231.2</v>
      </c>
      <c r="J1260" s="5" t="n">
        <v>93.90000000000001</v>
      </c>
      <c r="K1260" s="3" t="inlineStr">
        <is>
          <t>오송역 및 오스코 600m, 6차선 지하차도 예정지에 인접한 계획관리토지</t>
        </is>
      </c>
      <c r="L1260" s="6">
        <f>HYPERLINK("https://fin.land.naver.com/articles/2648088525", "매물Link")</f>
        <v/>
      </c>
      <c r="M1260" s="6">
        <f>HYPERLINK("https://map.naver.com/p/search/오송읍 궁평리 259-14", "지도Link")</f>
        <v/>
      </c>
      <c r="N1260" s="6">
        <f>HYPERLINK("http://www.eum.go.kr/web/ar/lu/luLandDet.jsp?pnu=4311325027102590014&amp;isNoScr=script&amp;mode=search",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1144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272-3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80000</v>
      </c>
      <c r="G1261" s="4" t="n">
        <v>573</v>
      </c>
      <c r="H1261" s="4" t="n">
        <v>173</v>
      </c>
      <c r="I1261" s="5" t="n">
        <v>462.4</v>
      </c>
      <c r="J1261" s="5" t="n">
        <v>161.2</v>
      </c>
      <c r="K1261" s="3" t="inlineStr">
        <is>
          <t>173땅 오송역세권 미래투자가치우수한 토지</t>
        </is>
      </c>
      <c r="L1261" s="6">
        <f>HYPERLINK("https://fin.land.naver.com/articles/2648360295", "매물Link")</f>
        <v/>
      </c>
      <c r="M1261" s="6">
        <f>HYPERLINK("https://map.naver.com/p/search/오송읍 궁평리 272-3", "지도Link")</f>
        <v/>
      </c>
      <c r="N1261" s="6">
        <f>HYPERLINK("http://www.eum.go.kr/web/ar/lu/luLandDet.jsp?pnu=4311325027102720003&amp;isNoScr=script&amp;mode=search", "토지이음")</f>
        <v/>
      </c>
      <c r="O1261" s="3" t="inlineStr">
        <is>
          <t>하림</t>
        </is>
      </c>
      <c r="P1261" s="4" t="n">
        <v>1</v>
      </c>
      <c r="Q1261" s="4" t="n">
        <v>573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오송읍 궁평리 278-1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227000</v>
      </c>
      <c r="G1262" s="4" t="n">
        <v>4076</v>
      </c>
      <c r="H1262" s="4" t="n">
        <v>1233</v>
      </c>
      <c r="I1262" s="5" t="n">
        <v>184.1</v>
      </c>
      <c r="J1262" s="5" t="n">
        <v>46.8</v>
      </c>
      <c r="K1262" s="3" t="inlineStr">
        <is>
          <t>매물특징</t>
        </is>
      </c>
      <c r="L1262" s="6">
        <f>HYPERLINK("https://fin.land.naver.com/articles/2648556391", "매물Link")</f>
        <v/>
      </c>
      <c r="M1262" s="6">
        <f>HYPERLINK("https://map.naver.com/p/search/오송읍 궁평리 278-1", "지도Link")</f>
        <v/>
      </c>
      <c r="N1262" s="6">
        <f>HYPERLINK("http://www.eum.go.kr/web/ar/lu/luLandDet.jsp?pnu=4311325027102780001&amp;isNoScr=script&amp;mode=search", "토지이음")</f>
        <v/>
      </c>
      <c r="O1262" s="3" t="inlineStr">
        <is>
          <t>오송궁평마을</t>
        </is>
      </c>
      <c r="P1262" s="4" t="n">
        <v>1</v>
      </c>
      <c r="Q1262" s="4" t="n">
        <v>4076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296-3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150000</v>
      </c>
      <c r="G1263" s="4" t="n">
        <v>3967</v>
      </c>
      <c r="H1263" s="4" t="n">
        <v>1200</v>
      </c>
      <c r="I1263" s="5" t="n">
        <v>125</v>
      </c>
      <c r="J1263" s="5" t="n">
        <v>53.7</v>
      </c>
      <c r="K1263" s="3" t="inlineStr">
        <is>
          <t>오송역 인근 장래개발 호재지역 투자용 대토용 조경업 농림관련산업</t>
        </is>
      </c>
      <c r="L1263" s="6">
        <f>HYPERLINK("https://fin.land.naver.com/articles/2646263708", "매물Link")</f>
        <v/>
      </c>
      <c r="M1263" s="6">
        <f>HYPERLINK("https://map.naver.com/p/search/오송읍 궁평리 296-3", "지도Link")</f>
        <v/>
      </c>
      <c r="N1263" s="6">
        <f>HYPERLINK("http://www.eum.go.kr/web/ar/lu/luLandDet.jsp?pnu=4311325027102960003&amp;isNoScr=script&amp;mode=search", "토지이음")</f>
        <v/>
      </c>
      <c r="O1263" s="3" t="inlineStr">
        <is>
          <t>재일합동사무소</t>
        </is>
      </c>
      <c r="P1263" s="4" t="n">
        <v>1</v>
      </c>
      <c r="Q1263" s="4" t="n">
        <v>3967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오송읍 궁평리 303-1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105000</v>
      </c>
      <c r="G1264" s="4" t="n">
        <v>1523</v>
      </c>
      <c r="H1264" s="4" t="n">
        <v>461</v>
      </c>
      <c r="I1264" s="5" t="n">
        <v>227.8</v>
      </c>
      <c r="J1264" s="5" t="n">
        <v>63</v>
      </c>
      <c r="K1264" s="3" t="inlineStr">
        <is>
          <t>도로 접한 과수원 부지 매도 오송역 인근 장래 개발 호재 지역</t>
        </is>
      </c>
      <c r="L1264" s="6">
        <f>HYPERLINK("https://fin.land.naver.com/articles/2649497254", "매물Link")</f>
        <v/>
      </c>
      <c r="M1264" s="6">
        <f>HYPERLINK("https://map.naver.com/p/search/오송읍 궁평리 303-1", "지도Link")</f>
        <v/>
      </c>
      <c r="N1264" s="6">
        <f>HYPERLINK("http://www.eum.go.kr/web/ar/lu/luLandDet.jsp?pnu=4311325027103030001&amp;isNoScr=script&amp;mode=search", "토지이음")</f>
        <v/>
      </c>
      <c r="O1264" s="3" t="inlineStr">
        <is>
          <t>오송퍼스트영웅</t>
        </is>
      </c>
      <c r="P1264" s="4" t="n">
        <v>1</v>
      </c>
      <c r="Q1264" s="4" t="n">
        <v>1523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중로한면</t>
        </is>
      </c>
    </row>
    <row r="1265">
      <c r="A1265" s="3" t="inlineStr">
        <is>
          <t>오송읍 궁평리 61-6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</v>
      </c>
      <c r="G1265" s="4" t="n">
        <v>347</v>
      </c>
      <c r="H1265" s="4" t="n">
        <v>105</v>
      </c>
      <c r="I1265" s="5" t="n">
        <v>381</v>
      </c>
      <c r="J1265" s="5" t="n">
        <v>103.6</v>
      </c>
      <c r="K1265" s="3" t="inlineStr">
        <is>
          <t>궁평리 전원주택 지을 토지 매매.</t>
        </is>
      </c>
      <c r="L1265" s="6">
        <f>HYPERLINK("https://fin.land.naver.com/articles/2646658318", "매물Link")</f>
        <v/>
      </c>
      <c r="M1265" s="6">
        <f>HYPERLINK("https://map.naver.com/p/search/오송읍 궁평리 61-6", "지도Link")</f>
        <v/>
      </c>
      <c r="N1265" s="6">
        <f>HYPERLINK("http://www.eum.go.kr/web/ar/lu/luLandDet.jsp?pnu=4311325027100610006&amp;isNoScr=script&amp;mode=search", "토지이음")</f>
        <v/>
      </c>
      <c r="O1265" s="3" t="inlineStr">
        <is>
          <t>대한민국</t>
        </is>
      </c>
      <c r="P1265" s="4" t="n">
        <v>1</v>
      </c>
      <c r="Q1265" s="4" t="n">
        <v>347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궁평리 75-1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답</t>
        </is>
      </c>
      <c r="E1266" s="3" t="inlineStr">
        <is>
          <t>매매</t>
        </is>
      </c>
      <c r="F1266" s="4" t="n">
        <v>31700</v>
      </c>
      <c r="G1266" s="4" t="n">
        <v>614</v>
      </c>
      <c r="H1266" s="4" t="n">
        <v>186</v>
      </c>
      <c r="I1266" s="5" t="n">
        <v>170.4</v>
      </c>
      <c r="J1266" s="5" t="n">
        <v>37.1</v>
      </c>
      <c r="K1266" s="3" t="inlineStr">
        <is>
          <t>투자가치로 적극 추천하는 궁평리 중심 토지</t>
        </is>
      </c>
      <c r="L1266" s="6">
        <f>HYPERLINK("https://fin.land.naver.com/articles/2650824873", "매물Link")</f>
        <v/>
      </c>
      <c r="M1266" s="6">
        <f>HYPERLINK("https://map.naver.com/p/search/오송읍 궁평리 75-1", "지도Link")</f>
        <v/>
      </c>
      <c r="N1266" s="6">
        <f>HYPERLINK("http://www.eum.go.kr/web/ar/lu/luLandDet.jsp?pnu=4311325027100750001&amp;isNoScr=script&amp;mode=search", "토지이음")</f>
        <v/>
      </c>
      <c r="O1266" s="3" t="inlineStr">
        <is>
          <t>국제</t>
        </is>
      </c>
      <c r="P1266" s="4" t="n">
        <v>1</v>
      </c>
      <c r="Q1266" s="4" t="n">
        <v>3078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세로각지(가)</t>
        </is>
      </c>
    </row>
    <row r="1267">
      <c r="A1267" s="3" t="inlineStr">
        <is>
          <t>오송읍 동평리 151-5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23000</v>
      </c>
      <c r="G1267" s="4" t="n">
        <v>271</v>
      </c>
      <c r="H1267" s="4" t="n">
        <v>82</v>
      </c>
      <c r="I1267" s="5" t="n">
        <v>280.5</v>
      </c>
      <c r="J1267" s="5" t="n">
        <v>104.2</v>
      </c>
      <c r="K1267" s="3" t="inlineStr">
        <is>
          <t>국가산단 수용지에 연접한 계획관리 대지, 착한가격의 투자매물</t>
        </is>
      </c>
      <c r="L1267" s="6">
        <f>HYPERLINK("https://fin.land.naver.com/articles/2648088196", "매물Link")</f>
        <v/>
      </c>
      <c r="M1267" s="6">
        <f>HYPERLINK("https://map.naver.com/p/search/오송읍 동평리 151-5", "지도Link")</f>
        <v/>
      </c>
      <c r="N1267" s="6">
        <f>HYPERLINK("http://www.eum.go.kr/web/ar/lu/luLandDet.jsp?pnu=4311325029101510005&amp;isNoScr=script&amp;mode=search",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271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동평리 381-13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36000</v>
      </c>
      <c r="G1268" s="4" t="n">
        <v>2070</v>
      </c>
      <c r="H1268" s="4" t="n">
        <v>626</v>
      </c>
      <c r="I1268" s="5" t="n">
        <v>57.5</v>
      </c>
      <c r="J1268" s="5" t="n">
        <v>26.6</v>
      </c>
      <c r="K1268" s="3" t="inlineStr">
        <is>
          <t>오송3산단 수용지에 인접한 추가수용 유력토지, 착한가격의 투자용 매물</t>
        </is>
      </c>
      <c r="L1268" s="6">
        <f>HYPERLINK("https://fin.land.naver.com/articles/2648084687", "매물Link")</f>
        <v/>
      </c>
      <c r="M1268" s="6">
        <f>HYPERLINK("https://map.naver.com/p/search/오송읍 동평리 381-13", "지도Link")</f>
        <v/>
      </c>
      <c r="N1268" s="6">
        <f>HYPERLINK("http://www.eum.go.kr/web/ar/lu/luLandDet.jsp?pnu=4311325029103810013&amp;isNoScr=script&amp;mode=search", "토지이음")</f>
        <v/>
      </c>
      <c r="O1268" s="3" t="inlineStr">
        <is>
          <t>오송3산단  사무소</t>
        </is>
      </c>
      <c r="P1268" s="4" t="n">
        <v>1</v>
      </c>
      <c r="Q1268" s="4" t="n">
        <v>1769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오송읍 만수리 272-3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36000</v>
      </c>
      <c r="G1269" s="4" t="n">
        <v>1183</v>
      </c>
      <c r="H1269" s="4" t="n">
        <v>358</v>
      </c>
      <c r="I1269" s="5" t="n">
        <v>100.6</v>
      </c>
      <c r="J1269" s="5" t="n">
        <v>35.7</v>
      </c>
      <c r="K1269" s="3" t="inlineStr">
        <is>
          <t>농림지역 답 매도 오송 역세권 ktx  근접  투자 가치 뿜뿜</t>
        </is>
      </c>
      <c r="L1269" s="6">
        <f>HYPERLINK("https://fin.land.naver.com/articles/2648939038", "매물Link")</f>
        <v/>
      </c>
      <c r="M1269" s="6">
        <f>HYPERLINK("https://map.naver.com/p/search/오송읍 만수리 272-3", "지도Link")</f>
        <v/>
      </c>
      <c r="N1269" s="6">
        <f>HYPERLINK("http://www.eum.go.kr/web/ar/lu/luLandDet.jsp?pnu=4311325025102720003&amp;isNoScr=script&amp;mode=search",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1183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만수리 523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240000</v>
      </c>
      <c r="G1270" s="4" t="n">
        <v>590</v>
      </c>
      <c r="H1270" s="4" t="n">
        <v>178</v>
      </c>
      <c r="I1270" s="5" t="n">
        <v>1348.3</v>
      </c>
      <c r="J1270" s="5" t="n">
        <v>728.3</v>
      </c>
      <c r="K1270" s="3" t="inlineStr">
        <is>
          <t>nan</t>
        </is>
      </c>
      <c r="L1270" s="6">
        <f>HYPERLINK("https://fin.land.naver.com/articles/2646728610", "매물Link")</f>
        <v/>
      </c>
      <c r="M1270" s="6">
        <f>HYPERLINK("https://map.naver.com/p/search/오송읍 만수리 523", "지도Link")</f>
        <v/>
      </c>
      <c r="N1270" s="6">
        <f>HYPERLINK("http://www.eum.go.kr/web/ar/lu/luLandDet.jsp?pnu=4311325025105230000&amp;isNoScr=script&amp;mode=search", "토지이음")</f>
        <v/>
      </c>
      <c r="O1270" s="3" t="inlineStr">
        <is>
          <t>오송타운</t>
        </is>
      </c>
      <c r="P1270" s="4" t="n">
        <v>1</v>
      </c>
      <c r="Q1270" s="4" t="n">
        <v>590.2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광대소각</t>
        </is>
      </c>
    </row>
    <row r="1271">
      <c r="A1271" s="3" t="inlineStr">
        <is>
          <t>오송읍 만수리 704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70000</v>
      </c>
      <c r="G1271" s="4" t="n">
        <v>263</v>
      </c>
      <c r="H1271" s="4" t="n">
        <v>80</v>
      </c>
      <c r="I1271" s="5" t="n">
        <v>875</v>
      </c>
      <c r="J1271" s="5" t="n">
        <v>229.4</v>
      </c>
      <c r="K1271" s="3" t="inlineStr">
        <is>
          <t>오송역300m역세권   최적의단독주택용지   오송생명과학단지인근</t>
        </is>
      </c>
      <c r="L1271" s="6">
        <f>HYPERLINK("https://fin.land.naver.com/articles/2648270874", "매물Link")</f>
        <v/>
      </c>
      <c r="M1271" s="6">
        <f>HYPERLINK("https://map.naver.com/p/search/오송읍 만수리 704", "지도Link")</f>
        <v/>
      </c>
      <c r="N1271" s="6">
        <f>HYPERLINK("http://www.eum.go.kr/web/ar/lu/luLandDet.jsp?pnu=4311325025107040000&amp;isNoScr=script&amp;mode=search", "토지이음")</f>
        <v/>
      </c>
      <c r="O1271" s="3" t="inlineStr">
        <is>
          <t>연세</t>
        </is>
      </c>
      <c r="P1271" s="4" t="n">
        <v>1</v>
      </c>
      <c r="Q1271" s="4" t="n">
        <v>263.6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오송읍 만수리 794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66000</v>
      </c>
      <c r="G1272" s="4" t="n">
        <v>352</v>
      </c>
      <c r="H1272" s="4" t="n">
        <v>106</v>
      </c>
      <c r="I1272" s="5" t="n">
        <v>622.6</v>
      </c>
      <c r="J1272" s="5" t="n">
        <v>241.8</v>
      </c>
      <c r="K1272" s="3" t="inlineStr">
        <is>
          <t>오송역근접300m거리, 완성된 계획도시에 하나 남은 코너 건부지</t>
        </is>
      </c>
      <c r="L1272" s="6">
        <f>HYPERLINK("https://fin.land.naver.com/articles/2647846334", "매물Link")</f>
        <v/>
      </c>
      <c r="M1272" s="6">
        <f>HYPERLINK("https://map.naver.com/p/search/오송읍 만수리 794", "지도Link")</f>
        <v/>
      </c>
      <c r="N1272" s="6">
        <f>HYPERLINK("http://www.eum.go.kr/web/ar/lu/luLandDet.jsp?pnu=4311325025107940000&amp;isNoScr=script&amp;mode=search", "토지이음")</f>
        <v/>
      </c>
      <c r="O1272" s="3" t="inlineStr">
        <is>
          <t>청주더존</t>
        </is>
      </c>
      <c r="P1272" s="4" t="n">
        <v>1</v>
      </c>
      <c r="Q1272" s="4" t="n">
        <v>352.6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소로각지</t>
        </is>
      </c>
    </row>
    <row r="1273">
      <c r="A1273" s="3" t="inlineStr">
        <is>
          <t>오송읍 만수리 939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269</v>
      </c>
      <c r="H1273" s="4" t="n">
        <v>81</v>
      </c>
      <c r="I1273" s="5" t="n">
        <v>555.6</v>
      </c>
      <c r="J1273" s="5" t="n">
        <v>209.3</v>
      </c>
      <c r="K1273" s="3" t="inlineStr">
        <is>
          <t>대도로변 이면도로 위치 좋은 토지입니다</t>
        </is>
      </c>
      <c r="L1273" s="6">
        <f>HYPERLINK("https://fin.land.naver.com/articles/2650305364", "매물Link")</f>
        <v/>
      </c>
      <c r="M1273" s="6">
        <f>HYPERLINK("https://map.naver.com/p/search/오송읍 만수리 939", "지도Link")</f>
        <v/>
      </c>
      <c r="N1273" s="6">
        <f>HYPERLINK("http://www.eum.go.kr/web/ar/lu/luLandDet.jsp?pnu=4311325025109390000&amp;isNoScr=script&amp;mode=search", "토지이음")</f>
        <v/>
      </c>
      <c r="O1273" s="3" t="inlineStr">
        <is>
          <t>스케치</t>
        </is>
      </c>
      <c r="P1273" s="4" t="n">
        <v>1</v>
      </c>
      <c r="Q1273" s="4" t="n">
        <v>268.2</v>
      </c>
      <c r="R1273" s="3" t="inlineStr">
        <is>
          <t>자연녹지지역</t>
        </is>
      </c>
      <c r="S1273" s="3" t="inlineStr">
        <is>
          <t>주상나지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1124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45000</v>
      </c>
      <c r="G1274" s="4" t="n">
        <v>240</v>
      </c>
      <c r="H1274" s="4" t="n">
        <v>73</v>
      </c>
      <c r="I1274" s="5" t="n">
        <v>616.4</v>
      </c>
      <c r="J1274" s="5" t="n">
        <v>208.1</v>
      </c>
      <c r="K1274" s="3" t="inlineStr">
        <is>
          <t>가격조율 최대한 해볼게요 위치좋은 먹자골목 상권 토지</t>
        </is>
      </c>
      <c r="L1274" s="6">
        <f>HYPERLINK("https://fin.land.naver.com/articles/2646394067", "매물Link")</f>
        <v/>
      </c>
      <c r="M1274" s="6">
        <f>HYPERLINK("https://map.naver.com/p/search/오송읍 봉산리 1124", "지도Link")</f>
        <v/>
      </c>
      <c r="N1274" s="6">
        <f>HYPERLINK("http://www.eum.go.kr/web/ar/lu/luLandDet.jsp?pnu=4311325031111240000&amp;isNoScr=script&amp;mode=search", "토지이음")</f>
        <v/>
      </c>
      <c r="O1274" s="3" t="inlineStr">
        <is>
          <t>복덩이</t>
        </is>
      </c>
      <c r="P1274" s="4" t="n">
        <v>1</v>
      </c>
      <c r="Q1274" s="4" t="n">
        <v>240.6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1179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58000</v>
      </c>
      <c r="G1275" s="4" t="n">
        <v>270</v>
      </c>
      <c r="H1275" s="4" t="n">
        <v>82</v>
      </c>
      <c r="I1275" s="5" t="n">
        <v>707.3</v>
      </c>
      <c r="J1275" s="5" t="n">
        <v>206.3</v>
      </c>
      <c r="K1275" s="3" t="inlineStr">
        <is>
          <t>오송2단지 허가득 남향 상가건물 지을 수 있는 토지</t>
        </is>
      </c>
      <c r="L1275" s="6">
        <f>HYPERLINK("https://fin.land.naver.com/articles/2650461950", "매물Link")</f>
        <v/>
      </c>
      <c r="M1275" s="6">
        <f>HYPERLINK("https://map.naver.com/p/search/오송읍 봉산리 1179", "지도Link")</f>
        <v/>
      </c>
      <c r="N1275" s="6">
        <f>HYPERLINK("http://www.eum.go.kr/web/ar/lu/luLandDet.jsp?pnu=4311325031111790000&amp;isNoScr=script&amp;mode=search", "토지이음")</f>
        <v/>
      </c>
      <c r="O1275" s="3" t="inlineStr">
        <is>
          <t>세종오송</t>
        </is>
      </c>
      <c r="P1275" s="4" t="n">
        <v>1</v>
      </c>
      <c r="Q1275" s="4" t="n">
        <v>269.9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1208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</v>
      </c>
      <c r="G1276" s="4" t="n">
        <v>264</v>
      </c>
      <c r="H1276" s="4" t="n">
        <v>80</v>
      </c>
      <c r="I1276" s="5" t="n">
        <v>625</v>
      </c>
      <c r="J1276" s="5" t="n">
        <v>206.3</v>
      </c>
      <c r="K1276" s="3" t="inlineStr">
        <is>
          <t>nan</t>
        </is>
      </c>
      <c r="L1276" s="6">
        <f>HYPERLINK("https://fin.land.naver.com/articles/2650507610", "매물Link")</f>
        <v/>
      </c>
      <c r="M1276" s="6">
        <f>HYPERLINK("https://map.naver.com/p/search/오송읍 봉산리 1208", "지도Link")</f>
        <v/>
      </c>
      <c r="N1276" s="6">
        <f>HYPERLINK("http://www.eum.go.kr/web/ar/lu/luLandDet.jsp?pnu=4311325031112080000&amp;isNoScr=script&amp;mode=search", "토지이음")</f>
        <v/>
      </c>
      <c r="O1276" s="3" t="inlineStr">
        <is>
          <t>아임</t>
        </is>
      </c>
      <c r="P1276" s="4" t="n">
        <v>1</v>
      </c>
      <c r="Q1276" s="4" t="n">
        <v>264.6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1209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60000</v>
      </c>
      <c r="G1277" s="4" t="n">
        <v>264</v>
      </c>
      <c r="H1277" s="4" t="n">
        <v>80</v>
      </c>
      <c r="I1277" s="5" t="n">
        <v>750</v>
      </c>
      <c r="J1277" s="5" t="n">
        <v>206.3</v>
      </c>
      <c r="K1277" s="3" t="inlineStr">
        <is>
          <t>오송 2산업단지 준주거지역과 접해있고 상업지역과도 50m정도 떨어져 있음</t>
        </is>
      </c>
      <c r="L1277" s="6">
        <f>HYPERLINK("https://fin.land.naver.com/articles/2650022122", "매물Link")</f>
        <v/>
      </c>
      <c r="M1277" s="6">
        <f>HYPERLINK("https://map.naver.com/p/search/오송읍 봉산리 1209", "지도Link")</f>
        <v/>
      </c>
      <c r="N1277" s="6">
        <f>HYPERLINK("http://www.eum.go.kr/web/ar/lu/luLandDet.jsp?pnu=4311325031112090000&amp;isNoScr=script&amp;mode=search",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264.8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1221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124630</v>
      </c>
      <c r="G1278" s="4" t="n">
        <v>412</v>
      </c>
      <c r="H1278" s="4" t="n">
        <v>125</v>
      </c>
      <c r="I1278" s="5" t="n">
        <v>997</v>
      </c>
      <c r="J1278" s="5" t="n">
        <v>624.1</v>
      </c>
      <c r="K1278" s="3" t="inlineStr">
        <is>
          <t>오송2산단 준주거지역</t>
        </is>
      </c>
      <c r="L1278" s="6">
        <f>HYPERLINK("https://fin.land.naver.com/articles/2645321108", "매물Link")</f>
        <v/>
      </c>
      <c r="M1278" s="6">
        <f>HYPERLINK("https://map.naver.com/p/search/오송읍 봉산리 1221", "지도Link")</f>
        <v/>
      </c>
      <c r="N1278" s="6">
        <f>HYPERLINK("http://www.eum.go.kr/web/ar/lu/luLandDet.jsp?pnu=4311325031112210000&amp;isNoScr=script&amp;mode=search",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412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1276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165000</v>
      </c>
      <c r="G1279" s="4" t="n">
        <v>1091</v>
      </c>
      <c r="H1279" s="4" t="n">
        <v>330</v>
      </c>
      <c r="I1279" s="5" t="n">
        <v>500</v>
      </c>
      <c r="J1279" s="5" t="n">
        <v>220.4</v>
      </c>
      <c r="K1279" s="3" t="inlineStr">
        <is>
          <t>주차타워와 1층 근생상가 가능한 매력적인 주차장용지</t>
        </is>
      </c>
      <c r="L1279" s="6">
        <f>HYPERLINK("https://fin.land.naver.com/articles/2650859464", "매물Link")</f>
        <v/>
      </c>
      <c r="M1279" s="6">
        <f>HYPERLINK("https://map.naver.com/p/search/오송읍 봉산리 1276", "지도Link")</f>
        <v/>
      </c>
      <c r="N1279" s="6">
        <f>HYPERLINK("http://www.eum.go.kr/web/ar/lu/luLandDet.jsp?pnu=4311325031112760000&amp;isNoScr=script&amp;mode=search", "토지이음")</f>
        <v/>
      </c>
      <c r="O1279" s="3" t="inlineStr">
        <is>
          <t>프로</t>
        </is>
      </c>
      <c r="P1279" s="4" t="n">
        <v>2</v>
      </c>
      <c r="Q1279" s="4" t="n">
        <v>1091.4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중로각지</t>
        </is>
      </c>
    </row>
    <row r="1280">
      <c r="A1280" s="3" t="inlineStr">
        <is>
          <t>오송읍 봉산리 1283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62700</v>
      </c>
      <c r="G1280" s="4" t="n">
        <v>276</v>
      </c>
      <c r="H1280" s="4" t="n">
        <v>83</v>
      </c>
      <c r="I1280" s="5" t="n">
        <v>755.4</v>
      </c>
      <c r="J1280" s="5" t="n">
        <v>206.3</v>
      </c>
      <c r="K1280" s="3" t="inlineStr">
        <is>
          <t>오송2산업단지 준주거용지와 접한 상가주택지</t>
        </is>
      </c>
      <c r="L1280" s="6">
        <f>HYPERLINK("https://fin.land.naver.com/articles/2645387734", "매물Link")</f>
        <v/>
      </c>
      <c r="M1280" s="6">
        <f>HYPERLINK("https://map.naver.com/p/search/오송읍 봉산리 1283", "지도Link")</f>
        <v/>
      </c>
      <c r="N1280" s="6">
        <f>HYPERLINK("http://www.eum.go.kr/web/ar/lu/luLandDet.jsp?pnu=4311325031112830000&amp;isNoScr=script&amp;mode=search", "토지이음")</f>
        <v/>
      </c>
      <c r="O1280" s="3" t="inlineStr">
        <is>
          <t>오송랜드</t>
        </is>
      </c>
      <c r="P1280" s="4" t="n">
        <v>1</v>
      </c>
      <c r="Q1280" s="4" t="n">
        <v>276.6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1293</t>
        </is>
      </c>
      <c r="B1281" s="3" t="inlineStr">
        <is>
          <t>준주거지역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169000</v>
      </c>
      <c r="G1281" s="4" t="n">
        <v>414</v>
      </c>
      <c r="H1281" s="4" t="n">
        <v>125</v>
      </c>
      <c r="I1281" s="5" t="n">
        <v>1352</v>
      </c>
      <c r="J1281" s="5" t="n">
        <v>624.1</v>
      </c>
      <c r="K1281" s="3" t="inlineStr">
        <is>
          <t>오송2산단으로 배후세력 2만여세대의 준주거지역 근생토지,대로변에 위치</t>
        </is>
      </c>
      <c r="L1281" s="6">
        <f>HYPERLINK("https://fin.land.naver.com/articles/2648188611", "매물Link")</f>
        <v/>
      </c>
      <c r="M1281" s="6">
        <f>HYPERLINK("https://map.naver.com/p/search/오송읍 봉산리 1293", "지도Link")</f>
        <v/>
      </c>
      <c r="N1281" s="6">
        <f>HYPERLINK("http://www.eum.go.kr/web/ar/lu/luLandDet.jsp?pnu=4311325031112930000&amp;isNoScr=script&amp;mode=search", "토지이음")</f>
        <v/>
      </c>
      <c r="O1281" s="3" t="inlineStr">
        <is>
          <t>(주)미르</t>
        </is>
      </c>
      <c r="P1281" s="4" t="n">
        <v>2</v>
      </c>
      <c r="Q1281" s="4" t="n">
        <v>413.5</v>
      </c>
      <c r="R1281" s="3" t="inlineStr">
        <is>
          <t>지정되지않음</t>
        </is>
      </c>
      <c r="S1281" s="3" t="inlineStr">
        <is>
          <t>상업기타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1296</t>
        </is>
      </c>
      <c r="B1282" s="3" t="inlineStr">
        <is>
          <t>준주거지역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162000</v>
      </c>
      <c r="G1282" s="4" t="n">
        <v>411</v>
      </c>
      <c r="H1282" s="4" t="n">
        <v>124</v>
      </c>
      <c r="I1282" s="5" t="n">
        <v>1306.5</v>
      </c>
      <c r="J1282" s="5" t="n">
        <v>624.1</v>
      </c>
      <c r="K1282" s="3" t="inlineStr">
        <is>
          <t>오송역 인근 근생용지 매매, 평당 약 1300만원</t>
        </is>
      </c>
      <c r="L1282" s="6">
        <f>HYPERLINK("https://fin.land.naver.com/articles/2649842662", "매물Link")</f>
        <v/>
      </c>
      <c r="M1282" s="6">
        <f>HYPERLINK("https://map.naver.com/p/search/오송읍 봉산리 1296", "지도Link")</f>
        <v/>
      </c>
      <c r="N1282" s="6">
        <f>HYPERLINK("http://www.eum.go.kr/web/ar/lu/luLandDet.jsp?pnu=4311325031112960000&amp;isNoScr=script&amp;mode=search", "토지이음")</f>
        <v/>
      </c>
      <c r="O1282" s="3" t="inlineStr">
        <is>
          <t>광장</t>
        </is>
      </c>
      <c r="P1282" s="4" t="n">
        <v>1</v>
      </c>
      <c r="Q1282" s="4" t="n">
        <v>411.7</v>
      </c>
      <c r="R1282" s="3" t="inlineStr">
        <is>
          <t>지정되지않음</t>
        </is>
      </c>
      <c r="S1282" s="3" t="inlineStr">
        <is>
          <t>상업기타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중로각지</t>
        </is>
      </c>
    </row>
    <row r="1283">
      <c r="A1283" s="3" t="inlineStr">
        <is>
          <t>오송읍 봉산리 1297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190000</v>
      </c>
      <c r="G1283" s="4" t="n">
        <v>421</v>
      </c>
      <c r="H1283" s="4" t="n">
        <v>127</v>
      </c>
      <c r="I1283" s="5" t="n">
        <v>1496.1</v>
      </c>
      <c r="J1283" s="5" t="n">
        <v>624.1</v>
      </c>
      <c r="K1283" s="3" t="inlineStr">
        <is>
          <t>코너 근생용지 매매, 평당 약 1500만원</t>
        </is>
      </c>
      <c r="L1283" s="6">
        <f>HYPERLINK("https://fin.land.naver.com/articles/2649842980", "매물Link")</f>
        <v/>
      </c>
      <c r="M1283" s="6">
        <f>HYPERLINK("https://map.naver.com/p/search/오송읍 봉산리 1297", "지도Link")</f>
        <v/>
      </c>
      <c r="N1283" s="6">
        <f>HYPERLINK("http://www.eum.go.kr/web/ar/lu/luLandDet.jsp?pnu=4311325031112970000&amp;isNoScr=script&amp;mode=search",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421.4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1298</t>
        </is>
      </c>
      <c r="B1284" s="3" t="inlineStr">
        <is>
          <t>일반상업지역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420000</v>
      </c>
      <c r="G1284" s="4" t="n">
        <v>1164</v>
      </c>
      <c r="H1284" s="4" t="n">
        <v>352</v>
      </c>
      <c r="I1284" s="5" t="n">
        <v>1193.2</v>
      </c>
      <c r="J1284" s="5" t="n">
        <v>585.5</v>
      </c>
      <c r="K1284" s="3" t="inlineStr">
        <is>
          <t>삼면 코너각지 소송2산단 오송역주변 상권 010 3022 3841</t>
        </is>
      </c>
      <c r="L1284" s="6">
        <f>HYPERLINK("https://fin.land.naver.com/articles/2651087997", "매물Link")</f>
        <v/>
      </c>
      <c r="M1284" s="6">
        <f>HYPERLINK("https://map.naver.com/p/search/오송읍 봉산리 1298", "지도Link")</f>
        <v/>
      </c>
      <c r="N1284" s="6">
        <f>HYPERLINK("http://www.eum.go.kr/web/ar/lu/luLandDet.jsp?pnu=4311325031112980000&amp;isNoScr=script&amp;mode=search", "토지이음")</f>
        <v/>
      </c>
      <c r="O1284" s="3" t="inlineStr">
        <is>
          <t>세종스타</t>
        </is>
      </c>
      <c r="P1284" s="4" t="n">
        <v>3</v>
      </c>
      <c r="Q1284" s="4" t="n">
        <v>1164.1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1301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456000</v>
      </c>
      <c r="G1285" s="4" t="n">
        <v>1115</v>
      </c>
      <c r="H1285" s="4" t="n">
        <v>337</v>
      </c>
      <c r="I1285" s="5" t="n">
        <v>1353.1</v>
      </c>
      <c r="J1285" s="5" t="n">
        <v>618.2</v>
      </c>
      <c r="K1285" s="3" t="inlineStr">
        <is>
          <t>연제 저수지 앞 상업용지 호텔 개발 추천부지</t>
        </is>
      </c>
      <c r="L1285" s="6">
        <f>HYPERLINK("https://fin.land.naver.com/articles/2648717612", "매물Link")</f>
        <v/>
      </c>
      <c r="M1285" s="6">
        <f>HYPERLINK("https://map.naver.com/p/search/오송읍 봉산리 1301", "지도Link")</f>
        <v/>
      </c>
      <c r="N1285" s="6">
        <f>HYPERLINK("http://www.eum.go.kr/web/ar/lu/luLandDet.jsp?pnu=4311325031113010000&amp;isNoScr=script&amp;mode=search", "토지이음")</f>
        <v/>
      </c>
      <c r="O1285" s="3" t="inlineStr">
        <is>
          <t>(주)마이다스역삼센터</t>
        </is>
      </c>
      <c r="P1285" s="4" t="n">
        <v>2</v>
      </c>
      <c r="Q1285" s="4" t="n">
        <v>1115.2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1321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460000</v>
      </c>
      <c r="G1286" s="4" t="n">
        <v>1541</v>
      </c>
      <c r="H1286" s="4" t="n">
        <v>466</v>
      </c>
      <c r="I1286" s="5" t="n">
        <v>987.1</v>
      </c>
      <c r="J1286" s="5" t="n">
        <v>550.1</v>
      </c>
      <c r="K1286" s="3" t="inlineStr">
        <is>
          <t>nan</t>
        </is>
      </c>
      <c r="L1286" s="6">
        <f>HYPERLINK("https://fin.land.naver.com/articles/2650862179", "매물Link")</f>
        <v/>
      </c>
      <c r="M1286" s="6">
        <f>HYPERLINK("https://map.naver.com/p/search/오송읍 봉산리 1321", "지도Link")</f>
        <v/>
      </c>
      <c r="N1286" s="6">
        <f>HYPERLINK("http://www.eum.go.kr/web/ar/lu/luLandDet.jsp?pnu=4311325031113210000&amp;isNoScr=script&amp;mode=search", "토지이음")</f>
        <v/>
      </c>
      <c r="O1286" s="3" t="inlineStr">
        <is>
          <t>프로</t>
        </is>
      </c>
      <c r="P1286" s="4" t="n">
        <v>3</v>
      </c>
      <c r="Q1286" s="4" t="n">
        <v>1541.1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오송읍 봉산리 1322</t>
        </is>
      </c>
      <c r="B1287" s="3" t="inlineStr">
        <is>
          <t>일반상업지역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월세</t>
        </is>
      </c>
      <c r="F1287" s="4" t="n">
        <v>10000</v>
      </c>
      <c r="G1287" s="4" t="n">
        <v>2435</v>
      </c>
      <c r="H1287" s="4" t="n">
        <v>737</v>
      </c>
      <c r="I1287" s="5" t="n">
        <v>2</v>
      </c>
      <c r="J1287" s="5" t="n">
        <v>295.4</v>
      </c>
      <c r="K1287" s="3" t="inlineStr">
        <is>
          <t>nan</t>
        </is>
      </c>
      <c r="L1287" s="6">
        <f>HYPERLINK("https://fin.land.naver.com/articles/2647590994", "매물Link")</f>
        <v/>
      </c>
      <c r="M1287" s="6">
        <f>HYPERLINK("https://map.naver.com/p/search/오송읍 봉산리 1322", "지도Link")</f>
        <v/>
      </c>
      <c r="N1287" s="6">
        <f>HYPERLINK("http://www.eum.go.kr/web/ar/lu/luLandDet.jsp?pnu=4311325031113220000&amp;isNoScr=script&amp;mode=search", "토지이음")</f>
        <v/>
      </c>
      <c r="O1287" s="3" t="inlineStr">
        <is>
          <t>오송메카</t>
        </is>
      </c>
      <c r="P1287" s="4" t="n">
        <v>1</v>
      </c>
      <c r="Q1287" s="4" t="n">
        <v>2435.1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1324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460000</v>
      </c>
      <c r="G1288" s="4" t="n">
        <v>1524</v>
      </c>
      <c r="H1288" s="4" t="n">
        <v>461</v>
      </c>
      <c r="I1288" s="5" t="n">
        <v>997.8</v>
      </c>
      <c r="J1288" s="5" t="n">
        <v>573.2</v>
      </c>
      <c r="K1288" s="3" t="inlineStr">
        <is>
          <t>nan</t>
        </is>
      </c>
      <c r="L1288" s="6">
        <f>HYPERLINK("https://fin.land.naver.com/articles/2645321260", "매물Link")</f>
        <v/>
      </c>
      <c r="M1288" s="6">
        <f>HYPERLINK("https://map.naver.com/p/search/오송읍 봉산리 1324", "지도Link")</f>
        <v/>
      </c>
      <c r="N1288" s="6">
        <f>HYPERLINK("http://www.eum.go.kr/web/ar/lu/luLandDet.jsp?pnu=4311325031113240000&amp;isNoScr=script&amp;mode=search", "토지이음")</f>
        <v/>
      </c>
      <c r="O1288" s="3" t="inlineStr">
        <is>
          <t>365</t>
        </is>
      </c>
      <c r="P1288" s="4" t="n">
        <v>1</v>
      </c>
      <c r="Q1288" s="4" t="n">
        <v>1524.9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정방형</t>
        </is>
      </c>
      <c r="V1288" s="3" t="inlineStr">
        <is>
          <t>중로각지</t>
        </is>
      </c>
    </row>
    <row r="1289">
      <c r="A1289" s="3" t="inlineStr">
        <is>
          <t>오송읍 봉산리 1326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500000</v>
      </c>
      <c r="G1289" s="4" t="n">
        <v>889</v>
      </c>
      <c r="H1289" s="4" t="n">
        <v>269</v>
      </c>
      <c r="I1289" s="5" t="n">
        <v>1858.7</v>
      </c>
      <c r="J1289" s="5" t="n">
        <v>719.3</v>
      </c>
      <c r="K1289" s="3" t="inlineStr">
        <is>
          <t>오송역 인근 일반상업지역 숙박업가능 토지매매개발호재 풍부진입도로 완비</t>
        </is>
      </c>
      <c r="L1289" s="6">
        <f>HYPERLINK("https://fin.land.naver.com/articles/2647637551", "매물Link")</f>
        <v/>
      </c>
      <c r="M1289" s="6">
        <f>HYPERLINK("https://map.naver.com/p/search/오송읍 봉산리 1326", "지도Link")</f>
        <v/>
      </c>
      <c r="N1289" s="6">
        <f>HYPERLINK("http://www.eum.go.kr/web/ar/lu/luLandDet.jsp?pnu=4311325031113260000&amp;isNoScr=script&amp;mode=search", "토지이음")</f>
        <v/>
      </c>
      <c r="O1289" s="3" t="inlineStr">
        <is>
          <t>엠즈앤프라퍼티주식회사</t>
        </is>
      </c>
      <c r="P1289" s="4" t="n">
        <v>1</v>
      </c>
      <c r="Q1289" s="4" t="n">
        <v>889.6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광대소각</t>
        </is>
      </c>
    </row>
    <row r="1290">
      <c r="A1290" s="3" t="inlineStr">
        <is>
          <t>오송읍 봉산리 1328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598000</v>
      </c>
      <c r="G1290" s="4" t="n">
        <v>859</v>
      </c>
      <c r="H1290" s="4" t="n">
        <v>260</v>
      </c>
      <c r="I1290" s="5" t="n">
        <v>2300</v>
      </c>
      <c r="J1290" s="5" t="n">
        <v>660.2</v>
      </c>
      <c r="K1290" s="3" t="inlineStr">
        <is>
          <t>오송역 초역세권 4거리코너 급매</t>
        </is>
      </c>
      <c r="L1290" s="6">
        <f>HYPERLINK("https://fin.land.naver.com/articles/2648986889", "매물Link")</f>
        <v/>
      </c>
      <c r="M1290" s="6">
        <f>HYPERLINK("https://map.naver.com/p/search/오송읍 봉산리 1328", "지도Link")</f>
        <v/>
      </c>
      <c r="N1290" s="6">
        <f>HYPERLINK("http://www.eum.go.kr/web/ar/lu/luLandDet.jsp?pnu=4311325031113280000&amp;isNoScr=script&amp;mode=search", "토지이음")</f>
        <v/>
      </c>
      <c r="O1290" s="3" t="inlineStr">
        <is>
          <t>하나</t>
        </is>
      </c>
      <c r="P1290" s="4" t="n">
        <v>1</v>
      </c>
      <c r="Q1290" s="4" t="n">
        <v>858.6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광대소각</t>
        </is>
      </c>
    </row>
    <row r="1291">
      <c r="A1291" s="3" t="inlineStr">
        <is>
          <t>오송읍 봉산리 1344</t>
        </is>
      </c>
      <c r="B1291" s="3" t="inlineStr">
        <is>
          <t>준주거지역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136400</v>
      </c>
      <c r="G1291" s="4" t="n">
        <v>408</v>
      </c>
      <c r="H1291" s="4" t="n">
        <v>123</v>
      </c>
      <c r="I1291" s="5" t="n">
        <v>1108.9</v>
      </c>
      <c r="J1291" s="5" t="n">
        <v>624.1</v>
      </c>
      <c r="K1291" s="3" t="inlineStr">
        <is>
          <t>준주거지역 대지, 상가주택사옥 부지 최적</t>
        </is>
      </c>
      <c r="L1291" s="6">
        <f>HYPERLINK("https://fin.land.naver.com/articles/2648857608", "매물Link")</f>
        <v/>
      </c>
      <c r="M1291" s="6">
        <f>HYPERLINK("https://map.naver.com/p/search/오송읍 봉산리 1344", "지도Link")</f>
        <v/>
      </c>
      <c r="N1291" s="6">
        <f>HYPERLINK("http://www.eum.go.kr/web/ar/lu/luLandDet.jsp?pnu=4311325031113440000&amp;isNoScr=script&amp;mode=search", "토지이음")</f>
        <v/>
      </c>
      <c r="O1291" s="3" t="inlineStr">
        <is>
          <t>반석원무소</t>
        </is>
      </c>
      <c r="P1291" s="4" t="n">
        <v>1</v>
      </c>
      <c r="Q1291" s="4" t="n">
        <v>408.9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1367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41500</v>
      </c>
      <c r="G1292" s="4" t="n">
        <v>244</v>
      </c>
      <c r="H1292" s="4" t="n">
        <v>74</v>
      </c>
      <c r="I1292" s="5" t="n">
        <v>560.8</v>
      </c>
      <c r="J1292" s="5" t="n">
        <v>290</v>
      </c>
      <c r="K1292" s="3" t="inlineStr">
        <is>
          <t>급매 오송역 인근 일반주거지역 3거리 코너 각지 위치 좋은 대지입니다</t>
        </is>
      </c>
      <c r="L1292" s="6">
        <f>HYPERLINK("https://fin.land.naver.com/articles/2650741530", "매물Link")</f>
        <v/>
      </c>
      <c r="M1292" s="6">
        <f>HYPERLINK("https://map.naver.com/p/search/오송읍 봉산리 1367", "지도Link")</f>
        <v/>
      </c>
      <c r="N1292" s="6">
        <f>HYPERLINK("http://www.eum.go.kr/web/ar/lu/luLandDet.jsp?pnu=4311325031113670000&amp;isNoScr=script&amp;mode=search",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244.4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소로각지</t>
        </is>
      </c>
    </row>
    <row r="1293">
      <c r="A1293" s="3" t="inlineStr">
        <is>
          <t>오송읍 봉산리 1375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30000</v>
      </c>
      <c r="G1293" s="4" t="n">
        <v>239</v>
      </c>
      <c r="H1293" s="4" t="n">
        <v>72</v>
      </c>
      <c r="I1293" s="5" t="n">
        <v>416.7</v>
      </c>
      <c r="J1293" s="5" t="n">
        <v>207.9</v>
      </c>
      <c r="K1293" s="3" t="inlineStr">
        <is>
          <t>오송역 인근 초 급매 단독주택용지</t>
        </is>
      </c>
      <c r="L1293" s="6">
        <f>HYPERLINK("https://fin.land.naver.com/articles/2649136086", "매물Link")</f>
        <v/>
      </c>
      <c r="M1293" s="6">
        <f>HYPERLINK("https://map.naver.com/p/search/오송읍 봉산리 1375", "지도Link")</f>
        <v/>
      </c>
      <c r="N1293" s="6">
        <f>HYPERLINK("http://www.eum.go.kr/web/ar/lu/luLandDet.jsp?pnu=4311325031113750000&amp;isNoScr=script&amp;mode=search", "토지이음")</f>
        <v/>
      </c>
      <c r="O1293" s="3" t="inlineStr">
        <is>
          <t>청주원</t>
        </is>
      </c>
      <c r="P1293" s="4" t="n">
        <v>3</v>
      </c>
      <c r="Q1293" s="4" t="n">
        <v>239.5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1379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32000</v>
      </c>
      <c r="G1294" s="4" t="n">
        <v>239</v>
      </c>
      <c r="H1294" s="4" t="n">
        <v>72</v>
      </c>
      <c r="I1294" s="5" t="n">
        <v>444.4</v>
      </c>
      <c r="J1294" s="5" t="n">
        <v>207.9</v>
      </c>
      <c r="K1294" s="3" t="inlineStr">
        <is>
          <t>오송역도보 5분거리내, 원투룸인기좋은위치.신축후 건물주가되세요</t>
        </is>
      </c>
      <c r="L1294" s="6">
        <f>HYPERLINK("https://fin.land.naver.com/articles/2645955508", "매물Link")</f>
        <v/>
      </c>
      <c r="M1294" s="6">
        <f>HYPERLINK("https://map.naver.com/p/search/오송읍 봉산리 1379", "지도Link")</f>
        <v/>
      </c>
      <c r="N1294" s="6">
        <f>HYPERLINK("http://www.eum.go.kr/web/ar/lu/luLandDet.jsp?pnu=4311325031113790000&amp;isNoScr=script&amp;mode=search", "토지이음")</f>
        <v/>
      </c>
      <c r="O1294" s="3" t="inlineStr">
        <is>
          <t>오송부자마을</t>
        </is>
      </c>
      <c r="P1294" s="4" t="n">
        <v>1</v>
      </c>
      <c r="Q1294" s="4" t="n">
        <v>239.4</v>
      </c>
      <c r="R1294" s="3" t="inlineStr">
        <is>
          <t>지정되지않음</t>
        </is>
      </c>
      <c r="S1294" s="3" t="inlineStr">
        <is>
          <t>주거기타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오송읍 봉산리 1415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42000</v>
      </c>
      <c r="G1295" s="4" t="n">
        <v>244</v>
      </c>
      <c r="H1295" s="4" t="n">
        <v>74</v>
      </c>
      <c r="I1295" s="5" t="n">
        <v>567.6</v>
      </c>
      <c r="J1295" s="5" t="n">
        <v>207.9</v>
      </c>
      <c r="K1295" s="3" t="inlineStr">
        <is>
          <t>오송2산단 상가 주택부지 입니다 남향</t>
        </is>
      </c>
      <c r="L1295" s="6">
        <f>HYPERLINK("https://fin.land.naver.com/articles/2648085242", "매물Link")</f>
        <v/>
      </c>
      <c r="M1295" s="6">
        <f>HYPERLINK("https://map.naver.com/p/search/오송읍 봉산리 1415", "지도Link")</f>
        <v/>
      </c>
      <c r="N1295" s="6">
        <f>HYPERLINK("http://www.eum.go.kr/web/ar/lu/luLandDet.jsp?pnu=4311325031114150000&amp;isNoScr=script&amp;mode=search",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244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소로한면</t>
        </is>
      </c>
    </row>
    <row r="1296">
      <c r="A1296" s="3" t="inlineStr">
        <is>
          <t>오송읍 봉산리 1417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39000</v>
      </c>
      <c r="G1296" s="4" t="n">
        <v>244</v>
      </c>
      <c r="H1296" s="4" t="n">
        <v>74</v>
      </c>
      <c r="I1296" s="5" t="n">
        <v>527</v>
      </c>
      <c r="J1296" s="5" t="n">
        <v>207.9</v>
      </c>
      <c r="K1296" s="3" t="inlineStr">
        <is>
          <t>오송역도보 10여분거리, 오송역대광1차아파트와 근거리, 남향</t>
        </is>
      </c>
      <c r="L1296" s="6">
        <f>HYPERLINK("https://fin.land.naver.com/articles/2648561393", "매물Link")</f>
        <v/>
      </c>
      <c r="M1296" s="6">
        <f>HYPERLINK("https://map.naver.com/p/search/오송읍 봉산리 1417", "지도Link")</f>
        <v/>
      </c>
      <c r="N1296" s="6">
        <f>HYPERLINK("http://www.eum.go.kr/web/ar/lu/luLandDet.jsp?pnu=4311325031114170000&amp;isNoScr=script&amp;mode=search", "토지이음")</f>
        <v/>
      </c>
      <c r="O1296" s="3" t="inlineStr">
        <is>
          <t>서한단지내114</t>
        </is>
      </c>
      <c r="P1296" s="4" t="n">
        <v>2</v>
      </c>
      <c r="Q1296" s="4" t="n">
        <v>244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1419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45000</v>
      </c>
      <c r="G1297" s="4" t="n">
        <v>238</v>
      </c>
      <c r="H1297" s="4" t="n">
        <v>72</v>
      </c>
      <c r="I1297" s="5" t="n">
        <v>625</v>
      </c>
      <c r="J1297" s="5" t="n">
        <v>250.2</v>
      </c>
      <c r="K1297" s="3" t="inlineStr">
        <is>
          <t>오송2산단 다가구 건축 용도 삼면 각지 토지</t>
        </is>
      </c>
      <c r="L1297" s="6">
        <f>HYPERLINK("https://fin.land.naver.com/articles/2645321056", "매물Link")</f>
        <v/>
      </c>
      <c r="M1297" s="6">
        <f>HYPERLINK("https://map.naver.com/p/search/오송읍 봉산리 1419", "지도Link")</f>
        <v/>
      </c>
      <c r="N1297" s="6">
        <f>HYPERLINK("http://www.eum.go.kr/web/ar/lu/luLandDet.jsp?pnu=4311325031114190000&amp;isNoScr=script&amp;mode=search", "토지이음")</f>
        <v/>
      </c>
      <c r="O1297" s="3" t="inlineStr">
        <is>
          <t>365</t>
        </is>
      </c>
      <c r="P1297" s="4" t="n">
        <v>1</v>
      </c>
      <c r="Q1297" s="4" t="n">
        <v>238.1</v>
      </c>
      <c r="R1297" s="3" t="inlineStr">
        <is>
          <t>지정되지않음</t>
        </is>
      </c>
      <c r="S1297" s="3" t="inlineStr">
        <is>
          <t>주상기타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소로각지</t>
        </is>
      </c>
    </row>
    <row r="1298">
      <c r="A1298" s="3" t="inlineStr">
        <is>
          <t>오송읍 봉산리 796</t>
        </is>
      </c>
      <c r="B1298" s="3" t="inlineStr">
        <is>
          <t>제1종일반주거지역</t>
        </is>
      </c>
      <c r="C1298" s="3" t="inlineStr">
        <is>
          <t>주차장</t>
        </is>
      </c>
      <c r="D1298" s="3" t="inlineStr">
        <is>
          <t>주차장</t>
        </is>
      </c>
      <c r="E1298" s="3" t="inlineStr">
        <is>
          <t>매매</t>
        </is>
      </c>
      <c r="F1298" s="4" t="n">
        <v>150000</v>
      </c>
      <c r="G1298" s="4" t="n">
        <v>1039</v>
      </c>
      <c r="H1298" s="4" t="n">
        <v>314</v>
      </c>
      <c r="I1298" s="5" t="n">
        <v>477.7</v>
      </c>
      <c r="J1298" s="5" t="n">
        <v>207.4</v>
      </c>
      <c r="K1298" s="3" t="inlineStr">
        <is>
          <t>아파트 학교옆 인프라좋고 편의시설주변 주차장용지로 모든업종가능</t>
        </is>
      </c>
      <c r="L1298" s="6">
        <f>HYPERLINK("https://fin.land.naver.com/articles/2647244026", "매물Link")</f>
        <v/>
      </c>
      <c r="M1298" s="6">
        <f>HYPERLINK("https://map.naver.com/p/search/오송읍 봉산리 796", "지도Link")</f>
        <v/>
      </c>
      <c r="N1298" s="6">
        <f>HYPERLINK("http://www.eum.go.kr/web/ar/lu/luLandDet.jsp?pnu=4311325031107960000&amp;isNoScr=script&amp;mode=search",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1039.2</v>
      </c>
      <c r="R1298" s="3" t="inlineStr">
        <is>
          <t>지정되지않음</t>
        </is>
      </c>
      <c r="S1298" s="3" t="inlineStr">
        <is>
          <t>주차장등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중로각지</t>
        </is>
      </c>
    </row>
    <row r="1299">
      <c r="A1299" s="3" t="inlineStr">
        <is>
          <t>오송읍 봉산리 841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38000</v>
      </c>
      <c r="G1299" s="4" t="n">
        <v>249</v>
      </c>
      <c r="H1299" s="4" t="n">
        <v>75</v>
      </c>
      <c r="I1299" s="5" t="n">
        <v>506.7</v>
      </c>
      <c r="J1299" s="5" t="n">
        <v>342.8</v>
      </c>
      <c r="K1299" s="3" t="inlineStr">
        <is>
          <t>대도로변 토지,상가 입점하기 좋은 위치</t>
        </is>
      </c>
      <c r="L1299" s="6">
        <f>HYPERLINK("https://fin.land.naver.com/articles/2645985092", "매물Link")</f>
        <v/>
      </c>
      <c r="M1299" s="6">
        <f>HYPERLINK("https://map.naver.com/p/search/오송읍 봉산리 841", "지도Link")</f>
        <v/>
      </c>
      <c r="N1299" s="6">
        <f>HYPERLINK("http://www.eum.go.kr/web/ar/lu/luLandDet.jsp?pnu=4311325031108410000&amp;isNoScr=script&amp;mode=search",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249.4</v>
      </c>
      <c r="R1299" s="3" t="inlineStr">
        <is>
          <t>지정되지않음</t>
        </is>
      </c>
      <c r="S1299" s="3" t="inlineStr">
        <is>
          <t>주상기타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중로각지</t>
        </is>
      </c>
    </row>
    <row r="1300">
      <c r="A1300" s="3" t="inlineStr">
        <is>
          <t>오송읍 봉산리 853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276</v>
      </c>
      <c r="H1300" s="4" t="n">
        <v>83</v>
      </c>
      <c r="I1300" s="5" t="n">
        <v>542.2</v>
      </c>
      <c r="J1300" s="5" t="n">
        <v>205.7</v>
      </c>
      <c r="K1300" s="3" t="inlineStr">
        <is>
          <t>nan</t>
        </is>
      </c>
      <c r="L1300" s="6">
        <f>HYPERLINK("https://fin.land.naver.com/articles/2645321083", "매물Link")</f>
        <v/>
      </c>
      <c r="M1300" s="6">
        <f>HYPERLINK("https://map.naver.com/p/search/오송읍 봉산리 853", "지도Link")</f>
        <v/>
      </c>
      <c r="N1300" s="6">
        <f>HYPERLINK("http://www.eum.go.kr/web/ar/lu/luLandDet.jsp?pnu=4311325031108530000&amp;isNoScr=script&amp;mode=search", "토지이음")</f>
        <v/>
      </c>
      <c r="O1300" s="3" t="inlineStr">
        <is>
          <t>365</t>
        </is>
      </c>
      <c r="P1300" s="4" t="n">
        <v>1</v>
      </c>
      <c r="Q1300" s="4" t="n">
        <v>276.1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853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45000</v>
      </c>
      <c r="G1301" s="4" t="n">
        <v>276</v>
      </c>
      <c r="H1301" s="4" t="n">
        <v>83</v>
      </c>
      <c r="I1301" s="5" t="n">
        <v>542.2</v>
      </c>
      <c r="J1301" s="5" t="n">
        <v>205.7</v>
      </c>
      <c r="K1301" s="3" t="inlineStr">
        <is>
          <t>솔미초 인근 다가구용 토지 매매</t>
        </is>
      </c>
      <c r="L1301" s="6">
        <f>HYPERLINK("https://fin.land.naver.com/articles/2650364095", "매물Link")</f>
        <v/>
      </c>
      <c r="M1301" s="6">
        <f>HYPERLINK("https://map.naver.com/p/search/오송읍 봉산리 853", "지도Link")</f>
        <v/>
      </c>
      <c r="N1301" s="6">
        <f>HYPERLINK("http://www.eum.go.kr/web/ar/lu/luLandDet.jsp?pnu=4311325031108530000&amp;isNoScr=script&amp;mode=search", "토지이음")</f>
        <v/>
      </c>
      <c r="O1301" s="3" t="inlineStr">
        <is>
          <t>광장</t>
        </is>
      </c>
      <c r="P1301" s="4" t="n">
        <v>1</v>
      </c>
      <c r="Q1301" s="4" t="n">
        <v>276.1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859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280</v>
      </c>
      <c r="H1302" s="4" t="n">
        <v>85</v>
      </c>
      <c r="I1302" s="5" t="n">
        <v>470.6</v>
      </c>
      <c r="J1302" s="5" t="n">
        <v>205.7</v>
      </c>
      <c r="K1302" s="3" t="inlineStr">
        <is>
          <t>수익율 좋은 다가구주택 건축하여 건물주님 되어보기</t>
        </is>
      </c>
      <c r="L1302" s="6">
        <f>HYPERLINK("https://fin.land.naver.com/articles/2650859358", "매물Link")</f>
        <v/>
      </c>
      <c r="M1302" s="6">
        <f>HYPERLINK("https://map.naver.com/p/search/오송읍 봉산리 859", "지도Link")</f>
        <v/>
      </c>
      <c r="N1302" s="6">
        <f>HYPERLINK("http://www.eum.go.kr/web/ar/lu/luLandDet.jsp?pnu=4311325031108590000&amp;isNoScr=script&amp;mode=search", "토지이음")</f>
        <v/>
      </c>
      <c r="O1302" s="3" t="inlineStr">
        <is>
          <t>프로</t>
        </is>
      </c>
      <c r="P1302" s="4" t="n">
        <v>1</v>
      </c>
      <c r="Q1302" s="4" t="n">
        <v>280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872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49000</v>
      </c>
      <c r="G1303" s="4" t="n">
        <v>271</v>
      </c>
      <c r="H1303" s="4" t="n">
        <v>82</v>
      </c>
      <c r="I1303" s="5" t="n">
        <v>597.6</v>
      </c>
      <c r="J1303" s="5" t="n">
        <v>236</v>
      </c>
      <c r="K1303" s="3" t="inlineStr">
        <is>
          <t>다가구주택용 대지, 임대세대 구성하기 좋은 면적</t>
        </is>
      </c>
      <c r="L1303" s="6">
        <f>HYPERLINK("https://fin.land.naver.com/articles/2645396621", "매물Link")</f>
        <v/>
      </c>
      <c r="M1303" s="6">
        <f>HYPERLINK("https://map.naver.com/p/search/오송읍 봉산리 872", "지도Link")</f>
        <v/>
      </c>
      <c r="N1303" s="6">
        <f>HYPERLINK("http://www.eum.go.kr/web/ar/lu/luLandDet.jsp?pnu=4311325031108720000&amp;isNoScr=script&amp;mode=search", "토지이음")</f>
        <v/>
      </c>
      <c r="O1303" s="3" t="inlineStr">
        <is>
          <t>광장</t>
        </is>
      </c>
      <c r="P1303" s="4" t="n">
        <v>1</v>
      </c>
      <c r="Q1303" s="4" t="n">
        <v>271.2</v>
      </c>
      <c r="R1303" s="3" t="inlineStr">
        <is>
          <t>지정되지않음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888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60000</v>
      </c>
      <c r="G1304" s="4" t="n">
        <v>252</v>
      </c>
      <c r="H1304" s="4" t="n">
        <v>76</v>
      </c>
      <c r="I1304" s="5" t="n">
        <v>789.5</v>
      </c>
      <c r="J1304" s="5" t="n">
        <v>291</v>
      </c>
      <c r="K1304" s="3" t="inlineStr">
        <is>
          <t>오송 철도국가산단 수혜 핵심 입지</t>
        </is>
      </c>
      <c r="L1304" s="6">
        <f>HYPERLINK("https://fin.land.naver.com/articles/2648559186", "매물Link")</f>
        <v/>
      </c>
      <c r="M1304" s="6">
        <f>HYPERLINK("https://map.naver.com/p/search/오송읍 봉산리 888", "지도Link")</f>
        <v/>
      </c>
      <c r="N1304" s="6">
        <f>HYPERLINK("http://www.eum.go.kr/web/ar/lu/luLandDet.jsp?pnu=4311325031108880000&amp;isNoScr=script&amp;mode=search", "토지이음")</f>
        <v/>
      </c>
      <c r="O1304" s="3" t="inlineStr">
        <is>
          <t>복덩이</t>
        </is>
      </c>
      <c r="P1304" s="4" t="n">
        <v>1</v>
      </c>
      <c r="Q1304" s="4" t="n">
        <v>252.1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중로각지</t>
        </is>
      </c>
    </row>
    <row r="1305">
      <c r="A1305" s="3" t="inlineStr">
        <is>
          <t>오송읍 봉산리 949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42000</v>
      </c>
      <c r="G1305" s="4" t="n">
        <v>271</v>
      </c>
      <c r="H1305" s="4" t="n">
        <v>82</v>
      </c>
      <c r="I1305" s="5" t="n">
        <v>512.2</v>
      </c>
      <c r="J1305" s="5" t="n">
        <v>236</v>
      </c>
      <c r="K1305" s="3" t="inlineStr">
        <is>
          <t>공실없는 지역,확보된 임차인,안적정인 임대수익을 누릴수 있어요</t>
        </is>
      </c>
      <c r="L1305" s="6">
        <f>HYPERLINK("https://fin.land.naver.com/articles/2651115581", "매물Link")</f>
        <v/>
      </c>
      <c r="M1305" s="6">
        <f>HYPERLINK("https://map.naver.com/p/search/오송읍 봉산리 949", "지도Link")</f>
        <v/>
      </c>
      <c r="N1305" s="6">
        <f>HYPERLINK("http://www.eum.go.kr/web/ar/lu/luLandDet.jsp?pnu=4311325031109490000&amp;isNoScr=script&amp;mode=search", "토지이음")</f>
        <v/>
      </c>
      <c r="O1305" s="3" t="inlineStr">
        <is>
          <t>오송2단지창조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954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265</v>
      </c>
      <c r="H1306" s="4" t="n">
        <v>80</v>
      </c>
      <c r="I1306" s="5" t="n">
        <v>750</v>
      </c>
      <c r="J1306" s="5" t="n">
        <v>257.5</v>
      </c>
      <c r="K1306" s="3" t="inlineStr">
        <is>
          <t>위치좋은 코너땅 입니다</t>
        </is>
      </c>
      <c r="L1306" s="6">
        <f>HYPERLINK("https://fin.land.naver.com/articles/2645987267", "매물Link")</f>
        <v/>
      </c>
      <c r="M1306" s="6">
        <f>HYPERLINK("https://map.naver.com/p/search/오송읍 봉산리 954", "지도Link")</f>
        <v/>
      </c>
      <c r="N1306" s="6">
        <f>HYPERLINK("http://www.eum.go.kr/web/ar/lu/luLandDet.jsp?pnu=4311325031109540000&amp;isNoScr=script&amp;mode=search",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265.3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오송읍 봉산리 978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353000</v>
      </c>
      <c r="G1307" s="4" t="n">
        <v>1295</v>
      </c>
      <c r="H1307" s="4" t="n">
        <v>392</v>
      </c>
      <c r="I1307" s="5" t="n">
        <v>900.5</v>
      </c>
      <c r="J1307" s="5" t="n">
        <v>585.5</v>
      </c>
      <c r="K1307" s="3" t="inlineStr">
        <is>
          <t>오송읍 봉산리 상업용지 매매</t>
        </is>
      </c>
      <c r="L1307" s="6">
        <f>HYPERLINK("https://fin.land.naver.com/articles/2650259873", "매물Link")</f>
        <v/>
      </c>
      <c r="M1307" s="6">
        <f>HYPERLINK("https://map.naver.com/p/search/오송읍 봉산리 978", "지도Link")</f>
        <v/>
      </c>
      <c r="N1307" s="6">
        <f>HYPERLINK("http://www.eum.go.kr/web/ar/lu/luLandDet.jsp?pnu=4311325031109780000&amp;isNoScr=script&amp;mode=search", "토지이음")</f>
        <v/>
      </c>
      <c r="O1307" s="3" t="inlineStr">
        <is>
          <t>일등</t>
        </is>
      </c>
      <c r="P1307" s="4" t="n">
        <v>1</v>
      </c>
      <c r="Q1307" s="4" t="n">
        <v>1295.6</v>
      </c>
      <c r="R1307" s="3" t="inlineStr">
        <is>
          <t>지정되지않음</t>
        </is>
      </c>
      <c r="S1307" s="3" t="inlineStr">
        <is>
          <t>상업기타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중로각지</t>
        </is>
      </c>
    </row>
    <row r="1308">
      <c r="A1308" s="3" t="inlineStr">
        <is>
          <t>오송읍 봉산리 986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347900</v>
      </c>
      <c r="G1308" s="4" t="n">
        <v>821</v>
      </c>
      <c r="H1308" s="4" t="n">
        <v>248</v>
      </c>
      <c r="I1308" s="5" t="n">
        <v>1402.8</v>
      </c>
      <c r="J1308" s="5" t="n">
        <v>585.5</v>
      </c>
      <c r="K1308" s="3" t="inlineStr">
        <is>
          <t>상권 형성 초입, 선점 가능한 상업용지 개발수혜가 기대되는 땅</t>
        </is>
      </c>
      <c r="L1308" s="6">
        <f>HYPERLINK("https://fin.land.naver.com/articles/2646874573", "매물Link")</f>
        <v/>
      </c>
      <c r="M1308" s="6">
        <f>HYPERLINK("https://map.naver.com/p/search/오송읍 봉산리 986", "지도Link")</f>
        <v/>
      </c>
      <c r="N1308" s="6">
        <f>HYPERLINK("http://www.eum.go.kr/web/ar/lu/luLandDet.jsp?pnu=4311325031109860000&amp;isNoScr=script&amp;mode=search", "토지이음")</f>
        <v/>
      </c>
      <c r="O1308" s="3" t="inlineStr">
        <is>
          <t>우영</t>
        </is>
      </c>
      <c r="P1308" s="4" t="n">
        <v>1</v>
      </c>
      <c r="Q1308" s="4" t="n">
        <v>821.6</v>
      </c>
      <c r="R1308" s="3" t="inlineStr">
        <is>
          <t>지정되지않음</t>
        </is>
      </c>
      <c r="S1308" s="3" t="inlineStr">
        <is>
          <t>상업기타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중로각지</t>
        </is>
      </c>
    </row>
    <row r="1309">
      <c r="A1309" s="3" t="inlineStr">
        <is>
          <t>오송읍 상봉리 114-3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25000</v>
      </c>
      <c r="G1309" s="4" t="n">
        <v>602</v>
      </c>
      <c r="H1309" s="4" t="n">
        <v>182</v>
      </c>
      <c r="I1309" s="5" t="n">
        <v>137.4</v>
      </c>
      <c r="J1309" s="5" t="n">
        <v>48.7</v>
      </c>
      <c r="K1309" s="3" t="inlineStr">
        <is>
          <t>오송읍 전원주택지 매매</t>
        </is>
      </c>
      <c r="L1309" s="6">
        <f>HYPERLINK("https://fin.land.naver.com/articles/2648188603", "매물Link")</f>
        <v/>
      </c>
      <c r="M1309" s="6">
        <f>HYPERLINK("https://map.naver.com/p/search/오송읍 상봉리 114-3", "지도Link")</f>
        <v/>
      </c>
      <c r="N1309" s="6">
        <f>HYPERLINK("http://www.eum.go.kr/web/ar/lu/luLandDet.jsp?pnu=4311325033101140003&amp;isNoScr=script&amp;mode=search", "토지이음")</f>
        <v/>
      </c>
      <c r="O1309" s="3" t="inlineStr">
        <is>
          <t>학사</t>
        </is>
      </c>
      <c r="P1309" s="4" t="n">
        <v>1</v>
      </c>
      <c r="Q1309" s="4" t="n">
        <v>602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상봉리 210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100000</v>
      </c>
      <c r="G1310" s="4" t="n">
        <v>3298</v>
      </c>
      <c r="H1310" s="4" t="n">
        <v>998</v>
      </c>
      <c r="I1310" s="5" t="n">
        <v>100.2</v>
      </c>
      <c r="J1310" s="5" t="n">
        <v>34.7</v>
      </c>
      <c r="K1310" s="3" t="inlineStr">
        <is>
          <t>계획관리토지 역세권중장기 투자계획으로우수한 토지 공장 카페 창고 실버타운</t>
        </is>
      </c>
      <c r="L1310" s="6">
        <f>HYPERLINK("https://fin.land.naver.com/articles/2649374986", "매물Link")</f>
        <v/>
      </c>
      <c r="M1310" s="6">
        <f>HYPERLINK("https://map.naver.com/p/search/오송읍 상봉리 210", "지도Link")</f>
        <v/>
      </c>
      <c r="N1310" s="6">
        <f>HYPERLINK("http://www.eum.go.kr/web/ar/lu/luLandDet.jsp?pnu=4311325033102100000&amp;isNoScr=script&amp;mode=search", "토지이음")</f>
        <v/>
      </c>
      <c r="O1310" s="3" t="inlineStr">
        <is>
          <t>하림</t>
        </is>
      </c>
      <c r="P1310" s="4" t="n">
        <v>1</v>
      </c>
      <c r="Q1310" s="4" t="n">
        <v>3298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오송읍 상봉리 240-4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200000</v>
      </c>
      <c r="G1311" s="4" t="n">
        <v>1896</v>
      </c>
      <c r="H1311" s="4" t="n">
        <v>574</v>
      </c>
      <c r="I1311" s="5" t="n">
        <v>348.4</v>
      </c>
      <c r="J1311" s="5" t="n">
        <v>45</v>
      </c>
      <c r="K1311" s="3" t="inlineStr">
        <is>
          <t>2차선도로 및 3면이 포장도로에 접한 직사각형 모양의 계획관리지역의 전</t>
        </is>
      </c>
      <c r="L1311" s="6">
        <f>HYPERLINK("https://fin.land.naver.com/articles/2646618646", "매물Link")</f>
        <v/>
      </c>
      <c r="M1311" s="6">
        <f>HYPERLINK("https://map.naver.com/p/search/오송읍 상봉리 240-4", "지도Link")</f>
        <v/>
      </c>
      <c r="N1311" s="6">
        <f>HYPERLINK("http://www.eum.go.kr/web/ar/lu/luLandDet.jsp?pnu=4311325033102400004&amp;isNoScr=script&amp;mode=search",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1896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오송읍 상봉리 313</t>
        </is>
      </c>
      <c r="B1312" s="3" t="inlineStr">
        <is>
          <t>보전관리지역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40000</v>
      </c>
      <c r="G1312" s="4" t="n">
        <v>2615</v>
      </c>
      <c r="H1312" s="4" t="n">
        <v>791</v>
      </c>
      <c r="I1312" s="5" t="n">
        <v>50.6</v>
      </c>
      <c r="J1312" s="5" t="n">
        <v>10</v>
      </c>
      <c r="K1312" s="3" t="inlineStr">
        <is>
          <t>세종시 경계부근에 위치 전원주택 주말농지 추천</t>
        </is>
      </c>
      <c r="L1312" s="6">
        <f>HYPERLINK("https://fin.land.naver.com/articles/2645781584", "매물Link")</f>
        <v/>
      </c>
      <c r="M1312" s="6">
        <f>HYPERLINK("https://map.naver.com/p/search/오송읍 상봉리 313", "지도Link")</f>
        <v/>
      </c>
      <c r="N1312" s="6">
        <f>HYPERLINK("http://www.eum.go.kr/web/ar/lu/luLandDet.jsp?pnu=4311325033103130000&amp;isNoScr=script&amp;mode=search", "토지이음")</f>
        <v/>
      </c>
      <c r="O1312" s="3" t="inlineStr">
        <is>
          <t>복수지구</t>
        </is>
      </c>
      <c r="P1312" s="4" t="n">
        <v>1</v>
      </c>
      <c r="Q1312" s="4" t="n">
        <v>2615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오송읍 상봉리 359-3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25000</v>
      </c>
      <c r="G1313" s="4" t="n">
        <v>2008</v>
      </c>
      <c r="H1313" s="4" t="n">
        <v>607</v>
      </c>
      <c r="I1313" s="5" t="n">
        <v>41.2</v>
      </c>
      <c r="J1313" s="5" t="n">
        <v>21.5</v>
      </c>
      <c r="K1313" s="3" t="inlineStr">
        <is>
          <t>밴처밸리,오송2산단 차량3분 대토 과수원 농가주택 창고등 추천</t>
        </is>
      </c>
      <c r="L1313" s="6">
        <f>HYPERLINK("https://fin.land.naver.com/articles/2649259041", "매물Link")</f>
        <v/>
      </c>
      <c r="M1313" s="6">
        <f>HYPERLINK("https://map.naver.com/p/search/오송읍 상봉리 359-3", "지도Link")</f>
        <v/>
      </c>
      <c r="N1313" s="6">
        <f>HYPERLINK("http://www.eum.go.kr/web/ar/lu/luLandDet.jsp?pnu=4311325033103590003&amp;isNoScr=script&amp;mode=search", "토지이음")</f>
        <v/>
      </c>
      <c r="O1313" s="3" t="inlineStr">
        <is>
          <t>신안무소</t>
        </is>
      </c>
      <c r="P1313" s="4" t="n">
        <v>1</v>
      </c>
      <c r="Q1313" s="4" t="n">
        <v>2008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세로각지(가)</t>
        </is>
      </c>
    </row>
    <row r="1314">
      <c r="A1314" s="3" t="inlineStr">
        <is>
          <t>오송읍 상봉리 415-1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26000</v>
      </c>
      <c r="G1314" s="4" t="n">
        <v>1230</v>
      </c>
      <c r="H1314" s="4" t="n">
        <v>372</v>
      </c>
      <c r="I1314" s="5" t="n">
        <v>69.90000000000001</v>
      </c>
      <c r="J1314" s="5" t="n">
        <v>22</v>
      </c>
      <c r="K1314" s="3" t="inlineStr">
        <is>
          <t>농림지역, 도로접함, 영농 및 농가주택 가능</t>
        </is>
      </c>
      <c r="L1314" s="6">
        <f>HYPERLINK("https://fin.land.naver.com/articles/2650488027", "매물Link")</f>
        <v/>
      </c>
      <c r="M1314" s="6">
        <f>HYPERLINK("https://map.naver.com/p/search/오송읍 상봉리 415-1", "지도Link")</f>
        <v/>
      </c>
      <c r="N1314" s="6">
        <f>HYPERLINK("http://www.eum.go.kr/web/ar/lu/luLandDet.jsp?pnu=4311325033104150001&amp;isNoScr=script&amp;mode=search", "토지이음")</f>
        <v/>
      </c>
      <c r="O1314" s="3" t="inlineStr">
        <is>
          <t>세종나라</t>
        </is>
      </c>
      <c r="P1314" s="4" t="n">
        <v>9</v>
      </c>
      <c r="Q1314" s="4" t="n">
        <v>1230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98-15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35500</v>
      </c>
      <c r="G1315" s="4" t="n">
        <v>1468</v>
      </c>
      <c r="H1315" s="4" t="n">
        <v>444</v>
      </c>
      <c r="I1315" s="5" t="n">
        <v>80</v>
      </c>
      <c r="J1315" s="5" t="n">
        <v>26.4</v>
      </c>
      <c r="K1315" s="3" t="inlineStr">
        <is>
          <t>신축, 경작, 투자하기 좋은 토지</t>
        </is>
      </c>
      <c r="L1315" s="6">
        <f>HYPERLINK("https://fin.land.naver.com/articles/2650650172", "매물Link")</f>
        <v/>
      </c>
      <c r="M1315" s="6">
        <f>HYPERLINK("https://map.naver.com/p/search/오송읍 상봉리 98-15", "지도Link")</f>
        <v/>
      </c>
      <c r="N1315" s="6">
        <f>HYPERLINK("http://www.eum.go.kr/web/ar/lu/luLandDet.jsp?pnu=4311325033100980015&amp;isNoScr=script&amp;mode=search", "토지이음")</f>
        <v/>
      </c>
      <c r="O1315" s="3" t="inlineStr">
        <is>
          <t>학정</t>
        </is>
      </c>
      <c r="P1315" s="4" t="n">
        <v>1</v>
      </c>
      <c r="Q1315" s="4" t="n">
        <v>1468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149-3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90000</v>
      </c>
      <c r="G1316" s="4" t="n">
        <v>3028</v>
      </c>
      <c r="H1316" s="4" t="n">
        <v>916</v>
      </c>
      <c r="I1316" s="5" t="n">
        <v>98.3</v>
      </c>
      <c r="J1316" s="5" t="n">
        <v>23</v>
      </c>
      <c r="K1316" s="3" t="inlineStr">
        <is>
          <t>현재 대지660m2, 창고128m2 임대중, 대토,투자추천</t>
        </is>
      </c>
      <c r="L1316" s="6">
        <f>HYPERLINK("https://fin.land.naver.com/articles/2651061331", "매물Link")</f>
        <v/>
      </c>
      <c r="M1316" s="6">
        <f>HYPERLINK("https://map.naver.com/p/search/오송읍 상정리 149-3", "지도Link")</f>
        <v/>
      </c>
      <c r="N1316" s="6">
        <f>HYPERLINK("http://www.eum.go.kr/web/ar/lu/luLandDet.jsp?pnu=4311325022101490003&amp;isNoScr=script&amp;mode=search", "토지이음")</f>
        <v/>
      </c>
      <c r="O1316" s="3" t="inlineStr">
        <is>
          <t>플러스자이합동</t>
        </is>
      </c>
      <c r="P1316" s="4" t="n">
        <v>1</v>
      </c>
      <c r="Q1316" s="4" t="n">
        <v>2368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상정리 151-18</t>
        </is>
      </c>
      <c r="B1317" s="3" t="inlineStr">
        <is>
          <t>보전관리지역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40400</v>
      </c>
      <c r="G1317" s="4" t="n">
        <v>666</v>
      </c>
      <c r="H1317" s="4" t="n">
        <v>201</v>
      </c>
      <c r="I1317" s="5" t="n">
        <v>201</v>
      </c>
      <c r="J1317" s="5" t="n">
        <v>70.2</v>
      </c>
      <c r="K1317" s="3" t="inlineStr">
        <is>
          <t>전원주택단지조성된곳 바로인근 화장품단지개발호재</t>
        </is>
      </c>
      <c r="L1317" s="6">
        <f>HYPERLINK("https://fin.land.naver.com/articles/2647609720", "매물Link")</f>
        <v/>
      </c>
      <c r="M1317" s="6">
        <f>HYPERLINK("https://map.naver.com/p/search/오송읍 상정리 151-18", "지도Link")</f>
        <v/>
      </c>
      <c r="N1317" s="6">
        <f>HYPERLINK("http://www.eum.go.kr/web/ar/lu/luLandDet.jsp?pnu=4311325022101510018&amp;isNoScr=script&amp;mode=search",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573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오송읍 상정리 151-18</t>
        </is>
      </c>
      <c r="B1318" s="3" t="inlineStr">
        <is>
          <t>보전관리지역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27000</v>
      </c>
      <c r="G1318" s="4" t="n">
        <v>573</v>
      </c>
      <c r="H1318" s="4" t="n">
        <v>173</v>
      </c>
      <c r="I1318" s="5" t="n">
        <v>156.1</v>
      </c>
      <c r="J1318" s="5" t="n">
        <v>70.2</v>
      </c>
      <c r="K1318" s="3" t="inlineStr">
        <is>
          <t>전원주택 부지, 도심과 가까운 주택부지</t>
        </is>
      </c>
      <c r="L1318" s="6">
        <f>HYPERLINK("https://fin.land.naver.com/articles/2645970707", "매물Link")</f>
        <v/>
      </c>
      <c r="M1318" s="6">
        <f>HYPERLINK("https://map.naver.com/p/search/오송읍 상정리 151-18", "지도Link")</f>
        <v/>
      </c>
      <c r="N1318" s="6">
        <f>HYPERLINK("http://www.eum.go.kr/web/ar/lu/luLandDet.jsp?pnu=4311325022101510018&amp;isNoScr=script&amp;mode=search", "토지이음")</f>
        <v/>
      </c>
      <c r="O1318" s="3" t="inlineStr">
        <is>
          <t>오송2단지창조</t>
        </is>
      </c>
      <c r="P1318" s="4" t="n">
        <v>1</v>
      </c>
      <c r="Q1318" s="4" t="n">
        <v>573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상정리 174-7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80000</v>
      </c>
      <c r="G1319" s="4" t="n">
        <v>982</v>
      </c>
      <c r="H1319" s="4" t="n">
        <v>297</v>
      </c>
      <c r="I1319" s="5" t="n">
        <v>269.4</v>
      </c>
      <c r="J1319" s="5" t="n">
        <v>43.7</v>
      </c>
      <c r="K1319" s="3" t="inlineStr">
        <is>
          <t>2차선 지방도로에 접한 오송1산업단지와 인접한 계획관리 농지</t>
        </is>
      </c>
      <c r="L1319" s="6">
        <f>HYPERLINK("https://fin.land.naver.com/articles/2645397076", "매물Link")</f>
        <v/>
      </c>
      <c r="M1319" s="6">
        <f>HYPERLINK("https://map.naver.com/p/search/오송읍 상정리 174-7", "지도Link")</f>
        <v/>
      </c>
      <c r="N1319" s="6">
        <f>HYPERLINK("http://www.eum.go.kr/web/ar/lu/luLandDet.jsp?pnu=4311325022101740007&amp;isNoScr=script&amp;mode=search",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982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오송읍 상정리 185-2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61000</v>
      </c>
      <c r="G1320" s="4" t="n">
        <v>1299</v>
      </c>
      <c r="H1320" s="4" t="n">
        <v>393</v>
      </c>
      <c r="I1320" s="5" t="n">
        <v>155.2</v>
      </c>
      <c r="J1320" s="5" t="n">
        <v>38.1</v>
      </c>
      <c r="K1320" s="3" t="inlineStr">
        <is>
          <t>계획관리 화장품단지인근 전원주택개발지 추후공시지가상승예정지 투자적합</t>
        </is>
      </c>
      <c r="L1320" s="6">
        <f>HYPERLINK("https://fin.land.naver.com/articles/2647626107", "매물Link")</f>
        <v/>
      </c>
      <c r="M1320" s="6">
        <f>HYPERLINK("https://map.naver.com/p/search/오송읍 상정리 185-2", "지도Link")</f>
        <v/>
      </c>
      <c r="N1320" s="6">
        <f>HYPERLINK("http://www.eum.go.kr/web/ar/lu/luLandDet.jsp?pnu=4311325022101850002&amp;isNoScr=script&amp;mode=search", "토지이음")</f>
        <v/>
      </c>
      <c r="O1320" s="3" t="inlineStr">
        <is>
          <t>자이원</t>
        </is>
      </c>
      <c r="P1320" s="4" t="n">
        <v>1</v>
      </c>
      <c r="Q1320" s="4" t="n">
        <v>1299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상정리 189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130000</v>
      </c>
      <c r="G1321" s="4" t="n">
        <v>1413</v>
      </c>
      <c r="H1321" s="4" t="n">
        <v>427</v>
      </c>
      <c r="I1321" s="5" t="n">
        <v>304.4</v>
      </c>
      <c r="J1321" s="5" t="n">
        <v>84.3</v>
      </c>
      <c r="K1321" s="3" t="inlineStr">
        <is>
          <t>오송읍 2차선 도로접한 계획관리 토지매매</t>
        </is>
      </c>
      <c r="L1321" s="6">
        <f>HYPERLINK("https://fin.land.naver.com/articles/2647592687", "매물Link")</f>
        <v/>
      </c>
      <c r="M1321" s="6">
        <f>HYPERLINK("https://map.naver.com/p/search/오송읍 상정리 189", "지도Link")</f>
        <v/>
      </c>
      <c r="N1321" s="6">
        <f>HYPERLINK("http://www.eum.go.kr/web/ar/lu/luLandDet.jsp?pnu=4311325022101890000&amp;isNoScr=script&amp;mode=search", "토지이음")</f>
        <v/>
      </c>
      <c r="O1321" s="3" t="inlineStr">
        <is>
          <t>대지</t>
        </is>
      </c>
      <c r="P1321" s="4" t="n">
        <v>1</v>
      </c>
      <c r="Q1321" s="4" t="n">
        <v>733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자루형</t>
        </is>
      </c>
      <c r="V1321" s="3" t="inlineStr">
        <is>
          <t>소로한면</t>
        </is>
      </c>
    </row>
    <row r="1322">
      <c r="A1322" s="3" t="inlineStr">
        <is>
          <t>오송읍 상정리 191-7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86000</v>
      </c>
      <c r="G1322" s="4" t="n">
        <v>1011</v>
      </c>
      <c r="H1322" s="4" t="n">
        <v>306</v>
      </c>
      <c r="I1322" s="5" t="n">
        <v>281</v>
      </c>
      <c r="J1322" s="5" t="n">
        <v>83.59999999999999</v>
      </c>
      <c r="K1322" s="3" t="inlineStr">
        <is>
          <t>2차선 지방도 인접한 계획관리지역의 토지로 근생가능용지</t>
        </is>
      </c>
      <c r="L1322" s="6">
        <f>HYPERLINK("https://fin.land.naver.com/articles/2646745552", "매물Link")</f>
        <v/>
      </c>
      <c r="M1322" s="6">
        <f>HYPERLINK("https://map.naver.com/p/search/오송읍 상정리 191-7", "지도Link")</f>
        <v/>
      </c>
      <c r="N1322" s="6">
        <f>HYPERLINK("http://www.eum.go.kr/web/ar/lu/luLandDet.jsp?pnu=4311325022101910007&amp;isNoScr=script&amp;mode=search", "토지이음")</f>
        <v/>
      </c>
      <c r="O1322" s="3" t="inlineStr">
        <is>
          <t>오송k랜드</t>
        </is>
      </c>
      <c r="P1322" s="4" t="n">
        <v>1</v>
      </c>
      <c r="Q1322" s="4" t="n">
        <v>1011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상정리 261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27000</v>
      </c>
      <c r="G1323" s="4" t="n">
        <v>1083</v>
      </c>
      <c r="H1323" s="4" t="n">
        <v>328</v>
      </c>
      <c r="I1323" s="5" t="n">
        <v>82.3</v>
      </c>
      <c r="J1323" s="5" t="n">
        <v>23.3</v>
      </c>
      <c r="K1323" s="3" t="inlineStr">
        <is>
          <t>농림지역</t>
        </is>
      </c>
      <c r="L1323" s="6">
        <f>HYPERLINK("https://fin.land.naver.com/articles/2648107540", "매물Link")</f>
        <v/>
      </c>
      <c r="M1323" s="6">
        <f>HYPERLINK("https://map.naver.com/p/search/오송읍 상정리 261", "지도Link")</f>
        <v/>
      </c>
      <c r="N1323" s="6">
        <f>HYPERLINK("http://www.eum.go.kr/web/ar/lu/luLandDet.jsp?pnu=4311325022102610000&amp;isNoScr=script&amp;mode=search", "토지이음")</f>
        <v/>
      </c>
      <c r="O1323" s="3" t="inlineStr">
        <is>
          <t>수풀림</t>
        </is>
      </c>
      <c r="P1323" s="4" t="n">
        <v>1</v>
      </c>
      <c r="Q1323" s="4" t="n">
        <v>1083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세로한면(가)</t>
        </is>
      </c>
    </row>
    <row r="1324">
      <c r="A1324" s="3" t="inlineStr">
        <is>
          <t>오송읍 상정리 306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42000</v>
      </c>
      <c r="G1324" s="4" t="n">
        <v>1714</v>
      </c>
      <c r="H1324" s="4" t="n">
        <v>518</v>
      </c>
      <c r="I1324" s="5" t="n">
        <v>81.09999999999999</v>
      </c>
      <c r="J1324" s="5" t="n">
        <v>26.1</v>
      </c>
      <c r="K1324" s="3" t="inlineStr">
        <is>
          <t>농림지역 대토권 최적의 입지 농가 주택 가능한 토지 투자가치 뿜뿜</t>
        </is>
      </c>
      <c r="L1324" s="6">
        <f>HYPERLINK("https://fin.land.naver.com/articles/2648907417", "매물Link")</f>
        <v/>
      </c>
      <c r="M1324" s="6">
        <f>HYPERLINK("https://map.naver.com/p/search/오송읍 상정리 306", "지도Link")</f>
        <v/>
      </c>
      <c r="N1324" s="6">
        <f>HYPERLINK("http://www.eum.go.kr/web/ar/lu/luLandDet.jsp?pnu=4311325022103060000&amp;isNoScr=script&amp;mode=search", "토지이음")</f>
        <v/>
      </c>
      <c r="O1324" s="3" t="inlineStr">
        <is>
          <t>오송퍼스트영웅</t>
        </is>
      </c>
      <c r="P1324" s="4" t="n">
        <v>1</v>
      </c>
      <c r="Q1324" s="4" t="n">
        <v>1714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세로한면(불)</t>
        </is>
      </c>
    </row>
    <row r="1325">
      <c r="A1325" s="3" t="inlineStr">
        <is>
          <t>오송읍 상정리 62-2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58000</v>
      </c>
      <c r="G1325" s="4" t="n">
        <v>647</v>
      </c>
      <c r="H1325" s="4" t="n">
        <v>196</v>
      </c>
      <c r="I1325" s="5" t="n">
        <v>295.9</v>
      </c>
      <c r="J1325" s="5" t="n">
        <v>53.2</v>
      </c>
      <c r="K1325" s="3" t="inlineStr">
        <is>
          <t>농업용 주택부설창고</t>
        </is>
      </c>
      <c r="L1325" s="6">
        <f>HYPERLINK("https://fin.land.naver.com/articles/2650749483", "매물Link")</f>
        <v/>
      </c>
      <c r="M1325" s="6">
        <f>HYPERLINK("https://map.naver.com/p/search/오송읍 상정리 62-2", "지도Link")</f>
        <v/>
      </c>
      <c r="N1325" s="6">
        <f>HYPERLINK("http://www.eum.go.kr/web/ar/lu/luLandDet.jsp?pnu=4311325022100620002&amp;isNoScr=script&amp;mode=search", "토지이음")</f>
        <v/>
      </c>
      <c r="O1325" s="3" t="inlineStr">
        <is>
          <t>현담</t>
        </is>
      </c>
      <c r="P1325" s="4" t="n">
        <v>1</v>
      </c>
      <c r="Q1325" s="4" t="n">
        <v>647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오송읍 상정리 669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</v>
      </c>
      <c r="G1326" s="4" t="n">
        <v>507</v>
      </c>
      <c r="H1326" s="4" t="n">
        <v>153</v>
      </c>
      <c r="I1326" s="5" t="n">
        <v>235.3</v>
      </c>
      <c r="J1326" s="5" t="n">
        <v>80.09999999999999</v>
      </c>
      <c r="K1326" s="3" t="inlineStr">
        <is>
          <t>작은주택이 있는 전원주택부지</t>
        </is>
      </c>
      <c r="L1326" s="6">
        <f>HYPERLINK("https://fin.land.naver.com/articles/2649989115", "매물Link")</f>
        <v/>
      </c>
      <c r="M1326" s="6">
        <f>HYPERLINK("https://map.naver.com/p/search/오송읍 상정리 669", "지도Link")</f>
        <v/>
      </c>
      <c r="N1326" s="6">
        <f>HYPERLINK("http://www.eum.go.kr/web/ar/lu/luLandDet.jsp?pnu=4311325022106690000&amp;isNoScr=script&amp;mode=search",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507.1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상정리 725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33000</v>
      </c>
      <c r="G1327" s="4" t="n">
        <v>541</v>
      </c>
      <c r="H1327" s="4" t="n">
        <v>164</v>
      </c>
      <c r="I1327" s="5" t="n">
        <v>201.2</v>
      </c>
      <c r="J1327" s="5" t="n">
        <v>80.09999999999999</v>
      </c>
      <c r="K1327" s="3" t="inlineStr">
        <is>
          <t>고급 전원주택 단지 계획관리지역 건폐율60 지역 화장품단지 호재</t>
        </is>
      </c>
      <c r="L1327" s="6">
        <f>HYPERLINK("https://fin.land.naver.com/articles/2649903782", "매물Link")</f>
        <v/>
      </c>
      <c r="M1327" s="6">
        <f>HYPERLINK("https://map.naver.com/p/search/오송읍 상정리 725", "지도Link")</f>
        <v/>
      </c>
      <c r="N1327" s="6">
        <f>HYPERLINK("http://www.eum.go.kr/web/ar/lu/luLandDet.jsp?pnu=4311325022107250000&amp;isNoScr=script&amp;mode=search", "토지이음")</f>
        <v/>
      </c>
      <c r="O1327" s="3" t="inlineStr">
        <is>
          <t>프렌즈</t>
        </is>
      </c>
      <c r="P1327" s="4" t="n">
        <v>1</v>
      </c>
      <c r="Q1327" s="4" t="n">
        <v>541.1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오송읍 상정리 751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535</v>
      </c>
      <c r="H1328" s="4" t="n">
        <v>162</v>
      </c>
      <c r="I1328" s="5" t="n">
        <v>179</v>
      </c>
      <c r="J1328" s="5" t="n">
        <v>80.09999999999999</v>
      </c>
      <c r="K1328" s="3" t="inlineStr">
        <is>
          <t>nan</t>
        </is>
      </c>
      <c r="L1328" s="6">
        <f>HYPERLINK("https://fin.land.naver.com/articles/2646062468", "매물Link")</f>
        <v/>
      </c>
      <c r="M1328" s="6">
        <f>HYPERLINK("https://map.naver.com/p/search/오송읍 상정리 751", "지도Link")</f>
        <v/>
      </c>
      <c r="N1328" s="6">
        <f>HYPERLINK("http://www.eum.go.kr/web/ar/lu/luLandDet.jsp?pnu=4311325022107510000&amp;isNoScr=script&amp;mode=search", "토지이음")</f>
        <v/>
      </c>
      <c r="O1328" s="3" t="inlineStr">
        <is>
          <t>OK파라곤</t>
        </is>
      </c>
      <c r="P1328" s="4" t="n">
        <v>3</v>
      </c>
      <c r="Q1328" s="4" t="n">
        <v>535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오송읍 상정리 79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32000</v>
      </c>
      <c r="G1329" s="4" t="n">
        <v>2383</v>
      </c>
      <c r="H1329" s="4" t="n">
        <v>721</v>
      </c>
      <c r="I1329" s="5" t="n">
        <v>44.4</v>
      </c>
      <c r="J1329" s="5" t="n">
        <v>18</v>
      </c>
      <c r="K1329" s="3" t="inlineStr">
        <is>
          <t>여유를 만끽할 수 있는 토지,  인근전원주택지 개발된 오송화장품 산단 옆</t>
        </is>
      </c>
      <c r="L1329" s="6">
        <f>HYPERLINK("https://fin.land.naver.com/articles/2649495113", "매물Link")</f>
        <v/>
      </c>
      <c r="M1329" s="6">
        <f>HYPERLINK("https://map.naver.com/p/search/오송읍 상정리 79", "지도Link")</f>
        <v/>
      </c>
      <c r="N1329" s="6">
        <f>HYPERLINK("http://www.eum.go.kr/web/ar/lu/luLandDet.jsp?pnu=4311325022100790000&amp;isNoScr=script&amp;mode=search", "토지이음")</f>
        <v/>
      </c>
      <c r="O1329" s="3" t="inlineStr">
        <is>
          <t>OK파라곤</t>
        </is>
      </c>
      <c r="P1329" s="4" t="n">
        <v>1</v>
      </c>
      <c r="Q1329" s="4" t="n">
        <v>2383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세로한면(불)</t>
        </is>
      </c>
    </row>
    <row r="1330">
      <c r="A1330" s="3" t="inlineStr">
        <is>
          <t>오송읍 상정리 89-34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651</v>
      </c>
      <c r="H1330" s="4" t="n">
        <v>197</v>
      </c>
      <c r="I1330" s="5" t="n">
        <v>304.6</v>
      </c>
      <c r="J1330" s="5" t="n">
        <v>76.09999999999999</v>
      </c>
      <c r="K1330" s="3" t="inlineStr">
        <is>
          <t>동물병원</t>
        </is>
      </c>
      <c r="L1330" s="6">
        <f>HYPERLINK("https://fin.land.naver.com/articles/2647651688", "매물Link")</f>
        <v/>
      </c>
      <c r="M1330" s="6">
        <f>HYPERLINK("https://map.naver.com/p/search/오송읍 상정리 89-34", "지도Link")</f>
        <v/>
      </c>
      <c r="N1330" s="6">
        <f>HYPERLINK("http://www.eum.go.kr/web/ar/lu/luLandDet.jsp?pnu=4311325022100890034&amp;isNoScr=script&amp;mode=search", "토지이음")</f>
        <v/>
      </c>
      <c r="O1330" s="3" t="inlineStr">
        <is>
          <t>현담</t>
        </is>
      </c>
      <c r="P1330" s="4" t="n">
        <v>1</v>
      </c>
      <c r="Q1330" s="4" t="n">
        <v>651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세로각지(가)</t>
        </is>
      </c>
    </row>
    <row r="1331">
      <c r="A1331" s="3" t="inlineStr">
        <is>
          <t>오송읍 상정리 산55-2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31845</v>
      </c>
      <c r="G1331" s="4" t="n">
        <v>637</v>
      </c>
      <c r="H1331" s="4" t="n">
        <v>193</v>
      </c>
      <c r="I1331" s="5" t="n">
        <v>165</v>
      </c>
      <c r="J1331" s="5" t="n">
        <v>74.90000000000001</v>
      </c>
      <c r="K1331" s="3" t="inlineStr">
        <is>
          <t>전원투택용지 화장품단지인근 전원주택마을</t>
        </is>
      </c>
      <c r="L1331" s="6">
        <f>HYPERLINK("https://fin.land.naver.com/articles/2647625447", "매물Link")</f>
        <v/>
      </c>
      <c r="M1331" s="6">
        <f>HYPERLINK("https://map.naver.com/p/search/오송읍 상정리 산55-2", "지도Link")</f>
        <v/>
      </c>
      <c r="N1331" s="6">
        <f>HYPERLINK("http://www.eum.go.kr/web/ar/lu/luLandDet.jsp?pnu=4311325022200550002&amp;isNoScr=script&amp;mode=search", "토지이음")</f>
        <v/>
      </c>
      <c r="O1331" s="3" t="inlineStr">
        <is>
          <t>자이원</t>
        </is>
      </c>
      <c r="P1331" s="4" t="n">
        <v>1</v>
      </c>
      <c r="Q1331" s="4" t="n">
        <v>595</v>
      </c>
      <c r="R1331" s="3" t="inlineStr">
        <is>
          <t>계획관리지역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자루형</t>
        </is>
      </c>
      <c r="V1331" s="3" t="inlineStr">
        <is>
          <t>세로한면(가)</t>
        </is>
      </c>
    </row>
    <row r="1332">
      <c r="A1332" s="3" t="inlineStr">
        <is>
          <t>오송읍 상정리 산55-3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</v>
      </c>
      <c r="G1332" s="4" t="n">
        <v>555</v>
      </c>
      <c r="H1332" s="4" t="n">
        <v>168</v>
      </c>
      <c r="I1332" s="5" t="n">
        <v>178.6</v>
      </c>
      <c r="J1332" s="5" t="n">
        <v>78.3</v>
      </c>
      <c r="K1332" s="3" t="inlineStr">
        <is>
          <t>nan</t>
        </is>
      </c>
      <c r="L1332" s="6">
        <f>HYPERLINK("https://fin.land.naver.com/articles/2647631044", "매물Link")</f>
        <v/>
      </c>
      <c r="M1332" s="6">
        <f>HYPERLINK("https://map.naver.com/p/search/오송읍 상정리 산55-3", "지도Link")</f>
        <v/>
      </c>
      <c r="N1332" s="6">
        <f>HYPERLINK("http://www.eum.go.kr/web/ar/lu/luLandDet.jsp?pnu=4311325022200550003&amp;isNoScr=script&amp;mode=search", "토지이음")</f>
        <v/>
      </c>
      <c r="O1332" s="3" t="inlineStr">
        <is>
          <t>프로</t>
        </is>
      </c>
      <c r="P1332" s="4" t="n">
        <v>2</v>
      </c>
      <c r="Q1332" s="4" t="n">
        <v>555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서평리 127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153000</v>
      </c>
      <c r="G1333" s="4" t="n">
        <v>4225</v>
      </c>
      <c r="H1333" s="4" t="n">
        <v>1278</v>
      </c>
      <c r="I1333" s="5" t="n">
        <v>119.7</v>
      </c>
      <c r="J1333" s="5" t="n">
        <v>59.4</v>
      </c>
      <c r="K1333" s="3" t="inlineStr">
        <is>
          <t>오송제3국가산업단지 개발예정지 도로에 접한 토지</t>
        </is>
      </c>
      <c r="L1333" s="6">
        <f>HYPERLINK("https://fin.land.naver.com/articles/2646007810", "매물Link")</f>
        <v/>
      </c>
      <c r="M1333" s="6">
        <f>HYPERLINK("https://map.naver.com/p/search/오송읍 서평리 127", "지도Link")</f>
        <v/>
      </c>
      <c r="N1333" s="6">
        <f>HYPERLINK("http://www.eum.go.kr/web/ar/lu/luLandDet.jsp?pnu=4311325030101270000&amp;isNoScr=script&amp;mode=search", "토지이음")</f>
        <v/>
      </c>
      <c r="O1333" s="3" t="inlineStr">
        <is>
          <t>세종대박</t>
        </is>
      </c>
      <c r="P1333" s="4" t="n">
        <v>1</v>
      </c>
      <c r="Q1333" s="4" t="n">
        <v>4225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서평리 128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132000</v>
      </c>
      <c r="G1334" s="4" t="n">
        <v>3967</v>
      </c>
      <c r="H1334" s="4" t="n">
        <v>1200</v>
      </c>
      <c r="I1334" s="5" t="n">
        <v>110</v>
      </c>
      <c r="J1334" s="5" t="n">
        <v>55.5</v>
      </c>
      <c r="K1334" s="3" t="inlineStr">
        <is>
          <t>오송제3국가산업단지 개발예정지 도로에 접한 토지</t>
        </is>
      </c>
      <c r="L1334" s="6">
        <f>HYPERLINK("https://fin.land.naver.com/articles/2646008020", "매물Link")</f>
        <v/>
      </c>
      <c r="M1334" s="6">
        <f>HYPERLINK("https://map.naver.com/p/search/오송읍 서평리 128", "지도Link")</f>
        <v/>
      </c>
      <c r="N1334" s="6">
        <f>HYPERLINK("http://www.eum.go.kr/web/ar/lu/luLandDet.jsp?pnu=4311325030101280000&amp;isNoScr=script&amp;mode=search",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3967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131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140000</v>
      </c>
      <c r="G1335" s="4" t="n">
        <v>4076</v>
      </c>
      <c r="H1335" s="4" t="n">
        <v>1233</v>
      </c>
      <c r="I1335" s="5" t="n">
        <v>113.5</v>
      </c>
      <c r="J1335" s="5" t="n">
        <v>55.5</v>
      </c>
      <c r="K1335" s="3" t="inlineStr">
        <is>
          <t>2차선 지방도변 농지로 오송3산업단지 인접지</t>
        </is>
      </c>
      <c r="L1335" s="6">
        <f>HYPERLINK("https://fin.land.naver.com/articles/2646747475", "매물Link")</f>
        <v/>
      </c>
      <c r="M1335" s="6">
        <f>HYPERLINK("https://map.naver.com/p/search/오송읍 서평리 131", "지도Link")</f>
        <v/>
      </c>
      <c r="N1335" s="6">
        <f>HYPERLINK("http://www.eum.go.kr/web/ar/lu/luLandDet.jsp?pnu=4311325030101310000&amp;isNoScr=script&amp;mode=search",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4076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180-6</t>
        </is>
      </c>
      <c r="B1336" s="3" t="inlineStr">
        <is>
          <t>농림지역</t>
        </is>
      </c>
      <c r="C1336" s="3" t="inlineStr">
        <is>
          <t>창고용지</t>
        </is>
      </c>
      <c r="D1336" s="3" t="inlineStr">
        <is>
          <t>답</t>
        </is>
      </c>
      <c r="E1336" s="3" t="inlineStr">
        <is>
          <t>매매</t>
        </is>
      </c>
      <c r="F1336" s="4" t="n">
        <v>360000</v>
      </c>
      <c r="G1336" s="4" t="n">
        <v>2866</v>
      </c>
      <c r="H1336" s="4" t="n">
        <v>867</v>
      </c>
      <c r="I1336" s="5" t="n">
        <v>415.2</v>
      </c>
      <c r="J1336" s="5" t="n">
        <v>128.3</v>
      </c>
      <c r="K1336" s="3" t="inlineStr">
        <is>
          <t>매물 특징</t>
        </is>
      </c>
      <c r="L1336" s="6">
        <f>HYPERLINK("https://fin.land.naver.com/articles/2647144879", "매물Link")</f>
        <v/>
      </c>
      <c r="M1336" s="6">
        <f>HYPERLINK("https://map.naver.com/p/search/오송읍 서평리 180-6", "지도Link")</f>
        <v/>
      </c>
      <c r="N1336" s="6">
        <f>HYPERLINK("http://www.eum.go.kr/web/ar/lu/luLandDet.jsp?pnu=4311325030101800006&amp;isNoScr=script&amp;mode=search", "토지이음")</f>
        <v/>
      </c>
      <c r="O1336" s="3" t="inlineStr">
        <is>
          <t>오송궁평마을</t>
        </is>
      </c>
      <c r="P1336" s="4" t="n">
        <v>1</v>
      </c>
      <c r="Q1336" s="4" t="n">
        <v>769</v>
      </c>
      <c r="R1336" s="3" t="inlineStr">
        <is>
          <t>지정되지않음</t>
        </is>
      </c>
      <c r="S1336" s="3" t="inlineStr">
        <is>
          <t>답창고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광대로한면</t>
        </is>
      </c>
    </row>
    <row r="1337">
      <c r="A1337" s="3" t="inlineStr">
        <is>
          <t>오송읍 서평리 180-6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360000</v>
      </c>
      <c r="G1337" s="4" t="n">
        <v>2866</v>
      </c>
      <c r="H1337" s="4" t="n">
        <v>867</v>
      </c>
      <c r="I1337" s="5" t="n">
        <v>415.2</v>
      </c>
      <c r="J1337" s="5" t="n">
        <v>128.3</v>
      </c>
      <c r="K1337" s="3" t="inlineStr">
        <is>
          <t>nan</t>
        </is>
      </c>
      <c r="L1337" s="6">
        <f>HYPERLINK("https://fin.land.naver.com/articles/2650862822", "매물Link")</f>
        <v/>
      </c>
      <c r="M1337" s="6">
        <f>HYPERLINK("https://map.naver.com/p/search/오송읍 서평리 180-6", "지도Link")</f>
        <v/>
      </c>
      <c r="N1337" s="6">
        <f>HYPERLINK("http://www.eum.go.kr/web/ar/lu/luLandDet.jsp?pnu=4311325030101800006&amp;isNoScr=script&amp;mode=search", "토지이음")</f>
        <v/>
      </c>
      <c r="O1337" s="3" t="inlineStr">
        <is>
          <t>프로</t>
        </is>
      </c>
      <c r="P1337" s="4" t="n">
        <v>2</v>
      </c>
      <c r="Q1337" s="4" t="n">
        <v>769</v>
      </c>
      <c r="R1337" s="3" t="inlineStr">
        <is>
          <t>지정되지않음</t>
        </is>
      </c>
      <c r="S1337" s="3" t="inlineStr">
        <is>
          <t>답창고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광대로한면</t>
        </is>
      </c>
    </row>
    <row r="1338">
      <c r="A1338" s="3" t="inlineStr">
        <is>
          <t>오송읍 서평리 182-5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79000</v>
      </c>
      <c r="G1338" s="4" t="n">
        <v>3798</v>
      </c>
      <c r="H1338" s="4" t="n">
        <v>1149</v>
      </c>
      <c r="I1338" s="5" t="n">
        <v>68.8</v>
      </c>
      <c r="J1338" s="5" t="n">
        <v>36.9</v>
      </c>
      <c r="K1338" s="3" t="inlineStr">
        <is>
          <t>4m 도로 접, 3산단 수용지 인접 개발호재, 5차선대로까지 200m</t>
        </is>
      </c>
      <c r="L1338" s="6">
        <f>HYPERLINK("https://fin.land.naver.com/articles/2648617098", "매물Link")</f>
        <v/>
      </c>
      <c r="M1338" s="6">
        <f>HYPERLINK("https://map.naver.com/p/search/오송읍 서평리 182-5", "지도Link")</f>
        <v/>
      </c>
      <c r="N1338" s="6">
        <f>HYPERLINK("http://www.eum.go.kr/web/ar/lu/luLandDet.jsp?pnu=4311325030101820005&amp;isNoScr=script&amp;mode=search",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3798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189-4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85000</v>
      </c>
      <c r="G1339" s="4" t="n">
        <v>2000</v>
      </c>
      <c r="H1339" s="4" t="n">
        <v>605</v>
      </c>
      <c r="I1339" s="5" t="n">
        <v>140.5</v>
      </c>
      <c r="J1339" s="5" t="n">
        <v>37.3</v>
      </c>
      <c r="K1339" s="3" t="inlineStr">
        <is>
          <t>제3생명과학 국가산단옆, 진입전면넓음, 7.5m도로,</t>
        </is>
      </c>
      <c r="L1339" s="6">
        <f>HYPERLINK("https://fin.land.naver.com/articles/2646638287", "매물Link")</f>
        <v/>
      </c>
      <c r="M1339" s="6">
        <f>HYPERLINK("https://map.naver.com/p/search/오송읍 서평리 189-4", "지도Link")</f>
        <v/>
      </c>
      <c r="N1339" s="6">
        <f>HYPERLINK("http://www.eum.go.kr/web/ar/lu/luLandDet.jsp?pnu=4311325030101890004&amp;isNoScr=script&amp;mode=search", "토지이음")</f>
        <v/>
      </c>
      <c r="O1339" s="3" t="inlineStr">
        <is>
          <t>오송부자마을</t>
        </is>
      </c>
      <c r="P1339" s="4" t="n">
        <v>1</v>
      </c>
      <c r="Q1339" s="4" t="n">
        <v>2000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오송읍 서평리 194-2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100000</v>
      </c>
      <c r="G1340" s="4" t="n">
        <v>2182</v>
      </c>
      <c r="H1340" s="4" t="n">
        <v>660</v>
      </c>
      <c r="I1340" s="5" t="n">
        <v>151.5</v>
      </c>
      <c r="J1340" s="5" t="n">
        <v>54.7</v>
      </c>
      <c r="K1340" s="3" t="inlineStr">
        <is>
          <t>복숭아등 과일 노상 판매장용도 추천</t>
        </is>
      </c>
      <c r="L1340" s="6">
        <f>HYPERLINK("https://fin.land.naver.com/articles/2649950268", "매물Link")</f>
        <v/>
      </c>
      <c r="M1340" s="6">
        <f>HYPERLINK("https://map.naver.com/p/search/오송읍 서평리 194-2", "지도Link")</f>
        <v/>
      </c>
      <c r="N1340" s="6">
        <f>HYPERLINK("http://www.eum.go.kr/web/ar/lu/luLandDet.jsp?pnu=4311325030101940002&amp;isNoScr=script&amp;mode=search",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2182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서평리 196-3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86000</v>
      </c>
      <c r="G1341" s="4" t="n">
        <v>4205</v>
      </c>
      <c r="H1341" s="4" t="n">
        <v>1272</v>
      </c>
      <c r="I1341" s="5" t="n">
        <v>67.59999999999999</v>
      </c>
      <c r="J1341" s="5" t="n">
        <v>54.7</v>
      </c>
      <c r="K1341" s="3" t="inlineStr">
        <is>
          <t>오송3산단 배후지, 토지거해허가해제로 지가 상승 유망 투자지역</t>
        </is>
      </c>
      <c r="L1341" s="6">
        <f>HYPERLINK("https://fin.land.naver.com/articles/2647661512", "매물Link")</f>
        <v/>
      </c>
      <c r="M1341" s="6">
        <f>HYPERLINK("https://map.naver.com/p/search/오송읍 서평리 196-3", "지도Link")</f>
        <v/>
      </c>
      <c r="N1341" s="6">
        <f>HYPERLINK("http://www.eum.go.kr/web/ar/lu/luLandDet.jsp?pnu=4311325030101960003&amp;isNoScr=script&amp;mode=search", "토지이음")</f>
        <v/>
      </c>
      <c r="O1341" s="3" t="inlineStr">
        <is>
          <t>청주모충사모1/2LH트릴로채명성</t>
        </is>
      </c>
      <c r="P1341" s="4" t="n">
        <v>2</v>
      </c>
      <c r="Q1341" s="4" t="n">
        <v>2033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210-1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44700</v>
      </c>
      <c r="G1342" s="4" t="n">
        <v>1477</v>
      </c>
      <c r="H1342" s="4" t="n">
        <v>447</v>
      </c>
      <c r="I1342" s="5" t="n">
        <v>100</v>
      </c>
      <c r="J1342" s="5" t="n">
        <v>54.7</v>
      </c>
      <c r="K1342" s="3" t="inlineStr">
        <is>
          <t>nan</t>
        </is>
      </c>
      <c r="L1342" s="6">
        <f>HYPERLINK("https://fin.land.naver.com/articles/2646609337", "매물Link")</f>
        <v/>
      </c>
      <c r="M1342" s="6">
        <f>HYPERLINK("https://map.naver.com/p/search/오송읍 서평리 210-1", "지도Link")</f>
        <v/>
      </c>
      <c r="N1342" s="6">
        <f>HYPERLINK("http://www.eum.go.kr/web/ar/lu/luLandDet.jsp?pnu=4311325030102100001&amp;isNoScr=script&amp;mode=search", "토지이음")</f>
        <v/>
      </c>
      <c r="O1342" s="3" t="inlineStr">
        <is>
          <t>세종큰길</t>
        </is>
      </c>
      <c r="P1342" s="4" t="n">
        <v>1</v>
      </c>
      <c r="Q1342" s="4" t="n">
        <v>1373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214-10</t>
        </is>
      </c>
      <c r="B1343" s="3" t="inlineStr">
        <is>
          <t>농림지역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198720</v>
      </c>
      <c r="G1343" s="4" t="n">
        <v>4564</v>
      </c>
      <c r="H1343" s="4" t="n">
        <v>1381</v>
      </c>
      <c r="I1343" s="5" t="n">
        <v>143.9</v>
      </c>
      <c r="J1343" s="5" t="n">
        <v>54.7</v>
      </c>
      <c r="K1343" s="3" t="inlineStr">
        <is>
          <t>오송3산단 배후지, 토지거래허가 해제로 대토용지로 지가상승 유망 투자지역</t>
        </is>
      </c>
      <c r="L1343" s="6">
        <f>HYPERLINK("https://fin.land.naver.com/articles/2650412996", "매물Link")</f>
        <v/>
      </c>
      <c r="M1343" s="6">
        <f>HYPERLINK("https://map.naver.com/p/search/오송읍 서평리 214-10", "지도Link")</f>
        <v/>
      </c>
      <c r="N1343" s="6">
        <f>HYPERLINK("http://www.eum.go.kr/web/ar/lu/luLandDet.jsp?pnu=4311325030102140010&amp;isNoScr=script&amp;mode=search", "토지이음")</f>
        <v/>
      </c>
      <c r="O1343" s="3" t="inlineStr">
        <is>
          <t>청주모충사모1/2LH트릴로채명성</t>
        </is>
      </c>
      <c r="P1343" s="4" t="n">
        <v>1</v>
      </c>
      <c r="Q1343" s="4" t="n">
        <v>4213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오송읍 서평리 214-4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122000</v>
      </c>
      <c r="G1344" s="4" t="n">
        <v>3080</v>
      </c>
      <c r="H1344" s="4" t="n">
        <v>932</v>
      </c>
      <c r="I1344" s="5" t="n">
        <v>130.9</v>
      </c>
      <c r="J1344" s="5" t="n">
        <v>54.7</v>
      </c>
      <c r="K1344" s="3" t="inlineStr">
        <is>
          <t>2차선 도로접한 토지</t>
        </is>
      </c>
      <c r="L1344" s="6">
        <f>HYPERLINK("https://fin.land.naver.com/articles/2650856660", "매물Link")</f>
        <v/>
      </c>
      <c r="M1344" s="6">
        <f>HYPERLINK("https://map.naver.com/p/search/오송읍 서평리 214-4", "지도Link")</f>
        <v/>
      </c>
      <c r="N1344" s="6">
        <f>HYPERLINK("http://www.eum.go.kr/web/ar/lu/luLandDet.jsp?pnu=4311325030102140004&amp;isNoScr=script&amp;mode=search",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3080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219-30</t>
        </is>
      </c>
      <c r="B1345" s="3" t="inlineStr">
        <is>
          <t>농림지역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41500</v>
      </c>
      <c r="G1345" s="4" t="n">
        <v>2648</v>
      </c>
      <c r="H1345" s="4" t="n">
        <v>801</v>
      </c>
      <c r="I1345" s="5" t="n">
        <v>51.8</v>
      </c>
      <c r="J1345" s="5" t="n">
        <v>35.5</v>
      </c>
      <c r="K1345" s="3" t="inlineStr">
        <is>
          <t>파격가 급매물, 오송3산단 호재있는 투자용 물건, 하우스 6동 포함</t>
        </is>
      </c>
      <c r="L1345" s="6">
        <f>HYPERLINK("https://fin.land.naver.com/articles/2648088489", "매물Link")</f>
        <v/>
      </c>
      <c r="M1345" s="6">
        <f>HYPERLINK("https://map.naver.com/p/search/오송읍 서평리 219-30", "지도Link")</f>
        <v/>
      </c>
      <c r="N1345" s="6">
        <f>HYPERLINK("http://www.eum.go.kr/web/ar/lu/luLandDet.jsp?pnu=4311325030102190030&amp;isNoScr=script&amp;mode=search", "토지이음")</f>
        <v/>
      </c>
      <c r="O1345" s="3" t="inlineStr">
        <is>
          <t>오송3산단  사무소</t>
        </is>
      </c>
      <c r="P1345" s="4" t="n">
        <v>1</v>
      </c>
      <c r="Q1345" s="4" t="n">
        <v>2648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서평리 281-1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105000</v>
      </c>
      <c r="G1346" s="4" t="n">
        <v>2827</v>
      </c>
      <c r="H1346" s="4" t="n">
        <v>855</v>
      </c>
      <c r="I1346" s="5" t="n">
        <v>122.8</v>
      </c>
      <c r="J1346" s="5" t="n">
        <v>29.5</v>
      </c>
      <c r="K1346" s="3" t="inlineStr">
        <is>
          <t>하우스시설이 완비된 토지,주변 토지와 일괄 매매</t>
        </is>
      </c>
      <c r="L1346" s="6">
        <f>HYPERLINK("https://fin.land.naver.com/articles/2648013053", "매물Link")</f>
        <v/>
      </c>
      <c r="M1346" s="6">
        <f>HYPERLINK("https://map.naver.com/p/search/오송읍 서평리 281-1", "지도Link")</f>
        <v/>
      </c>
      <c r="N1346" s="6">
        <f>HYPERLINK("http://www.eum.go.kr/web/ar/lu/luLandDet.jsp?pnu=4311325030102810001&amp;isNoScr=script&amp;mode=search",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2827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296-4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2340</v>
      </c>
      <c r="H1347" s="4" t="n">
        <v>708</v>
      </c>
      <c r="I1347" s="5" t="n">
        <v>56.5</v>
      </c>
      <c r="J1347" s="5" t="n">
        <v>29.5</v>
      </c>
      <c r="K1347" s="3" t="inlineStr">
        <is>
          <t>오송 3산단 인근, 투자용</t>
        </is>
      </c>
      <c r="L1347" s="6">
        <f>HYPERLINK("https://fin.land.naver.com/articles/2646724001", "매물Link")</f>
        <v/>
      </c>
      <c r="M1347" s="6">
        <f>HYPERLINK("https://map.naver.com/p/search/오송읍 서평리 296-4", "지도Link")</f>
        <v/>
      </c>
      <c r="N1347" s="6">
        <f>HYPERLINK("http://www.eum.go.kr/web/ar/lu/luLandDet.jsp?pnu=4311325030102960004&amp;isNoScr=script&amp;mode=search", "토지이음")</f>
        <v/>
      </c>
      <c r="O1347" s="3" t="inlineStr">
        <is>
          <t>오송타운</t>
        </is>
      </c>
      <c r="P1347" s="4" t="n">
        <v>1</v>
      </c>
      <c r="Q1347" s="4" t="n">
        <v>2340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서평리 354-1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96000</v>
      </c>
      <c r="G1348" s="4" t="n">
        <v>3507</v>
      </c>
      <c r="H1348" s="4" t="n">
        <v>1061</v>
      </c>
      <c r="I1348" s="5" t="n">
        <v>90.5</v>
      </c>
      <c r="J1348" s="5" t="n">
        <v>41.7</v>
      </c>
      <c r="K1348" s="3" t="inlineStr">
        <is>
          <t>오송3산업단지 수용지 인근 투자</t>
        </is>
      </c>
      <c r="L1348" s="6">
        <f>HYPERLINK("https://fin.land.naver.com/articles/2648237005", "매물Link")</f>
        <v/>
      </c>
      <c r="M1348" s="6">
        <f>HYPERLINK("https://map.naver.com/p/search/오송읍 서평리 354-1", "지도Link")</f>
        <v/>
      </c>
      <c r="N1348" s="6">
        <f>HYPERLINK("http://www.eum.go.kr/web/ar/lu/luLandDet.jsp?pnu=4311325030103540001&amp;isNoScr=script&amp;mode=search",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2466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356</t>
        </is>
      </c>
      <c r="B1349" s="3" t="inlineStr">
        <is>
          <t>농림지역</t>
        </is>
      </c>
      <c r="C1349" s="3" t="inlineStr">
        <is>
          <t>창고용지</t>
        </is>
      </c>
      <c r="D1349" s="3" t="inlineStr">
        <is>
          <t>창고용지</t>
        </is>
      </c>
      <c r="E1349" s="3" t="inlineStr">
        <is>
          <t>매매</t>
        </is>
      </c>
      <c r="F1349" s="4" t="n">
        <v>120000</v>
      </c>
      <c r="G1349" s="4" t="n">
        <v>2423</v>
      </c>
      <c r="H1349" s="4" t="n">
        <v>733</v>
      </c>
      <c r="I1349" s="5" t="n">
        <v>163.7</v>
      </c>
      <c r="J1349" s="5" t="n">
        <v>49.6</v>
      </c>
      <c r="K1349" s="3" t="inlineStr">
        <is>
          <t>오송3산단예정지인근 2차선변 농업용창고,부분거래가능</t>
        </is>
      </c>
      <c r="L1349" s="6">
        <f>HYPERLINK("https://fin.land.naver.com/articles/2650475978", "매물Link")</f>
        <v/>
      </c>
      <c r="M1349" s="6">
        <f>HYPERLINK("https://map.naver.com/p/search/오송읍 서평리 356", "지도Link")</f>
        <v/>
      </c>
      <c r="N1349" s="6">
        <f>HYPERLINK("http://www.eum.go.kr/web/ar/lu/luLandDet.jsp?pnu=4311325030103560000&amp;isNoScr=script&amp;mode=search", "토지이음")</f>
        <v/>
      </c>
      <c r="O1349" s="3" t="inlineStr">
        <is>
          <t>가치잇는</t>
        </is>
      </c>
      <c r="P1349" s="4" t="n">
        <v>3</v>
      </c>
      <c r="Q1349" s="4" t="n">
        <v>900</v>
      </c>
      <c r="R1349" s="3" t="inlineStr">
        <is>
          <t>지정되지않음</t>
        </is>
      </c>
      <c r="S1349" s="3" t="inlineStr">
        <is>
          <t>답창고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오송읍 서평리 381-8</t>
        </is>
      </c>
      <c r="B1350" s="3" t="inlineStr">
        <is>
          <t>생산관리지역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124000</v>
      </c>
      <c r="G1350" s="4" t="n">
        <v>4100</v>
      </c>
      <c r="H1350" s="4" t="n">
        <v>1240</v>
      </c>
      <c r="I1350" s="5" t="n">
        <v>100</v>
      </c>
      <c r="J1350" s="5" t="n">
        <v>39.1</v>
      </c>
      <c r="K1350" s="3" t="inlineStr">
        <is>
          <t>nan</t>
        </is>
      </c>
      <c r="L1350" s="6">
        <f>HYPERLINK("https://fin.land.naver.com/articles/2645907513", "매물Link")</f>
        <v/>
      </c>
      <c r="M1350" s="6">
        <f>HYPERLINK("https://map.naver.com/p/search/오송읍 서평리 381-8", "지도Link")</f>
        <v/>
      </c>
      <c r="N1350" s="6">
        <f>HYPERLINK("http://www.eum.go.kr/web/ar/lu/luLandDet.jsp?pnu=4311325030103810008&amp;isNoScr=script&amp;mode=search", "토지이음")</f>
        <v/>
      </c>
      <c r="O1350" s="3" t="inlineStr">
        <is>
          <t>세종땅전문</t>
        </is>
      </c>
      <c r="P1350" s="4" t="n">
        <v>1</v>
      </c>
      <c r="Q1350" s="4" t="n">
        <v>4100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세로한면(불)</t>
        </is>
      </c>
    </row>
    <row r="1351">
      <c r="A1351" s="3" t="inlineStr">
        <is>
          <t>오송읍 서평리 56-9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57400</v>
      </c>
      <c r="G1351" s="4" t="n">
        <v>542</v>
      </c>
      <c r="H1351" s="4" t="n">
        <v>164</v>
      </c>
      <c r="I1351" s="5" t="n">
        <v>350</v>
      </c>
      <c r="J1351" s="5" t="n">
        <v>195.9</v>
      </c>
      <c r="K1351" s="3" t="inlineStr">
        <is>
          <t>오송읍 서평리 주거개발진흥지구내 다가구 .상가.상가주택등 신축 추천</t>
        </is>
      </c>
      <c r="L1351" s="6">
        <f>HYPERLINK("https://fin.land.naver.com/articles/2649339502", "매물Link")</f>
        <v/>
      </c>
      <c r="M1351" s="6">
        <f>HYPERLINK("https://map.naver.com/p/search/오송읍 서평리 56-9", "지도Link")</f>
        <v/>
      </c>
      <c r="N1351" s="6">
        <f>HYPERLINK("http://www.eum.go.kr/web/ar/lu/luLandDet.jsp?pnu=4311325030100560009&amp;isNoScr=script&amp;mode=search", "토지이음")</f>
        <v/>
      </c>
      <c r="O1351" s="3" t="inlineStr">
        <is>
          <t>그린</t>
        </is>
      </c>
      <c r="P1351" s="4" t="n">
        <v>1</v>
      </c>
      <c r="Q1351" s="4" t="n">
        <v>542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중로한면</t>
        </is>
      </c>
    </row>
    <row r="1352">
      <c r="A1352" s="3" t="inlineStr">
        <is>
          <t>오송읍 서평리 664-54</t>
        </is>
      </c>
      <c r="B1352" s="3" t="inlineStr">
        <is>
          <t>생산관리지역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52000</v>
      </c>
      <c r="G1352" s="4" t="n">
        <v>625</v>
      </c>
      <c r="H1352" s="4" t="n">
        <v>189</v>
      </c>
      <c r="I1352" s="5" t="n">
        <v>275.1</v>
      </c>
      <c r="J1352" s="5" t="n">
        <v>49</v>
      </c>
      <c r="K1352" s="3" t="inlineStr">
        <is>
          <t>건축중인 토지관리지역</t>
        </is>
      </c>
      <c r="L1352" s="6">
        <f>HYPERLINK("https://fin.land.naver.com/articles/2646729509", "매물Link")</f>
        <v/>
      </c>
      <c r="M1352" s="6">
        <f>HYPERLINK("https://map.naver.com/p/search/오송읍 서평리 664-54", "지도Link")</f>
        <v/>
      </c>
      <c r="N1352" s="6">
        <f>HYPERLINK("http://www.eum.go.kr/web/ar/lu/luLandDet.jsp?pnu=4311325030106640054&amp;isNoScr=script&amp;mode=search", "토지이음")</f>
        <v/>
      </c>
      <c r="O1352" s="3" t="inlineStr">
        <is>
          <t>오송타운</t>
        </is>
      </c>
      <c r="P1352" s="4" t="n">
        <v>1</v>
      </c>
      <c r="Q1352" s="4" t="n">
        <v>625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소로각지</t>
        </is>
      </c>
    </row>
    <row r="1353">
      <c r="A1353" s="3" t="inlineStr">
        <is>
          <t>오송읍 서평리 664-97</t>
        </is>
      </c>
      <c r="B1353" s="3" t="inlineStr">
        <is>
          <t>농림지역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23000</v>
      </c>
      <c r="G1353" s="4" t="n">
        <v>591</v>
      </c>
      <c r="H1353" s="4" t="n">
        <v>179</v>
      </c>
      <c r="I1353" s="5" t="n">
        <v>128.5</v>
      </c>
      <c r="J1353" s="5" t="n">
        <v>38</v>
      </c>
      <c r="K1353" s="3" t="inlineStr">
        <is>
          <t>도로접한 토지</t>
        </is>
      </c>
      <c r="L1353" s="6">
        <f>HYPERLINK("https://fin.land.naver.com/articles/2650856659", "매물Link")</f>
        <v/>
      </c>
      <c r="M1353" s="6">
        <f>HYPERLINK("https://map.naver.com/p/search/오송읍 서평리 664-97", "지도Link")</f>
        <v/>
      </c>
      <c r="N1353" s="6">
        <f>HYPERLINK("http://www.eum.go.kr/web/ar/lu/luLandDet.jsp?pnu=4311325030106640097&amp;isNoScr=script&amp;mode=search", "토지이음")</f>
        <v/>
      </c>
      <c r="O1353" s="3" t="inlineStr">
        <is>
          <t>세종대박</t>
        </is>
      </c>
      <c r="P1353" s="4" t="n">
        <v>1</v>
      </c>
      <c r="Q1353" s="4" t="n">
        <v>591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88-1</t>
        </is>
      </c>
      <c r="B1354" s="3" t="inlineStr">
        <is>
          <t>농림지역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39000</v>
      </c>
      <c r="G1354" s="4" t="n">
        <v>1289</v>
      </c>
      <c r="H1354" s="4" t="n">
        <v>390</v>
      </c>
      <c r="I1354" s="5" t="n">
        <v>100</v>
      </c>
      <c r="J1354" s="5" t="n">
        <v>38.8</v>
      </c>
      <c r="K1354" s="3" t="inlineStr">
        <is>
          <t>농사짓기 좋은 우량 농지 매매</t>
        </is>
      </c>
      <c r="L1354" s="6">
        <f>HYPERLINK("https://fin.land.naver.com/articles/2648014715", "매물Link")</f>
        <v/>
      </c>
      <c r="M1354" s="6">
        <f>HYPERLINK("https://map.naver.com/p/search/오송읍 서평리 88-1", "지도Link")</f>
        <v/>
      </c>
      <c r="N1354" s="6">
        <f>HYPERLINK("http://www.eum.go.kr/web/ar/lu/luLandDet.jsp?pnu=4311325030100880001&amp;isNoScr=script&amp;mode=search",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1289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세로각지(가)</t>
        </is>
      </c>
    </row>
    <row r="1355">
      <c r="A1355" s="3" t="inlineStr">
        <is>
          <t>오송읍 서평리 88-2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80700</v>
      </c>
      <c r="G1355" s="4" t="n">
        <v>2668</v>
      </c>
      <c r="H1355" s="4" t="n">
        <v>807</v>
      </c>
      <c r="I1355" s="5" t="n">
        <v>100</v>
      </c>
      <c r="J1355" s="5" t="n">
        <v>37.3</v>
      </c>
      <c r="K1355" s="3" t="inlineStr">
        <is>
          <t>경지정리 완료 농기계 진입 편리, 바로 농사 가능한 우량 농지 매매</t>
        </is>
      </c>
      <c r="L1355" s="6">
        <f>HYPERLINK("https://fin.land.naver.com/articles/2648014585", "매물Link")</f>
        <v/>
      </c>
      <c r="M1355" s="6">
        <f>HYPERLINK("https://map.naver.com/p/search/오송읍 서평리 88-2", "지도Link")</f>
        <v/>
      </c>
      <c r="N1355" s="6">
        <f>HYPERLINK("http://www.eum.go.kr/web/ar/lu/luLandDet.jsp?pnu=4311325030100880002&amp;isNoScr=script&amp;mode=search",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94-2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57300</v>
      </c>
      <c r="G1356" s="4" t="n">
        <v>1975</v>
      </c>
      <c r="H1356" s="4" t="n">
        <v>597</v>
      </c>
      <c r="I1356" s="5" t="n">
        <v>96</v>
      </c>
      <c r="J1356" s="5" t="n">
        <v>54.7</v>
      </c>
      <c r="K1356" s="3" t="inlineStr">
        <is>
          <t>오송제3산업단지(27.하반기 보상예정)인접하고 4차로 확장예정도로접함.</t>
        </is>
      </c>
      <c r="L1356" s="6">
        <f>HYPERLINK("https://fin.land.naver.com/articles/2650557460", "매물Link")</f>
        <v/>
      </c>
      <c r="M1356" s="6">
        <f>HYPERLINK("https://map.naver.com/p/search/오송읍 서평리 94-2", "지도Link")</f>
        <v/>
      </c>
      <c r="N1356" s="6">
        <f>HYPERLINK("http://www.eum.go.kr/web/ar/lu/luLandDet.jsp?pnu=4311325030100940002&amp;isNoScr=script&amp;mode=search",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1975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오송읍 쌍청리 108-1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공장용지</t>
        </is>
      </c>
      <c r="E1357" s="3" t="inlineStr">
        <is>
          <t>매매</t>
        </is>
      </c>
      <c r="F1357" s="4" t="n">
        <v>145000</v>
      </c>
      <c r="G1357" s="4" t="n">
        <v>2382</v>
      </c>
      <c r="H1357" s="4" t="n">
        <v>721</v>
      </c>
      <c r="I1357" s="5" t="n">
        <v>201.1</v>
      </c>
      <c r="J1357" s="5" t="n">
        <v>70.09999999999999</v>
      </c>
      <c r="K1357" s="3" t="inlineStr">
        <is>
          <t>nan</t>
        </is>
      </c>
      <c r="L1357" s="6">
        <f>HYPERLINK("https://fin.land.naver.com/articles/2645419745", "매물Link")</f>
        <v/>
      </c>
      <c r="M1357" s="6">
        <f>HYPERLINK("https://map.naver.com/p/search/오송읍 쌍청리 108-1", "지도Link")</f>
        <v/>
      </c>
      <c r="N1357" s="6">
        <f>HYPERLINK("http://www.eum.go.kr/web/ar/lu/luLandDet.jsp?pnu=4311325024101080001&amp;isNoScr=script&amp;mode=search", "토지이음")</f>
        <v/>
      </c>
      <c r="O1357" s="3" t="inlineStr">
        <is>
          <t>세종큰길</t>
        </is>
      </c>
      <c r="P1357" s="4" t="n">
        <v>1</v>
      </c>
      <c r="Q1357" s="4" t="n">
        <v>456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108-31</t>
        </is>
      </c>
      <c r="B1358" s="3" t="inlineStr">
        <is>
          <t>계획관리지역</t>
        </is>
      </c>
      <c r="C1358" s="3" t="inlineStr">
        <is>
          <t>공장용지</t>
        </is>
      </c>
      <c r="D1358" s="3" t="inlineStr">
        <is>
          <t>공장용지</t>
        </is>
      </c>
      <c r="E1358" s="3" t="inlineStr">
        <is>
          <t>매매</t>
        </is>
      </c>
      <c r="F1358" s="4" t="n">
        <v>30800</v>
      </c>
      <c r="G1358" s="4" t="n">
        <v>566</v>
      </c>
      <c r="H1358" s="4" t="n">
        <v>171</v>
      </c>
      <c r="I1358" s="5" t="n">
        <v>180.1</v>
      </c>
      <c r="J1358" s="5" t="n">
        <v>61</v>
      </c>
      <c r="K1358" s="3" t="inlineStr">
        <is>
          <t>접근성 좋은 토지,활용하기 좋은 토지 입니다</t>
        </is>
      </c>
      <c r="L1358" s="6">
        <f>HYPERLINK("https://fin.land.naver.com/articles/2645971921", "매물Link")</f>
        <v/>
      </c>
      <c r="M1358" s="6">
        <f>HYPERLINK("https://map.naver.com/p/search/오송읍 쌍청리 108-31", "지도Link")</f>
        <v/>
      </c>
      <c r="N1358" s="6">
        <f>HYPERLINK("http://www.eum.go.kr/web/ar/lu/luLandDet.jsp?pnu=4311325024101080031&amp;isNoScr=script&amp;mode=search",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566</v>
      </c>
      <c r="R1358" s="3" t="inlineStr">
        <is>
          <t>지정되지않음</t>
        </is>
      </c>
      <c r="S1358" s="3" t="inlineStr">
        <is>
          <t>공업나지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117-16</t>
        </is>
      </c>
      <c r="B1359" s="3" t="inlineStr">
        <is>
          <t>계획관리지역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100000</v>
      </c>
      <c r="G1359" s="4" t="n">
        <v>1701</v>
      </c>
      <c r="H1359" s="4" t="n">
        <v>515</v>
      </c>
      <c r="I1359" s="5" t="n">
        <v>194.2</v>
      </c>
      <c r="J1359" s="5" t="n">
        <v>59.3</v>
      </c>
      <c r="K1359" s="3" t="inlineStr">
        <is>
          <t>오송신도시의 계획관리지역으로 투자가치가 좋음</t>
        </is>
      </c>
      <c r="L1359" s="6">
        <f>HYPERLINK("https://fin.land.naver.com/articles/2647916765", "매물Link")</f>
        <v/>
      </c>
      <c r="M1359" s="6">
        <f>HYPERLINK("https://map.naver.com/p/search/오송읍 쌍청리 117-16", "지도Link")</f>
        <v/>
      </c>
      <c r="N1359" s="6">
        <f>HYPERLINK("http://www.eum.go.kr/web/ar/lu/luLandDet.jsp?pnu=4311325024101170016&amp;isNoScr=script&amp;mode=search",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1701</v>
      </c>
      <c r="R1359" s="3" t="inlineStr">
        <is>
          <t>지정되지않음</t>
        </is>
      </c>
      <c r="S1359" s="3" t="inlineStr">
        <is>
          <t>전기타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117-16</t>
        </is>
      </c>
      <c r="B1360" s="3" t="inlineStr">
        <is>
          <t>계획관리지역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65000</v>
      </c>
      <c r="G1360" s="4" t="n">
        <v>1701</v>
      </c>
      <c r="H1360" s="4" t="n">
        <v>515</v>
      </c>
      <c r="I1360" s="5" t="n">
        <v>126.2</v>
      </c>
      <c r="J1360" s="5" t="n">
        <v>59.3</v>
      </c>
      <c r="K1360" s="3" t="inlineStr">
        <is>
          <t>오송 생활권 도로접근 계획관리 개발검토 토지</t>
        </is>
      </c>
      <c r="L1360" s="6">
        <f>HYPERLINK("https://fin.land.naver.com/articles/2648110924", "매물Link")</f>
        <v/>
      </c>
      <c r="M1360" s="6">
        <f>HYPERLINK("https://map.naver.com/p/search/오송읍 쌍청리 117-16", "지도Link")</f>
        <v/>
      </c>
      <c r="N1360" s="6">
        <f>HYPERLINK("http://www.eum.go.kr/web/ar/lu/luLandDet.jsp?pnu=4311325024101170016&amp;isNoScr=script&amp;mode=search",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1701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124-3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23100</v>
      </c>
      <c r="G1361" s="4" t="n">
        <v>362</v>
      </c>
      <c r="H1361" s="4" t="n">
        <v>110</v>
      </c>
      <c r="I1361" s="5" t="n">
        <v>210</v>
      </c>
      <c r="J1361" s="5" t="n">
        <v>69</v>
      </c>
      <c r="K1361" s="3" t="inlineStr">
        <is>
          <t>오송 제1 생명과학단지 내주변 토지 매매</t>
        </is>
      </c>
      <c r="L1361" s="6">
        <f>HYPERLINK("https://fin.land.naver.com/articles/2648085254", "매물Link")</f>
        <v/>
      </c>
      <c r="M1361" s="6">
        <f>HYPERLINK("https://map.naver.com/p/search/오송읍 쌍청리 124-3", "지도Link")</f>
        <v/>
      </c>
      <c r="N1361" s="6">
        <f>HYPERLINK("http://www.eum.go.kr/web/ar/lu/luLandDet.jsp?pnu=4311325024101240003&amp;isNoScr=script&amp;mode=search", "토지이음")</f>
        <v/>
      </c>
      <c r="O1361" s="3" t="inlineStr">
        <is>
          <t>365</t>
        </is>
      </c>
      <c r="P1361" s="4" t="n">
        <v>1</v>
      </c>
      <c r="Q1361" s="4" t="n">
        <v>362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쌍청리 29-1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53500</v>
      </c>
      <c r="G1362" s="4" t="n">
        <v>2266</v>
      </c>
      <c r="H1362" s="4" t="n">
        <v>685</v>
      </c>
      <c r="I1362" s="5" t="n">
        <v>78.09999999999999</v>
      </c>
      <c r="J1362" s="5" t="n">
        <v>31.9</v>
      </c>
      <c r="K1362" s="3" t="inlineStr">
        <is>
          <t>대한제지 인근 오송역 근거리 농림지역 토지 급매  도로접함  대토에 적합</t>
        </is>
      </c>
      <c r="L1362" s="6">
        <f>HYPERLINK("https://fin.land.naver.com/articles/2648940181", "매물Link")</f>
        <v/>
      </c>
      <c r="M1362" s="6">
        <f>HYPERLINK("https://map.naver.com/p/search/오송읍 쌍청리 29-1", "지도Link")</f>
        <v/>
      </c>
      <c r="N1362" s="6">
        <f>HYPERLINK("http://www.eum.go.kr/web/ar/lu/luLandDet.jsp?pnu=4311325024100290001&amp;isNoScr=script&amp;mode=search",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2266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쌍청리 317-5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110000</v>
      </c>
      <c r="G1363" s="4" t="n">
        <v>1297</v>
      </c>
      <c r="H1363" s="4" t="n">
        <v>392</v>
      </c>
      <c r="I1363" s="5" t="n">
        <v>280.6</v>
      </c>
      <c r="J1363" s="5" t="n">
        <v>109.6</v>
      </c>
      <c r="K1363" s="3" t="inlineStr">
        <is>
          <t>4차선도로 예정지, 근생시설이나 사옥 적합</t>
        </is>
      </c>
      <c r="L1363" s="6">
        <f>HYPERLINK("https://fin.land.naver.com/articles/2646721847", "매물Link")</f>
        <v/>
      </c>
      <c r="M1363" s="6">
        <f>HYPERLINK("https://map.naver.com/p/search/오송읍 쌍청리 317-5", "지도Link")</f>
        <v/>
      </c>
      <c r="N1363" s="6">
        <f>HYPERLINK("http://www.eum.go.kr/web/ar/lu/luLandDet.jsp?pnu=4311325024103170005&amp;isNoScr=script&amp;mode=search", "토지이음")</f>
        <v/>
      </c>
      <c r="O1363" s="3" t="inlineStr">
        <is>
          <t>오송타운</t>
        </is>
      </c>
      <c r="P1363" s="4" t="n">
        <v>1</v>
      </c>
      <c r="Q1363" s="4" t="n">
        <v>856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오송읍 쌍청리 317-7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118000</v>
      </c>
      <c r="G1364" s="4" t="n">
        <v>1297</v>
      </c>
      <c r="H1364" s="4" t="n">
        <v>392</v>
      </c>
      <c r="I1364" s="5" t="n">
        <v>301</v>
      </c>
      <c r="J1364" s="5" t="n">
        <v>111.3</v>
      </c>
      <c r="K1364" s="3" t="inlineStr">
        <is>
          <t>식약청인접한 2차선 지방도접 사옥부지 또는 근생 용지 추천물건</t>
        </is>
      </c>
      <c r="L1364" s="6">
        <f>HYPERLINK("https://fin.land.naver.com/articles/2646748950", "매물Link")</f>
        <v/>
      </c>
      <c r="M1364" s="6">
        <f>HYPERLINK("https://map.naver.com/p/search/오송읍 쌍청리 317-7", "지도Link")</f>
        <v/>
      </c>
      <c r="N1364" s="6">
        <f>HYPERLINK("http://www.eum.go.kr/web/ar/lu/luLandDet.jsp?pnu=4311325024103170007&amp;isNoScr=script&amp;mode=search",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441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오송읍 쌍청리 451-2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80000</v>
      </c>
      <c r="G1365" s="4" t="n">
        <v>3273</v>
      </c>
      <c r="H1365" s="4" t="n">
        <v>990</v>
      </c>
      <c r="I1365" s="5" t="n">
        <v>80.8</v>
      </c>
      <c r="J1365" s="5" t="n">
        <v>35.7</v>
      </c>
      <c r="K1365" s="3" t="inlineStr">
        <is>
          <t>투자가치있는 곳에 위치한 토지</t>
        </is>
      </c>
      <c r="L1365" s="6">
        <f>HYPERLINK("https://fin.land.naver.com/articles/2650865239", "매물Link")</f>
        <v/>
      </c>
      <c r="M1365" s="6">
        <f>HYPERLINK("https://map.naver.com/p/search/오송읍 쌍청리 451-2", "지도Link")</f>
        <v/>
      </c>
      <c r="N1365" s="6">
        <f>HYPERLINK("http://www.eum.go.kr/web/ar/lu/luLandDet.jsp?pnu=4311325024104510002&amp;isNoScr=script&amp;mode=search", "토지이음")</f>
        <v/>
      </c>
      <c r="O1365" s="3" t="inlineStr">
        <is>
          <t>굿모닝</t>
        </is>
      </c>
      <c r="P1365" s="4" t="n">
        <v>1</v>
      </c>
      <c r="Q1365" s="4" t="n">
        <v>3273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쌍청리 463</t>
        </is>
      </c>
      <c r="B1366" s="3" t="inlineStr">
        <is>
          <t>농림지역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105000</v>
      </c>
      <c r="G1366" s="4" t="n">
        <v>4182</v>
      </c>
      <c r="H1366" s="4" t="n">
        <v>1265</v>
      </c>
      <c r="I1366" s="5" t="n">
        <v>83</v>
      </c>
      <c r="J1366" s="5" t="n">
        <v>35.7</v>
      </c>
      <c r="K1366" s="3" t="inlineStr">
        <is>
          <t>nan</t>
        </is>
      </c>
      <c r="L1366" s="6">
        <f>HYPERLINK("https://fin.land.naver.com/articles/2648912962", "매물Link")</f>
        <v/>
      </c>
      <c r="M1366" s="6">
        <f>HYPERLINK("https://map.naver.com/p/search/오송읍 쌍청리 463", "지도Link")</f>
        <v/>
      </c>
      <c r="N1366" s="6">
        <f>HYPERLINK("http://www.eum.go.kr/web/ar/lu/luLandDet.jsp?pnu=4311325024104630000&amp;isNoScr=script&amp;mode=search",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4182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2188</v>
      </c>
      <c r="H1367" s="4" t="n">
        <v>662</v>
      </c>
      <c r="I1367" s="5" t="n">
        <v>271.9</v>
      </c>
      <c r="J1367" s="5" t="n">
        <v>67.5</v>
      </c>
      <c r="K1367" s="3" t="inlineStr">
        <is>
          <t>오송과학단지 인접하고 2차선도로에 접한 용도 다양성 우위</t>
        </is>
      </c>
      <c r="L1367" s="6">
        <f>HYPERLINK("https://fin.land.naver.com/articles/2646750576",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HYPERLINK("http://www.eum.go.kr/web/ar/lu/luLandDet.jsp?pnu=4311325024104980000&amp;isNoScr=script&amp;mode=search", "토지이음")</f>
        <v/>
      </c>
      <c r="O1367" s="3" t="inlineStr">
        <is>
          <t>오송k랜드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1247</v>
      </c>
      <c r="I1368" s="5" t="n">
        <v>24.1</v>
      </c>
      <c r="J1368" s="5" t="n">
        <v>18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HYPERLINK("http://www.eum.go.kr/web/ar/lu/luLandDet.jsp?pnu=4311325024105390002&amp;isNoScr=script&amp;mode=search",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488</v>
      </c>
      <c r="I1369" s="5" t="n">
        <v>125</v>
      </c>
      <c r="J1369" s="5" t="n">
        <v>46.5</v>
      </c>
      <c r="K1369" s="3" t="inlineStr">
        <is>
          <t>2차선 도로접  분할매매 가능</t>
        </is>
      </c>
      <c r="L1369" s="6">
        <f>HYPERLINK("https://fin.land.naver.com/articles/2650758461",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HYPERLINK("http://www.eum.go.kr/web/ar/lu/luLandDet.jsp?pnu=4311325024100080001&amp;isNoScr=script&amp;mode=search",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552</v>
      </c>
      <c r="I1370" s="5" t="n">
        <v>159.4</v>
      </c>
      <c r="J1370" s="5" t="n">
        <v>59.4</v>
      </c>
      <c r="K1370" s="3" t="inlineStr">
        <is>
          <t>KTX오송역 인근 계획관리지역 큰평수</t>
        </is>
      </c>
      <c r="L1370" s="6">
        <f>HYPERLINK("https://fin.land.naver.com/articles/2649678918",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HYPERLINK("http://www.eum.go.kr/web/ar/lu/luLandDet.jsp?pnu=4311325026105270001&amp;isNoScr=script&amp;mode=search", "토지이음")</f>
        <v/>
      </c>
      <c r="O1370" s="3" t="inlineStr">
        <is>
          <t>굿타임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149</v>
      </c>
      <c r="I1371" s="5" t="n">
        <v>369.1</v>
      </c>
      <c r="J1371" s="5" t="n">
        <v>115.7</v>
      </c>
      <c r="K1371" s="3" t="inlineStr">
        <is>
          <t>오송 호수공원 근접, 활용도 높은 토지 매매</t>
        </is>
      </c>
      <c r="L1371" s="6">
        <f>HYPERLINK("https://fin.land.naver.com/articles/2650595801",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664-2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2000000</v>
      </c>
      <c r="G1372" s="4" t="n">
        <v>9917</v>
      </c>
      <c r="H1372" s="4" t="n">
        <v>3000</v>
      </c>
      <c r="I1372" s="5" t="n">
        <v>666.7</v>
      </c>
      <c r="J1372" s="5" t="n">
        <v>199.2</v>
      </c>
      <c r="K1372" s="3" t="inlineStr">
        <is>
          <t>현재 가치는 물론 오송 개발과 산업 인프라 확장에 따른 미래가치까지 기대</t>
        </is>
      </c>
      <c r="L1372" s="6">
        <f>HYPERLINK("https://fin.land.naver.com/articles/2650115117", "매물Link")</f>
        <v/>
      </c>
      <c r="M1372" s="6">
        <f>HYPERLINK("https://map.naver.com/p/search/오송읍 연제리 664-2", "지도Link")</f>
        <v/>
      </c>
      <c r="N1372" s="6">
        <f>HYPERLINK("http://www.eum.go.kr/web/ar/lu/luLandDet.jsp?pnu=4311325026106640002&amp;isNoScr=script&amp;mode=search", "토지이음")</f>
        <v/>
      </c>
      <c r="O1372" s="3" t="inlineStr">
        <is>
          <t>대한</t>
        </is>
      </c>
      <c r="P1372" s="4" t="n">
        <v>1</v>
      </c>
      <c r="Q1372" s="4" t="n">
        <v>4958.7</v>
      </c>
      <c r="R1372" s="3" t="inlineStr">
        <is>
          <t>지정되지않음</t>
        </is>
      </c>
      <c r="S1372" s="3" t="inlineStr">
        <is>
          <t>상업용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중로한면</t>
        </is>
      </c>
    </row>
    <row r="1373">
      <c r="A1373" s="3" t="inlineStr">
        <is>
          <t>오송읍 연제리 668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820000</v>
      </c>
      <c r="G1373" s="4" t="n">
        <v>1593</v>
      </c>
      <c r="H1373" s="4" t="n">
        <v>482</v>
      </c>
      <c r="I1373" s="5" t="n">
        <v>1701.2</v>
      </c>
      <c r="J1373" s="5" t="n">
        <v>619.8</v>
      </c>
      <c r="K1373" s="3" t="inlineStr">
        <is>
          <t>외1필지 호텔이나 오피스텔로 투자 적합</t>
        </is>
      </c>
      <c r="L1373" s="6">
        <f>HYPERLINK("https://fin.land.naver.com/articles/2650139636", "매물Link")</f>
        <v/>
      </c>
      <c r="M1373" s="6">
        <f>HYPERLINK("https://map.naver.com/p/search/오송읍 연제리 668", "지도Link")</f>
        <v/>
      </c>
      <c r="N1373" s="6">
        <f>HYPERLINK("http://www.eum.go.kr/web/ar/lu/luLandDet.jsp?pnu=4311325026106680000&amp;isNoScr=script&amp;mode=search", "토지이음")</f>
        <v/>
      </c>
      <c r="O1373" s="3" t="inlineStr">
        <is>
          <t>옥산하늘채 주식회사</t>
        </is>
      </c>
      <c r="P1373" s="4" t="n">
        <v>1</v>
      </c>
      <c r="Q1373" s="4" t="n">
        <v>803.1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광대소각</t>
        </is>
      </c>
    </row>
    <row r="1374">
      <c r="A1374" s="3" t="inlineStr">
        <is>
          <t>오송읍 연제리 668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820000</v>
      </c>
      <c r="G1374" s="4" t="n">
        <v>1593</v>
      </c>
      <c r="H1374" s="4" t="n">
        <v>482</v>
      </c>
      <c r="I1374" s="5" t="n">
        <v>1701.2</v>
      </c>
      <c r="J1374" s="5" t="n">
        <v>619.8</v>
      </c>
      <c r="K1374" s="3" t="inlineStr">
        <is>
          <t>nan</t>
        </is>
      </c>
      <c r="L1374" s="6">
        <f>HYPERLINK("https://fin.land.naver.com/articles/2646041860", "매물Link")</f>
        <v/>
      </c>
      <c r="M1374" s="6">
        <f>HYPERLINK("https://map.naver.com/p/search/오송읍 연제리 668", "지도Link")</f>
        <v/>
      </c>
      <c r="N1374" s="6">
        <f>HYPERLINK("http://www.eum.go.kr/web/ar/lu/luLandDet.jsp?pnu=4311325026106680000&amp;isNoScr=script&amp;mode=search", "토지이음")</f>
        <v/>
      </c>
      <c r="O1374" s="3" t="inlineStr">
        <is>
          <t>바른</t>
        </is>
      </c>
      <c r="P1374" s="4" t="n">
        <v>1</v>
      </c>
      <c r="Q1374" s="4" t="n">
        <v>803.1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광대소각</t>
        </is>
      </c>
    </row>
    <row r="1375">
      <c r="A1375" s="3" t="inlineStr">
        <is>
          <t>오송읍 연제리 692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135000</v>
      </c>
      <c r="G1375" s="4" t="n">
        <v>593</v>
      </c>
      <c r="H1375" s="4" t="n">
        <v>179</v>
      </c>
      <c r="I1375" s="5" t="n">
        <v>754.2</v>
      </c>
      <c r="J1375" s="5" t="n">
        <v>301.3</v>
      </c>
      <c r="K1375" s="3" t="inlineStr">
        <is>
          <t>nan</t>
        </is>
      </c>
      <c r="L1375" s="6">
        <f>HYPERLINK("https://fin.land.naver.com/articles/2648135693", "매물Link")</f>
        <v/>
      </c>
      <c r="M1375" s="6">
        <f>HYPERLINK("https://map.naver.com/p/search/오송읍 연제리 692", "지도Link")</f>
        <v/>
      </c>
      <c r="N1375" s="6">
        <f>HYPERLINK("http://www.eum.go.kr/web/ar/lu/luLandDet.jsp?pnu=4311325026106920000&amp;isNoScr=script&amp;mode=search", "토지이음")</f>
        <v/>
      </c>
      <c r="O1375" s="3" t="inlineStr">
        <is>
          <t>오송퍼스트영웅</t>
        </is>
      </c>
      <c r="P1375" s="4" t="n">
        <v>1</v>
      </c>
      <c r="Q1375" s="4" t="n">
        <v>593.3</v>
      </c>
      <c r="R1375" s="3" t="inlineStr">
        <is>
          <t>지정되지않음</t>
        </is>
      </c>
      <c r="S1375" s="3" t="inlineStr">
        <is>
          <t>상업나지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광대소각</t>
        </is>
      </c>
    </row>
    <row r="1376">
      <c r="A1376" s="3" t="inlineStr">
        <is>
          <t>오송읍 연제리 703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270000</v>
      </c>
      <c r="G1376" s="4" t="n">
        <v>690</v>
      </c>
      <c r="H1376" s="4" t="n">
        <v>209</v>
      </c>
      <c r="I1376" s="5" t="n">
        <v>1291.9</v>
      </c>
      <c r="J1376" s="5" t="n">
        <v>809.3</v>
      </c>
      <c r="K1376" s="3" t="inlineStr">
        <is>
          <t>일반 상업지역, 상업 나지</t>
        </is>
      </c>
      <c r="L1376" s="6">
        <f>HYPERLINK("https://fin.land.naver.com/articles/2647673845", "매물Link")</f>
        <v/>
      </c>
      <c r="M1376" s="6">
        <f>HYPERLINK("https://map.naver.com/p/search/오송읍 연제리 703", "지도Link")</f>
        <v/>
      </c>
      <c r="N1376" s="6">
        <f>HYPERLINK("http://www.eum.go.kr/web/ar/lu/luLandDet.jsp?pnu=4311325026107030000&amp;isNoScr=script&amp;mode=search", "토지이음")</f>
        <v/>
      </c>
      <c r="O1376" s="3" t="inlineStr">
        <is>
          <t>딜  중개</t>
        </is>
      </c>
      <c r="P1376" s="4" t="n">
        <v>1</v>
      </c>
      <c r="Q1376" s="4" t="n">
        <v>690.3</v>
      </c>
      <c r="R1376" s="3" t="inlineStr">
        <is>
          <t>지정되지않음</t>
        </is>
      </c>
      <c r="S1376" s="3" t="inlineStr">
        <is>
          <t>상업나지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광대소각</t>
        </is>
      </c>
    </row>
    <row r="1377">
      <c r="A1377" s="3" t="inlineStr">
        <is>
          <t>오송읍 연제리 773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35000</v>
      </c>
      <c r="G1377" s="4" t="n">
        <v>260</v>
      </c>
      <c r="H1377" s="4" t="n">
        <v>79</v>
      </c>
      <c r="I1377" s="5" t="n">
        <v>443</v>
      </c>
      <c r="J1377" s="5" t="n">
        <v>227</v>
      </c>
      <c r="K1377" s="3" t="inlineStr">
        <is>
          <t>호수공원 인접 오송역 도보 이용 가능</t>
        </is>
      </c>
      <c r="L1377" s="6">
        <f>HYPERLINK("https://fin.land.naver.com/articles/2645860009", "매물Link")</f>
        <v/>
      </c>
      <c r="M1377" s="6">
        <f>HYPERLINK("https://map.naver.com/p/search/오송읍 연제리 773", "지도Link")</f>
        <v/>
      </c>
      <c r="N1377" s="6">
        <f>HYPERLINK("http://www.eum.go.kr/web/ar/lu/luLandDet.jsp?pnu=4311325026107730000&amp;isNoScr=script&amp;mode=search", "토지이음")</f>
        <v/>
      </c>
      <c r="O1377" s="3" t="inlineStr">
        <is>
          <t>오송베스트</t>
        </is>
      </c>
      <c r="P1377" s="4" t="n">
        <v>1</v>
      </c>
      <c r="Q1377" s="4" t="n">
        <v>260.4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오송읍 연제리 산24-15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140000</v>
      </c>
      <c r="G1378" s="4" t="n">
        <v>1076</v>
      </c>
      <c r="H1378" s="4" t="n">
        <v>325</v>
      </c>
      <c r="I1378" s="5" t="n">
        <v>430.8</v>
      </c>
      <c r="J1378" s="5" t="n">
        <v>16.8</v>
      </c>
      <c r="K1378" s="3" t="inlineStr">
        <is>
          <t>호수공원뷰,미래상승가치높은</t>
        </is>
      </c>
      <c r="L1378" s="6">
        <f>HYPERLINK("https://fin.land.naver.com/articles/2651124726", "매물Link")</f>
        <v/>
      </c>
      <c r="M1378" s="6">
        <f>HYPERLINK("https://map.naver.com/p/search/오송읍 연제리 산24-15", "지도Link")</f>
        <v/>
      </c>
      <c r="N1378" s="6">
        <f>HYPERLINK("http://www.eum.go.kr/web/ar/lu/luLandDet.jsp?pnu=4311325026200240015&amp;isNoScr=script&amp;mode=search", "토지이음")</f>
        <v/>
      </c>
      <c r="O1378" s="3" t="inlineStr">
        <is>
          <t>노블</t>
        </is>
      </c>
      <c r="P1378" s="4" t="n">
        <v>1</v>
      </c>
      <c r="Q1378" s="4" t="n">
        <v>1076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192</v>
      </c>
      <c r="I1379" s="5" t="n">
        <v>500</v>
      </c>
      <c r="J1379" s="5" t="n">
        <v>159.6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HYPERLINK("http://www.eum.go.kr/web/ar/lu/luLandDet.jsp?pnu=4311325028102060003&amp;isNoScr=script&amp;mode=search",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224-2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81500</v>
      </c>
      <c r="G1380" s="4" t="n">
        <v>538</v>
      </c>
      <c r="H1380" s="4" t="n">
        <v>163</v>
      </c>
      <c r="I1380" s="5" t="n">
        <v>500</v>
      </c>
      <c r="J1380" s="5" t="n">
        <v>136.5</v>
      </c>
      <c r="K1380" s="3" t="inlineStr">
        <is>
          <t>3산단초입 투자물건 2필지</t>
        </is>
      </c>
      <c r="L1380" s="6">
        <f>HYPERLINK("https://fin.land.naver.com/articles/2649702680", "매물Link")</f>
        <v/>
      </c>
      <c r="M1380" s="6">
        <f>HYPERLINK("https://map.naver.com/p/search/오송읍 오송리 224-2", "지도Link")</f>
        <v/>
      </c>
      <c r="N1380" s="6">
        <f>HYPERLINK("http://www.eum.go.kr/web/ar/lu/luLandDet.jsp?pnu=4311325028102240002&amp;isNoScr=script&amp;mode=search", "토지이음")</f>
        <v/>
      </c>
      <c r="O1380" s="3" t="inlineStr">
        <is>
          <t>금송</t>
        </is>
      </c>
      <c r="P1380" s="4" t="n">
        <v>1</v>
      </c>
      <c r="Q1380" s="4" t="n">
        <v>182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242-2</t>
        </is>
      </c>
      <c r="B1381" s="3" t="inlineStr">
        <is>
          <t>계획관리지역</t>
        </is>
      </c>
      <c r="C1381" s="3" t="inlineStr">
        <is>
          <t>주유소용지</t>
        </is>
      </c>
      <c r="D1381" s="3" t="inlineStr">
        <is>
          <t>주유소용지</t>
        </is>
      </c>
      <c r="E1381" s="3" t="inlineStr">
        <is>
          <t>매매</t>
        </is>
      </c>
      <c r="F1381" s="4" t="n">
        <v>245000</v>
      </c>
      <c r="G1381" s="4" t="n">
        <v>810</v>
      </c>
      <c r="H1381" s="4" t="n">
        <v>245</v>
      </c>
      <c r="I1381" s="5" t="n">
        <v>1000</v>
      </c>
      <c r="J1381" s="5" t="n">
        <v>313.2</v>
      </c>
      <c r="K1381" s="3" t="inlineStr">
        <is>
          <t>6차선변 주유소현 휴업중 매매</t>
        </is>
      </c>
      <c r="L1381" s="6">
        <f>HYPERLINK("https://fin.land.naver.com/articles/2647193813", "매물Link")</f>
        <v/>
      </c>
      <c r="M1381" s="6">
        <f>HYPERLINK("https://map.naver.com/p/search/오송읍 오송리 242-2", "지도Link")</f>
        <v/>
      </c>
      <c r="N1381" s="6">
        <f>HYPERLINK("http://www.eum.go.kr/web/ar/lu/luLandDet.jsp?pnu=4311325028102420002&amp;isNoScr=script&amp;mode=search", "토지이음")</f>
        <v/>
      </c>
      <c r="O1381" s="3" t="inlineStr">
        <is>
          <t>한국토지중개</t>
        </is>
      </c>
      <c r="P1381" s="4" t="n">
        <v>1</v>
      </c>
      <c r="Q1381" s="4" t="n">
        <v>810</v>
      </c>
      <c r="R1381" s="3" t="inlineStr">
        <is>
          <t>지정되지않음</t>
        </is>
      </c>
      <c r="S1381" s="3" t="inlineStr">
        <is>
          <t>주상용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광대로한면</t>
        </is>
      </c>
    </row>
    <row r="1382">
      <c r="A1382" s="3" t="inlineStr">
        <is>
          <t>오송읍 오송리 242-21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32000</v>
      </c>
      <c r="G1382" s="4" t="n">
        <v>300</v>
      </c>
      <c r="H1382" s="4" t="n">
        <v>91</v>
      </c>
      <c r="I1382" s="5" t="n">
        <v>351.6</v>
      </c>
      <c r="J1382" s="5" t="n">
        <v>84.5</v>
      </c>
      <c r="K1382" s="3" t="inlineStr">
        <is>
          <t>3산단 예정지 배후, 임대수익형 다가구 자리
3산단 배후지, 임대수익형</t>
        </is>
      </c>
      <c r="L1382" s="6">
        <f>HYPERLINK("https://fin.land.naver.com/articles/2649702126", "매물Link")</f>
        <v/>
      </c>
      <c r="M1382" s="6">
        <f>HYPERLINK("https://map.naver.com/p/search/오송읍 오송리 242-21", "지도Link")</f>
        <v/>
      </c>
      <c r="N1382" s="6">
        <f>HYPERLINK("http://www.eum.go.kr/web/ar/lu/luLandDet.jsp?pnu=4311325028102420021&amp;isNoScr=script&amp;mode=search", "토지이음")</f>
        <v/>
      </c>
      <c r="O1382" s="3" t="inlineStr">
        <is>
          <t>금송</t>
        </is>
      </c>
      <c r="P1382" s="4" t="n">
        <v>1</v>
      </c>
      <c r="Q1382" s="4" t="n">
        <v>165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245-4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120000</v>
      </c>
      <c r="G1383" s="4" t="n">
        <v>976</v>
      </c>
      <c r="H1383" s="4" t="n">
        <v>295</v>
      </c>
      <c r="I1383" s="5" t="n">
        <v>406.8</v>
      </c>
      <c r="J1383" s="5" t="n">
        <v>103.7</v>
      </c>
      <c r="K1383" s="3" t="inlineStr">
        <is>
          <t>오송3리 오송천주교회와 3산산단 경계부의 사업용 토지</t>
        </is>
      </c>
      <c r="L1383" s="6">
        <f>HYPERLINK("https://fin.land.naver.com/articles/2649169945", "매물Link")</f>
        <v/>
      </c>
      <c r="M1383" s="6">
        <f>HYPERLINK("https://map.naver.com/p/search/오송읍 오송리 245-4", "지도Link")</f>
        <v/>
      </c>
      <c r="N1383" s="6">
        <f>HYPERLINK("http://www.eum.go.kr/web/ar/lu/luLandDet.jsp?pnu=4311325028102450004&amp;isNoScr=script&amp;mode=search",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700</v>
      </c>
      <c r="R1383" s="3" t="inlineStr">
        <is>
          <t>지정되지않음</t>
        </is>
      </c>
      <c r="S1383" s="3" t="inlineStr">
        <is>
          <t>답기타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오송리 246-53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330000</v>
      </c>
      <c r="G1384" s="4" t="n">
        <v>2011</v>
      </c>
      <c r="H1384" s="4" t="n">
        <v>608</v>
      </c>
      <c r="I1384" s="5" t="n">
        <v>542.8</v>
      </c>
      <c r="J1384" s="5" t="n">
        <v>110.3</v>
      </c>
      <c r="K1384" s="3" t="inlineStr">
        <is>
          <t>오송농협 36국도인접 계획관리지역,  실사업용 추천물건
오송제3산단 경</t>
        </is>
      </c>
      <c r="L1384" s="6">
        <f>HYPERLINK("https://fin.land.naver.com/articles/2648239506", "매물Link")</f>
        <v/>
      </c>
      <c r="M1384" s="6">
        <f>HYPERLINK("https://map.naver.com/p/search/오송읍 오송리 246-53", "지도Link")</f>
        <v/>
      </c>
      <c r="N1384" s="6">
        <f>HYPERLINK("http://www.eum.go.kr/web/ar/lu/luLandDet.jsp?pnu=4311325028102460053&amp;isNoScr=script&amp;mode=search",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2011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오송리 60-104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70000</v>
      </c>
      <c r="G1385" s="4" t="n">
        <v>286</v>
      </c>
      <c r="H1385" s="4" t="n">
        <v>87</v>
      </c>
      <c r="I1385" s="5" t="n">
        <v>804.6</v>
      </c>
      <c r="J1385" s="5" t="n">
        <v>234</v>
      </c>
      <c r="K1385" s="3" t="inlineStr">
        <is>
          <t>힐스테이트 맞은편 대 매매</t>
        </is>
      </c>
      <c r="L1385" s="6">
        <f>HYPERLINK("https://fin.land.naver.com/articles/2649964725", "매물Link")</f>
        <v/>
      </c>
      <c r="M1385" s="6">
        <f>HYPERLINK("https://map.naver.com/p/search/오송읍 오송리 60-104", "지도Link")</f>
        <v/>
      </c>
      <c r="N1385" s="6">
        <f>HYPERLINK("http://www.eum.go.kr/web/ar/lu/luLandDet.jsp?pnu=4311325028100600104&amp;isNoScr=script&amp;mode=search", "토지이음")</f>
        <v/>
      </c>
      <c r="O1385" s="3" t="inlineStr">
        <is>
          <t>광장</t>
        </is>
      </c>
      <c r="P1385" s="4" t="n">
        <v>1</v>
      </c>
      <c r="Q1385" s="4" t="n">
        <v>286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15000</v>
      </c>
      <c r="G1386" s="4" t="n">
        <v>278</v>
      </c>
      <c r="H1386" s="4" t="n">
        <v>84</v>
      </c>
      <c r="I1386" s="5" t="n">
        <v>178.6</v>
      </c>
      <c r="J1386" s="5" t="n">
        <v>62.7</v>
      </c>
      <c r="K1386" s="3" t="inlineStr">
        <is>
          <t>강추 매물 계획관리지역, 땅 소액투자, 미래가치성 좋음</t>
        </is>
      </c>
      <c r="L1386" s="6">
        <f>HYPERLINK("https://fin.land.naver.com/articles/2650556418",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HYPERLINK("http://www.eum.go.kr/web/ar/lu/luLandDet.jsp?pnu=4311325032102060005&amp;isNoScr=script&amp;mode=search",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317-1</t>
        </is>
      </c>
      <c r="B1387" s="3" t="inlineStr">
        <is>
          <t>농림지역</t>
        </is>
      </c>
      <c r="C1387" s="3" t="inlineStr">
        <is>
          <t>잡종지</t>
        </is>
      </c>
      <c r="D1387" s="3" t="inlineStr">
        <is>
          <t>잡종지</t>
        </is>
      </c>
      <c r="E1387" s="3" t="inlineStr">
        <is>
          <t>매매</t>
        </is>
      </c>
      <c r="F1387" s="4" t="n">
        <v>180000</v>
      </c>
      <c r="G1387" s="4" t="n">
        <v>11497</v>
      </c>
      <c r="H1387" s="4" t="n">
        <v>3478</v>
      </c>
      <c r="I1387" s="5" t="n">
        <v>51.8</v>
      </c>
      <c r="J1387" s="5" t="n">
        <v>25.2</v>
      </c>
      <c r="K1387" s="3" t="inlineStr">
        <is>
          <t>오송KTX역 및 오송바이오2산단 인근  2차선 도로접한 창고 및 토지</t>
        </is>
      </c>
      <c r="L1387" s="6">
        <f>HYPERLINK("https://fin.land.naver.com/articles/2646727754", "매물Link")</f>
        <v/>
      </c>
      <c r="M1387" s="6">
        <f>HYPERLINK("https://map.naver.com/p/search/오송읍 정중리 317-1", "지도Link")</f>
        <v/>
      </c>
      <c r="N1387" s="6">
        <f>HYPERLINK("http://www.eum.go.kr/web/ar/lu/luLandDet.jsp?pnu=4311325032103170001&amp;isNoScr=script&amp;mode=search",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237</v>
      </c>
      <c r="R1387" s="3" t="inlineStr">
        <is>
          <t>지정되지않음</t>
        </is>
      </c>
      <c r="S1387" s="3" t="inlineStr">
        <is>
          <t>답창고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HYPERLINK("http://www.eum.go.kr/web/ar/lu/luLandDet.jsp?pnu=4311325032106340000&amp;isNoScr=script&amp;mode=search",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699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152000</v>
      </c>
      <c r="G1389" s="4" t="n">
        <v>678</v>
      </c>
      <c r="H1389" s="4" t="n">
        <v>205</v>
      </c>
      <c r="I1389" s="5" t="n">
        <v>741.5</v>
      </c>
      <c r="J1389" s="5" t="n">
        <v>361</v>
      </c>
      <c r="K1389" s="3" t="inlineStr">
        <is>
          <t>대형평수 음식점 사무실 학원 추천자리</t>
        </is>
      </c>
      <c r="L1389" s="6">
        <f>HYPERLINK("https://fin.land.naver.com/articles/2645805290", "매물Link")</f>
        <v/>
      </c>
      <c r="M1389" s="6">
        <f>HYPERLINK("https://map.naver.com/p/search/오송읍 정중리 699", "지도Link")</f>
        <v/>
      </c>
      <c r="N1389" s="6">
        <f>HYPERLINK("http://www.eum.go.kr/web/ar/lu/luLandDet.jsp?pnu=4311325032106990000&amp;isNoScr=script&amp;mode=search", "토지이음")</f>
        <v/>
      </c>
      <c r="O1389" s="3" t="inlineStr">
        <is>
          <t>오송명품</t>
        </is>
      </c>
      <c r="P1389" s="4" t="n">
        <v>1</v>
      </c>
      <c r="Q1389" s="4" t="n">
        <v>678.2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704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150000</v>
      </c>
      <c r="G1390" s="4" t="n">
        <v>548</v>
      </c>
      <c r="H1390" s="4" t="n">
        <v>166</v>
      </c>
      <c r="I1390" s="5" t="n">
        <v>903.6</v>
      </c>
      <c r="J1390" s="5" t="n">
        <v>347.1</v>
      </c>
      <c r="K1390" s="3" t="inlineStr">
        <is>
          <t>오송 정중리 상가 신축 가능한 투자용지</t>
        </is>
      </c>
      <c r="L1390" s="6">
        <f>HYPERLINK("https://fin.land.naver.com/articles/2647850811", "매물Link")</f>
        <v/>
      </c>
      <c r="M1390" s="6">
        <f>HYPERLINK("https://map.naver.com/p/search/오송읍 정중리 704", "지도Link")</f>
        <v/>
      </c>
      <c r="N1390" s="6">
        <f>HYPERLINK("http://www.eum.go.kr/web/ar/lu/luLandDet.jsp?pnu=4311325032107040000&amp;isNoScr=script&amp;mode=search", "토지이음")</f>
        <v/>
      </c>
      <c r="O1390" s="3" t="inlineStr">
        <is>
          <t>성진</t>
        </is>
      </c>
      <c r="P1390" s="4" t="n">
        <v>1</v>
      </c>
      <c r="Q1390" s="4" t="n">
        <v>548.8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중로각지</t>
        </is>
      </c>
    </row>
    <row r="1391">
      <c r="A1391" s="3" t="inlineStr">
        <is>
          <t>오송읍 정중리 704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150000</v>
      </c>
      <c r="G1391" s="4" t="n">
        <v>548</v>
      </c>
      <c r="H1391" s="4" t="n">
        <v>166</v>
      </c>
      <c r="I1391" s="5" t="n">
        <v>903.6</v>
      </c>
      <c r="J1391" s="5" t="n">
        <v>347.1</v>
      </c>
      <c r="K1391" s="3" t="inlineStr">
        <is>
          <t>대도로변 네모반듯한 지원시설용지 매매</t>
        </is>
      </c>
      <c r="L1391" s="6">
        <f>HYPERLINK("https://fin.land.naver.com/articles/2650957841", "매물Link")</f>
        <v/>
      </c>
      <c r="M1391" s="6">
        <f>HYPERLINK("https://map.naver.com/p/search/오송읍 정중리 704", "지도Link")</f>
        <v/>
      </c>
      <c r="N1391" s="6">
        <f>HYPERLINK("http://www.eum.go.kr/web/ar/lu/luLandDet.jsp?pnu=4311325032107040000&amp;isNoScr=script&amp;mode=search", "토지이음")</f>
        <v/>
      </c>
      <c r="O1391" s="3" t="inlineStr">
        <is>
          <t>오송미소</t>
        </is>
      </c>
      <c r="P1391" s="4" t="n">
        <v>3</v>
      </c>
      <c r="Q1391" s="4" t="n">
        <v>548.8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중로각지</t>
        </is>
      </c>
    </row>
    <row r="1392">
      <c r="A1392" s="3" t="inlineStr">
        <is>
          <t>오송읍 정중리 704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140000</v>
      </c>
      <c r="G1392" s="4" t="n">
        <v>548</v>
      </c>
      <c r="H1392" s="4" t="n">
        <v>166</v>
      </c>
      <c r="I1392" s="5" t="n">
        <v>843.4</v>
      </c>
      <c r="J1392" s="5" t="n">
        <v>347.1</v>
      </c>
      <c r="K1392" s="3" t="inlineStr">
        <is>
          <t>급매, 오송 국민체육센터 인근 토지 매매</t>
        </is>
      </c>
      <c r="L1392" s="6">
        <f>HYPERLINK("https://fin.land.naver.com/articles/2648308447", "매물Link")</f>
        <v/>
      </c>
      <c r="M1392" s="6">
        <f>HYPERLINK("https://map.naver.com/p/search/오송읍 정중리 704", "지도Link")</f>
        <v/>
      </c>
      <c r="N1392" s="6">
        <f>HYPERLINK("http://www.eum.go.kr/web/ar/lu/luLandDet.jsp?pnu=4311325032107040000&amp;isNoScr=script&amp;mode=search", "토지이음")</f>
        <v/>
      </c>
      <c r="O1392" s="3" t="inlineStr">
        <is>
          <t>광장</t>
        </is>
      </c>
      <c r="P1392" s="4" t="n">
        <v>1</v>
      </c>
      <c r="Q1392" s="4" t="n">
        <v>548.8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중로각지</t>
        </is>
      </c>
    </row>
    <row r="1393">
      <c r="A1393" s="3" t="inlineStr">
        <is>
          <t>오송읍 정중리 707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380000</v>
      </c>
      <c r="G1393" s="4" t="n">
        <v>1143</v>
      </c>
      <c r="H1393" s="4" t="n">
        <v>346</v>
      </c>
      <c r="I1393" s="5" t="n">
        <v>1098.3</v>
      </c>
      <c r="J1393" s="5" t="n">
        <v>407.6</v>
      </c>
      <c r="K1393" s="3" t="inlineStr">
        <is>
          <t>오송 2산단 사거리 코너자리 지원시설용지</t>
        </is>
      </c>
      <c r="L1393" s="6">
        <f>HYPERLINK("https://fin.land.naver.com/articles/2647618969", "매물Link")</f>
        <v/>
      </c>
      <c r="M1393" s="6">
        <f>HYPERLINK("https://map.naver.com/p/search/오송읍 정중리 707", "지도Link")</f>
        <v/>
      </c>
      <c r="N1393" s="6">
        <f>HYPERLINK("http://www.eum.go.kr/web/ar/lu/luLandDet.jsp?pnu=4311325032107070000&amp;isNoScr=script&amp;mode=search", "토지이음")</f>
        <v/>
      </c>
      <c r="O1393" s="3" t="inlineStr">
        <is>
          <t>아임</t>
        </is>
      </c>
      <c r="P1393" s="4" t="n">
        <v>1</v>
      </c>
      <c r="Q1393" s="4" t="n">
        <v>558.8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광대소각</t>
        </is>
      </c>
    </row>
    <row r="1394">
      <c r="A1394" s="3" t="inlineStr">
        <is>
          <t>오송읍 정중리 746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639</v>
      </c>
      <c r="H1394" s="4" t="n">
        <v>193</v>
      </c>
      <c r="I1394" s="5" t="n">
        <v>1114</v>
      </c>
      <c r="J1394" s="5" t="n">
        <v>388.1</v>
      </c>
      <c r="K1394" s="3" t="inlineStr">
        <is>
          <t>3면코너 입지 입지 최상 건폐율70 6층이하 건축가능</t>
        </is>
      </c>
      <c r="L1394" s="6">
        <f>HYPERLINK("https://fin.land.naver.com/articles/2649903725", "매물Link")</f>
        <v/>
      </c>
      <c r="M1394" s="6">
        <f>HYPERLINK("https://map.naver.com/p/search/오송읍 정중리 746", "지도Link")</f>
        <v/>
      </c>
      <c r="N1394" s="6">
        <f>HYPERLINK("http://www.eum.go.kr/web/ar/lu/luLandDet.jsp?pnu=4311325032107460000&amp;isNoScr=script&amp;mode=search", "토지이음")</f>
        <v/>
      </c>
      <c r="O1394" s="3" t="inlineStr">
        <is>
          <t>프렌즈</t>
        </is>
      </c>
      <c r="P1394" s="4" t="n">
        <v>1</v>
      </c>
      <c r="Q1394" s="4" t="n">
        <v>639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광대소각</t>
        </is>
      </c>
    </row>
    <row r="1395">
      <c r="A1395" s="3" t="inlineStr">
        <is>
          <t>오송읍 정중리 755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240000</v>
      </c>
      <c r="G1395" s="4" t="n">
        <v>668</v>
      </c>
      <c r="H1395" s="4" t="n">
        <v>202</v>
      </c>
      <c r="I1395" s="5" t="n">
        <v>1188.1</v>
      </c>
      <c r="J1395" s="5" t="n">
        <v>361</v>
      </c>
      <c r="K1395" s="3" t="inlineStr">
        <is>
          <t>오송2산단내 지원시설용지,바로앞 아파트대단지 입주예정,</t>
        </is>
      </c>
      <c r="L1395" s="6">
        <f>HYPERLINK("https://fin.land.naver.com/articles/2651054162", "매물Link")</f>
        <v/>
      </c>
      <c r="M1395" s="6">
        <f>HYPERLINK("https://map.naver.com/p/search/오송읍 정중리 755", "지도Link")</f>
        <v/>
      </c>
      <c r="N1395" s="6">
        <f>HYPERLINK("http://www.eum.go.kr/web/ar/lu/luLandDet.jsp?pnu=4311325032107550000&amp;isNoScr=script&amp;mode=search",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668.8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정중리 760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225000</v>
      </c>
      <c r="G1396" s="4" t="n">
        <v>559</v>
      </c>
      <c r="H1396" s="4" t="n">
        <v>169</v>
      </c>
      <c r="I1396" s="5" t="n">
        <v>1331.4</v>
      </c>
      <c r="J1396" s="5" t="n">
        <v>407.6</v>
      </c>
      <c r="K1396" s="3" t="inlineStr">
        <is>
          <t>오송 2산단  지원시설용지 코너각지,회사 사옥부지 적합</t>
        </is>
      </c>
      <c r="L1396" s="6">
        <f>HYPERLINK("https://fin.land.naver.com/articles/2646727438", "매물Link")</f>
        <v/>
      </c>
      <c r="M1396" s="6">
        <f>HYPERLINK("https://map.naver.com/p/search/오송읍 정중리 760", "지도Link")</f>
        <v/>
      </c>
      <c r="N1396" s="6">
        <f>HYPERLINK("http://www.eum.go.kr/web/ar/lu/luLandDet.jsp?pnu=4311325032107600000&amp;isNoScr=script&amp;mode=search", "토지이음")</f>
        <v/>
      </c>
      <c r="O1396" s="3" t="inlineStr">
        <is>
          <t>오송타운</t>
        </is>
      </c>
      <c r="P1396" s="4" t="n">
        <v>1</v>
      </c>
      <c r="Q1396" s="4" t="n">
        <v>559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763</t>
        </is>
      </c>
      <c r="B1397" s="3" t="inlineStr">
        <is>
          <t>준공업지역</t>
        </is>
      </c>
      <c r="C1397" s="3" t="inlineStr">
        <is>
          <t>주차장</t>
        </is>
      </c>
      <c r="D1397" s="3" t="inlineStr">
        <is>
          <t>대</t>
        </is>
      </c>
      <c r="E1397" s="3" t="inlineStr">
        <is>
          <t>매매</t>
        </is>
      </c>
      <c r="F1397" s="4" t="n">
        <v>230000</v>
      </c>
      <c r="G1397" s="4" t="n">
        <v>1112</v>
      </c>
      <c r="H1397" s="4" t="n">
        <v>336</v>
      </c>
      <c r="I1397" s="5" t="n">
        <v>684.5</v>
      </c>
      <c r="J1397" s="5" t="n">
        <v>179.5</v>
      </c>
      <c r="K1397" s="3" t="inlineStr">
        <is>
          <t>산단 회식 수요 흡수하는 외식업 핵심 토지</t>
        </is>
      </c>
      <c r="L1397" s="6">
        <f>HYPERLINK("https://fin.land.naver.com/articles/2646877471", "매물Link")</f>
        <v/>
      </c>
      <c r="M1397" s="6">
        <f>HYPERLINK("https://map.naver.com/p/search/오송읍 정중리 763", "지도Link")</f>
        <v/>
      </c>
      <c r="N1397" s="6">
        <f>HYPERLINK("http://www.eum.go.kr/web/ar/lu/luLandDet.jsp?pnu=4311325032107630000&amp;isNoScr=script&amp;mode=search", "토지이음")</f>
        <v/>
      </c>
      <c r="O1397" s="3" t="inlineStr">
        <is>
          <t>우영</t>
        </is>
      </c>
      <c r="P1397" s="4" t="n">
        <v>1</v>
      </c>
      <c r="Q1397" s="4" t="n">
        <v>1112.9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764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125020</v>
      </c>
      <c r="G1398" s="4" t="n">
        <v>590</v>
      </c>
      <c r="H1398" s="4" t="n">
        <v>178</v>
      </c>
      <c r="I1398" s="5" t="n">
        <v>702.4</v>
      </c>
      <c r="J1398" s="5" t="n">
        <v>256.4</v>
      </c>
      <c r="K1398" s="3" t="inlineStr">
        <is>
          <t>지금 잡아야 하는 오송 산단 배후 핵심 토지</t>
        </is>
      </c>
      <c r="L1398" s="6">
        <f>HYPERLINK("https://fin.land.naver.com/articles/2646878988", "매물Link")</f>
        <v/>
      </c>
      <c r="M1398" s="6">
        <f>HYPERLINK("https://map.naver.com/p/search/오송읍 정중리 764", "지도Link")</f>
        <v/>
      </c>
      <c r="N1398" s="6">
        <f>HYPERLINK("http://www.eum.go.kr/web/ar/lu/luLandDet.jsp?pnu=4311325032107640000&amp;isNoScr=script&amp;mode=search", "토지이음")</f>
        <v/>
      </c>
      <c r="O1398" s="3" t="inlineStr">
        <is>
          <t>우영</t>
        </is>
      </c>
      <c r="P1398" s="4" t="n">
        <v>1</v>
      </c>
      <c r="Q1398" s="4" t="n">
        <v>590.7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768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125000</v>
      </c>
      <c r="G1399" s="4" t="n">
        <v>590</v>
      </c>
      <c r="H1399" s="4" t="n">
        <v>178</v>
      </c>
      <c r="I1399" s="5" t="n">
        <v>702.2</v>
      </c>
      <c r="J1399" s="5" t="n">
        <v>256.4</v>
      </c>
      <c r="K1399" s="3" t="inlineStr">
        <is>
          <t>오송2산단내 아파트 대단지 옆 지원시설용지 급매</t>
        </is>
      </c>
      <c r="L1399" s="6">
        <f>HYPERLINK("https://fin.land.naver.com/articles/2650390157", "매물Link")</f>
        <v/>
      </c>
      <c r="M1399" s="6">
        <f>HYPERLINK("https://map.naver.com/p/search/오송읍 정중리 768", "지도Link")</f>
        <v/>
      </c>
      <c r="N1399" s="6">
        <f>HYPERLINK("http://www.eum.go.kr/web/ar/lu/luLandDet.jsp?pnu=4311325032107680000&amp;isNoScr=script&amp;mode=search", "토지이음")</f>
        <v/>
      </c>
      <c r="O1399" s="3" t="inlineStr">
        <is>
          <t>아임</t>
        </is>
      </c>
      <c r="P1399" s="4" t="n">
        <v>5</v>
      </c>
      <c r="Q1399" s="4" t="n">
        <v>590.3</v>
      </c>
      <c r="R1399" s="3" t="inlineStr">
        <is>
          <t>지정되지않음</t>
        </is>
      </c>
      <c r="S1399" s="3" t="inlineStr">
        <is>
          <t>상업나지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중로한면</t>
        </is>
      </c>
    </row>
    <row r="1400">
      <c r="A1400" s="3" t="inlineStr">
        <is>
          <t>오송읍 정중리 768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105000</v>
      </c>
      <c r="G1400" s="4" t="n">
        <v>590</v>
      </c>
      <c r="H1400" s="4" t="n">
        <v>178</v>
      </c>
      <c r="I1400" s="5" t="n">
        <v>589.9</v>
      </c>
      <c r="J1400" s="5" t="n">
        <v>256.4</v>
      </c>
      <c r="K1400" s="3" t="inlineStr">
        <is>
          <t>nan</t>
        </is>
      </c>
      <c r="L1400" s="6">
        <f>HYPERLINK("https://fin.land.naver.com/articles/2646195570", "매물Link")</f>
        <v/>
      </c>
      <c r="M1400" s="6">
        <f>HYPERLINK("https://map.naver.com/p/search/오송읍 정중리 768", "지도Link")</f>
        <v/>
      </c>
      <c r="N1400" s="6">
        <f>HYPERLINK("http://www.eum.go.kr/web/ar/lu/luLandDet.jsp?pnu=4311325032107680000&amp;isNoScr=script&amp;mode=search", "토지이음")</f>
        <v/>
      </c>
      <c r="O1400" s="3" t="inlineStr">
        <is>
          <t>동행사무소</t>
        </is>
      </c>
      <c r="P1400" s="4" t="n">
        <v>1</v>
      </c>
      <c r="Q1400" s="4" t="n">
        <v>590.3</v>
      </c>
      <c r="R1400" s="3" t="inlineStr">
        <is>
          <t>지정되지않음</t>
        </is>
      </c>
      <c r="S1400" s="3" t="inlineStr">
        <is>
          <t>상업나지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178</v>
      </c>
      <c r="I1401" s="5" t="n">
        <v>589.9</v>
      </c>
      <c r="J1401" s="5" t="n">
        <v>256.4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770</t>
        </is>
      </c>
      <c r="B1402" s="3" t="inlineStr">
        <is>
          <t>준공업지역</t>
        </is>
      </c>
      <c r="C1402" s="3" t="inlineStr">
        <is>
          <t>주차장</t>
        </is>
      </c>
      <c r="D1402" s="3" t="inlineStr">
        <is>
          <t>대</t>
        </is>
      </c>
      <c r="E1402" s="3" t="inlineStr">
        <is>
          <t>매매</t>
        </is>
      </c>
      <c r="F1402" s="4" t="n">
        <v>202020</v>
      </c>
      <c r="G1402" s="4" t="n">
        <v>1113</v>
      </c>
      <c r="H1402" s="4" t="n">
        <v>337</v>
      </c>
      <c r="I1402" s="5" t="n">
        <v>599.5</v>
      </c>
      <c r="J1402" s="5" t="n">
        <v>179.5</v>
      </c>
      <c r="K1402" s="3" t="inlineStr">
        <is>
          <t>지금 아니면 어려운 오송 산단 인접 수익 토지</t>
        </is>
      </c>
      <c r="L1402" s="6">
        <f>HYPERLINK("https://fin.land.naver.com/articles/2646878317", "매물Link")</f>
        <v/>
      </c>
      <c r="M1402" s="6">
        <f>HYPERLINK("https://map.naver.com/p/search/오송읍 정중리 770", "지도Link")</f>
        <v/>
      </c>
      <c r="N1402" s="6">
        <f>HYPERLINK("http://www.eum.go.kr/web/ar/lu/luLandDet.jsp?pnu=4311325032107700000&amp;isNoScr=script&amp;mode=search", "토지이음")</f>
        <v/>
      </c>
      <c r="O1402" s="3" t="inlineStr">
        <is>
          <t>우영</t>
        </is>
      </c>
      <c r="P1402" s="4" t="n">
        <v>1</v>
      </c>
      <c r="Q1402" s="4" t="n">
        <v>1113.2</v>
      </c>
      <c r="R1402" s="3" t="inlineStr">
        <is>
          <t>지정되지않음</t>
        </is>
      </c>
      <c r="S1402" s="3" t="inlineStr">
        <is>
          <t>주차장등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오송읍 정중리 773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95000</v>
      </c>
      <c r="G1403" s="4" t="n">
        <v>580</v>
      </c>
      <c r="H1403" s="4" t="n">
        <v>175</v>
      </c>
      <c r="I1403" s="5" t="n">
        <v>542.9</v>
      </c>
      <c r="J1403" s="5" t="n">
        <v>258.9</v>
      </c>
      <c r="K1403" s="3" t="inlineStr">
        <is>
          <t>저렴한기회 지원시설용지 차량진출입 용이한 근생상가 추천</t>
        </is>
      </c>
      <c r="L1403" s="6">
        <f>HYPERLINK("https://fin.land.naver.com/articles/2650862161", "매물Link")</f>
        <v/>
      </c>
      <c r="M1403" s="6">
        <f>HYPERLINK("https://map.naver.com/p/search/오송읍 정중리 773", "지도Link")</f>
        <v/>
      </c>
      <c r="N1403" s="6">
        <f>HYPERLINK("http://www.eum.go.kr/web/ar/lu/luLandDet.jsp?pnu=4311325032107730000&amp;isNoScr=script&amp;mode=search", "토지이음")</f>
        <v/>
      </c>
      <c r="O1403" s="3" t="inlineStr">
        <is>
          <t>프로</t>
        </is>
      </c>
      <c r="P1403" s="4" t="n">
        <v>1</v>
      </c>
      <c r="Q1403" s="4" t="n">
        <v>580.4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중로각지</t>
        </is>
      </c>
    </row>
    <row r="1404">
      <c r="A1404" s="3" t="inlineStr">
        <is>
          <t>오송읍 정중리 776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125020</v>
      </c>
      <c r="G1404" s="4" t="n">
        <v>590</v>
      </c>
      <c r="H1404" s="4" t="n">
        <v>178</v>
      </c>
      <c r="I1404" s="5" t="n">
        <v>702.4</v>
      </c>
      <c r="J1404" s="5" t="n">
        <v>256.4</v>
      </c>
      <c r="K1404" s="3" t="inlineStr">
        <is>
          <t>오송 산단 근무자 몰리는 임대사업 최적 입지</t>
        </is>
      </c>
      <c r="L1404" s="6">
        <f>HYPERLINK("https://fin.land.naver.com/articles/2646878768", "매물Link")</f>
        <v/>
      </c>
      <c r="M1404" s="6">
        <f>HYPERLINK("https://map.naver.com/p/search/오송읍 정중리 776", "지도Link")</f>
        <v/>
      </c>
      <c r="N1404" s="6">
        <f>HYPERLINK("http://www.eum.go.kr/web/ar/lu/luLandDet.jsp?pnu=4311325032107760000&amp;isNoScr=script&amp;mode=search", "토지이음")</f>
        <v/>
      </c>
      <c r="O1404" s="3" t="inlineStr">
        <is>
          <t>우영</t>
        </is>
      </c>
      <c r="P1404" s="4" t="n">
        <v>1</v>
      </c>
      <c r="Q1404" s="4" t="n">
        <v>590.6</v>
      </c>
      <c r="R1404" s="3" t="inlineStr">
        <is>
          <t>지정되지않음</t>
        </is>
      </c>
      <c r="S1404" s="3" t="inlineStr">
        <is>
          <t>상업기타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호계리 143-1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39845</v>
      </c>
      <c r="G1405" s="4" t="n">
        <v>2026</v>
      </c>
      <c r="H1405" s="4" t="n">
        <v>613</v>
      </c>
      <c r="I1405" s="5" t="n">
        <v>65</v>
      </c>
      <c r="J1405" s="5" t="n">
        <v>30.4</v>
      </c>
      <c r="K1405" s="3" t="inlineStr">
        <is>
          <t>도로에 접해 주말농장 최상, 개발호재 핫한 오송시 위치 투자가치 최상</t>
        </is>
      </c>
      <c r="L1405" s="6">
        <f>HYPERLINK("https://fin.land.naver.com/articles/2650397039", "매물Link")</f>
        <v/>
      </c>
      <c r="M1405" s="6">
        <f>HYPERLINK("https://map.naver.com/p/search/오송읍 호계리 143-1", "지도Link")</f>
        <v/>
      </c>
      <c r="N1405" s="6">
        <f>HYPERLINK("http://www.eum.go.kr/web/ar/lu/luLandDet.jsp?pnu=4311325021101430001&amp;isNoScr=script&amp;mode=search", "토지이음")</f>
        <v/>
      </c>
      <c r="O1405" s="3" t="inlineStr">
        <is>
          <t>대한</t>
        </is>
      </c>
      <c r="P1405" s="4" t="n">
        <v>1</v>
      </c>
      <c r="Q1405" s="4" t="n">
        <v>2059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호계리 152-1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53500</v>
      </c>
      <c r="G1406" s="4" t="n">
        <v>1359</v>
      </c>
      <c r="H1406" s="4" t="n">
        <v>411</v>
      </c>
      <c r="I1406" s="5" t="n">
        <v>130.2</v>
      </c>
      <c r="J1406" s="5" t="n">
        <v>39.1</v>
      </c>
      <c r="K1406" s="3" t="inlineStr">
        <is>
          <t>급매, 시세 대비 매우 저렴, 4미터 도로에 접하고 있는 계획관리 토지</t>
        </is>
      </c>
      <c r="L1406" s="6">
        <f>HYPERLINK("https://fin.land.naver.com/articles/2647466833", "매물Link")</f>
        <v/>
      </c>
      <c r="M1406" s="6">
        <f>HYPERLINK("https://map.naver.com/p/search/오송읍 호계리 152-1", "지도Link")</f>
        <v/>
      </c>
      <c r="N1406" s="6">
        <f>HYPERLINK("http://www.eum.go.kr/web/ar/lu/luLandDet.jsp?pnu=4311325021101520001&amp;isNoScr=script&amp;mode=search", "토지이음")</f>
        <v/>
      </c>
      <c r="O1406" s="3" t="inlineStr">
        <is>
          <t>제이</t>
        </is>
      </c>
      <c r="P1406" s="4" t="n">
        <v>1</v>
      </c>
      <c r="Q1406" s="4" t="n">
        <v>962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세로각지(가)</t>
        </is>
      </c>
    </row>
    <row r="1407">
      <c r="A1407" s="3" t="inlineStr">
        <is>
          <t>오송읍 호계리 153-1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53500</v>
      </c>
      <c r="G1407" s="4" t="n">
        <v>1359</v>
      </c>
      <c r="H1407" s="4" t="n">
        <v>411</v>
      </c>
      <c r="I1407" s="5" t="n">
        <v>130.2</v>
      </c>
      <c r="J1407" s="5" t="n">
        <v>40.1</v>
      </c>
      <c r="K1407" s="3" t="inlineStr">
        <is>
          <t>4M도로에 접함 투자및 공장추천 2필지</t>
        </is>
      </c>
      <c r="L1407" s="6">
        <f>HYPERLINK("https://fin.land.naver.com/articles/2650428790", "매물Link")</f>
        <v/>
      </c>
      <c r="M1407" s="6">
        <f>HYPERLINK("https://map.naver.com/p/search/오송읍 호계리 153-1", "지도Link")</f>
        <v/>
      </c>
      <c r="N1407" s="6">
        <f>HYPERLINK("http://www.eum.go.kr/web/ar/lu/luLandDet.jsp?pnu=4311325021101530001&amp;isNoScr=script&amp;mode=search", "토지이음")</f>
        <v/>
      </c>
      <c r="O1407" s="3" t="inlineStr">
        <is>
          <t>플러스태양</t>
        </is>
      </c>
      <c r="P1407" s="4" t="n">
        <v>1</v>
      </c>
      <c r="Q1407" s="4" t="n">
        <v>397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155-1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195800</v>
      </c>
      <c r="G1408" s="4" t="n">
        <v>2943</v>
      </c>
      <c r="H1408" s="4" t="n">
        <v>890</v>
      </c>
      <c r="I1408" s="5" t="n">
        <v>220</v>
      </c>
      <c r="J1408" s="5" t="n">
        <v>38.1</v>
      </c>
      <c r="K1408" s="3" t="inlineStr">
        <is>
          <t>오송읍, 호계리, 계획관리지역, 5m 도로 접한 토지</t>
        </is>
      </c>
      <c r="L1408" s="6">
        <f>HYPERLINK("https://fin.land.naver.com/articles/2646734024", "매물Link")</f>
        <v/>
      </c>
      <c r="M1408" s="6">
        <f>HYPERLINK("https://map.naver.com/p/search/오송읍 호계리 155-1", "지도Link")</f>
        <v/>
      </c>
      <c r="N1408" s="6">
        <f>HYPERLINK("http://www.eum.go.kr/web/ar/lu/luLandDet.jsp?pnu=4311325021101550001&amp;isNoScr=script&amp;mode=search", "토지이음")</f>
        <v/>
      </c>
      <c r="O1408" s="3" t="inlineStr">
        <is>
          <t>올바른</t>
        </is>
      </c>
      <c r="P1408" s="4" t="n">
        <v>1</v>
      </c>
      <c r="Q1408" s="4" t="n">
        <v>2943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오송읍 호계리 224-2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49000</v>
      </c>
      <c r="G1409" s="4" t="n">
        <v>899</v>
      </c>
      <c r="H1409" s="4" t="n">
        <v>272</v>
      </c>
      <c r="I1409" s="5" t="n">
        <v>180.1</v>
      </c>
      <c r="J1409" s="5" t="n">
        <v>51.1</v>
      </c>
      <c r="K1409" s="3" t="inlineStr">
        <is>
          <t>2 배의 가치 2 배의 넓은 땅 사용 가능 토지  생산 관리 지역</t>
        </is>
      </c>
      <c r="L1409" s="6">
        <f>HYPERLINK("https://fin.land.naver.com/articles/2648940037", "매물Link")</f>
        <v/>
      </c>
      <c r="M1409" s="6">
        <f>HYPERLINK("https://map.naver.com/p/search/오송읍 호계리 224-2", "지도Link")</f>
        <v/>
      </c>
      <c r="N1409" s="6">
        <f>HYPERLINK("http://www.eum.go.kr/web/ar/lu/luLandDet.jsp?pnu=4311325021102240002&amp;isNoScr=script&amp;mode=search",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899</v>
      </c>
      <c r="R1409" s="3" t="inlineStr">
        <is>
          <t>지정되지않음</t>
        </is>
      </c>
      <c r="S1409" s="3" t="inlineStr">
        <is>
          <t>답기타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호계리 230-3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29000</v>
      </c>
      <c r="G1410" s="4" t="n">
        <v>1595</v>
      </c>
      <c r="H1410" s="4" t="n">
        <v>482</v>
      </c>
      <c r="I1410" s="5" t="n">
        <v>60.2</v>
      </c>
      <c r="J1410" s="5" t="n">
        <v>32.4</v>
      </c>
      <c r="K1410" s="3" t="inlineStr">
        <is>
          <t>호계리 토지 매매.</t>
        </is>
      </c>
      <c r="L1410" s="6">
        <f>HYPERLINK("https://fin.land.naver.com/articles/2646658326", "매물Link")</f>
        <v/>
      </c>
      <c r="M1410" s="6">
        <f>HYPERLINK("https://map.naver.com/p/search/오송읍 호계리 230-3", "지도Link")</f>
        <v/>
      </c>
      <c r="N1410" s="6">
        <f>HYPERLINK("http://www.eum.go.kr/web/ar/lu/luLandDet.jsp?pnu=4311325021102300003&amp;isNoScr=script&amp;mode=search", "토지이음")</f>
        <v/>
      </c>
      <c r="O1410" s="3" t="inlineStr">
        <is>
          <t>대한민국</t>
        </is>
      </c>
      <c r="P1410" s="4" t="n">
        <v>1</v>
      </c>
      <c r="Q1410" s="4" t="n">
        <v>1595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호계리 50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90000</v>
      </c>
      <c r="G1411" s="4" t="n">
        <v>1927</v>
      </c>
      <c r="H1411" s="4" t="n">
        <v>583</v>
      </c>
      <c r="I1411" s="5" t="n">
        <v>154.4</v>
      </c>
      <c r="J1411" s="5" t="n">
        <v>40.1</v>
      </c>
      <c r="K1411" s="3" t="inlineStr">
        <is>
          <t>오송읍 호계리 산과 인접한 전원주택부지</t>
        </is>
      </c>
      <c r="L1411" s="6">
        <f>HYPERLINK("https://fin.land.naver.com/articles/2647515900", "매물Link")</f>
        <v/>
      </c>
      <c r="M1411" s="6">
        <f>HYPERLINK("https://map.naver.com/p/search/오송읍 호계리 50", "지도Link")</f>
        <v/>
      </c>
      <c r="N1411" s="6">
        <f>HYPERLINK("http://www.eum.go.kr/web/ar/lu/luLandDet.jsp?pnu=4311325021100500000&amp;isNoScr=script&amp;mode=search", "토지이음")</f>
        <v/>
      </c>
      <c r="O1411" s="3" t="inlineStr">
        <is>
          <t>새벽무소</t>
        </is>
      </c>
      <c r="P1411" s="4" t="n">
        <v>1</v>
      </c>
      <c r="Q1411" s="4" t="n">
        <v>1927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7-6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28500</v>
      </c>
      <c r="G1412" s="4" t="n">
        <v>627</v>
      </c>
      <c r="H1412" s="4" t="n">
        <v>190</v>
      </c>
      <c r="I1412" s="5" t="n">
        <v>150</v>
      </c>
      <c r="J1412" s="5" t="n">
        <v>39</v>
      </c>
      <c r="K1412" s="3" t="inlineStr">
        <is>
          <t>전원주택지</t>
        </is>
      </c>
      <c r="L1412" s="6">
        <f>HYPERLINK("https://fin.land.naver.com/articles/2649702438", "매물Link")</f>
        <v/>
      </c>
      <c r="M1412" s="6">
        <f>HYPERLINK("https://map.naver.com/p/search/오송읍 호계리 7-6", "지도Link")</f>
        <v/>
      </c>
      <c r="N1412" s="6">
        <f>HYPERLINK("http://www.eum.go.kr/web/ar/lu/luLandDet.jsp?pnu=4311325021100070006&amp;isNoScr=script&amp;mode=search", "토지이음")</f>
        <v/>
      </c>
      <c r="O1412" s="3" t="inlineStr">
        <is>
          <t>금송</t>
        </is>
      </c>
      <c r="P1412" s="4" t="n">
        <v>1</v>
      </c>
      <c r="Q1412" s="4" t="n">
        <v>627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교리 16-5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207</v>
      </c>
      <c r="H1413" s="4" t="n">
        <v>63</v>
      </c>
      <c r="I1413" s="5" t="n">
        <v>634.9</v>
      </c>
      <c r="J1413" s="5" t="n">
        <v>206.5</v>
      </c>
      <c r="K1413" s="3" t="inlineStr">
        <is>
          <t>조치원역 가까운 주거지역 토지매매</t>
        </is>
      </c>
      <c r="L1413" s="6">
        <f>HYPERLINK("https://fin.land.naver.com/articles/2648993356", "매물Link")</f>
        <v/>
      </c>
      <c r="M1413" s="6">
        <f>HYPERLINK("https://map.naver.com/p/search/조치원읍 교리 16-5", "지도Link")</f>
        <v/>
      </c>
      <c r="N1413" s="6">
        <f>HYPERLINK("http://www.eum.go.kr/web/ar/lu/luLandDet.jsp?pnu=3611025024100160005&amp;isNoScr=script&amp;mode=search", "토지이음")</f>
        <v/>
      </c>
      <c r="O1413" s="3" t="inlineStr">
        <is>
          <t>김준희</t>
        </is>
      </c>
      <c r="P1413" s="4" t="n">
        <v>1</v>
      </c>
      <c r="Q1413" s="4" t="n">
        <v>103.5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조치원읍 교리 18-11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42000</v>
      </c>
      <c r="G1414" s="4" t="n">
        <v>179</v>
      </c>
      <c r="H1414" s="4" t="n">
        <v>54</v>
      </c>
      <c r="I1414" s="5" t="n">
        <v>777.8</v>
      </c>
      <c r="J1414" s="5" t="n">
        <v>274.9</v>
      </c>
      <c r="K1414" s="3" t="inlineStr">
        <is>
          <t>nan</t>
        </is>
      </c>
      <c r="L1414" s="6">
        <f>HYPERLINK("https://fin.land.naver.com/articles/2647461785", "매물Link")</f>
        <v/>
      </c>
      <c r="M1414" s="6">
        <f>HYPERLINK("https://map.naver.com/p/search/조치원읍 교리 18-11", "지도Link")</f>
        <v/>
      </c>
      <c r="N1414" s="6">
        <f>HYPERLINK("http://www.eum.go.kr/web/ar/lu/luLandDet.jsp?pnu=3611025024100180011&amp;isNoScr=script&amp;mode=search", "토지이음")</f>
        <v/>
      </c>
      <c r="O1414" s="3" t="inlineStr">
        <is>
          <t>정인</t>
        </is>
      </c>
      <c r="P1414" s="4" t="n">
        <v>1</v>
      </c>
      <c r="Q1414" s="4" t="n">
        <v>179.5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중로한면</t>
        </is>
      </c>
    </row>
    <row r="1415">
      <c r="A1415" s="3" t="inlineStr">
        <is>
          <t>조치원읍 교리 22-20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387</v>
      </c>
      <c r="H1415" s="4" t="n">
        <v>117</v>
      </c>
      <c r="I1415" s="5" t="n">
        <v>854.7</v>
      </c>
      <c r="J1415" s="5" t="n">
        <v>452.2</v>
      </c>
      <c r="K1415" s="3" t="inlineStr">
        <is>
          <t>nan</t>
        </is>
      </c>
      <c r="L1415" s="6">
        <f>HYPERLINK("https://fin.land.naver.com/articles/2645603693", "매물Link")</f>
        <v/>
      </c>
      <c r="M1415" s="6">
        <f>HYPERLINK("https://map.naver.com/p/search/조치원읍 교리 22-20", "지도Link")</f>
        <v/>
      </c>
      <c r="N1415" s="6">
        <f>HYPERLINK("http://www.eum.go.kr/web/ar/lu/luLandDet.jsp?pnu=3611025024100220020&amp;isNoScr=script&amp;mode=search",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185.8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남리 103-68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49000</v>
      </c>
      <c r="G1416" s="4" t="n">
        <v>396</v>
      </c>
      <c r="H1416" s="4" t="n">
        <v>120</v>
      </c>
      <c r="I1416" s="5" t="n">
        <v>408.3</v>
      </c>
      <c r="J1416" s="5" t="n">
        <v>166.9</v>
      </c>
      <c r="K1416" s="3" t="inlineStr">
        <is>
          <t>2차로변,나대지,건물신축가능,조치역역에서 도보권,가격절충가능</t>
        </is>
      </c>
      <c r="L1416" s="6">
        <f>HYPERLINK("https://fin.land.naver.com/articles/2650584031", "매물Link")</f>
        <v/>
      </c>
      <c r="M1416" s="6">
        <f>HYPERLINK("https://map.naver.com/p/search/조치원읍 남리 103-68", "지도Link")</f>
        <v/>
      </c>
      <c r="N1416" s="6">
        <f>HYPERLINK("http://www.eum.go.kr/web/ar/lu/luLandDet.jsp?pnu=3611025027101030068&amp;isNoScr=script&amp;mode=search", "토지이음")</f>
        <v/>
      </c>
      <c r="O1416" s="3" t="inlineStr">
        <is>
          <t>세종늘푸름</t>
        </is>
      </c>
      <c r="P1416" s="4" t="n">
        <v>4</v>
      </c>
      <c r="Q1416" s="4" t="n">
        <v>396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조치원읍 남리 307-2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250000</v>
      </c>
      <c r="G1417" s="4" t="n">
        <v>788</v>
      </c>
      <c r="H1417" s="4" t="n">
        <v>238</v>
      </c>
      <c r="I1417" s="5" t="n">
        <v>1050.4</v>
      </c>
      <c r="J1417" s="5" t="n">
        <v>366.6</v>
      </c>
      <c r="K1417" s="3" t="inlineStr">
        <is>
          <t>조치원 4차선 코너,대지238P,통건물 3동포함,사옥 병원등 추천</t>
        </is>
      </c>
      <c r="L1417" s="6">
        <f>HYPERLINK("https://fin.land.naver.com/articles/2650483987", "매물Link")</f>
        <v/>
      </c>
      <c r="M1417" s="6">
        <f>HYPERLINK("https://map.naver.com/p/search/조치원읍 남리 307-2", "지도Link")</f>
        <v/>
      </c>
      <c r="N1417" s="6">
        <f>HYPERLINK("http://www.eum.go.kr/web/ar/lu/luLandDet.jsp?pnu=3611025027103070002&amp;isNoScr=script&amp;mode=search",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211.4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중로각지</t>
        </is>
      </c>
    </row>
    <row r="1418">
      <c r="A1418" s="3" t="inlineStr">
        <is>
          <t>조치원읍 남리 347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33250</v>
      </c>
      <c r="G1418" s="4" t="n">
        <v>315</v>
      </c>
      <c r="H1418" s="4" t="n">
        <v>95</v>
      </c>
      <c r="I1418" s="5" t="n">
        <v>350</v>
      </c>
      <c r="J1418" s="5" t="n">
        <v>263.5</v>
      </c>
      <c r="K1418" s="3" t="inlineStr">
        <is>
          <t>남리 예쁜땅모양 주택및원룸 추천</t>
        </is>
      </c>
      <c r="L1418" s="6">
        <f>HYPERLINK("https://fin.land.naver.com/articles/2645866110", "매물Link")</f>
        <v/>
      </c>
      <c r="M1418" s="6">
        <f>HYPERLINK("https://map.naver.com/p/search/조치원읍 남리 347", "지도Link")</f>
        <v/>
      </c>
      <c r="N1418" s="6">
        <f>HYPERLINK("http://www.eum.go.kr/web/ar/lu/luLandDet.jsp?pnu=3611025027103470000&amp;isNoScr=script&amp;mode=search", "토지이음")</f>
        <v/>
      </c>
      <c r="O1418" s="3" t="inlineStr">
        <is>
          <t>OK수</t>
        </is>
      </c>
      <c r="P1418" s="4" t="n">
        <v>1</v>
      </c>
      <c r="Q1418" s="4" t="n">
        <v>315.7</v>
      </c>
      <c r="R1418" s="3" t="inlineStr">
        <is>
          <t>지정되지않음</t>
        </is>
      </c>
      <c r="S1418" s="3" t="inlineStr">
        <is>
          <t>주상기타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세로한면(가)</t>
        </is>
      </c>
    </row>
    <row r="1419">
      <c r="A1419" s="3" t="inlineStr">
        <is>
          <t>조치원읍 남리 419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38000</v>
      </c>
      <c r="G1419" s="4" t="n">
        <v>353</v>
      </c>
      <c r="H1419" s="4" t="n">
        <v>107</v>
      </c>
      <c r="I1419" s="5" t="n">
        <v>355.1</v>
      </c>
      <c r="J1419" s="5" t="n">
        <v>170.3</v>
      </c>
      <c r="K1419" s="3" t="inlineStr">
        <is>
          <t>남리 저렴한 토지 다가구원룸,사옥,상가 추천</t>
        </is>
      </c>
      <c r="L1419" s="6">
        <f>HYPERLINK("https://fin.land.naver.com/articles/2649281845", "매물Link")</f>
        <v/>
      </c>
      <c r="M1419" s="6">
        <f>HYPERLINK("https://map.naver.com/p/search/조치원읍 남리 419", "지도Link")</f>
        <v/>
      </c>
      <c r="N1419" s="6">
        <f>HYPERLINK("http://www.eum.go.kr/web/ar/lu/luLandDet.jsp?pnu=3611025027104190000&amp;isNoScr=script&amp;mode=search", "토지이음")</f>
        <v/>
      </c>
      <c r="O1419" s="3" t="inlineStr">
        <is>
          <t>OK수</t>
        </is>
      </c>
      <c r="P1419" s="4" t="n">
        <v>2</v>
      </c>
      <c r="Q1419" s="4" t="n">
        <v>352.6</v>
      </c>
      <c r="R1419" s="3" t="inlineStr">
        <is>
          <t>지정되지않음</t>
        </is>
      </c>
      <c r="S1419" s="3" t="inlineStr">
        <is>
          <t>단독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세로한면(가)</t>
        </is>
      </c>
    </row>
    <row r="1420">
      <c r="A1420" s="3" t="inlineStr">
        <is>
          <t>조치원읍 명리 48-10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25000</v>
      </c>
      <c r="G1420" s="4" t="n">
        <v>188</v>
      </c>
      <c r="H1420" s="4" t="n">
        <v>57</v>
      </c>
      <c r="I1420" s="5" t="n">
        <v>438.6</v>
      </c>
      <c r="J1420" s="5" t="n">
        <v>205.6</v>
      </c>
      <c r="K1420" s="3" t="inlineStr">
        <is>
          <t>잘 정리된 사각형 나대지</t>
        </is>
      </c>
      <c r="L1420" s="6">
        <f>HYPERLINK("https://fin.land.naver.com/articles/2645606868", "매물Link")</f>
        <v/>
      </c>
      <c r="M1420" s="6">
        <f>HYPERLINK("https://map.naver.com/p/search/조치원읍 명리 48-10", "지도Link")</f>
        <v/>
      </c>
      <c r="N1420" s="6">
        <f>HYPERLINK("http://www.eum.go.kr/web/ar/lu/luLandDet.jsp?pnu=3611025026100480010&amp;isNoScr=script&amp;mode=search",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188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조치원읍 번암리 121-4</t>
        </is>
      </c>
      <c r="B1421" s="3" t="inlineStr">
        <is>
          <t>일반공업지역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280000</v>
      </c>
      <c r="G1421" s="4" t="n">
        <v>1530</v>
      </c>
      <c r="H1421" s="4" t="n">
        <v>463</v>
      </c>
      <c r="I1421" s="5" t="n">
        <v>604.8</v>
      </c>
      <c r="J1421" s="5" t="n">
        <v>201.1</v>
      </c>
      <c r="K1421" s="3" t="inlineStr">
        <is>
          <t>조치원 일반공업지역 차량진입 우수 산업형 부지</t>
        </is>
      </c>
      <c r="L1421" s="6">
        <f>HYPERLINK("https://fin.land.naver.com/articles/2648846717", "매물Link")</f>
        <v/>
      </c>
      <c r="M1421" s="6">
        <f>HYPERLINK("https://map.naver.com/p/search/조치원읍 번암리 121-4", "지도Link")</f>
        <v/>
      </c>
      <c r="N1421" s="6">
        <f>HYPERLINK("http://www.eum.go.kr/web/ar/lu/luLandDet.jsp?pnu=3611025031101210004&amp;isNoScr=script&amp;mode=search", "토지이음")</f>
        <v/>
      </c>
      <c r="O1421" s="3" t="inlineStr">
        <is>
          <t>세종소담황금</t>
        </is>
      </c>
      <c r="P1421" s="4" t="n">
        <v>1</v>
      </c>
      <c r="Q1421" s="4" t="n">
        <v>1531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광대세각</t>
        </is>
      </c>
    </row>
    <row r="1422">
      <c r="A1422" s="3" t="inlineStr">
        <is>
          <t>조치원읍 번암리 121-4</t>
        </is>
      </c>
      <c r="B1422" s="3" t="inlineStr">
        <is>
          <t>일반공업지역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280000</v>
      </c>
      <c r="G1422" s="4" t="n">
        <v>1531</v>
      </c>
      <c r="H1422" s="4" t="n">
        <v>463</v>
      </c>
      <c r="I1422" s="5" t="n">
        <v>604.8</v>
      </c>
      <c r="J1422" s="5" t="n">
        <v>201.1</v>
      </c>
      <c r="K1422" s="3" t="inlineStr">
        <is>
          <t>세종산단과 오송산단을 잇는 대로 접, 광고 시인성 뛰어남, 적극조율</t>
        </is>
      </c>
      <c r="L1422" s="6">
        <f>HYPERLINK("https://fin.land.naver.com/articles/2649267602", "매물Link")</f>
        <v/>
      </c>
      <c r="M1422" s="6">
        <f>HYPERLINK("https://map.naver.com/p/search/조치원읍 번암리 121-4", "지도Link")</f>
        <v/>
      </c>
      <c r="N1422" s="6">
        <f>HYPERLINK("http://www.eum.go.kr/web/ar/lu/luLandDet.jsp?pnu=3611025031101210004&amp;isNoScr=script&amp;mode=search", "토지이음")</f>
        <v/>
      </c>
      <c r="O1422" s="3" t="inlineStr">
        <is>
          <t>새롬시티</t>
        </is>
      </c>
      <c r="P1422" s="4" t="n">
        <v>1</v>
      </c>
      <c r="Q1422" s="4" t="n">
        <v>1531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광대세각</t>
        </is>
      </c>
    </row>
    <row r="1423">
      <c r="A1423" s="3" t="inlineStr">
        <is>
          <t>조치원읍 번암리 133</t>
        </is>
      </c>
      <c r="B1423" s="3" t="inlineStr">
        <is>
          <t>제2종일반주거지역</t>
        </is>
      </c>
      <c r="C1423" s="3" t="inlineStr">
        <is>
          <t>주유소용지</t>
        </is>
      </c>
      <c r="D1423" s="3" t="inlineStr">
        <is>
          <t>주유소용지</t>
        </is>
      </c>
      <c r="E1423" s="3" t="inlineStr">
        <is>
          <t>매매</t>
        </is>
      </c>
      <c r="F1423" s="4" t="n">
        <v>170000</v>
      </c>
      <c r="G1423" s="4" t="n">
        <v>542</v>
      </c>
      <c r="H1423" s="4" t="n">
        <v>164</v>
      </c>
      <c r="I1423" s="5" t="n">
        <v>1036.6</v>
      </c>
      <c r="J1423" s="5" t="n">
        <v>380.8</v>
      </c>
      <c r="K1423" s="3" t="inlineStr">
        <is>
          <t>최고의 입지, 대도로 접합, 진입로 있음, 명당,현재 주유소부지.</t>
        </is>
      </c>
      <c r="L1423" s="6">
        <f>HYPERLINK("https://fin.land.naver.com/articles/2647562954", "매물Link")</f>
        <v/>
      </c>
      <c r="M1423" s="6">
        <f>HYPERLINK("https://map.naver.com/p/search/조치원읍 번암리 133", "지도Link")</f>
        <v/>
      </c>
      <c r="N1423" s="6">
        <f>HYPERLINK("http://www.eum.go.kr/web/ar/lu/luLandDet.jsp?pnu=3611025031101330000&amp;isNoScr=script&amp;mode=search", "토지이음")</f>
        <v/>
      </c>
      <c r="O1423" s="3" t="inlineStr">
        <is>
          <t>송죽</t>
        </is>
      </c>
      <c r="P1423" s="4" t="n">
        <v>1</v>
      </c>
      <c r="Q1423" s="4" t="n">
        <v>542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광대로한면</t>
        </is>
      </c>
    </row>
    <row r="1424">
      <c r="A1424" s="3" t="inlineStr">
        <is>
          <t>조치원읍 번암리 171-48</t>
        </is>
      </c>
      <c r="B1424" s="3" t="inlineStr">
        <is>
          <t>일반공업지역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158400</v>
      </c>
      <c r="G1424" s="4" t="n">
        <v>1007</v>
      </c>
      <c r="H1424" s="4" t="n">
        <v>305</v>
      </c>
      <c r="I1424" s="5" t="n">
        <v>519.3</v>
      </c>
      <c r="J1424" s="5" t="n">
        <v>49.5</v>
      </c>
      <c r="K1424" s="3" t="inlineStr">
        <is>
          <t>조율가,대도로인접,소방포장도로 접,노출효과 좋음,근린상가,소형공장등 추천</t>
        </is>
      </c>
      <c r="L1424" s="6">
        <f>HYPERLINK("https://fin.land.naver.com/articles/2650121496", "매물Link")</f>
        <v/>
      </c>
      <c r="M1424" s="6">
        <f>HYPERLINK("https://map.naver.com/p/search/조치원읍 번암리 171-48", "지도Link")</f>
        <v/>
      </c>
      <c r="N1424" s="6">
        <f>HYPERLINK("http://www.eum.go.kr/web/ar/lu/luLandDet.jsp?pnu=3611025031101710048&amp;isNoScr=script&amp;mode=search", "토지이음")</f>
        <v/>
      </c>
      <c r="O1424" s="3" t="inlineStr">
        <is>
          <t>세종지원</t>
        </is>
      </c>
      <c r="P1424" s="4" t="n">
        <v>1</v>
      </c>
      <c r="Q1424" s="4" t="n">
        <v>598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세로한면(불)</t>
        </is>
      </c>
    </row>
    <row r="1425">
      <c r="A1425" s="3" t="inlineStr">
        <is>
          <t>조치원읍 번암리 171-48</t>
        </is>
      </c>
      <c r="B1425" s="3" t="inlineStr">
        <is>
          <t>일반공업지역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121800</v>
      </c>
      <c r="G1425" s="4" t="n">
        <v>1007</v>
      </c>
      <c r="H1425" s="4" t="n">
        <v>305</v>
      </c>
      <c r="I1425" s="5" t="n">
        <v>399.3</v>
      </c>
      <c r="J1425" s="5" t="n">
        <v>49.5</v>
      </c>
      <c r="K1425" s="3" t="inlineStr">
        <is>
          <t>대로변 광고효과 소로1류1012m접함 일반공업지역 공장 근생적합</t>
        </is>
      </c>
      <c r="L1425" s="6">
        <f>HYPERLINK("https://fin.land.naver.com/articles/2645503733", "매물Link")</f>
        <v/>
      </c>
      <c r="M1425" s="6">
        <f>HYPERLINK("https://map.naver.com/p/search/조치원읍 번암리 171-48", "지도Link")</f>
        <v/>
      </c>
      <c r="N1425" s="6">
        <f>HYPERLINK("http://www.eum.go.kr/web/ar/lu/luLandDet.jsp?pnu=3611025031101710048&amp;isNoScr=script&amp;mode=search", "토지이음")</f>
        <v/>
      </c>
      <c r="O1425" s="3" t="inlineStr">
        <is>
          <t>세종이룸</t>
        </is>
      </c>
      <c r="P1425" s="4" t="n">
        <v>1</v>
      </c>
      <c r="Q1425" s="4" t="n">
        <v>598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번암리 171-49</t>
        </is>
      </c>
      <c r="B1426" s="3" t="inlineStr">
        <is>
          <t>일반공업지역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178880</v>
      </c>
      <c r="G1426" s="4" t="n">
        <v>1137</v>
      </c>
      <c r="H1426" s="4" t="n">
        <v>344</v>
      </c>
      <c r="I1426" s="5" t="n">
        <v>520</v>
      </c>
      <c r="J1426" s="5" t="n">
        <v>44</v>
      </c>
      <c r="K1426" s="3" t="inlineStr">
        <is>
          <t>조율가,대도로근접,소방포장도로 접,노출효과 좋음,근린상가,소형공장등 추천</t>
        </is>
      </c>
      <c r="L1426" s="6">
        <f>HYPERLINK("https://fin.land.naver.com/articles/2650121155", "매물Link")</f>
        <v/>
      </c>
      <c r="M1426" s="6">
        <f>HYPERLINK("https://map.naver.com/p/search/조치원읍 번암리 171-49", "지도Link")</f>
        <v/>
      </c>
      <c r="N1426" s="6">
        <f>HYPERLINK("http://www.eum.go.kr/web/ar/lu/luLandDet.jsp?pnu=3611025031101710049&amp;isNoScr=script&amp;mode=search", "토지이음")</f>
        <v/>
      </c>
      <c r="O1426" s="3" t="inlineStr">
        <is>
          <t>어반통</t>
        </is>
      </c>
      <c r="P1426" s="4" t="n">
        <v>1</v>
      </c>
      <c r="Q1426" s="4" t="n">
        <v>1137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조치원읍 번암리 2-4</t>
        </is>
      </c>
      <c r="B1427" s="3" t="inlineStr">
        <is>
          <t>보전녹지지역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186400</v>
      </c>
      <c r="G1427" s="4" t="n">
        <v>15410</v>
      </c>
      <c r="H1427" s="4" t="n">
        <v>4662</v>
      </c>
      <c r="I1427" s="5" t="n">
        <v>40</v>
      </c>
      <c r="J1427" s="5" t="n">
        <v>59.8</v>
      </c>
      <c r="K1427" s="3" t="inlineStr">
        <is>
          <t>오송역 10분대국가산단 배후, 완경사 대형토지</t>
        </is>
      </c>
      <c r="L1427" s="6">
        <f>HYPERLINK("https://fin.land.naver.com/articles/2647348739", "매물Link")</f>
        <v/>
      </c>
      <c r="M1427" s="6">
        <f>HYPERLINK("https://map.naver.com/p/search/조치원읍 번암리 2-4", "지도Link")</f>
        <v/>
      </c>
      <c r="N1427" s="6">
        <f>HYPERLINK("http://www.eum.go.kr/web/ar/lu/luLandDet.jsp?pnu=3611025031100020004&amp;isNoScr=script&amp;mode=search",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10154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번암리 2-4</t>
        </is>
      </c>
      <c r="B1428" s="3" t="inlineStr">
        <is>
          <t>보전녹지지역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180000</v>
      </c>
      <c r="G1428" s="4" t="n">
        <v>15025</v>
      </c>
      <c r="H1428" s="4" t="n">
        <v>4545</v>
      </c>
      <c r="I1428" s="5" t="n">
        <v>39.6</v>
      </c>
      <c r="J1428" s="5" t="n">
        <v>59.8</v>
      </c>
      <c r="K1428" s="3" t="inlineStr">
        <is>
          <t>도로접근선 우수 여러용도 활용가능</t>
        </is>
      </c>
      <c r="L1428" s="6">
        <f>HYPERLINK("https://fin.land.naver.com/articles/2650788390", "매물Link")</f>
        <v/>
      </c>
      <c r="M1428" s="6">
        <f>HYPERLINK("https://map.naver.com/p/search/조치원읍 번암리 2-4", "지도Link")</f>
        <v/>
      </c>
      <c r="N1428" s="6">
        <f>HYPERLINK("http://www.eum.go.kr/web/ar/lu/luLandDet.jsp?pnu=3611025031100020004&amp;isNoScr=script&amp;mode=search", "토지이음")</f>
        <v/>
      </c>
      <c r="O1428" s="3" t="inlineStr">
        <is>
          <t>신두정리치</t>
        </is>
      </c>
      <c r="P1428" s="4" t="n">
        <v>1</v>
      </c>
      <c r="Q1428" s="4" t="n">
        <v>10154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완경사</t>
        </is>
      </c>
      <c r="U1428" s="3" t="inlineStr">
        <is>
          <t>자루형</t>
        </is>
      </c>
      <c r="V1428" s="3" t="inlineStr">
        <is>
          <t>세로한면(가)</t>
        </is>
      </c>
    </row>
    <row r="1429">
      <c r="A1429" s="3" t="inlineStr">
        <is>
          <t>조치원읍 번암리 2-4</t>
        </is>
      </c>
      <c r="B1429" s="3" t="inlineStr">
        <is>
          <t>보전녹지지역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186000</v>
      </c>
      <c r="G1429" s="4" t="n">
        <v>15410</v>
      </c>
      <c r="H1429" s="4" t="n">
        <v>4662</v>
      </c>
      <c r="I1429" s="5" t="n">
        <v>39.9</v>
      </c>
      <c r="J1429" s="5" t="n">
        <v>59.8</v>
      </c>
      <c r="K1429" s="3" t="inlineStr">
        <is>
          <t>급매, 번암리 산업시설,공장다수,향후 활용가능성 높은토지</t>
        </is>
      </c>
      <c r="L1429" s="6">
        <f>HYPERLINK("https://fin.land.naver.com/articles/2651070894", "매물Link")</f>
        <v/>
      </c>
      <c r="M1429" s="6">
        <f>HYPERLINK("https://map.naver.com/p/search/조치원읍 번암리 2-4", "지도Link")</f>
        <v/>
      </c>
      <c r="N1429" s="6">
        <f>HYPERLINK("http://www.eum.go.kr/web/ar/lu/luLandDet.jsp?pnu=3611025031100020004&amp;isNoScr=script&amp;mode=search", "토지이음")</f>
        <v/>
      </c>
      <c r="O1429" s="3" t="inlineStr">
        <is>
          <t>다옴</t>
        </is>
      </c>
      <c r="P1429" s="4" t="n">
        <v>1</v>
      </c>
      <c r="Q1429" s="4" t="n">
        <v>10154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자루형</t>
        </is>
      </c>
      <c r="V1429" s="3" t="inlineStr">
        <is>
          <t>세로한면(가)</t>
        </is>
      </c>
    </row>
    <row r="1430">
      <c r="A1430" s="3" t="inlineStr">
        <is>
          <t>조치원읍 번암리 66-1</t>
        </is>
      </c>
      <c r="B1430" s="3" t="inlineStr">
        <is>
          <t>제2종일반주거지역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1084</v>
      </c>
      <c r="H1430" s="4" t="n">
        <v>328</v>
      </c>
      <c r="I1430" s="5" t="n">
        <v>365.9</v>
      </c>
      <c r="J1430" s="5" t="n">
        <v>120.7</v>
      </c>
      <c r="K1430" s="3" t="inlineStr">
        <is>
          <t>죽림리 2차선 접한 저렴한토지 상업용건물 추천</t>
        </is>
      </c>
      <c r="L1430" s="6">
        <f>HYPERLINK("https://fin.land.naver.com/articles/2645873630", "매물Link")</f>
        <v/>
      </c>
      <c r="M1430" s="6">
        <f>HYPERLINK("https://map.naver.com/p/search/조치원읍 번암리 66-1", "지도Link")</f>
        <v/>
      </c>
      <c r="N1430" s="6">
        <f>HYPERLINK("http://www.eum.go.kr/web/ar/lu/luLandDet.jsp?pnu=3611025031100660001&amp;isNoScr=script&amp;mode=search", "토지이음")</f>
        <v/>
      </c>
      <c r="O1430" s="3" t="inlineStr">
        <is>
          <t>OK수</t>
        </is>
      </c>
      <c r="P1430" s="4" t="n">
        <v>1</v>
      </c>
      <c r="Q1430" s="4" t="n">
        <v>500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소로한면</t>
        </is>
      </c>
    </row>
    <row r="1431">
      <c r="A1431" s="3" t="inlineStr">
        <is>
          <t>조치원읍 번암리 86-1</t>
        </is>
      </c>
      <c r="B1431" s="3" t="inlineStr">
        <is>
          <t>제2종일반주거지역</t>
        </is>
      </c>
      <c r="C1431" s="3" t="inlineStr">
        <is>
          <t>과수원</t>
        </is>
      </c>
      <c r="D1431" s="3" t="inlineStr">
        <is>
          <t>대</t>
        </is>
      </c>
      <c r="E1431" s="3" t="inlineStr">
        <is>
          <t>매매</t>
        </is>
      </c>
      <c r="F1431" s="4" t="n">
        <v>50000</v>
      </c>
      <c r="G1431" s="4" t="n">
        <v>331</v>
      </c>
      <c r="H1431" s="4" t="n">
        <v>100</v>
      </c>
      <c r="I1431" s="5" t="n">
        <v>500</v>
      </c>
      <c r="J1431" s="5" t="n">
        <v>190.1</v>
      </c>
      <c r="K1431" s="3" t="inlineStr">
        <is>
          <t>초기 투자 부담 적고 활용도 높은 규모</t>
        </is>
      </c>
      <c r="L1431" s="6">
        <f>HYPERLINK("https://fin.land.naver.com/articles/2648621896", "매물Link")</f>
        <v/>
      </c>
      <c r="M1431" s="6">
        <f>HYPERLINK("https://map.naver.com/p/search/조치원읍 번암리 86-1", "지도Link")</f>
        <v/>
      </c>
      <c r="N1431" s="6">
        <f>HYPERLINK("http://www.eum.go.kr/web/ar/lu/luLandDet.jsp?pnu=3611025031100860001&amp;isNoScr=script&amp;mode=search", "토지이음")</f>
        <v/>
      </c>
      <c r="O1431" s="3" t="inlineStr">
        <is>
          <t>더KEY</t>
        </is>
      </c>
      <c r="P1431" s="4" t="n">
        <v>1</v>
      </c>
      <c r="Q1431" s="4" t="n">
        <v>331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조치원읍 번암리 96-2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180000</v>
      </c>
      <c r="G1432" s="4" t="n">
        <v>943</v>
      </c>
      <c r="H1432" s="4" t="n">
        <v>285</v>
      </c>
      <c r="I1432" s="5" t="n">
        <v>631.6</v>
      </c>
      <c r="J1432" s="5" t="n">
        <v>222.5</v>
      </c>
      <c r="K1432" s="3" t="inlineStr">
        <is>
          <t>도시지역내 2종일반주거지역 토지</t>
        </is>
      </c>
      <c r="L1432" s="6">
        <f>HYPERLINK("https://fin.land.naver.com/articles/2650856620", "매물Link")</f>
        <v/>
      </c>
      <c r="M1432" s="6">
        <f>HYPERLINK("https://map.naver.com/p/search/조치원읍 번암리 96-2", "지도Link")</f>
        <v/>
      </c>
      <c r="N1432" s="6">
        <f>HYPERLINK("http://www.eum.go.kr/web/ar/lu/luLandDet.jsp?pnu=3611025031100960002&amp;isNoScr=script&amp;mode=search",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943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중로한면</t>
        </is>
      </c>
    </row>
    <row r="1433">
      <c r="A1433" s="3" t="inlineStr">
        <is>
          <t>조치원읍 봉산리 108-1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2188</v>
      </c>
      <c r="H1433" s="4" t="n">
        <v>662</v>
      </c>
      <c r="I1433" s="5" t="n">
        <v>370.1</v>
      </c>
      <c r="J1433" s="5" t="n">
        <v>153.9</v>
      </c>
      <c r="K1433" s="3" t="inlineStr">
        <is>
          <t>추천. 조치원 근생용지 추천</t>
        </is>
      </c>
      <c r="L1433" s="6">
        <f>HYPERLINK("https://fin.land.naver.com/articles/2645464476", "매물Link")</f>
        <v/>
      </c>
      <c r="M1433" s="6">
        <f>HYPERLINK("https://map.naver.com/p/search/조치원읍 봉산리 108-1", "지도Link")</f>
        <v/>
      </c>
      <c r="N1433" s="6">
        <f>HYPERLINK("http://www.eum.go.kr/web/ar/lu/luLandDet.jsp?pnu=3611025033101080001&amp;isNoScr=script&amp;mode=search",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2188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봉산리 171-3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210000</v>
      </c>
      <c r="G1434" s="4" t="n">
        <v>2313</v>
      </c>
      <c r="H1434" s="4" t="n">
        <v>700</v>
      </c>
      <c r="I1434" s="5" t="n">
        <v>300</v>
      </c>
      <c r="J1434" s="5" t="n">
        <v>129.9</v>
      </c>
      <c r="K1434" s="3" t="inlineStr">
        <is>
          <t>세종시 조치원 도심 700,  중로접 토지, 코너위치, 투자 1순위</t>
        </is>
      </c>
      <c r="L1434" s="6">
        <f>HYPERLINK("https://fin.land.naver.com/articles/2650315346", "매물Link")</f>
        <v/>
      </c>
      <c r="M1434" s="6">
        <f>HYPERLINK("https://map.naver.com/p/search/조치원읍 봉산리 171-3", "지도Link")</f>
        <v/>
      </c>
      <c r="N1434" s="6">
        <f>HYPERLINK("http://www.eum.go.kr/web/ar/lu/luLandDet.jsp?pnu=3611025033101710003&amp;isNoScr=script&amp;mode=search",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2313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171-5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140000</v>
      </c>
      <c r="G1435" s="4" t="n">
        <v>1695</v>
      </c>
      <c r="H1435" s="4" t="n">
        <v>513</v>
      </c>
      <c r="I1435" s="5" t="n">
        <v>272.9</v>
      </c>
      <c r="J1435" s="5" t="n">
        <v>135.2</v>
      </c>
      <c r="K1435" s="3" t="inlineStr">
        <is>
          <t>세종시 조치원읍 봉산리 토지 2필지 일괄매매입니다.</t>
        </is>
      </c>
      <c r="L1435" s="6">
        <f>HYPERLINK("https://fin.land.naver.com/articles/2648778213", "매물Link")</f>
        <v/>
      </c>
      <c r="M1435" s="6">
        <f>HYPERLINK("https://map.naver.com/p/search/조치원읍 봉산리 171-5", "지도Link")</f>
        <v/>
      </c>
      <c r="N1435" s="6">
        <f>HYPERLINK("http://www.eum.go.kr/web/ar/lu/luLandDet.jsp?pnu=3611025033101710005&amp;isNoScr=script&amp;mode=search", "토지이음")</f>
        <v/>
      </c>
      <c r="O1435" s="3" t="inlineStr">
        <is>
          <t>세종공감</t>
        </is>
      </c>
      <c r="P1435" s="4" t="n">
        <v>1</v>
      </c>
      <c r="Q1435" s="4" t="n">
        <v>499</v>
      </c>
      <c r="R1435" s="3" t="inlineStr">
        <is>
          <t>지정되지않음</t>
        </is>
      </c>
      <c r="S1435" s="3" t="inlineStr">
        <is>
          <t>답창고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중로한면</t>
        </is>
      </c>
    </row>
    <row r="1436">
      <c r="A1436" s="3" t="inlineStr">
        <is>
          <t>조치원읍 봉산리 225-2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65000</v>
      </c>
      <c r="G1436" s="4" t="n">
        <v>1450</v>
      </c>
      <c r="H1436" s="4" t="n">
        <v>439</v>
      </c>
      <c r="I1436" s="5" t="n">
        <v>148.1</v>
      </c>
      <c r="J1436" s="5" t="n">
        <v>69.3</v>
      </c>
      <c r="K1436" s="3" t="inlineStr">
        <is>
          <t>nan</t>
        </is>
      </c>
      <c r="L1436" s="6">
        <f>HYPERLINK("https://fin.land.naver.com/articles/2647840843", "매물Link")</f>
        <v/>
      </c>
      <c r="M1436" s="6">
        <f>HYPERLINK("https://map.naver.com/p/search/조치원읍 봉산리 225-2", "지도Link")</f>
        <v/>
      </c>
      <c r="N1436" s="6">
        <f>HYPERLINK("http://www.eum.go.kr/web/ar/lu/luLandDet.jsp?pnu=3611025033102250002&amp;isNoScr=script&amp;mode=search", "토지이음")</f>
        <v/>
      </c>
      <c r="O1436" s="3" t="inlineStr">
        <is>
          <t>덕천</t>
        </is>
      </c>
      <c r="P1436" s="4" t="n">
        <v>1</v>
      </c>
      <c r="Q1436" s="4" t="n">
        <v>1450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세로한면(불)</t>
        </is>
      </c>
    </row>
    <row r="1437">
      <c r="A1437" s="3" t="inlineStr">
        <is>
          <t>조치원읍 봉산리 270-2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110000</v>
      </c>
      <c r="G1437" s="4" t="n">
        <v>774</v>
      </c>
      <c r="H1437" s="4" t="n">
        <v>234</v>
      </c>
      <c r="I1437" s="5" t="n">
        <v>470.1</v>
      </c>
      <c r="J1437" s="5" t="n">
        <v>169.9</v>
      </c>
      <c r="K1437" s="3" t="inlineStr">
        <is>
          <t>가격협의가능,2차선도로접, 개발호재지역근접, 투자용추천</t>
        </is>
      </c>
      <c r="L1437" s="6">
        <f>HYPERLINK("https://fin.land.naver.com/articles/2645980234", "매물Link")</f>
        <v/>
      </c>
      <c r="M1437" s="6">
        <f>HYPERLINK("https://map.naver.com/p/search/조치원읍 봉산리 270-2", "지도Link")</f>
        <v/>
      </c>
      <c r="N1437" s="6">
        <f>HYPERLINK("http://www.eum.go.kr/web/ar/lu/luLandDet.jsp?pnu=3611025033102700002&amp;isNoScr=script&amp;mode=search", "토지이음")</f>
        <v/>
      </c>
      <c r="O1437" s="3" t="inlineStr">
        <is>
          <t>현대아이파크</t>
        </is>
      </c>
      <c r="P1437" s="4" t="n">
        <v>1</v>
      </c>
      <c r="Q1437" s="4" t="n">
        <v>774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소로각지</t>
        </is>
      </c>
    </row>
    <row r="1438">
      <c r="A1438" s="3" t="inlineStr">
        <is>
          <t>조치원읍 봉산리 273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76000</v>
      </c>
      <c r="G1438" s="4" t="n">
        <v>1009</v>
      </c>
      <c r="H1438" s="4" t="n">
        <v>305</v>
      </c>
      <c r="I1438" s="5" t="n">
        <v>249.2</v>
      </c>
      <c r="J1438" s="5" t="n">
        <v>75.8</v>
      </c>
      <c r="K1438" s="3" t="inlineStr"/>
      <c r="L1438" s="6">
        <f>HYPERLINK("https://fin.land.naver.com/articles/2650829738", "매물Link")</f>
        <v/>
      </c>
      <c r="M1438" s="6">
        <f>HYPERLINK("https://map.naver.com/p/search/조치원읍 봉산리 273", "지도Link")</f>
        <v/>
      </c>
      <c r="N1438" s="6">
        <f>HYPERLINK("http://www.eum.go.kr/web/ar/lu/luLandDet.jsp?pnu=3611025033102730000&amp;isNoScr=script&amp;mode=search", "토지이음")</f>
        <v/>
      </c>
      <c r="O1438" s="3" t="inlineStr">
        <is>
          <t>세종지평</t>
        </is>
      </c>
      <c r="P1438" s="4" t="n">
        <v>1</v>
      </c>
      <c r="Q1438" s="4" t="n">
        <v>1010</v>
      </c>
      <c r="R1438" s="3" t="inlineStr">
        <is>
          <t>자연녹지지역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봉산리 273-2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180000</v>
      </c>
      <c r="G1439" s="4" t="n">
        <v>1949</v>
      </c>
      <c r="H1439" s="4" t="n">
        <v>590</v>
      </c>
      <c r="I1439" s="5" t="n">
        <v>305.1</v>
      </c>
      <c r="J1439" s="5" t="n">
        <v>74.40000000000001</v>
      </c>
      <c r="K1439" s="3" t="inlineStr">
        <is>
          <t>봉산리  귀한 계획관리지역  2차선도로 접.토지거래허가구역. 투자추천매물</t>
        </is>
      </c>
      <c r="L1439" s="6">
        <f>HYPERLINK("https://fin.land.naver.com/articles/2647140613", "매물Link")</f>
        <v/>
      </c>
      <c r="M1439" s="6">
        <f>HYPERLINK("https://map.naver.com/p/search/조치원읍 봉산리 273-2", "지도Link")</f>
        <v/>
      </c>
      <c r="N1439" s="6">
        <f>HYPERLINK("http://www.eum.go.kr/web/ar/lu/luLandDet.jsp?pnu=3611025033102730002&amp;isNoScr=script&amp;mode=search", "토지이음")</f>
        <v/>
      </c>
      <c r="O1439" s="3" t="inlineStr">
        <is>
          <t>세종특별시</t>
        </is>
      </c>
      <c r="P1439" s="4" t="n">
        <v>1</v>
      </c>
      <c r="Q1439" s="4" t="n">
        <v>1949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봉산리 287-2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140700</v>
      </c>
      <c r="G1440" s="4" t="n">
        <v>3322</v>
      </c>
      <c r="H1440" s="4" t="n">
        <v>1005</v>
      </c>
      <c r="I1440" s="5" t="n">
        <v>140</v>
      </c>
      <c r="J1440" s="5" t="n">
        <v>70</v>
      </c>
      <c r="K1440" s="3" t="inlineStr">
        <is>
          <t>투자용</t>
        </is>
      </c>
      <c r="L1440" s="6">
        <f>HYPERLINK("https://fin.land.naver.com/articles/2648555645", "매물Link")</f>
        <v/>
      </c>
      <c r="M1440" s="6">
        <f>HYPERLINK("https://map.naver.com/p/search/조치원읍 봉산리 287-2", "지도Link")</f>
        <v/>
      </c>
      <c r="N1440" s="6">
        <f>HYPERLINK("http://www.eum.go.kr/web/ar/lu/luLandDet.jsp?pnu=3611025033102870002&amp;isNoScr=script&amp;mode=search", "토지이음")</f>
        <v/>
      </c>
      <c r="O1440" s="3" t="inlineStr">
        <is>
          <t>세종리츠</t>
        </is>
      </c>
      <c r="P1440" s="4" t="n">
        <v>1</v>
      </c>
      <c r="Q1440" s="4" t="n">
        <v>2628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봉산리 295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329200</v>
      </c>
      <c r="G1441" s="4" t="n">
        <v>4353</v>
      </c>
      <c r="H1441" s="4" t="n">
        <v>1317</v>
      </c>
      <c r="I1441" s="5" t="n">
        <v>250</v>
      </c>
      <c r="J1441" s="5" t="n">
        <v>70.7</v>
      </c>
      <c r="K1441" s="3" t="inlineStr">
        <is>
          <t>nan</t>
        </is>
      </c>
      <c r="L1441" s="6">
        <f>HYPERLINK("https://fin.land.naver.com/articles/2646456412", "매물Link")</f>
        <v/>
      </c>
      <c r="M1441" s="6">
        <f>HYPERLINK("https://map.naver.com/p/search/조치원읍 봉산리 295", "지도Link")</f>
        <v/>
      </c>
      <c r="N1441" s="6">
        <f>HYPERLINK("http://www.eum.go.kr/web/ar/lu/luLandDet.jsp?pnu=3611025033102950000&amp;isNoScr=script&amp;mode=search",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2226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조치원읍 봉산리 296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300000</v>
      </c>
      <c r="G1442" s="4" t="n">
        <v>2631</v>
      </c>
      <c r="H1442" s="4" t="n">
        <v>796</v>
      </c>
      <c r="I1442" s="5" t="n">
        <v>376.9</v>
      </c>
      <c r="J1442" s="5" t="n">
        <v>93.7</v>
      </c>
      <c r="K1442" s="3" t="inlineStr">
        <is>
          <t>조치원 서북부지구 도시개발사업인접. 향후 유동 인구와 인프라 확충높음</t>
        </is>
      </c>
      <c r="L1442" s="6">
        <f>HYPERLINK("https://fin.land.naver.com/articles/2649013256", "매물Link")</f>
        <v/>
      </c>
      <c r="M1442" s="6">
        <f>HYPERLINK("https://map.naver.com/p/search/조치원읍 봉산리 296", "지도Link")</f>
        <v/>
      </c>
      <c r="N1442" s="6">
        <f>HYPERLINK("http://www.eum.go.kr/web/ar/lu/luLandDet.jsp?pnu=3611025033102960000&amp;isNoScr=script&amp;mode=search", "토지이음")</f>
        <v/>
      </c>
      <c r="O1442" s="3" t="inlineStr">
        <is>
          <t>우리동네</t>
        </is>
      </c>
      <c r="P1442" s="4" t="n">
        <v>1</v>
      </c>
      <c r="Q1442" s="4" t="n">
        <v>2631</v>
      </c>
      <c r="R1442" s="3" t="inlineStr">
        <is>
          <t>지정되지않음</t>
        </is>
      </c>
      <c r="S1442" s="3" t="inlineStr">
        <is>
          <t>공업용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303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151580</v>
      </c>
      <c r="G1443" s="4" t="n">
        <v>2277</v>
      </c>
      <c r="H1443" s="4" t="n">
        <v>689</v>
      </c>
      <c r="I1443" s="5" t="n">
        <v>220</v>
      </c>
      <c r="J1443" s="5" t="n">
        <v>62.3</v>
      </c>
      <c r="K1443" s="3" t="inlineStr">
        <is>
          <t>nan</t>
        </is>
      </c>
      <c r="L1443" s="6">
        <f>HYPERLINK("https://fin.land.naver.com/articles/2646469696", "매물Link")</f>
        <v/>
      </c>
      <c r="M1443" s="6">
        <f>HYPERLINK("https://map.naver.com/p/search/조치원읍 봉산리 303", "지도Link")</f>
        <v/>
      </c>
      <c r="N1443" s="6">
        <f>HYPERLINK("http://www.eum.go.kr/web/ar/lu/luLandDet.jsp?pnu=3611025033103030000&amp;isNoScr=script&amp;mode=search",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2278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320</t>
        </is>
      </c>
      <c r="B1444" s="3" t="inlineStr">
        <is>
          <t>계획관리지역</t>
        </is>
      </c>
      <c r="C1444" s="3" t="inlineStr">
        <is>
          <t>과수원</t>
        </is>
      </c>
      <c r="D1444" s="3" t="inlineStr">
        <is>
          <t>과수원</t>
        </is>
      </c>
      <c r="E1444" s="3" t="inlineStr">
        <is>
          <t>매매</t>
        </is>
      </c>
      <c r="F1444" s="4" t="n">
        <v>120000</v>
      </c>
      <c r="G1444" s="4" t="n">
        <v>1901</v>
      </c>
      <c r="H1444" s="4" t="n">
        <v>575</v>
      </c>
      <c r="I1444" s="5" t="n">
        <v>208.7</v>
      </c>
      <c r="J1444" s="5" t="n">
        <v>62.3</v>
      </c>
      <c r="K1444" s="3" t="inlineStr">
        <is>
          <t>급.조치원역인근 투자용 계획관리</t>
        </is>
      </c>
      <c r="L1444" s="6">
        <f>HYPERLINK("https://fin.land.naver.com/articles/2645465983", "매물Link")</f>
        <v/>
      </c>
      <c r="M1444" s="6">
        <f>HYPERLINK("https://map.naver.com/p/search/조치원읍 봉산리 320", "지도Link")</f>
        <v/>
      </c>
      <c r="N1444" s="6">
        <f>HYPERLINK("http://www.eum.go.kr/web/ar/lu/luLandDet.jsp?pnu=3611025033103200000&amp;isNoScr=script&amp;mode=search", "토지이음")</f>
        <v/>
      </c>
      <c r="O1444" s="3" t="inlineStr">
        <is>
          <t>강아지풀</t>
        </is>
      </c>
      <c r="P1444" s="4" t="n">
        <v>1</v>
      </c>
      <c r="Q1444" s="4" t="n">
        <v>1618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365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1300000</v>
      </c>
      <c r="G1445" s="4" t="n">
        <v>4444</v>
      </c>
      <c r="H1445" s="4" t="n">
        <v>1344</v>
      </c>
      <c r="I1445" s="5" t="n">
        <v>967.3</v>
      </c>
      <c r="J1445" s="5" t="n">
        <v>256</v>
      </c>
      <c r="K1445" s="3" t="inlineStr">
        <is>
          <t>nan</t>
        </is>
      </c>
      <c r="L1445" s="6">
        <f>HYPERLINK("https://fin.land.naver.com/articles/2645947588", "매물Link")</f>
        <v/>
      </c>
      <c r="M1445" s="6">
        <f>HYPERLINK("https://map.naver.com/p/search/조치원읍 봉산리 365", "지도Link")</f>
        <v/>
      </c>
      <c r="N1445" s="6">
        <f>HYPERLINK("http://www.eum.go.kr/web/ar/lu/luLandDet.jsp?pnu=3611025033103650000&amp;isNoScr=script&amp;mode=search", "토지이음")</f>
        <v/>
      </c>
      <c r="O1445" s="3" t="inlineStr">
        <is>
          <t>테이트한남  주식회사</t>
        </is>
      </c>
      <c r="P1445" s="4" t="n">
        <v>2</v>
      </c>
      <c r="Q1445" s="4" t="n">
        <v>4444</v>
      </c>
      <c r="R1445" s="3" t="inlineStr">
        <is>
          <t>지정되지않음</t>
        </is>
      </c>
      <c r="S1445" s="3" t="inlineStr">
        <is>
          <t>상업나지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중로각지</t>
        </is>
      </c>
    </row>
    <row r="1446">
      <c r="A1446" s="3" t="inlineStr">
        <is>
          <t>조치원읍 봉산리 393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450000</v>
      </c>
      <c r="G1446" s="4" t="n">
        <v>828</v>
      </c>
      <c r="H1446" s="4" t="n">
        <v>250</v>
      </c>
      <c r="I1446" s="5" t="n">
        <v>1800</v>
      </c>
      <c r="J1446" s="5" t="n">
        <v>274.4</v>
      </c>
      <c r="K1446" s="3" t="inlineStr">
        <is>
          <t>조치원 서북부지구 아파트 앞 중심상권 토지</t>
        </is>
      </c>
      <c r="L1446" s="6">
        <f>HYPERLINK("https://fin.land.naver.com/articles/2650856619", "매물Link")</f>
        <v/>
      </c>
      <c r="M1446" s="6">
        <f>HYPERLINK("https://map.naver.com/p/search/조치원읍 봉산리 393", "지도Link")</f>
        <v/>
      </c>
      <c r="N1446" s="6">
        <f>HYPERLINK("http://www.eum.go.kr/web/ar/lu/luLandDet.jsp?pnu=3611025033103930000&amp;isNoScr=script&amp;mode=search",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828.7</v>
      </c>
      <c r="R1446" s="3" t="inlineStr">
        <is>
          <t>지정되지않음</t>
        </is>
      </c>
      <c r="S1446" s="3" t="inlineStr">
        <is>
          <t>상업나지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조치원읍 봉산리 393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375000</v>
      </c>
      <c r="G1447" s="4" t="n">
        <v>828</v>
      </c>
      <c r="H1447" s="4" t="n">
        <v>250</v>
      </c>
      <c r="I1447" s="5" t="n">
        <v>1500</v>
      </c>
      <c r="J1447" s="5" t="n">
        <v>274.4</v>
      </c>
      <c r="K1447" s="3" t="inlineStr">
        <is>
          <t>준주거 대지</t>
        </is>
      </c>
      <c r="L1447" s="6">
        <f>HYPERLINK("https://fin.land.naver.com/articles/2649750743", "매물Link")</f>
        <v/>
      </c>
      <c r="M1447" s="6">
        <f>HYPERLINK("https://map.naver.com/p/search/조치원읍 봉산리 393", "지도Link")</f>
        <v/>
      </c>
      <c r="N1447" s="6">
        <f>HYPERLINK("http://www.eum.go.kr/web/ar/lu/luLandDet.jsp?pnu=3611025033103930000&amp;isNoScr=script&amp;mode=search",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828.7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조치원읍 봉산리 산 20-16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380000</v>
      </c>
      <c r="G1448" s="4" t="n">
        <v>25657</v>
      </c>
      <c r="H1448" s="4" t="n">
        <v>7761</v>
      </c>
      <c r="I1448" s="5" t="n">
        <v>49</v>
      </c>
      <c r="J1448" s="5" t="n">
        <v>8.5</v>
      </c>
      <c r="K1448" s="3" t="inlineStr">
        <is>
          <t>봉산리 임야 매매</t>
        </is>
      </c>
      <c r="L1448" s="6">
        <f>HYPERLINK("https://fin.land.naver.com/articles/2647628421", "매물Link")</f>
        <v/>
      </c>
      <c r="M1448" s="6">
        <f>HYPERLINK("https://map.naver.com/p/search/조치원읍 봉산리 산 20-16", "지도Link")</f>
        <v/>
      </c>
      <c r="N1448" s="6">
        <f>HYPERLINK("http://www.eum.go.kr/web/ar/lu/luLandDet.jsp?pnu=3611025033200200016&amp;isNoScr=script&amp;mode=search", "토지이음")</f>
        <v/>
      </c>
      <c r="O1448" s="3" t="inlineStr">
        <is>
          <t>스마트</t>
        </is>
      </c>
      <c r="P1448" s="4" t="n">
        <v>1</v>
      </c>
      <c r="Q1448" s="4" t="n">
        <v>25657</v>
      </c>
      <c r="R1448" s="3" t="inlineStr">
        <is>
          <t>보전녹지지역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산20-15</t>
        </is>
      </c>
      <c r="B1449" s="3" t="inlineStr">
        <is>
          <t>보전녹지지역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16084</v>
      </c>
      <c r="G1449" s="4" t="n">
        <v>13291</v>
      </c>
      <c r="H1449" s="4" t="n">
        <v>4021</v>
      </c>
      <c r="I1449" s="5" t="n">
        <v>4</v>
      </c>
      <c r="J1449" s="5" t="n">
        <v>4.1</v>
      </c>
      <c r="K1449" s="3" t="inlineStr">
        <is>
          <t>맹지 빠른매도원함 조치원읍  주변 땅 발전성 높고요 매물 가치 좋아요</t>
        </is>
      </c>
      <c r="L1449" s="6">
        <f>HYPERLINK("https://fin.land.naver.com/articles/2649267318", "매물Link")</f>
        <v/>
      </c>
      <c r="M1449" s="6">
        <f>HYPERLINK("https://map.naver.com/p/search/조치원읍 봉산리 산20-15", "지도Link")</f>
        <v/>
      </c>
      <c r="N1449" s="6">
        <f>HYPERLINK("http://www.eum.go.kr/web/ar/lu/luLandDet.jsp?pnu=3611025033200200015&amp;isNoScr=script&amp;mode=search", "토지이음")</f>
        <v/>
      </c>
      <c r="O1449" s="3" t="inlineStr">
        <is>
          <t>삼성래미안</t>
        </is>
      </c>
      <c r="P1449" s="4" t="n">
        <v>3</v>
      </c>
      <c r="Q1449" s="4" t="n">
        <v>13291</v>
      </c>
      <c r="R1449" s="3" t="inlineStr">
        <is>
          <t>자연녹지지역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부정형</t>
        </is>
      </c>
      <c r="V1449" s="3" t="inlineStr">
        <is>
          <t>맹지</t>
        </is>
      </c>
    </row>
    <row r="1450">
      <c r="A1450" s="3" t="inlineStr">
        <is>
          <t>조치원읍 상리 98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90000</v>
      </c>
      <c r="G1450" s="4" t="n">
        <v>427</v>
      </c>
      <c r="H1450" s="4" t="n">
        <v>129</v>
      </c>
      <c r="I1450" s="5" t="n">
        <v>697.7</v>
      </c>
      <c r="J1450" s="5" t="n">
        <v>478</v>
      </c>
      <c r="K1450" s="3" t="inlineStr">
        <is>
          <t>조치원 버스터미널 바로 옆 일반상업지역 위치 최고 대지 매매</t>
        </is>
      </c>
      <c r="L1450" s="6">
        <f>HYPERLINK("https://fin.land.naver.com/articles/2650923519", "매물Link")</f>
        <v/>
      </c>
      <c r="M1450" s="6">
        <f>HYPERLINK("https://map.naver.com/p/search/조치원읍 상리 98", "지도Link")</f>
        <v/>
      </c>
      <c r="N1450" s="6">
        <f>HYPERLINK("http://www.eum.go.kr/web/ar/lu/luLandDet.jsp?pnu=3611025022100980000&amp;isNoScr=script&amp;mode=search", "토지이음")</f>
        <v/>
      </c>
      <c r="O1450" s="3" t="inlineStr">
        <is>
          <t>나침반</t>
        </is>
      </c>
      <c r="P1450" s="4" t="n">
        <v>2</v>
      </c>
      <c r="Q1450" s="4" t="n">
        <v>427</v>
      </c>
      <c r="R1450" s="3" t="inlineStr">
        <is>
          <t>지정되지않음</t>
        </is>
      </c>
      <c r="S1450" s="3" t="inlineStr">
        <is>
          <t>주상나지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상리 98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90000</v>
      </c>
      <c r="G1451" s="4" t="n">
        <v>427</v>
      </c>
      <c r="H1451" s="4" t="n">
        <v>129</v>
      </c>
      <c r="I1451" s="5" t="n">
        <v>697.7</v>
      </c>
      <c r="J1451" s="5" t="n">
        <v>478</v>
      </c>
      <c r="K1451" s="3" t="inlineStr">
        <is>
          <t>상리 일반상업지역 매매 대지 입니다</t>
        </is>
      </c>
      <c r="L1451" s="6">
        <f>HYPERLINK("https://fin.land.naver.com/articles/2650858068", "매물Link")</f>
        <v/>
      </c>
      <c r="M1451" s="6">
        <f>HYPERLINK("https://map.naver.com/p/search/조치원읍 상리 98", "지도Link")</f>
        <v/>
      </c>
      <c r="N1451" s="6">
        <f>HYPERLINK("http://www.eum.go.kr/web/ar/lu/luLandDet.jsp?pnu=3611025022100980000&amp;isNoScr=script&amp;mode=search", "토지이음")</f>
        <v/>
      </c>
      <c r="O1451" s="3" t="inlineStr">
        <is>
          <t>상희</t>
        </is>
      </c>
      <c r="P1451" s="4" t="n">
        <v>1</v>
      </c>
      <c r="Q1451" s="4" t="n">
        <v>427</v>
      </c>
      <c r="R1451" s="3" t="inlineStr">
        <is>
          <t>지정되지않음</t>
        </is>
      </c>
      <c r="S1451" s="3" t="inlineStr">
        <is>
          <t>주상나지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상리 98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90000</v>
      </c>
      <c r="G1452" s="4" t="n">
        <v>427</v>
      </c>
      <c r="H1452" s="4" t="n">
        <v>129</v>
      </c>
      <c r="I1452" s="5" t="n">
        <v>697.7</v>
      </c>
      <c r="J1452" s="5" t="n">
        <v>478</v>
      </c>
      <c r="K1452" s="3" t="inlineStr">
        <is>
          <t>조치원 버스터미널 인접 도로접 일반상업지역 9억대 나대지</t>
        </is>
      </c>
      <c r="L1452" s="6">
        <f>HYPERLINK("https://fin.land.naver.com/articles/2649751054", "매물Link")</f>
        <v/>
      </c>
      <c r="M1452" s="6">
        <f>HYPERLINK("https://map.naver.com/p/search/조치원읍 상리 98", "지도Link")</f>
        <v/>
      </c>
      <c r="N1452" s="6">
        <f>HYPERLINK("http://www.eum.go.kr/web/ar/lu/luLandDet.jsp?pnu=3611025022100980000&amp;isNoScr=script&amp;mode=search", "토지이음")</f>
        <v/>
      </c>
      <c r="O1452" s="3" t="inlineStr">
        <is>
          <t>세종소담황금</t>
        </is>
      </c>
      <c r="P1452" s="4" t="n">
        <v>1</v>
      </c>
      <c r="Q1452" s="4" t="n">
        <v>427</v>
      </c>
      <c r="R1452" s="3" t="inlineStr">
        <is>
          <t>지정되지않음</t>
        </is>
      </c>
      <c r="S1452" s="3" t="inlineStr">
        <is>
          <t>주상나지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105-10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185000</v>
      </c>
      <c r="G1453" s="4" t="n">
        <v>1685</v>
      </c>
      <c r="H1453" s="4" t="n">
        <v>510</v>
      </c>
      <c r="I1453" s="5" t="n">
        <v>362.7</v>
      </c>
      <c r="J1453" s="5" t="n">
        <v>228.2</v>
      </c>
      <c r="K1453" s="3" t="inlineStr">
        <is>
          <t>4차선 대로접, 물류 및 자동차 관련시설 추천</t>
        </is>
      </c>
      <c r="L1453" s="6">
        <f>HYPERLINK("https://fin.land.naver.com/articles/2649100924", "매물Link")</f>
        <v/>
      </c>
      <c r="M1453" s="6">
        <f>HYPERLINK("https://map.naver.com/p/search/조치원읍 서창리 105-10", "지도Link")</f>
        <v/>
      </c>
      <c r="N1453" s="6">
        <f>HYPERLINK("http://www.eum.go.kr/web/ar/lu/luLandDet.jsp?pnu=3611025034101050010&amp;isNoScr=script&amp;mode=search",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1685</v>
      </c>
      <c r="R1453" s="3" t="inlineStr">
        <is>
          <t>자연녹지지역</t>
        </is>
      </c>
      <c r="S1453" s="3" t="inlineStr">
        <is>
          <t>주상나지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중로한면</t>
        </is>
      </c>
    </row>
    <row r="1454">
      <c r="A1454" s="3" t="inlineStr">
        <is>
          <t>조치원읍 서창리 106-4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540</v>
      </c>
      <c r="H1454" s="4" t="n">
        <v>163</v>
      </c>
      <c r="I1454" s="5" t="n">
        <v>368.1</v>
      </c>
      <c r="J1454" s="5" t="n">
        <v>194.8</v>
      </c>
      <c r="K1454" s="3" t="inlineStr">
        <is>
          <t>카센타 세차장 등으로 활용하면 좋을 근생시설과 단독주택을 일괄매매합니다</t>
        </is>
      </c>
      <c r="L1454" s="6">
        <f>HYPERLINK("https://fin.land.naver.com/articles/2650939295", "매물Link")</f>
        <v/>
      </c>
      <c r="M1454" s="6">
        <f>HYPERLINK("https://map.naver.com/p/search/조치원읍 서창리 106-4", "지도Link")</f>
        <v/>
      </c>
      <c r="N1454" s="6">
        <f>HYPERLINK("http://www.eum.go.kr/web/ar/lu/luLandDet.jsp?pnu=3611025034101060004&amp;isNoScr=script&amp;mode=search",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540.1</v>
      </c>
      <c r="R1454" s="3" t="inlineStr">
        <is>
          <t>지정되지않음</t>
        </is>
      </c>
      <c r="S1454" s="3" t="inlineStr">
        <is>
          <t>주상용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조치원읍 서창리 138-2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84960</v>
      </c>
      <c r="G1455" s="4" t="n">
        <v>620</v>
      </c>
      <c r="H1455" s="4" t="n">
        <v>188</v>
      </c>
      <c r="I1455" s="5" t="n">
        <v>451.9</v>
      </c>
      <c r="J1455" s="5" t="n">
        <v>178.5</v>
      </c>
      <c r="K1455" s="3" t="inlineStr">
        <is>
          <t>세종시 조치원읍 서창리 토지 급매 고려대,세종여고옆 제2종주거620㎡급매</t>
        </is>
      </c>
      <c r="L1455" s="6">
        <f>HYPERLINK("https://fin.land.naver.com/articles/2650379617", "매물Link")</f>
        <v/>
      </c>
      <c r="M1455" s="6">
        <f>HYPERLINK("https://map.naver.com/p/search/조치원읍 서창리 138-2", "지도Link")</f>
        <v/>
      </c>
      <c r="N1455" s="6">
        <f>HYPERLINK("http://www.eum.go.kr/web/ar/lu/luLandDet.jsp?pnu=3611025034101380002&amp;isNoScr=script&amp;mode=search", "토지이음")</f>
        <v/>
      </c>
      <c r="O1455" s="3" t="inlineStr">
        <is>
          <t>세종</t>
        </is>
      </c>
      <c r="P1455" s="4" t="n">
        <v>3</v>
      </c>
      <c r="Q1455" s="4" t="n">
        <v>289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138-2</t>
        </is>
      </c>
      <c r="B1456" s="3" t="inlineStr">
        <is>
          <t>제2종일반주거지역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85000</v>
      </c>
      <c r="G1456" s="4" t="n">
        <v>620</v>
      </c>
      <c r="H1456" s="4" t="n">
        <v>188</v>
      </c>
      <c r="I1456" s="5" t="n">
        <v>452.1</v>
      </c>
      <c r="J1456" s="5" t="n">
        <v>178.5</v>
      </c>
      <c r="K1456" s="3" t="inlineStr">
        <is>
          <t>서창리 토지 매매</t>
        </is>
      </c>
      <c r="L1456" s="6">
        <f>HYPERLINK("https://fin.land.naver.com/articles/2648992439", "매물Link")</f>
        <v/>
      </c>
      <c r="M1456" s="6">
        <f>HYPERLINK("https://map.naver.com/p/search/조치원읍 서창리 138-2", "지도Link")</f>
        <v/>
      </c>
      <c r="N1456" s="6">
        <f>HYPERLINK("http://www.eum.go.kr/web/ar/lu/luLandDet.jsp?pnu=3611025034101380002&amp;isNoScr=script&amp;mode=search",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289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138-2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85000</v>
      </c>
      <c r="G1457" s="4" t="n">
        <v>620</v>
      </c>
      <c r="H1457" s="4" t="n">
        <v>188</v>
      </c>
      <c r="I1457" s="5" t="n">
        <v>452.1</v>
      </c>
      <c r="J1457" s="5" t="n">
        <v>178.5</v>
      </c>
      <c r="K1457" s="3" t="inlineStr">
        <is>
          <t>서창리 2종일반주거,2차선접 코너 나대지 토지 급매</t>
        </is>
      </c>
      <c r="L1457" s="6">
        <f>HYPERLINK("https://fin.land.naver.com/articles/2649393495", "매물Link")</f>
        <v/>
      </c>
      <c r="M1457" s="6">
        <f>HYPERLINK("https://map.naver.com/p/search/조치원읍 서창리 138-2", "지도Link")</f>
        <v/>
      </c>
      <c r="N1457" s="6">
        <f>HYPERLINK("http://www.eum.go.kr/web/ar/lu/luLandDet.jsp?pnu=3611025034101380002&amp;isNoScr=script&amp;mode=search", "토지이음")</f>
        <v/>
      </c>
      <c r="O1457" s="3" t="inlineStr">
        <is>
          <t>광장</t>
        </is>
      </c>
      <c r="P1457" s="4" t="n">
        <v>2</v>
      </c>
      <c r="Q1457" s="4" t="n">
        <v>289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138-2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85000</v>
      </c>
      <c r="G1458" s="4" t="n">
        <v>620</v>
      </c>
      <c r="H1458" s="4" t="n">
        <v>188</v>
      </c>
      <c r="I1458" s="5" t="n">
        <v>452.1</v>
      </c>
      <c r="J1458" s="5" t="n">
        <v>178.5</v>
      </c>
      <c r="K1458" s="3" t="inlineStr">
        <is>
          <t>nan</t>
        </is>
      </c>
      <c r="L1458" s="6">
        <f>HYPERLINK("https://fin.land.naver.com/articles/2649067843", "매물Link")</f>
        <v/>
      </c>
      <c r="M1458" s="6">
        <f>HYPERLINK("https://map.naver.com/p/search/조치원읍 서창리 138-2", "지도Link")</f>
        <v/>
      </c>
      <c r="N1458" s="6">
        <f>HYPERLINK("http://www.eum.go.kr/web/ar/lu/luLandDet.jsp?pnu=3611025034101380002&amp;isNoScr=script&amp;mode=search", "토지이음")</f>
        <v/>
      </c>
      <c r="O1458" s="3" t="inlineStr">
        <is>
          <t>번암주공</t>
        </is>
      </c>
      <c r="P1458" s="4" t="n">
        <v>2</v>
      </c>
      <c r="Q1458" s="4" t="n">
        <v>289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138-5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188</v>
      </c>
      <c r="I1459" s="5" t="n">
        <v>452.1</v>
      </c>
      <c r="J1459" s="5" t="n">
        <v>178.5</v>
      </c>
      <c r="K1459" s="3" t="inlineStr">
        <is>
          <t>2차선도로 및 후면도로에도 접한 제2종일반주거지역의 근린생활시설 상가부지</t>
        </is>
      </c>
      <c r="L1459" s="6">
        <f>HYPERLINK("https://fin.land.naver.com/articles/2650732863", "매물Link")</f>
        <v/>
      </c>
      <c r="M1459" s="6">
        <f>HYPERLINK("https://map.naver.com/p/search/조치원읍 서창리 138-5", "지도Link")</f>
        <v/>
      </c>
      <c r="N1459" s="6">
        <f>HYPERLINK("http://www.eum.go.kr/web/ar/lu/luLandDet.jsp?pnu=3611025034101380005&amp;isNoScr=script&amp;mode=search", "토지이음")</f>
        <v/>
      </c>
      <c r="O1459" s="3" t="inlineStr">
        <is>
          <t>스마일세종</t>
        </is>
      </c>
      <c r="P1459" s="4" t="n">
        <v>2</v>
      </c>
      <c r="Q1459" s="4" t="n">
        <v>331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152-2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63000</v>
      </c>
      <c r="G1460" s="4" t="n">
        <v>328</v>
      </c>
      <c r="H1460" s="4" t="n">
        <v>99</v>
      </c>
      <c r="I1460" s="5" t="n">
        <v>636.4</v>
      </c>
      <c r="J1460" s="5" t="n">
        <v>237.3</v>
      </c>
      <c r="K1460" s="3" t="inlineStr">
        <is>
          <t>급매,고려대학교 인근,도로접 도시.2종일반주거지역,다용도 건축가능</t>
        </is>
      </c>
      <c r="L1460" s="6">
        <f>HYPERLINK("https://fin.land.naver.com/articles/2649493845", "매물Link")</f>
        <v/>
      </c>
      <c r="M1460" s="6">
        <f>HYPERLINK("https://map.naver.com/p/search/조치원읍 서창리 152-2", "지도Link")</f>
        <v/>
      </c>
      <c r="N1460" s="6">
        <f>HYPERLINK("http://www.eum.go.kr/web/ar/lu/luLandDet.jsp?pnu=3611025034101520002&amp;isNoScr=script&amp;mode=search", "토지이음")</f>
        <v/>
      </c>
      <c r="O1460" s="3" t="inlineStr">
        <is>
          <t>고운맘</t>
        </is>
      </c>
      <c r="P1460" s="4" t="n">
        <v>1</v>
      </c>
      <c r="Q1460" s="4" t="n">
        <v>328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154-1</t>
        </is>
      </c>
      <c r="B1461" s="3" t="inlineStr">
        <is>
          <t>제2종일반주거지역</t>
        </is>
      </c>
      <c r="C1461" s="3" t="inlineStr">
        <is>
          <t>답</t>
        </is>
      </c>
      <c r="D1461" s="3" t="inlineStr">
        <is>
          <t>전</t>
        </is>
      </c>
      <c r="E1461" s="3" t="inlineStr">
        <is>
          <t>매매</t>
        </is>
      </c>
      <c r="F1461" s="4" t="n">
        <v>85800</v>
      </c>
      <c r="G1461" s="4" t="n">
        <v>438</v>
      </c>
      <c r="H1461" s="4" t="n">
        <v>132</v>
      </c>
      <c r="I1461" s="5" t="n">
        <v>650</v>
      </c>
      <c r="J1461" s="5" t="n">
        <v>230.4</v>
      </c>
      <c r="K1461" s="3" t="inlineStr">
        <is>
          <t>nan</t>
        </is>
      </c>
      <c r="L1461" s="6">
        <f>HYPERLINK("https://fin.land.naver.com/articles/2645382334", "매물Link")</f>
        <v/>
      </c>
      <c r="M1461" s="6">
        <f>HYPERLINK("https://map.naver.com/p/search/조치원읍 서창리 154-1", "지도Link")</f>
        <v/>
      </c>
      <c r="N1461" s="6">
        <f>HYPERLINK("http://www.eum.go.kr/web/ar/lu/luLandDet.jsp?pnu=3611025034101540001&amp;isNoScr=script&amp;mode=search", "토지이음")</f>
        <v/>
      </c>
      <c r="O1461" s="3" t="inlineStr">
        <is>
          <t>오송랜드</t>
        </is>
      </c>
      <c r="P1461" s="4" t="n">
        <v>1</v>
      </c>
      <c r="Q1461" s="4" t="n">
        <v>438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168-2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120000</v>
      </c>
      <c r="G1462" s="4" t="n">
        <v>732</v>
      </c>
      <c r="H1462" s="4" t="n">
        <v>221</v>
      </c>
      <c r="I1462" s="5" t="n">
        <v>543</v>
      </c>
      <c r="J1462" s="5" t="n">
        <v>320.9</v>
      </c>
      <c r="K1462" s="3" t="inlineStr">
        <is>
          <t>근생부지로 좋은 고려대학교 인근 3거리 코너 각지에 있는 준주거지역 대지</t>
        </is>
      </c>
      <c r="L1462" s="6">
        <f>HYPERLINK("https://fin.land.naver.com/articles/2645811664", "매물Link")</f>
        <v/>
      </c>
      <c r="M1462" s="6">
        <f>HYPERLINK("https://map.naver.com/p/search/조치원읍 서창리 168-2", "지도Link")</f>
        <v/>
      </c>
      <c r="N1462" s="6">
        <f>HYPERLINK("http://www.eum.go.kr/web/ar/lu/luLandDet.jsp?pnu=3611025034101680002&amp;isNoScr=script&amp;mode=search",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732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168-2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120000</v>
      </c>
      <c r="G1463" s="4" t="n">
        <v>732</v>
      </c>
      <c r="H1463" s="4" t="n">
        <v>221</v>
      </c>
      <c r="I1463" s="5" t="n">
        <v>543</v>
      </c>
      <c r="J1463" s="5" t="n">
        <v>320.9</v>
      </c>
      <c r="K1463" s="3" t="inlineStr">
        <is>
          <t>준주거지역 추천매물 고대 정문근처</t>
        </is>
      </c>
      <c r="L1463" s="6">
        <f>HYPERLINK("https://fin.land.naver.com/articles/2648069706", "매물Link")</f>
        <v/>
      </c>
      <c r="M1463" s="6">
        <f>HYPERLINK("https://map.naver.com/p/search/조치원읍 서창리 168-2", "지도Link")</f>
        <v/>
      </c>
      <c r="N1463" s="6">
        <f>HYPERLINK("http://www.eum.go.kr/web/ar/lu/luLandDet.jsp?pnu=3611025034101680002&amp;isNoScr=script&amp;mode=search",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732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168-31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30000</v>
      </c>
      <c r="G1464" s="4" t="n">
        <v>148</v>
      </c>
      <c r="H1464" s="4" t="n">
        <v>45</v>
      </c>
      <c r="I1464" s="5" t="n">
        <v>666.7</v>
      </c>
      <c r="J1464" s="5" t="n">
        <v>307.9</v>
      </c>
      <c r="K1464" s="3" t="inlineStr">
        <is>
          <t>급매, 서창리 준주거지역 토지</t>
        </is>
      </c>
      <c r="L1464" s="6">
        <f>HYPERLINK("https://fin.land.naver.com/articles/2647570748", "매물Link")</f>
        <v/>
      </c>
      <c r="M1464" s="6">
        <f>HYPERLINK("https://map.naver.com/p/search/조치원읍 서창리 168-31", "지도Link")</f>
        <v/>
      </c>
      <c r="N1464" s="6">
        <f>HYPERLINK("http://www.eum.go.kr/web/ar/lu/luLandDet.jsp?pnu=3611025034101680031&amp;isNoScr=script&amp;mode=search", "토지이음")</f>
        <v/>
      </c>
      <c r="O1464" s="3" t="inlineStr">
        <is>
          <t>KB세종</t>
        </is>
      </c>
      <c r="P1464" s="4" t="n">
        <v>1</v>
      </c>
      <c r="Q1464" s="4" t="n">
        <v>148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조치원읍 서창리 182-16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29000</v>
      </c>
      <c r="G1465" s="4" t="n">
        <v>446</v>
      </c>
      <c r="H1465" s="4" t="n">
        <v>135</v>
      </c>
      <c r="I1465" s="5" t="n">
        <v>214.8</v>
      </c>
      <c r="J1465" s="5" t="n">
        <v>201.7</v>
      </c>
      <c r="K1465" s="3" t="inlineStr">
        <is>
          <t>nan</t>
        </is>
      </c>
      <c r="L1465" s="6">
        <f>HYPERLINK("https://fin.land.naver.com/articles/2650246902", "매물Link")</f>
        <v/>
      </c>
      <c r="M1465" s="6">
        <f>HYPERLINK("https://map.naver.com/p/search/조치원읍 서창리 182-16", "지도Link")</f>
        <v/>
      </c>
      <c r="N1465" s="6">
        <f>HYPERLINK("http://www.eum.go.kr/web/ar/lu/luLandDet.jsp?pnu=3611025034101820016&amp;isNoScr=script&amp;mode=search", "토지이음")</f>
        <v/>
      </c>
      <c r="O1465" s="3" t="inlineStr">
        <is>
          <t>찬스</t>
        </is>
      </c>
      <c r="P1465" s="4" t="n">
        <v>1</v>
      </c>
      <c r="Q1465" s="4" t="n">
        <v>446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조치원읍 서창리 248-18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58000</v>
      </c>
      <c r="G1466" s="4" t="n">
        <v>713</v>
      </c>
      <c r="H1466" s="4" t="n">
        <v>216</v>
      </c>
      <c r="I1466" s="5" t="n">
        <v>268.5</v>
      </c>
      <c r="J1466" s="5" t="n">
        <v>103.3</v>
      </c>
      <c r="K1466" s="3" t="inlineStr">
        <is>
          <t>세종여고 인근 토지매매</t>
        </is>
      </c>
      <c r="L1466" s="6">
        <f>HYPERLINK("https://fin.land.naver.com/articles/2648993268", "매물Link")</f>
        <v/>
      </c>
      <c r="M1466" s="6">
        <f>HYPERLINK("https://map.naver.com/p/search/조치원읍 서창리 248-18", "지도Link")</f>
        <v/>
      </c>
      <c r="N1466" s="6">
        <f>HYPERLINK("http://www.eum.go.kr/web/ar/lu/luLandDet.jsp?pnu=3611025034102480018&amp;isNoScr=script&amp;mode=search", "토지이음")</f>
        <v/>
      </c>
      <c r="O1466" s="3" t="inlineStr">
        <is>
          <t>김준희</t>
        </is>
      </c>
      <c r="P1466" s="4" t="n">
        <v>1</v>
      </c>
      <c r="Q1466" s="4" t="n">
        <v>377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250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90000</v>
      </c>
      <c r="G1467" s="4" t="n">
        <v>540</v>
      </c>
      <c r="H1467" s="4" t="n">
        <v>163</v>
      </c>
      <c r="I1467" s="5" t="n">
        <v>552.1</v>
      </c>
      <c r="J1467" s="5" t="n">
        <v>184.3</v>
      </c>
      <c r="K1467" s="3" t="inlineStr">
        <is>
          <t>조치원 서창리 제2종일반주거지역 코너각지 토지매매</t>
        </is>
      </c>
      <c r="L1467" s="6">
        <f>HYPERLINK("https://fin.land.naver.com/articles/2647993873", "매물Link")</f>
        <v/>
      </c>
      <c r="M1467" s="6">
        <f>HYPERLINK("https://map.naver.com/p/search/조치원읍 서창리 250", "지도Link")</f>
        <v/>
      </c>
      <c r="N1467" s="6">
        <f>HYPERLINK("http://www.eum.go.kr/web/ar/lu/luLandDet.jsp?pnu=3611025034102500000&amp;isNoScr=script&amp;mode=search", "토지이음")</f>
        <v/>
      </c>
      <c r="O1467" s="3" t="inlineStr">
        <is>
          <t>the다올</t>
        </is>
      </c>
      <c r="P1467" s="4" t="n">
        <v>2</v>
      </c>
      <c r="Q1467" s="4" t="n">
        <v>540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서창리 26-3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76650</v>
      </c>
      <c r="G1468" s="4" t="n">
        <v>724</v>
      </c>
      <c r="H1468" s="4" t="n">
        <v>219</v>
      </c>
      <c r="I1468" s="5" t="n">
        <v>350</v>
      </c>
      <c r="J1468" s="5" t="n">
        <v>148.7</v>
      </c>
      <c r="K1468" s="3" t="inlineStr">
        <is>
          <t>시세보다 저렴하며,
근생 및 단독주택, 월세 90만원</t>
        </is>
      </c>
      <c r="L1468" s="6">
        <f>HYPERLINK("https://fin.land.naver.com/articles/2646313740", "매물Link")</f>
        <v/>
      </c>
      <c r="M1468" s="6">
        <f>HYPERLINK("https://map.naver.com/p/search/조치원읍 서창리 26-3", "지도Link")</f>
        <v/>
      </c>
      <c r="N1468" s="6">
        <f>HYPERLINK("http://www.eum.go.kr/web/ar/lu/luLandDet.jsp?pnu=3611025034100260003&amp;isNoScr=script&amp;mode=search",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조치원읍 서창리 291-8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55000</v>
      </c>
      <c r="G1469" s="4" t="n">
        <v>299</v>
      </c>
      <c r="H1469" s="4" t="n">
        <v>90</v>
      </c>
      <c r="I1469" s="5" t="n">
        <v>611.1</v>
      </c>
      <c r="J1469" s="5" t="n">
        <v>348.4</v>
      </c>
      <c r="K1469" s="3" t="inlineStr">
        <is>
          <t>서창리 다가구주택이나 상가를 지을수 있는 제2종일반주거지역의 대지입니다</t>
        </is>
      </c>
      <c r="L1469" s="6">
        <f>HYPERLINK("https://fin.land.naver.com/articles/2647452131", "매물Link")</f>
        <v/>
      </c>
      <c r="M1469" s="6">
        <f>HYPERLINK("https://map.naver.com/p/search/조치원읍 서창리 291-8", "지도Link")</f>
        <v/>
      </c>
      <c r="N1469" s="6">
        <f>HYPERLINK("http://www.eum.go.kr/web/ar/lu/luLandDet.jsp?pnu=3611025034102910008&amp;isNoScr=script&amp;mode=search", "토지이음")</f>
        <v/>
      </c>
      <c r="O1469" s="3" t="inlineStr">
        <is>
          <t>스마일세종</t>
        </is>
      </c>
      <c r="P1469" s="4" t="n">
        <v>1</v>
      </c>
      <c r="Q1469" s="4" t="n">
        <v>299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293-4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24638</v>
      </c>
      <c r="G1470" s="4" t="n">
        <v>181</v>
      </c>
      <c r="H1470" s="4" t="n">
        <v>55</v>
      </c>
      <c r="I1470" s="5" t="n">
        <v>448</v>
      </c>
      <c r="J1470" s="5" t="n">
        <v>289.3</v>
      </c>
      <c r="K1470" s="3" t="inlineStr">
        <is>
          <t>nan</t>
        </is>
      </c>
      <c r="L1470" s="6">
        <f>HYPERLINK("https://fin.land.naver.com/articles/2646527911", "매물Link")</f>
        <v/>
      </c>
      <c r="M1470" s="6">
        <f>HYPERLINK("https://map.naver.com/p/search/조치원읍 서창리 293-4", "지도Link")</f>
        <v/>
      </c>
      <c r="N1470" s="6">
        <f>HYPERLINK("http://www.eum.go.kr/web/ar/lu/luLandDet.jsp?pnu=3611025034102930004&amp;isNoScr=script&amp;mode=search", "토지이음")</f>
        <v/>
      </c>
      <c r="O1470" s="3" t="inlineStr">
        <is>
          <t>한일</t>
        </is>
      </c>
      <c r="P1470" s="4" t="n">
        <v>1</v>
      </c>
      <c r="Q1470" s="4" t="n">
        <v>181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조치원읍 서창리 306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221000</v>
      </c>
      <c r="G1471" s="4" t="n">
        <v>731</v>
      </c>
      <c r="H1471" s="4" t="n">
        <v>221</v>
      </c>
      <c r="I1471" s="5" t="n">
        <v>1000</v>
      </c>
      <c r="J1471" s="5" t="n">
        <v>274.4</v>
      </c>
      <c r="K1471" s="3" t="inlineStr">
        <is>
          <t>조치원서북부지구 가치상승. 투자가치 우수.</t>
        </is>
      </c>
      <c r="L1471" s="6">
        <f>HYPERLINK("https://fin.land.naver.com/articles/2646107991", "매물Link")</f>
        <v/>
      </c>
      <c r="M1471" s="6">
        <f>HYPERLINK("https://map.naver.com/p/search/조치원읍 서창리 306", "지도Link")</f>
        <v/>
      </c>
      <c r="N1471" s="6">
        <f>HYPERLINK("http://www.eum.go.kr/web/ar/lu/luLandDet.jsp?pnu=3611025034103060000&amp;isNoScr=script&amp;mode=search", "토지이음")</f>
        <v/>
      </c>
      <c r="O1471" s="3" t="inlineStr">
        <is>
          <t>진행</t>
        </is>
      </c>
      <c r="P1471" s="4" t="n">
        <v>1</v>
      </c>
      <c r="Q1471" s="4" t="n">
        <v>731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조치원읍 서창리 42-254</t>
        </is>
      </c>
      <c r="B1472" s="3" t="inlineStr">
        <is>
          <t>제1종일반주거지역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25000</v>
      </c>
      <c r="G1472" s="4" t="n">
        <v>330</v>
      </c>
      <c r="H1472" s="4" t="n">
        <v>100</v>
      </c>
      <c r="I1472" s="5" t="n">
        <v>250</v>
      </c>
      <c r="J1472" s="5" t="n">
        <v>133.2</v>
      </c>
      <c r="K1472" s="3" t="inlineStr">
        <is>
          <t>북쪽과 동쪽으로 도로를 낀 코너토지. 주택지추천</t>
        </is>
      </c>
      <c r="L1472" s="6">
        <f>HYPERLINK("https://fin.land.naver.com/articles/2649914344", "매물Link")</f>
        <v/>
      </c>
      <c r="M1472" s="6">
        <f>HYPERLINK("https://map.naver.com/p/search/조치원읍 서창리 42-254", "지도Link")</f>
        <v/>
      </c>
      <c r="N1472" s="6">
        <f>HYPERLINK("http://www.eum.go.kr/web/ar/lu/luLandDet.jsp?pnu=3611025034100420254&amp;isNoScr=script&amp;mode=search",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330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세로각지(가)</t>
        </is>
      </c>
    </row>
    <row r="1473">
      <c r="A1473" s="3" t="inlineStr">
        <is>
          <t>조치원읍 서창리 54-1</t>
        </is>
      </c>
      <c r="B1473" s="3" t="inlineStr">
        <is>
          <t>자연녹지지역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165000</v>
      </c>
      <c r="G1473" s="4" t="n">
        <v>915</v>
      </c>
      <c r="H1473" s="4" t="n">
        <v>277</v>
      </c>
      <c r="I1473" s="5" t="n">
        <v>595.7</v>
      </c>
      <c r="J1473" s="5" t="n">
        <v>113.6</v>
      </c>
      <c r="K1473" s="3" t="inlineStr">
        <is>
          <t>nan</t>
        </is>
      </c>
      <c r="L1473" s="6">
        <f>HYPERLINK("https://fin.land.naver.com/articles/2651060447", "매물Link")</f>
        <v/>
      </c>
      <c r="M1473" s="6">
        <f>HYPERLINK("https://map.naver.com/p/search/조치원읍 서창리 54-1", "지도Link")</f>
        <v/>
      </c>
      <c r="N1473" s="6">
        <f>HYPERLINK("http://www.eum.go.kr/web/ar/lu/luLandDet.jsp?pnu=3611025034100540001&amp;isNoScr=script&amp;mode=search", "토지이음")</f>
        <v/>
      </c>
      <c r="O1473" s="3" t="inlineStr">
        <is>
          <t>세종문화길</t>
        </is>
      </c>
      <c r="P1473" s="4" t="n">
        <v>2</v>
      </c>
      <c r="Q1473" s="4" t="n">
        <v>915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광대로한면</t>
        </is>
      </c>
    </row>
    <row r="1474">
      <c r="A1474" s="3" t="inlineStr">
        <is>
          <t>조치원읍 서창리 93-20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180000</v>
      </c>
      <c r="G1474" s="4" t="n">
        <v>2921</v>
      </c>
      <c r="H1474" s="4" t="n">
        <v>884</v>
      </c>
      <c r="I1474" s="5" t="n">
        <v>203.6</v>
      </c>
      <c r="J1474" s="5" t="n">
        <v>59.7</v>
      </c>
      <c r="K1474" s="3" t="inlineStr">
        <is>
          <t>3필지 일괄매매</t>
        </is>
      </c>
      <c r="L1474" s="6">
        <f>HYPERLINK("https://fin.land.naver.com/articles/2646586067", "매물Link")</f>
        <v/>
      </c>
      <c r="M1474" s="6">
        <f>HYPERLINK("https://map.naver.com/p/search/조치원읍 서창리 93-20", "지도Link")</f>
        <v/>
      </c>
      <c r="N1474" s="6">
        <f>HYPERLINK("http://www.eum.go.kr/web/ar/lu/luLandDet.jsp?pnu=3611025034100930020&amp;isNoScr=script&amp;mode=search", "토지이음")</f>
        <v/>
      </c>
      <c r="O1474" s="3" t="inlineStr">
        <is>
          <t>오송좋은날</t>
        </is>
      </c>
      <c r="P1474" s="4" t="n">
        <v>1</v>
      </c>
      <c r="Q1474" s="4" t="n">
        <v>2575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2921</v>
      </c>
      <c r="H1475" s="4" t="n">
        <v>884</v>
      </c>
      <c r="I1475" s="5" t="n">
        <v>169.7</v>
      </c>
      <c r="J1475" s="5" t="n">
        <v>59.7</v>
      </c>
      <c r="K1475" s="3" t="inlineStr">
        <is>
          <t>조치원 생활권 평탄 대형부지 소형창고 차량보관시설 검토</t>
        </is>
      </c>
      <c r="L1475" s="6">
        <f>HYPERLINK("https://fin.land.naver.com/articles/2650423353",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884</v>
      </c>
      <c r="I1476" s="5" t="n">
        <v>169.7</v>
      </c>
      <c r="J1476" s="5" t="n">
        <v>59.7</v>
      </c>
      <c r="K1476" s="3" t="inlineStr">
        <is>
          <t>토지급매 조치원역 인근 대규모 부지 정비소, 세차장, 요양원 추천</t>
        </is>
      </c>
      <c r="L1476" s="6">
        <f>HYPERLINK("https://fin.land.naver.com/articles/2646235676",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HYPERLINK("http://www.eum.go.kr/web/ar/lu/luLandDet.jsp?pnu=3611025034100930020&amp;isNoScr=script&amp;mode=search", "토지이음")</f>
        <v/>
      </c>
      <c r="O1476" s="3" t="inlineStr">
        <is>
          <t>다모아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HYPERLINK("https://fin.land.naver.com/articles/2650423179",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HYPERLINK("http://www.eum.go.kr/web/ar/lu/luLandDet.jsp?pnu=3611025034100930020&amp;isNoScr=script&amp;mode=search",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조치원읍서창리 대규모부지 및 도로포함 3필지 일괄매매, 미래가치투자최적지</t>
        </is>
      </c>
      <c r="L1478" s="6">
        <f>HYPERLINK("https://fin.land.naver.com/articles/2650921528",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HYPERLINK("http://www.eum.go.kr/web/ar/lu/luLandDet.jsp?pnu=3611025034100930020&amp;isNoScr=script&amp;mode=search", "토지이음")</f>
        <v/>
      </c>
      <c r="O1478" s="3" t="inlineStr">
        <is>
          <t>이화</t>
        </is>
      </c>
      <c r="P1478" s="4" t="n">
        <v>5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95-3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120000</v>
      </c>
      <c r="G1479" s="4" t="n">
        <v>1293</v>
      </c>
      <c r="H1479" s="4" t="n">
        <v>391</v>
      </c>
      <c r="I1479" s="5" t="n">
        <v>306.9</v>
      </c>
      <c r="J1479" s="5" t="n">
        <v>157.6</v>
      </c>
      <c r="K1479" s="3" t="inlineStr">
        <is>
          <t>서창리 토지 매매 자연녹지</t>
        </is>
      </c>
      <c r="L1479" s="6">
        <f>HYPERLINK("https://fin.land.naver.com/articles/2648069701", "매물Link")</f>
        <v/>
      </c>
      <c r="M1479" s="6">
        <f>HYPERLINK("https://map.naver.com/p/search/조치원읍 서창리 95-3", "지도Link")</f>
        <v/>
      </c>
      <c r="N1479" s="6">
        <f>HYPERLINK("http://www.eum.go.kr/web/ar/lu/luLandDet.jsp?pnu=3611025034100950003&amp;isNoScr=script&amp;mode=search", "토지이음")</f>
        <v/>
      </c>
      <c r="O1479" s="3" t="inlineStr">
        <is>
          <t>김준희</t>
        </is>
      </c>
      <c r="P1479" s="4" t="n">
        <v>1</v>
      </c>
      <c r="Q1479" s="4" t="n">
        <v>255</v>
      </c>
      <c r="R1479" s="3" t="inlineStr">
        <is>
          <t>제1종일반주거지역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신안리 171-7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57000</v>
      </c>
      <c r="G1480" s="4" t="n">
        <v>1046</v>
      </c>
      <c r="H1480" s="4" t="n">
        <v>316</v>
      </c>
      <c r="I1480" s="5" t="n">
        <v>180.4</v>
      </c>
      <c r="J1480" s="5" t="n">
        <v>108.5</v>
      </c>
      <c r="K1480" s="3" t="inlineStr">
        <is>
          <t>세종 조치원읍 성장관리계획구역 토지 매매</t>
        </is>
      </c>
      <c r="L1480" s="6">
        <f>HYPERLINK("https://fin.land.naver.com/articles/2650361043", "매물Link")</f>
        <v/>
      </c>
      <c r="M1480" s="6">
        <f>HYPERLINK("https://map.naver.com/p/search/조치원읍 신안리 171-7", "지도Link")</f>
        <v/>
      </c>
      <c r="N1480" s="6">
        <f>HYPERLINK("http://www.eum.go.kr/web/ar/lu/luLandDet.jsp?pnu=3611025032101710007&amp;isNoScr=script&amp;mode=search", "토지이음")</f>
        <v/>
      </c>
      <c r="O1480" s="3" t="inlineStr">
        <is>
          <t>세종몽땅</t>
        </is>
      </c>
      <c r="P1480" s="4" t="n">
        <v>1</v>
      </c>
      <c r="Q1480" s="4" t="n">
        <v>1046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조치원읍 신안리 179-5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386</v>
      </c>
      <c r="H1481" s="4" t="n">
        <v>117</v>
      </c>
      <c r="I1481" s="5" t="n">
        <v>341.9</v>
      </c>
      <c r="J1481" s="5" t="n">
        <v>171.6</v>
      </c>
      <c r="K1481" s="3" t="inlineStr">
        <is>
          <t>l S l 홍익대세종캠퍼스 인근 l 자연녹지 l 자연취락지구 l</t>
        </is>
      </c>
      <c r="L1481" s="6">
        <f>HYPERLINK("https://fin.land.naver.com/articles/2647317827", "매물Link")</f>
        <v/>
      </c>
      <c r="M1481" s="6">
        <f>HYPERLINK("https://map.naver.com/p/search/조치원읍 신안리 179-5", "지도Link")</f>
        <v/>
      </c>
      <c r="N1481" s="6">
        <f>HYPERLINK("http://www.eum.go.kr/web/ar/lu/luLandDet.jsp?pnu=3611025032101790005&amp;isNoScr=script&amp;mode=search", "토지이음")</f>
        <v/>
      </c>
      <c r="O1481" s="3" t="inlineStr">
        <is>
          <t>에스</t>
        </is>
      </c>
      <c r="P1481" s="4" t="n">
        <v>1</v>
      </c>
      <c r="Q1481" s="4" t="n">
        <v>386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193-2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</v>
      </c>
      <c r="G1482" s="4" t="n">
        <v>529</v>
      </c>
      <c r="H1482" s="4" t="n">
        <v>160</v>
      </c>
      <c r="I1482" s="5" t="n">
        <v>287.5</v>
      </c>
      <c r="J1482" s="5" t="n">
        <v>147.6</v>
      </c>
      <c r="K1482" s="3" t="inlineStr">
        <is>
          <t>급매,국도1호선 서창역 인근 알토란 나대지,월룸.단독주택.투자용추천</t>
        </is>
      </c>
      <c r="L1482" s="6">
        <f>HYPERLINK("https://fin.land.naver.com/articles/2646088912", "매물Link")</f>
        <v/>
      </c>
      <c r="M1482" s="6">
        <f>HYPERLINK("https://map.naver.com/p/search/조치원읍 신안리 193-2", "지도Link")</f>
        <v/>
      </c>
      <c r="N1482" s="6">
        <f>HYPERLINK("http://www.eum.go.kr/web/ar/lu/luLandDet.jsp?pnu=3611025032101930002&amp;isNoScr=script&amp;mode=search", "토지이음")</f>
        <v/>
      </c>
      <c r="O1482" s="3" t="inlineStr">
        <is>
          <t>고운맘</t>
        </is>
      </c>
      <c r="P1482" s="4" t="n">
        <v>1</v>
      </c>
      <c r="Q1482" s="4" t="n">
        <v>397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조치원읍 신안리 206-7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177000</v>
      </c>
      <c r="G1483" s="4" t="n">
        <v>1063</v>
      </c>
      <c r="H1483" s="4" t="n">
        <v>322</v>
      </c>
      <c r="I1483" s="5" t="n">
        <v>549.7</v>
      </c>
      <c r="J1483" s="5" t="n">
        <v>152.1</v>
      </c>
      <c r="K1483" s="3" t="inlineStr">
        <is>
          <t>서창역 도보거리 1번국도 광고효과 매우 우수한 상가부지용 토지</t>
        </is>
      </c>
      <c r="L1483" s="6">
        <f>HYPERLINK("https://fin.land.naver.com/articles/2645609178", "매물Link")</f>
        <v/>
      </c>
      <c r="M1483" s="6">
        <f>HYPERLINK("https://map.naver.com/p/search/조치원읍 신안리 206-7", "지도Link")</f>
        <v/>
      </c>
      <c r="N1483" s="6">
        <f>HYPERLINK("http://www.eum.go.kr/web/ar/lu/luLandDet.jsp?pnu=3611025032102060007&amp;isNoScr=script&amp;mode=search", "토지이음")</f>
        <v/>
      </c>
      <c r="O1483" s="3" t="inlineStr">
        <is>
          <t>청담</t>
        </is>
      </c>
      <c r="P1483" s="4" t="n">
        <v>1</v>
      </c>
      <c r="Q1483" s="4" t="n">
        <v>1063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광대소각</t>
        </is>
      </c>
    </row>
    <row r="1484">
      <c r="A1484" s="3" t="inlineStr">
        <is>
          <t>조치원읍 신안리 207-53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147900</v>
      </c>
      <c r="G1484" s="4" t="n">
        <v>1630</v>
      </c>
      <c r="H1484" s="4" t="n">
        <v>493</v>
      </c>
      <c r="I1484" s="5" t="n">
        <v>300</v>
      </c>
      <c r="J1484" s="5" t="n">
        <v>95.2</v>
      </c>
      <c r="K1484" s="3" t="inlineStr">
        <is>
          <t>1번국도변 가시성좋은 자연녹지. 서창역300미터거리</t>
        </is>
      </c>
      <c r="L1484" s="6">
        <f>HYPERLINK("https://fin.land.naver.com/articles/2649892785", "매물Link")</f>
        <v/>
      </c>
      <c r="M1484" s="6">
        <f>HYPERLINK("https://map.naver.com/p/search/조치원읍 신안리 207-53", "지도Link")</f>
        <v/>
      </c>
      <c r="N1484" s="6">
        <f>HYPERLINK("http://www.eum.go.kr/web/ar/lu/luLandDet.jsp?pnu=3611025032102070053&amp;isNoScr=script&amp;mode=search",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1257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조치원읍 신안리 243-10</t>
        </is>
      </c>
      <c r="B1485" s="3" t="inlineStr">
        <is>
          <t>자연녹지지역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98000</v>
      </c>
      <c r="G1485" s="4" t="n">
        <v>1620</v>
      </c>
      <c r="H1485" s="4" t="n">
        <v>490</v>
      </c>
      <c r="I1485" s="5" t="n">
        <v>200</v>
      </c>
      <c r="J1485" s="5" t="n">
        <v>76.5</v>
      </c>
      <c r="K1485" s="3" t="inlineStr">
        <is>
          <t>서창역세권 개발예정지, 홍익대학교 인접, 철도보호지구</t>
        </is>
      </c>
      <c r="L1485" s="6">
        <f>HYPERLINK("https://fin.land.naver.com/articles/2645604979", "매물Link")</f>
        <v/>
      </c>
      <c r="M1485" s="6">
        <f>HYPERLINK("https://map.naver.com/p/search/조치원읍 신안리 243-10", "지도Link")</f>
        <v/>
      </c>
      <c r="N1485" s="6">
        <f>HYPERLINK("http://www.eum.go.kr/web/ar/lu/luLandDet.jsp?pnu=3611025032102430010&amp;isNoScr=script&amp;mode=search", "토지이음")</f>
        <v/>
      </c>
      <c r="O1485" s="3" t="inlineStr">
        <is>
          <t>미스터홈즈강남지사</t>
        </is>
      </c>
      <c r="P1485" s="4" t="n">
        <v>1</v>
      </c>
      <c r="Q1485" s="4" t="n">
        <v>1620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341-17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433</v>
      </c>
      <c r="H1486" s="4" t="n">
        <v>131</v>
      </c>
      <c r="I1486" s="5" t="n">
        <v>496.2</v>
      </c>
      <c r="J1486" s="5" t="n">
        <v>233.8</v>
      </c>
      <c r="K1486" s="3" t="inlineStr">
        <is>
          <t>홍익대 근접 거리, 원룸 지으실 분 추천요.</t>
        </is>
      </c>
      <c r="L1486" s="6">
        <f>HYPERLINK("https://fin.land.naver.com/articles/2650467431", "매물Link")</f>
        <v/>
      </c>
      <c r="M1486" s="6">
        <f>HYPERLINK("https://map.naver.com/p/search/조치원읍 신안리 341-17", "지도Link")</f>
        <v/>
      </c>
      <c r="N1486" s="6">
        <f>HYPERLINK("http://www.eum.go.kr/web/ar/lu/luLandDet.jsp?pnu=3611025032103410017&amp;isNoScr=script&amp;mode=search",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337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신안리 35-17</t>
        </is>
      </c>
      <c r="B1487" s="3" t="inlineStr">
        <is>
          <t>제2종일반주거지역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285000</v>
      </c>
      <c r="G1487" s="4" t="n">
        <v>1653</v>
      </c>
      <c r="H1487" s="4" t="n">
        <v>500</v>
      </c>
      <c r="I1487" s="5" t="n">
        <v>570</v>
      </c>
      <c r="J1487" s="5" t="n">
        <v>430.4</v>
      </c>
      <c r="K1487" s="3" t="inlineStr">
        <is>
          <t>도시지역 대로접, 2종일반주거지역,넓은 면적 위치좋은 토지</t>
        </is>
      </c>
      <c r="L1487" s="6">
        <f>HYPERLINK("https://fin.land.naver.com/articles/2647781403", "매물Link")</f>
        <v/>
      </c>
      <c r="M1487" s="6">
        <f>HYPERLINK("https://map.naver.com/p/search/조치원읍 신안리 35-17", "지도Link")</f>
        <v/>
      </c>
      <c r="N1487" s="6">
        <f>HYPERLINK("http://www.eum.go.kr/web/ar/lu/luLandDet.jsp?pnu=3611025032100350017&amp;isNoScr=script&amp;mode=search", "토지이음")</f>
        <v/>
      </c>
      <c r="O1487" s="3" t="inlineStr">
        <is>
          <t>고운맘</t>
        </is>
      </c>
      <c r="P1487" s="4" t="n">
        <v>1</v>
      </c>
      <c r="Q1487" s="4" t="n">
        <v>1653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광대로한면</t>
        </is>
      </c>
    </row>
    <row r="1488">
      <c r="A1488" s="3" t="inlineStr">
        <is>
          <t>조치원읍 신안리 383-1</t>
        </is>
      </c>
      <c r="B1488" s="3" t="inlineStr">
        <is>
          <t>제2종일반주거지역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30000</v>
      </c>
      <c r="G1488" s="4" t="n">
        <v>265</v>
      </c>
      <c r="H1488" s="4" t="n">
        <v>80</v>
      </c>
      <c r="I1488" s="5" t="n">
        <v>375</v>
      </c>
      <c r="J1488" s="5" t="n">
        <v>200.1</v>
      </c>
      <c r="K1488" s="3" t="inlineStr">
        <is>
          <t>소자본 투자용, 원룸신축부지로 적합</t>
        </is>
      </c>
      <c r="L1488" s="6">
        <f>HYPERLINK("https://fin.land.naver.com/articles/2650469276", "매물Link")</f>
        <v/>
      </c>
      <c r="M1488" s="6">
        <f>HYPERLINK("https://map.naver.com/p/search/조치원읍 신안리 383-1", "지도Link")</f>
        <v/>
      </c>
      <c r="N1488" s="6">
        <f>HYPERLINK("http://www.eum.go.kr/web/ar/lu/luLandDet.jsp?pnu=3611025032103830001&amp;isNoScr=script&amp;mode=search", "토지이음")</f>
        <v/>
      </c>
      <c r="O1488" s="3" t="inlineStr">
        <is>
          <t>세종공감</t>
        </is>
      </c>
      <c r="P1488" s="4" t="n">
        <v>1</v>
      </c>
      <c r="Q1488" s="4" t="n">
        <v>265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신안리 390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525</v>
      </c>
      <c r="H1489" s="4" t="n">
        <v>159</v>
      </c>
      <c r="I1489" s="5" t="n">
        <v>754.7</v>
      </c>
      <c r="J1489" s="5" t="n">
        <v>418.5</v>
      </c>
      <c r="K1489" s="3" t="inlineStr">
        <is>
          <t>대지가격으로 매매합니다.12억평750만원</t>
        </is>
      </c>
      <c r="L1489" s="6">
        <f>HYPERLINK("https://fin.land.naver.com/articles/2650957174", "매물Link")</f>
        <v/>
      </c>
      <c r="M1489" s="6">
        <f>HYPERLINK("https://map.naver.com/p/search/조치원읍 신안리 390", "지도Link")</f>
        <v/>
      </c>
      <c r="N1489" s="6">
        <f>HYPERLINK("http://www.eum.go.kr/web/ar/lu/luLandDet.jsp?pnu=3611025032103900000&amp;isNoScr=script&amp;mode=search", "토지이음")</f>
        <v/>
      </c>
      <c r="O1489" s="3" t="inlineStr">
        <is>
          <t>고잔역</t>
        </is>
      </c>
      <c r="P1489" s="4" t="n">
        <v>1</v>
      </c>
      <c r="Q1489" s="4" t="n">
        <v>515</v>
      </c>
      <c r="R1489" s="3" t="inlineStr">
        <is>
          <t>지정되지않음</t>
        </is>
      </c>
      <c r="S1489" s="3" t="inlineStr">
        <is>
          <t>상업용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중로각지</t>
        </is>
      </c>
    </row>
    <row r="1490">
      <c r="A1490" s="3" t="inlineStr">
        <is>
          <t>조치원읍 신안리 399-2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661</v>
      </c>
      <c r="H1490" s="4" t="n">
        <v>200</v>
      </c>
      <c r="I1490" s="5" t="n">
        <v>500</v>
      </c>
      <c r="J1490" s="5" t="n">
        <v>329.6</v>
      </c>
      <c r="K1490" s="3" t="inlineStr">
        <is>
          <t>nan</t>
        </is>
      </c>
      <c r="L1490" s="6">
        <f>HYPERLINK("https://fin.land.naver.com/articles/2646714026", "매물Link")</f>
        <v/>
      </c>
      <c r="M1490" s="6">
        <f>HYPERLINK("https://map.naver.com/p/search/조치원읍 신안리 399-2", "지도Link")</f>
        <v/>
      </c>
      <c r="N1490" s="6">
        <f>HYPERLINK("http://www.eum.go.kr/web/ar/lu/luLandDet.jsp?pnu=3611025032103990002&amp;isNoScr=script&amp;mode=search", "토지이음")</f>
        <v/>
      </c>
      <c r="O1490" s="3" t="inlineStr">
        <is>
          <t>빛나</t>
        </is>
      </c>
      <c r="P1490" s="4" t="n">
        <v>1</v>
      </c>
      <c r="Q1490" s="4" t="n">
        <v>2112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신안리 427-21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413800</v>
      </c>
      <c r="G1491" s="4" t="n">
        <v>6217</v>
      </c>
      <c r="H1491" s="4" t="n">
        <v>1881</v>
      </c>
      <c r="I1491" s="5" t="n">
        <v>220</v>
      </c>
      <c r="J1491" s="5" t="n">
        <v>57.8</v>
      </c>
      <c r="K1491" s="3" t="inlineStr">
        <is>
          <t>10~12m 도로접한 조치원 주거배후 대형 개발형 토지</t>
        </is>
      </c>
      <c r="L1491" s="6">
        <f>HYPERLINK("https://fin.land.naver.com/articles/2648848431", "매물Link")</f>
        <v/>
      </c>
      <c r="M1491" s="6">
        <f>HYPERLINK("https://map.naver.com/p/search/조치원읍 신안리 427-21", "지도Link")</f>
        <v/>
      </c>
      <c r="N1491" s="6">
        <f>HYPERLINK("http://www.eum.go.kr/web/ar/lu/luLandDet.jsp?pnu=3611025032104270021&amp;isNoScr=script&amp;mode=search",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3962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조치원읍 신안리 436-1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45000</v>
      </c>
      <c r="G1492" s="4" t="n">
        <v>661</v>
      </c>
      <c r="H1492" s="4" t="n">
        <v>200</v>
      </c>
      <c r="I1492" s="5" t="n">
        <v>225</v>
      </c>
      <c r="J1492" s="5" t="n">
        <v>64.59999999999999</v>
      </c>
      <c r="K1492" s="3" t="inlineStr">
        <is>
          <t>대단지아파트인근, 신안지구개발예정지 인근, 전원주택지 등 다용도 가능</t>
        </is>
      </c>
      <c r="L1492" s="6">
        <f>HYPERLINK("https://fin.land.naver.com/articles/2650311385", "매물Link")</f>
        <v/>
      </c>
      <c r="M1492" s="6">
        <f>HYPERLINK("https://map.naver.com/p/search/조치원읍 신안리 436-1", "지도Link")</f>
        <v/>
      </c>
      <c r="N1492" s="6">
        <f>HYPERLINK("http://www.eum.go.kr/web/ar/lu/luLandDet.jsp?pnu=3611025032104360001&amp;isNoScr=script&amp;mode=search", "토지이음")</f>
        <v/>
      </c>
      <c r="O1492" s="3" t="inlineStr">
        <is>
          <t>세종공감</t>
        </is>
      </c>
      <c r="P1492" s="4" t="n">
        <v>2</v>
      </c>
      <c r="Q1492" s="4" t="n">
        <v>661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신안리 436-3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답</t>
        </is>
      </c>
      <c r="E1493" s="3" t="inlineStr">
        <is>
          <t>매매</t>
        </is>
      </c>
      <c r="F1493" s="4" t="n">
        <v>46000</v>
      </c>
      <c r="G1493" s="4" t="n">
        <v>662</v>
      </c>
      <c r="H1493" s="4" t="n">
        <v>200</v>
      </c>
      <c r="I1493" s="5" t="n">
        <v>230</v>
      </c>
      <c r="J1493" s="5" t="n">
        <v>67.8</v>
      </c>
      <c r="K1493" s="3" t="inlineStr">
        <is>
          <t>조치원읍 신안리 자연녹지 토지, 네모반듯, 신안지구 개발지, 단독주택</t>
        </is>
      </c>
      <c r="L1493" s="6">
        <f>HYPERLINK("https://fin.land.naver.com/articles/2645819987", "매물Link")</f>
        <v/>
      </c>
      <c r="M1493" s="6">
        <f>HYPERLINK("https://map.naver.com/p/search/조치원읍 신안리 436-3", "지도Link")</f>
        <v/>
      </c>
      <c r="N1493" s="6">
        <f>HYPERLINK("http://www.eum.go.kr/web/ar/lu/luLandDet.jsp?pnu=3611025032104360003&amp;isNoScr=script&amp;mode=search", "토지이음")</f>
        <v/>
      </c>
      <c r="O1493" s="3" t="inlineStr">
        <is>
          <t>스카이</t>
        </is>
      </c>
      <c r="P1493" s="4" t="n">
        <v>1</v>
      </c>
      <c r="Q1493" s="4" t="n">
        <v>662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200</v>
      </c>
      <c r="I1494" s="5" t="n">
        <v>230</v>
      </c>
      <c r="J1494" s="5" t="n">
        <v>67.8</v>
      </c>
      <c r="K1494" s="3" t="inlineStr">
        <is>
          <t>이편한세상 아파트 983세대  초인접 공영주차장 이용가능</t>
        </is>
      </c>
      <c r="L1494" s="6">
        <f>HYPERLINK("https://fin.land.naver.com/articles/2649611209",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HYPERLINK("http://www.eum.go.kr/web/ar/lu/luLandDet.jsp?pnu=3611025032104360003&amp;isNoScr=script&amp;mode=search", "토지이음")</f>
        <v/>
      </c>
      <c r="O1494" s="3" t="inlineStr">
        <is>
          <t>그래그</t>
        </is>
      </c>
      <c r="P1494" s="4" t="n">
        <v>2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436-4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120000</v>
      </c>
      <c r="G1495" s="4" t="n">
        <v>932</v>
      </c>
      <c r="H1495" s="4" t="n">
        <v>282</v>
      </c>
      <c r="I1495" s="5" t="n">
        <v>425.5</v>
      </c>
      <c r="J1495" s="5" t="n">
        <v>72.2</v>
      </c>
      <c r="K1495" s="3" t="inlineStr">
        <is>
          <t>3면 포장도로 접함 이편한세상 984세대 인접 공영주차장이용가능</t>
        </is>
      </c>
      <c r="L1495" s="6">
        <f>HYPERLINK("https://fin.land.naver.com/articles/2649618845", "매물Link")</f>
        <v/>
      </c>
      <c r="M1495" s="6">
        <f>HYPERLINK("https://map.naver.com/p/search/조치원읍 신안리 436-4", "지도Link")</f>
        <v/>
      </c>
      <c r="N1495" s="6">
        <f>HYPERLINK("http://www.eum.go.kr/web/ar/lu/luLandDet.jsp?pnu=3611025032104360004&amp;isNoScr=script&amp;mode=search", "토지이음")</f>
        <v/>
      </c>
      <c r="O1495" s="3" t="inlineStr">
        <is>
          <t>그래그</t>
        </is>
      </c>
      <c r="P1495" s="4" t="n">
        <v>1</v>
      </c>
      <c r="Q1495" s="4" t="n">
        <v>932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소로한면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380</v>
      </c>
      <c r="I1496" s="5" t="n">
        <v>315.8</v>
      </c>
      <c r="J1496" s="5" t="n">
        <v>72.2</v>
      </c>
      <c r="K1496" s="3" t="inlineStr">
        <is>
          <t>신안리 자연녹지 토지, 3면도로 접, 아파트개발지 옆, 근생시설 등</t>
        </is>
      </c>
      <c r="L1496" s="6">
        <f>HYPERLINK("https://fin.land.naver.com/articles/2645820022",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HYPERLINK("http://www.eum.go.kr/web/ar/lu/luLandDet.jsp?pnu=3611025032104360004&amp;isNoScr=script&amp;mode=search", "토지이음")</f>
        <v/>
      </c>
      <c r="O1496" s="3" t="inlineStr">
        <is>
          <t>스카이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380</v>
      </c>
      <c r="I1497" s="5" t="n">
        <v>315.8</v>
      </c>
      <c r="J1497" s="5" t="n">
        <v>72.2</v>
      </c>
      <c r="K1497" s="3" t="inlineStr">
        <is>
          <t>신안리 이편한세상 아파트 초인접, 3면 포장도로 접한 음식점,커피숍</t>
        </is>
      </c>
      <c r="L1497" s="6">
        <f>HYPERLINK("https://fin.land.naver.com/articles/2650955165",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HYPERLINK("http://www.eum.go.kr/web/ar/lu/luLandDet.jsp?pnu=3611025032104360004&amp;isNoScr=script&amp;mode=search", "토지이음")</f>
        <v/>
      </c>
      <c r="O1497" s="3" t="inlineStr">
        <is>
          <t>세종나라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192</v>
      </c>
      <c r="I1498" s="5" t="n">
        <v>781.2</v>
      </c>
      <c r="J1498" s="5" t="n">
        <v>336.2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HYPERLINK("http://www.eum.go.kr/web/ar/lu/luLandDet.jsp?pnu=3611025032104450004&amp;isNoScr=script&amp;mode=search",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676</v>
      </c>
      <c r="I1499" s="5" t="n">
        <v>74</v>
      </c>
      <c r="J1499" s="5" t="n">
        <v>35.4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HYPERLINK("http://www.eum.go.kr/web/ar/lu/luLandDet.jsp?pnu=3611025032100680019&amp;isNoScr=script&amp;mode=search",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3300</v>
      </c>
      <c r="I1500" s="5" t="n">
        <v>90.90000000000001</v>
      </c>
      <c r="J1500" s="5" t="n">
        <v>18.7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HYPERLINK("http://www.eum.go.kr/web/ar/lu/luLandDet.jsp?pnu=3611025032200130000&amp;isNoScr=script&amp;mode=search",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3061</v>
      </c>
      <c r="I1501" s="5" t="n">
        <v>49</v>
      </c>
      <c r="J1501" s="5" t="n">
        <v>9.199999999999999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HYPERLINK("http://www.eum.go.kr/web/ar/lu/luLandDet.jsp?pnu=3611025032200080037&amp;isNoScr=script&amp;mode=search",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155</v>
      </c>
      <c r="I1502" s="5" t="n">
        <v>496.8</v>
      </c>
      <c r="J1502" s="5" t="n">
        <v>188.2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57</v>
      </c>
      <c r="I1503" s="5" t="n">
        <v>298.2</v>
      </c>
      <c r="J1503" s="5" t="n">
        <v>196.8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HYPERLINK("http://www.eum.go.kr/web/ar/lu/luLandDet.jsp?pnu=3611025029101000002&amp;isNoScr=script&amp;mode=search",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544</v>
      </c>
      <c r="I1504" s="5" t="n">
        <v>716.9</v>
      </c>
      <c r="J1504" s="5" t="n">
        <v>435.4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HYPERLINK("http://www.eum.go.kr/web/ar/lu/luLandDet.jsp?pnu=3611025029101980001&amp;isNoScr=script&amp;mode=search", "토지이음")</f>
        <v/>
      </c>
      <c r="O1504" s="3" t="inlineStr">
        <is>
          <t>뉴신세계</t>
        </is>
      </c>
      <c r="P1504" s="4" t="n">
        <v>1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74</v>
      </c>
      <c r="I1505" s="5" t="n">
        <v>418.9</v>
      </c>
      <c r="J1505" s="5" t="n">
        <v>246.6</v>
      </c>
      <c r="K1505" s="3" t="inlineStr">
        <is>
          <t>투자가치가 높은 세종시 조치원읍 신흥리 토지</t>
        </is>
      </c>
      <c r="L1505" s="6">
        <f>HYPERLINK("https://fin.land.naver.com/articles/2648407574",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HYPERLINK("http://www.eum.go.kr/web/ar/lu/luLandDet.jsp?pnu=3611025029102880001&amp;isNoScr=script&amp;mode=search", "토지이음")</f>
        <v/>
      </c>
      <c r="O1505" s="3" t="inlineStr">
        <is>
          <t>비전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74</v>
      </c>
      <c r="I1506" s="5" t="n">
        <v>418.9</v>
      </c>
      <c r="J1506" s="5" t="n">
        <v>246.6</v>
      </c>
      <c r="K1506" s="3" t="inlineStr">
        <is>
          <t>추천. 조치원 신흥사거리 대지</t>
        </is>
      </c>
      <c r="L1506" s="6">
        <f>HYPERLINK("https://fin.land.naver.com/articles/2649193837",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HYPERLINK("http://www.eum.go.kr/web/ar/lu/luLandDet.jsp?pnu=3611025029102880001&amp;isNoScr=script&amp;mode=search", "토지이음")</f>
        <v/>
      </c>
      <c r="O1506" s="3" t="inlineStr">
        <is>
          <t>강아지풀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90</v>
      </c>
      <c r="I1507" s="5" t="n">
        <v>500</v>
      </c>
      <c r="J1507" s="5" t="n">
        <v>244.2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HYPERLINK("http://www.eum.go.kr/web/ar/lu/luLandDet.jsp?pnu=3611025029102880002&amp;isNoScr=script&amp;mode=search",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72</v>
      </c>
      <c r="I1508" s="5" t="n">
        <v>500</v>
      </c>
      <c r="J1508" s="5" t="n">
        <v>161.8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37</v>
      </c>
      <c r="I1509" s="5" t="n">
        <v>594.6</v>
      </c>
      <c r="J1509" s="5" t="n">
        <v>187.2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HYPERLINK("http://www.eum.go.kr/web/ar/lu/luLandDet.jsp?pnu=3611025029100550002&amp;isNoScr=script&amp;mode=search",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142</v>
      </c>
      <c r="I1510" s="5" t="n">
        <v>450</v>
      </c>
      <c r="J1510" s="5" t="n">
        <v>302.4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HYPERLINK("http://www.eum.go.kr/web/ar/lu/luLandDet.jsp?pnu=3611025029100620008&amp;isNoScr=script&amp;mode=search",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정리 52-6</t>
        </is>
      </c>
      <c r="B1511" s="3" t="inlineStr">
        <is>
          <t>준주거지역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1191</v>
      </c>
      <c r="H1511" s="4" t="n">
        <v>360</v>
      </c>
      <c r="I1511" s="5" t="n">
        <v>722.2</v>
      </c>
      <c r="J1511" s="5" t="n">
        <v>194.4</v>
      </c>
      <c r="K1511" s="3" t="inlineStr">
        <is>
          <t>전통시장 근접한 대지로 단독주택 또는 원룸건축에 좋은 위치입니다.</t>
        </is>
      </c>
      <c r="L1511" s="6">
        <f>HYPERLINK("https://fin.land.naver.com/articles/2649493411", "매물Link")</f>
        <v/>
      </c>
      <c r="M1511" s="6">
        <f>HYPERLINK("https://map.naver.com/p/search/조치원읍 정리 52-6", "지도Link")</f>
        <v/>
      </c>
      <c r="N1511" s="6">
        <f>HYPERLINK("http://www.eum.go.kr/web/ar/lu/luLandDet.jsp?pnu=3611025025100520006&amp;isNoScr=script&amp;mode=search", "토지이음")</f>
        <v/>
      </c>
      <c r="O1511" s="3" t="inlineStr">
        <is>
          <t>가람</t>
        </is>
      </c>
      <c r="P1511" s="4" t="n">
        <v>1</v>
      </c>
      <c r="Q1511" s="4" t="n">
        <v>468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조치원읍 죽림리 156-15</t>
        </is>
      </c>
      <c r="B1512" s="3" t="inlineStr">
        <is>
          <t>일반상업지역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810</v>
      </c>
      <c r="H1512" s="4" t="n">
        <v>245</v>
      </c>
      <c r="I1512" s="5" t="n">
        <v>1000</v>
      </c>
      <c r="J1512" s="5" t="n">
        <v>119.3</v>
      </c>
      <c r="K1512" s="3" t="inlineStr">
        <is>
          <t>2차선변 일반상업지역, 투자가치 최고</t>
        </is>
      </c>
      <c r="L1512" s="6">
        <f>HYPERLINK("https://fin.land.naver.com/articles/2650316280", "매물Link")</f>
        <v/>
      </c>
      <c r="M1512" s="6">
        <f>HYPERLINK("https://map.naver.com/p/search/조치원읍 죽림리 156-15", "지도Link")</f>
        <v/>
      </c>
      <c r="N1512" s="6">
        <f>HYPERLINK("http://www.eum.go.kr/web/ar/lu/luLandDet.jsp?pnu=3611025030101560015&amp;isNoScr=script&amp;mode=search", "토지이음")</f>
        <v/>
      </c>
      <c r="O1512" s="3" t="inlineStr">
        <is>
          <t>세종공감</t>
        </is>
      </c>
      <c r="P1512" s="4" t="n">
        <v>1</v>
      </c>
      <c r="Q1512" s="4" t="n">
        <v>716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97</v>
      </c>
      <c r="I1513" s="5" t="n">
        <v>500</v>
      </c>
      <c r="J1513" s="5" t="n">
        <v>198.2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1224</v>
      </c>
      <c r="I1514" s="5" t="n">
        <v>571.9</v>
      </c>
      <c r="J1514" s="5" t="n">
        <v>131.4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1536</v>
      </c>
      <c r="I1515" s="5" t="n">
        <v>452.5</v>
      </c>
      <c r="J1515" s="5" t="n">
        <v>124.8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178</v>
      </c>
      <c r="I1516" s="5" t="n">
        <v>618</v>
      </c>
      <c r="J1516" s="5" t="n">
        <v>190.2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HYPERLINK("http://www.eum.go.kr/web/ar/lu/luLandDet.jsp?pnu=3611025030103420000&amp;isNoScr=script&amp;mode=search",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죽림리 46-2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260000</v>
      </c>
      <c r="G1517" s="4" t="n">
        <v>1793</v>
      </c>
      <c r="H1517" s="4" t="n">
        <v>542</v>
      </c>
      <c r="I1517" s="5" t="n">
        <v>479.7</v>
      </c>
      <c r="J1517" s="5" t="n">
        <v>254.6</v>
      </c>
      <c r="K1517" s="3" t="inlineStr">
        <is>
          <t>죽림오거리 엘지전자샾 주변,도시지역,제2종일반주거지역.도로접함,다용도 굿</t>
        </is>
      </c>
      <c r="L1517" s="6">
        <f>HYPERLINK("https://fin.land.naver.com/articles/2649742867", "매물Link")</f>
        <v/>
      </c>
      <c r="M1517" s="6">
        <f>HYPERLINK("https://map.naver.com/p/search/조치원읍 죽림리 46-2", "지도Link")</f>
        <v/>
      </c>
      <c r="N1517" s="6">
        <f>HYPERLINK("http://www.eum.go.kr/web/ar/lu/luLandDet.jsp?pnu=3611025030100460002&amp;isNoScr=script&amp;mode=search", "토지이음")</f>
        <v/>
      </c>
      <c r="O1517" s="3" t="inlineStr">
        <is>
          <t>미래타운</t>
        </is>
      </c>
      <c r="P1517" s="4" t="n">
        <v>1</v>
      </c>
      <c r="Q1517" s="4" t="n">
        <v>1209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72</v>
      </c>
      <c r="I1518" s="5" t="n">
        <v>375</v>
      </c>
      <c r="J1518" s="5" t="n">
        <v>177.6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HYPERLINK("http://www.eum.go.kr/web/ar/lu/luLandDet.jsp?pnu=3611025028101230002&amp;isNoScr=script&amp;mode=search",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39</v>
      </c>
      <c r="I1519" s="5" t="n">
        <v>1333.3</v>
      </c>
      <c r="J1519" s="5" t="n">
        <v>404.6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HYPERLINK("http://www.eum.go.kr/web/ar/lu/luLandDet.jsp?pnu=3611025028101440009&amp;isNoScr=script&amp;mode=search",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100</v>
      </c>
      <c r="I1520" s="5" t="n">
        <v>950</v>
      </c>
      <c r="J1520" s="5" t="n">
        <v>440.3</v>
      </c>
      <c r="K1520" s="3" t="inlineStr">
        <is>
          <t>조치원역뒤, 상가포함 좋은입지 일괄매매</t>
        </is>
      </c>
      <c r="L1520" s="6">
        <f>HYPERLINK("https://fin.land.naver.com/articles/2651077314",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HYPERLINK("http://www.eum.go.kr/web/ar/lu/luLandDet.jsp?pnu=3611025028101670010&amp;isNoScr=script&amp;mode=search",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185-19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80400</v>
      </c>
      <c r="G1521" s="4" t="n">
        <v>664</v>
      </c>
      <c r="H1521" s="4" t="n">
        <v>201</v>
      </c>
      <c r="I1521" s="5" t="n">
        <v>400</v>
      </c>
      <c r="J1521" s="5" t="n">
        <v>155.1</v>
      </c>
      <c r="K1521" s="3" t="inlineStr">
        <is>
          <t>침산리 위치 좋은 곳으로 커피숍이나 음식점 자리</t>
        </is>
      </c>
      <c r="L1521" s="6">
        <f>HYPERLINK("https://fin.land.naver.com/articles/2647576266", "매물Link")</f>
        <v/>
      </c>
      <c r="M1521" s="6">
        <f>HYPERLINK("https://map.naver.com/p/search/조치원읍 침산리 185-19", "지도Link")</f>
        <v/>
      </c>
      <c r="N1521" s="6">
        <f>HYPERLINK("http://www.eum.go.kr/web/ar/lu/luLandDet.jsp?pnu=3611025028101850019&amp;isNoScr=script&amp;mode=search", "토지이음")</f>
        <v/>
      </c>
      <c r="O1521" s="3" t="inlineStr">
        <is>
          <t>KB세종</t>
        </is>
      </c>
      <c r="P1521" s="4" t="n">
        <v>1</v>
      </c>
      <c r="Q1521" s="4" t="n">
        <v>580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침산리 203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193000</v>
      </c>
      <c r="G1522" s="4" t="n">
        <v>2362</v>
      </c>
      <c r="H1522" s="4" t="n">
        <v>715</v>
      </c>
      <c r="I1522" s="5" t="n">
        <v>269.9</v>
      </c>
      <c r="J1522" s="5" t="n">
        <v>187</v>
      </c>
      <c r="K1522" s="3" t="inlineStr">
        <is>
          <t>1번국도 인근토지로 지대가 높고 다양한 용도로 활용가능. 가격조율 가능.</t>
        </is>
      </c>
      <c r="L1522" s="6">
        <f>HYPERLINK("https://fin.land.naver.com/articles/2647427896", "매물Link")</f>
        <v/>
      </c>
      <c r="M1522" s="6">
        <f>HYPERLINK("https://map.naver.com/p/search/조치원읍 침산리 203", "지도Link")</f>
        <v/>
      </c>
      <c r="N1522" s="6">
        <f>HYPERLINK("http://www.eum.go.kr/web/ar/lu/luLandDet.jsp?pnu=3611025028102030000&amp;isNoScr=script&amp;mode=search", "토지이음")</f>
        <v/>
      </c>
      <c r="O1522" s="3" t="inlineStr">
        <is>
          <t>세종대장</t>
        </is>
      </c>
      <c r="P1522" s="4" t="n">
        <v>1</v>
      </c>
      <c r="Q1522" s="4" t="n">
        <v>2362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광대로한면</t>
        </is>
      </c>
    </row>
    <row r="1523">
      <c r="A1523" s="3" t="inlineStr">
        <is>
          <t>조치원읍 침산리 219-3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268000</v>
      </c>
      <c r="G1523" s="4" t="n">
        <v>1971</v>
      </c>
      <c r="H1523" s="4" t="n">
        <v>596</v>
      </c>
      <c r="I1523" s="5" t="n">
        <v>449.7</v>
      </c>
      <c r="J1523" s="5" t="n">
        <v>183.4</v>
      </c>
      <c r="K1523" s="3" t="inlineStr">
        <is>
          <t>도도리파크, 문화예술회관 맞은편 토지</t>
        </is>
      </c>
      <c r="L1523" s="6">
        <f>HYPERLINK("https://fin.land.naver.com/articles/2648317472", "매물Link")</f>
        <v/>
      </c>
      <c r="M1523" s="6">
        <f>HYPERLINK("https://map.naver.com/p/search/조치원읍 침산리 219-3", "지도Link")</f>
        <v/>
      </c>
      <c r="N1523" s="6">
        <f>HYPERLINK("http://www.eum.go.kr/web/ar/lu/luLandDet.jsp?pnu=3611025028102190003&amp;isNoScr=script&amp;mode=search",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1887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596</v>
      </c>
      <c r="I1524" s="5" t="n">
        <v>449.7</v>
      </c>
      <c r="J1524" s="5" t="n">
        <v>183.4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HYPERLINK("https://fin.land.naver.com/articles/2650636285",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HYPERLINK("http://www.eum.go.kr/web/ar/lu/luLandDet.jsp?pnu=3611025028102190003&amp;isNoScr=script&amp;mode=search",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219-7</t>
        </is>
      </c>
      <c r="B1525" s="3" t="inlineStr">
        <is>
          <t>제1종일반주거지역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136000</v>
      </c>
      <c r="G1525" s="4" t="n">
        <v>566</v>
      </c>
      <c r="H1525" s="4" t="n">
        <v>171</v>
      </c>
      <c r="I1525" s="5" t="n">
        <v>795.3</v>
      </c>
      <c r="J1525" s="5" t="n">
        <v>272.3</v>
      </c>
      <c r="K1525" s="3" t="inlineStr">
        <is>
          <t>침산리 대로변 활용만점 넓고반듯한 토지 매매</t>
        </is>
      </c>
      <c r="L1525" s="6">
        <f>HYPERLINK("https://fin.land.naver.com/articles/2646395308", "매물Link")</f>
        <v/>
      </c>
      <c r="M1525" s="6">
        <f>HYPERLINK("https://map.naver.com/p/search/조치원읍 침산리 219-7", "지도Link")</f>
        <v/>
      </c>
      <c r="N1525" s="6">
        <f>HYPERLINK("http://www.eum.go.kr/web/ar/lu/luLandDet.jsp?pnu=3611025028102190007&amp;isNoScr=script&amp;mode=search", "토지이음")</f>
        <v/>
      </c>
      <c r="O1525" s="3" t="inlineStr">
        <is>
          <t>다옴</t>
        </is>
      </c>
      <c r="P1525" s="4" t="n">
        <v>1</v>
      </c>
      <c r="Q1525" s="4" t="n">
        <v>566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중로각지</t>
        </is>
      </c>
    </row>
    <row r="1526">
      <c r="A1526" s="3" t="inlineStr">
        <is>
          <t>조치원읍 침산리 255-7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40000</v>
      </c>
      <c r="G1526" s="4" t="n">
        <v>251</v>
      </c>
      <c r="H1526" s="4" t="n">
        <v>76</v>
      </c>
      <c r="I1526" s="5" t="n">
        <v>526.3</v>
      </c>
      <c r="J1526" s="5" t="n">
        <v>289.8</v>
      </c>
      <c r="K1526" s="3" t="inlineStr">
        <is>
          <t>침산리 건축가능한 대지매물</t>
        </is>
      </c>
      <c r="L1526" s="6">
        <f>HYPERLINK("https://fin.land.naver.com/articles/2650857783", "매물Link")</f>
        <v/>
      </c>
      <c r="M1526" s="6">
        <f>HYPERLINK("https://map.naver.com/p/search/조치원읍 침산리 255-7", "지도Link")</f>
        <v/>
      </c>
      <c r="N1526" s="6">
        <f>HYPERLINK("http://www.eum.go.kr/web/ar/lu/luLandDet.jsp?pnu=3611025028102550007&amp;isNoScr=script&amp;mode=search", "토지이음")</f>
        <v/>
      </c>
      <c r="O1526" s="3" t="inlineStr">
        <is>
          <t>상희</t>
        </is>
      </c>
      <c r="P1526" s="4" t="n">
        <v>1</v>
      </c>
      <c r="Q1526" s="4" t="n">
        <v>251.7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조치원읍 침산리 272-9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187</v>
      </c>
      <c r="H1527" s="4" t="n">
        <v>57</v>
      </c>
      <c r="I1527" s="5" t="n">
        <v>701.8</v>
      </c>
      <c r="J1527" s="5" t="n">
        <v>323.2</v>
      </c>
      <c r="K1527" s="3" t="inlineStr">
        <is>
          <t>nan</t>
        </is>
      </c>
      <c r="L1527" s="6">
        <f>HYPERLINK("https://fin.land.naver.com/articles/2647365125", "매물Link")</f>
        <v/>
      </c>
      <c r="M1527" s="6">
        <f>HYPERLINK("https://map.naver.com/p/search/조치원읍 침산리 272-9", "지도Link")</f>
        <v/>
      </c>
      <c r="N1527" s="6">
        <f>HYPERLINK("http://www.eum.go.kr/web/ar/lu/luLandDet.jsp?pnu=3611025028102720009&amp;isNoScr=script&amp;mode=search", "토지이음")</f>
        <v/>
      </c>
      <c r="O1527" s="3" t="inlineStr">
        <is>
          <t>KB세종</t>
        </is>
      </c>
      <c r="P1527" s="4" t="n">
        <v>1</v>
      </c>
      <c r="Q1527" s="4" t="n">
        <v>187.5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소로각지</t>
        </is>
      </c>
    </row>
    <row r="1528">
      <c r="A1528" s="3" t="inlineStr">
        <is>
          <t>조치원읍 침산리 278-1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100000</v>
      </c>
      <c r="G1528" s="4" t="n">
        <v>281</v>
      </c>
      <c r="H1528" s="4" t="n">
        <v>85</v>
      </c>
      <c r="I1528" s="5" t="n">
        <v>1176.5</v>
      </c>
      <c r="J1528" s="5" t="n">
        <v>363.6</v>
      </c>
      <c r="K1528" s="3" t="inlineStr">
        <is>
          <t>침산리 대로접한 귀한토지</t>
        </is>
      </c>
      <c r="L1528" s="6">
        <f>HYPERLINK("https://fin.land.naver.com/articles/2648014040", "매물Link")</f>
        <v/>
      </c>
      <c r="M1528" s="6">
        <f>HYPERLINK("https://map.naver.com/p/search/조치원읍 침산리 278-1", "지도Link")</f>
        <v/>
      </c>
      <c r="N1528" s="6">
        <f>HYPERLINK("http://www.eum.go.kr/web/ar/lu/luLandDet.jsp?pnu=3611025028102780001&amp;isNoScr=script&amp;mode=search", "토지이음")</f>
        <v/>
      </c>
      <c r="O1528" s="3" t="inlineStr">
        <is>
          <t>동백</t>
        </is>
      </c>
      <c r="P1528" s="4" t="n">
        <v>1</v>
      </c>
      <c r="Q1528" s="4" t="n">
        <v>281.3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소로각지</t>
        </is>
      </c>
    </row>
    <row r="1529">
      <c r="A1529" s="3" t="inlineStr">
        <is>
          <t>조치원읍 침산리 283-8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265</v>
      </c>
      <c r="H1529" s="4" t="n">
        <v>80</v>
      </c>
      <c r="I1529" s="5" t="n">
        <v>687.5</v>
      </c>
      <c r="J1529" s="5" t="n">
        <v>441.7</v>
      </c>
      <c r="K1529" s="3" t="inlineStr">
        <is>
          <t>코너 대지 매매</t>
        </is>
      </c>
      <c r="L1529" s="6">
        <f>HYPERLINK("https://fin.land.naver.com/articles/2646280200", "매물Link")</f>
        <v/>
      </c>
      <c r="M1529" s="6">
        <f>HYPERLINK("https://map.naver.com/p/search/조치원읍 침산리 283-8", "지도Link")</f>
        <v/>
      </c>
      <c r="N1529" s="6">
        <f>HYPERLINK("http://www.eum.go.kr/web/ar/lu/luLandDet.jsp?pnu=3611025028102830008&amp;isNoScr=script&amp;mode=search", "토지이음")</f>
        <v/>
      </c>
      <c r="O1529" s="3" t="inlineStr">
        <is>
          <t>찬스</t>
        </is>
      </c>
      <c r="P1529" s="4" t="n">
        <v>1</v>
      </c>
      <c r="Q1529" s="4" t="n">
        <v>265.6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소로각지</t>
        </is>
      </c>
    </row>
    <row r="1530">
      <c r="A1530" s="3" t="inlineStr">
        <is>
          <t>조치원읍 침산리 283-9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월세</t>
        </is>
      </c>
      <c r="F1530" s="4" t="n">
        <v>1000</v>
      </c>
      <c r="G1530" s="4" t="n">
        <v>248</v>
      </c>
      <c r="H1530" s="4" t="n">
        <v>75</v>
      </c>
      <c r="I1530" s="5" t="n">
        <v>0.5</v>
      </c>
      <c r="J1530" s="5" t="n">
        <v>283.1</v>
      </c>
      <c r="K1530" s="3" t="inlineStr">
        <is>
          <t>nan</t>
        </is>
      </c>
      <c r="L1530" s="6">
        <f>HYPERLINK("https://fin.land.naver.com/articles/2650644582", "매물Link")</f>
        <v/>
      </c>
      <c r="M1530" s="6">
        <f>HYPERLINK("https://map.naver.com/p/search/조치원읍 침산리 283-9", "지도Link")</f>
        <v/>
      </c>
      <c r="N1530" s="6">
        <f>HYPERLINK("http://www.eum.go.kr/web/ar/lu/luLandDet.jsp?pnu=3611025028102830009&amp;isNoScr=script&amp;mode=search", "토지이음")</f>
        <v/>
      </c>
      <c r="O1530" s="3" t="inlineStr">
        <is>
          <t>세종문화길</t>
        </is>
      </c>
      <c r="P1530" s="4" t="n">
        <v>1</v>
      </c>
      <c r="Q1530" s="4" t="n">
        <v>248.8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조치원읍 침산리 284-9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238</v>
      </c>
      <c r="H1531" s="4" t="n">
        <v>72</v>
      </c>
      <c r="I1531" s="5" t="n">
        <v>833.3</v>
      </c>
      <c r="J1531" s="5" t="n">
        <v>283.1</v>
      </c>
      <c r="K1531" s="3" t="inlineStr">
        <is>
          <t>스타벅스가 선택한 그 입지, 세종 조치원 침산리 금쪽같은 토지 매매</t>
        </is>
      </c>
      <c r="L1531" s="6">
        <f>HYPERLINK("https://fin.land.naver.com/articles/2648828796", "매물Link")</f>
        <v/>
      </c>
      <c r="M1531" s="6">
        <f>HYPERLINK("https://map.naver.com/p/search/조치원읍 침산리 284-9", "지도Link")</f>
        <v/>
      </c>
      <c r="N1531" s="6">
        <f>HYPERLINK("http://www.eum.go.kr/web/ar/lu/luLandDet.jsp?pnu=3611025028102840009&amp;isNoScr=script&amp;mode=search", "토지이음")</f>
        <v/>
      </c>
      <c r="O1531" s="3" t="inlineStr">
        <is>
          <t>찬스</t>
        </is>
      </c>
      <c r="P1531" s="4" t="n">
        <v>1</v>
      </c>
      <c r="Q1531" s="4" t="n">
        <v>238.8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침산리 285-16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38630</v>
      </c>
      <c r="G1532" s="4" t="n">
        <v>255</v>
      </c>
      <c r="H1532" s="4" t="n">
        <v>77</v>
      </c>
      <c r="I1532" s="5" t="n">
        <v>501.7</v>
      </c>
      <c r="J1532" s="5" t="n">
        <v>301.6</v>
      </c>
      <c r="K1532" s="3" t="inlineStr">
        <is>
          <t>구역정리된 지역임</t>
        </is>
      </c>
      <c r="L1532" s="6">
        <f>HYPERLINK("https://fin.land.naver.com/articles/2646527314", "매물Link")</f>
        <v/>
      </c>
      <c r="M1532" s="6">
        <f>HYPERLINK("https://map.naver.com/p/search/조치원읍 침산리 285-16", "지도Link")</f>
        <v/>
      </c>
      <c r="N1532" s="6">
        <f>HYPERLINK("http://www.eum.go.kr/web/ar/lu/luLandDet.jsp?pnu=3611025028102850016&amp;isNoScr=script&amp;mode=search", "토지이음")</f>
        <v/>
      </c>
      <c r="O1532" s="3" t="inlineStr">
        <is>
          <t>한일</t>
        </is>
      </c>
      <c r="P1532" s="4" t="n">
        <v>1</v>
      </c>
      <c r="Q1532" s="4" t="n">
        <v>255.4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소로한면</t>
        </is>
      </c>
    </row>
    <row r="1533">
      <c r="A1533" s="3" t="inlineStr">
        <is>
          <t>조치원읍 침산리 40</t>
        </is>
      </c>
      <c r="B1533" s="3" t="inlineStr">
        <is>
          <t>제1종일반주거지역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256000</v>
      </c>
      <c r="G1533" s="4" t="n">
        <v>2116</v>
      </c>
      <c r="H1533" s="4" t="n">
        <v>640</v>
      </c>
      <c r="I1533" s="5" t="n">
        <v>400</v>
      </c>
      <c r="J1533" s="5" t="n">
        <v>177.6</v>
      </c>
      <c r="K1533" s="3" t="inlineStr">
        <is>
          <t>침산리 토지매매</t>
        </is>
      </c>
      <c r="L1533" s="6">
        <f>HYPERLINK("https://fin.land.naver.com/articles/2648993462", "매물Link")</f>
        <v/>
      </c>
      <c r="M1533" s="6">
        <f>HYPERLINK("https://map.naver.com/p/search/조치원읍 침산리 40", "지도Link")</f>
        <v/>
      </c>
      <c r="N1533" s="6">
        <f>HYPERLINK("http://www.eum.go.kr/web/ar/lu/luLandDet.jsp?pnu=3611025028100400000&amp;isNoScr=script&amp;mode=search",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1924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침산리 79-4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700000</v>
      </c>
      <c r="G1534" s="4" t="n">
        <v>1842</v>
      </c>
      <c r="H1534" s="4" t="n">
        <v>557</v>
      </c>
      <c r="I1534" s="5" t="n">
        <v>1256.7</v>
      </c>
      <c r="J1534" s="5" t="n">
        <v>416.9</v>
      </c>
      <c r="K1534" s="3" t="inlineStr">
        <is>
          <t>1번국도와 55m 접해있어 근린생활시설을 지으면 좋은 일반주거지역 대지</t>
        </is>
      </c>
      <c r="L1534" s="6">
        <f>HYPERLINK("https://fin.land.naver.com/articles/2650207703", "매물Link")</f>
        <v/>
      </c>
      <c r="M1534" s="6">
        <f>HYPERLINK("https://map.naver.com/p/search/조치원읍 침산리 79-4", "지도Link")</f>
        <v/>
      </c>
      <c r="N1534" s="6">
        <f>HYPERLINK("http://www.eum.go.kr/web/ar/lu/luLandDet.jsp?pnu=3611025028100790004&amp;isNoScr=script&amp;mode=search", "토지이음")</f>
        <v/>
      </c>
      <c r="O1534" s="3" t="inlineStr">
        <is>
          <t>스마일세종</t>
        </is>
      </c>
      <c r="P1534" s="4" t="n">
        <v>2</v>
      </c>
      <c r="Q1534" s="4" t="n">
        <v>1380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108</v>
      </c>
      <c r="I1535" s="5" t="n">
        <v>555.6</v>
      </c>
      <c r="J1535" s="5" t="n">
        <v>175.8</v>
      </c>
      <c r="K1535" s="3" t="inlineStr">
        <is>
          <t>8미터도로연접, 다가구부지 추천매매</t>
        </is>
      </c>
      <c r="L1535" s="6">
        <f>HYPERLINK("https://fin.land.naver.com/articles/2646874049",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HYPERLINK("http://www.eum.go.kr/web/ar/lu/luLandDet.jsp?pnu=3611025023101010002&amp;isNoScr=script&amp;mode=search", "토지이음")</f>
        <v/>
      </c>
      <c r="O1535" s="3" t="inlineStr">
        <is>
          <t>Home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집현동 1203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215000</v>
      </c>
      <c r="G1536" s="4" t="n">
        <v>569</v>
      </c>
      <c r="H1536" s="4" t="n">
        <v>172</v>
      </c>
      <c r="I1536" s="5" t="n">
        <v>1250</v>
      </c>
      <c r="J1536" s="5" t="n">
        <v>320.7</v>
      </c>
      <c r="K1536" s="3" t="inlineStr">
        <is>
          <t>일반음식점 가능 2종근생, 자이 1200세대 정문 앞 횡단보도 버스정류장</t>
        </is>
      </c>
      <c r="L1536" s="6">
        <f>HYPERLINK("https://fin.land.naver.com/articles/2650179158", "매물Link")</f>
        <v/>
      </c>
      <c r="M1536" s="6">
        <f>HYPERLINK("https://map.naver.com/p/search/집현동 1203", "지도Link")</f>
        <v/>
      </c>
      <c r="N1536" s="6">
        <f>HYPERLINK("http://www.eum.go.kr/web/ar/lu/luLandDet.jsp?pnu=3611011800112030000&amp;isNoScr=script&amp;mode=search",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569.7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광대소각</t>
        </is>
      </c>
    </row>
    <row r="1537">
      <c r="A1537" s="3" t="inlineStr">
        <is>
          <t>집현동 1217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42000</v>
      </c>
      <c r="G1537" s="4" t="n">
        <v>320</v>
      </c>
      <c r="H1537" s="4" t="n">
        <v>97</v>
      </c>
      <c r="I1537" s="5" t="n">
        <v>433</v>
      </c>
      <c r="J1537" s="5" t="n">
        <v>267.1</v>
      </c>
      <c r="K1537" s="3" t="inlineStr">
        <is>
          <t>급매 남향 상권 삼성천 가까운 선호위치</t>
        </is>
      </c>
      <c r="L1537" s="6">
        <f>HYPERLINK("https://fin.land.naver.com/articles/2650653419", "매물Link")</f>
        <v/>
      </c>
      <c r="M1537" s="6">
        <f>HYPERLINK("https://map.naver.com/p/search/집현동 1217", "지도Link")</f>
        <v/>
      </c>
      <c r="N1537" s="6">
        <f>HYPERLINK("http://www.eum.go.kr/web/ar/lu/luLandDet.jsp?pnu=3611011800112170000&amp;isNoScr=script&amp;mode=search", "토지이음")</f>
        <v/>
      </c>
      <c r="O1537" s="3" t="inlineStr">
        <is>
          <t>세종스타</t>
        </is>
      </c>
      <c r="P1537" s="4" t="n">
        <v>3</v>
      </c>
      <c r="Q1537" s="4" t="n">
        <v>320.9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1219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318</v>
      </c>
      <c r="H1538" s="4" t="n">
        <v>96</v>
      </c>
      <c r="I1538" s="5" t="n">
        <v>489.6</v>
      </c>
      <c r="J1538" s="5" t="n">
        <v>277.7</v>
      </c>
      <c r="K1538" s="3" t="inlineStr">
        <is>
          <t>급매 집현동 택지</t>
        </is>
      </c>
      <c r="L1538" s="6">
        <f>HYPERLINK("https://fin.land.naver.com/articles/2646823668", "매물Link")</f>
        <v/>
      </c>
      <c r="M1538" s="6">
        <f>HYPERLINK("https://map.naver.com/p/search/집현동 1219", "지도Link")</f>
        <v/>
      </c>
      <c r="N1538" s="6">
        <f>HYPERLINK("http://www.eum.go.kr/web/ar/lu/luLandDet.jsp?pnu=3611011800112190000&amp;isNoScr=script&amp;mode=search", "토지이음")</f>
        <v/>
      </c>
      <c r="O1538" s="3" t="inlineStr">
        <is>
          <t>강아지풀</t>
        </is>
      </c>
      <c r="P1538" s="4" t="n">
        <v>1</v>
      </c>
      <c r="Q1538" s="4" t="n">
        <v>318.9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1226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54000</v>
      </c>
      <c r="G1539" s="4" t="n">
        <v>305</v>
      </c>
      <c r="H1539" s="4" t="n">
        <v>92</v>
      </c>
      <c r="I1539" s="5" t="n">
        <v>587</v>
      </c>
      <c r="J1539" s="5" t="n">
        <v>267.1</v>
      </c>
      <c r="K1539" s="3" t="inlineStr">
        <is>
          <t>삼성천인근 남북트인위치 남쪽 보행로접함</t>
        </is>
      </c>
      <c r="L1539" s="6">
        <f>HYPERLINK("https://fin.land.naver.com/articles/2647126098", "매물Link")</f>
        <v/>
      </c>
      <c r="M1539" s="6">
        <f>HYPERLINK("https://map.naver.com/p/search/집현동 1226", "지도Link")</f>
        <v/>
      </c>
      <c r="N1539" s="6">
        <f>HYPERLINK("http://www.eum.go.kr/web/ar/lu/luLandDet.jsp?pnu=3611011800112260000&amp;isNoScr=script&amp;mode=search", "토지이음")</f>
        <v/>
      </c>
      <c r="O1539" s="3" t="inlineStr">
        <is>
          <t>세종스타</t>
        </is>
      </c>
      <c r="P1539" s="4" t="n">
        <v>2</v>
      </c>
      <c r="Q1539" s="4" t="n">
        <v>305.3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92</v>
      </c>
      <c r="I1540" s="5" t="n">
        <v>587</v>
      </c>
      <c r="J1540" s="5" t="n">
        <v>267.1</v>
      </c>
      <c r="K1540" s="3" t="inlineStr">
        <is>
          <t>집현동 위치 좋은 단독주택 토지매매, 사거리 코너 입지</t>
        </is>
      </c>
      <c r="L1540" s="6">
        <f>HYPERLINK("https://fin.land.naver.com/articles/2648137252",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92</v>
      </c>
      <c r="I1541" s="5" t="n">
        <v>587</v>
      </c>
      <c r="J1541" s="5" t="n">
        <v>267.1</v>
      </c>
      <c r="K1541" s="3" t="inlineStr">
        <is>
          <t>집현동 위치 좋은 단독주택, 사거리 코너 입지</t>
        </is>
      </c>
      <c r="L1541" s="6">
        <f>HYPERLINK("https://fin.land.naver.com/articles/2646691295",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1244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60000</v>
      </c>
      <c r="G1542" s="4" t="n">
        <v>323</v>
      </c>
      <c r="H1542" s="4" t="n">
        <v>98</v>
      </c>
      <c r="I1542" s="5" t="n">
        <v>612.2</v>
      </c>
      <c r="J1542" s="5" t="n">
        <v>275</v>
      </c>
      <c r="K1542" s="3" t="inlineStr">
        <is>
          <t>코너각지 위치한 토지매매, 공원과 삼성천 뷰 가능</t>
        </is>
      </c>
      <c r="L1542" s="6">
        <f>HYPERLINK("https://fin.land.naver.com/articles/2649592856", "매물Link")</f>
        <v/>
      </c>
      <c r="M1542" s="6">
        <f>HYPERLINK("https://map.naver.com/p/search/집현동 1244", "지도Link")</f>
        <v/>
      </c>
      <c r="N1542" s="6">
        <f>HYPERLINK("http://www.eum.go.kr/web/ar/lu/luLandDet.jsp?pnu=3611011800112440000&amp;isNoScr=script&amp;mode=search",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98</v>
      </c>
      <c r="I1543" s="5" t="n">
        <v>612.2</v>
      </c>
      <c r="J1543" s="5" t="n">
        <v>275</v>
      </c>
      <c r="K1543" s="3" t="inlineStr">
        <is>
          <t>최고위치 코너각지 공원뷰 삼성천뷰</t>
        </is>
      </c>
      <c r="L1543" s="6">
        <f>HYPERLINK("https://fin.land.naver.com/articles/2650366745",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84</v>
      </c>
      <c r="I1544" s="5" t="n">
        <v>500</v>
      </c>
      <c r="J1544" s="5" t="n">
        <v>275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HYPERLINK("http://www.eum.go.kr/web/ar/lu/luLandDet.jsp?pnu=3611011800112550000&amp;isNoScr=script&amp;mode=search",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158</v>
      </c>
      <c r="I1545" s="5" t="n">
        <v>1012.7</v>
      </c>
      <c r="J1545" s="5" t="n">
        <v>320.7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HYPERLINK("http://www.eum.go.kr/web/ar/lu/luLandDet.jsp?pnu=3611011800112810000&amp;isNoScr=script&amp;mode=search",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93</v>
      </c>
      <c r="I1546" s="5" t="n">
        <v>483.9</v>
      </c>
      <c r="J1546" s="5" t="n">
        <v>268.2</v>
      </c>
      <c r="K1546" s="3" t="inlineStr">
        <is>
          <t>D2 남향 보행로접 조율가능</t>
        </is>
      </c>
      <c r="L1546" s="6">
        <f>HYPERLINK("https://fin.land.naver.com/articles/2650653318",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HYPERLINK("http://www.eum.go.kr/web/ar/lu/luLandDet.jsp?pnu=3611011800113030000&amp;isNoScr=script&amp;mode=search",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93</v>
      </c>
      <c r="I1547" s="5" t="n">
        <v>505.4</v>
      </c>
      <c r="J1547" s="5" t="n">
        <v>268.2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HYPERLINK("http://www.eum.go.kr/web/ar/lu/luLandDet.jsp?pnu=3611011800113040000&amp;isNoScr=script&amp;mode=search",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1310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37000</v>
      </c>
      <c r="G1548" s="4" t="n">
        <v>279</v>
      </c>
      <c r="H1548" s="4" t="n">
        <v>84</v>
      </c>
      <c r="I1548" s="5" t="n">
        <v>440.5</v>
      </c>
      <c r="J1548" s="5" t="n">
        <v>265.5</v>
      </c>
      <c r="K1548" s="3" t="inlineStr">
        <is>
          <t>급매 D2 남북트인위치 남향 건축가능</t>
        </is>
      </c>
      <c r="L1548" s="6">
        <f>HYPERLINK("https://fin.land.naver.com/articles/2649617809", "매물Link")</f>
        <v/>
      </c>
      <c r="M1548" s="6">
        <f>HYPERLINK("https://map.naver.com/p/search/집현동 1310", "지도Link")</f>
        <v/>
      </c>
      <c r="N1548" s="6">
        <f>HYPERLINK("http://www.eum.go.kr/web/ar/lu/luLandDet.jsp?pnu=3611011800113100000&amp;isNoScr=script&amp;mode=search", "토지이음")</f>
        <v/>
      </c>
      <c r="O1548" s="3" t="inlineStr">
        <is>
          <t>세종스타</t>
        </is>
      </c>
      <c r="P1548" s="4" t="n">
        <v>3</v>
      </c>
      <c r="Q1548" s="4" t="n">
        <v>279.8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1313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52000</v>
      </c>
      <c r="G1549" s="4" t="n">
        <v>284</v>
      </c>
      <c r="H1549" s="4" t="n">
        <v>86</v>
      </c>
      <c r="I1549" s="5" t="n">
        <v>604.7</v>
      </c>
      <c r="J1549" s="5" t="n">
        <v>265.5</v>
      </c>
      <c r="K1549" s="3" t="inlineStr">
        <is>
          <t>앞,뒤 양면도로 접한 남향필지</t>
        </is>
      </c>
      <c r="L1549" s="6">
        <f>HYPERLINK("https://fin.land.naver.com/articles/2649762430", "매물Link")</f>
        <v/>
      </c>
      <c r="M1549" s="6">
        <f>HYPERLINK("https://map.naver.com/p/search/집현동 1313", "지도Link")</f>
        <v/>
      </c>
      <c r="N1549" s="6">
        <f>HYPERLINK("http://www.eum.go.kr/web/ar/lu/luLandDet.jsp?pnu=3611011800113130000&amp;isNoScr=script&amp;mode=search", "토지이음")</f>
        <v/>
      </c>
      <c r="O1549" s="3" t="inlineStr">
        <is>
          <t>킹세종</t>
        </is>
      </c>
      <c r="P1549" s="4" t="n">
        <v>1</v>
      </c>
      <c r="Q1549" s="4" t="n">
        <v>284.8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92</v>
      </c>
      <c r="I1550" s="5" t="n">
        <v>489.1</v>
      </c>
      <c r="J1550" s="5" t="n">
        <v>265.5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HYPERLINK("http://www.eum.go.kr/web/ar/lu/luLandDet.jsp?pnu=3611011800113250000&amp;isNoScr=script&amp;mode=search",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108</v>
      </c>
      <c r="I1551" s="5" t="n">
        <v>509.3</v>
      </c>
      <c r="J1551" s="5" t="n">
        <v>276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HYPERLINK("http://www.eum.go.kr/web/ar/lu/luLandDet.jsp?pnu=3611011800113370000&amp;isNoScr=script&amp;mode=search",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118</v>
      </c>
      <c r="I1552" s="5" t="n">
        <v>508.5</v>
      </c>
      <c r="J1552" s="5" t="n">
        <v>278.9</v>
      </c>
      <c r="K1552" s="3" t="inlineStr">
        <is>
          <t>탁트인 공원조망 위치최상 왼쪽시유지접 지대높음</t>
        </is>
      </c>
      <c r="L1552" s="6">
        <f>HYPERLINK("https://fin.land.naver.com/articles/2650653242",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125</v>
      </c>
      <c r="I1553" s="5" t="n">
        <v>440</v>
      </c>
      <c r="J1553" s="5" t="n">
        <v>278.9</v>
      </c>
      <c r="K1553" s="3" t="inlineStr">
        <is>
          <t>코너 넓은평수 시유지접 조율가능</t>
        </is>
      </c>
      <c r="L1553" s="6">
        <f>HYPERLINK("https://fin.land.naver.com/articles/2650653389",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HYPERLINK("http://www.eum.go.kr/web/ar/lu/luLandDet.jsp?pnu=3611011800113480000&amp;isNoScr=script&amp;mode=search", "토지이음")</f>
        <v/>
      </c>
      <c r="O1553" s="3" t="inlineStr">
        <is>
          <t>세종스타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84</v>
      </c>
      <c r="I1554" s="5" t="n">
        <v>494</v>
      </c>
      <c r="J1554" s="5" t="n">
        <v>314.9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84</v>
      </c>
      <c r="I1555" s="5" t="n">
        <v>482.1</v>
      </c>
      <c r="J1555" s="5" t="n">
        <v>314.9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83</v>
      </c>
      <c r="I1556" s="5" t="n">
        <v>500</v>
      </c>
      <c r="J1556" s="5" t="n">
        <v>314.9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HYPERLINK("http://www.eum.go.kr/web/ar/lu/luLandDet.jsp?pnu=3611010600110000000&amp;isNoScr=script&amp;mode=search",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84</v>
      </c>
      <c r="I1557" s="5" t="n">
        <v>619</v>
      </c>
      <c r="J1557" s="5" t="n">
        <v>314.9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HYPERLINK("http://www.eum.go.kr/web/ar/lu/luLandDet.jsp?pnu=3611010600110030000&amp;isNoScr=script&amp;mode=search",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119</v>
      </c>
      <c r="I1558" s="5" t="n">
        <v>521</v>
      </c>
      <c r="J1558" s="5" t="n">
        <v>314.9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119</v>
      </c>
      <c r="I1559" s="5" t="n">
        <v>521</v>
      </c>
      <c r="J1559" s="5" t="n">
        <v>314.9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119</v>
      </c>
      <c r="I1560" s="5" t="n">
        <v>500</v>
      </c>
      <c r="J1560" s="5" t="n">
        <v>314.9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1007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62000</v>
      </c>
      <c r="G1561" s="4" t="n">
        <v>395</v>
      </c>
      <c r="H1561" s="4" t="n">
        <v>119</v>
      </c>
      <c r="I1561" s="5" t="n">
        <v>521</v>
      </c>
      <c r="J1561" s="5" t="n">
        <v>302.8</v>
      </c>
      <c r="K1561" s="3" t="inlineStr">
        <is>
          <t>조정가능 한솔초중고 이마트 코스트코 인근 단독 주택지</t>
        </is>
      </c>
      <c r="L1561" s="6">
        <f>HYPERLINK("https://fin.land.naver.com/articles/2649609420", "매물Link")</f>
        <v/>
      </c>
      <c r="M1561" s="6">
        <f>HYPERLINK("https://map.naver.com/p/search/한솔동 1007", "지도Link")</f>
        <v/>
      </c>
      <c r="N1561" s="6">
        <f>HYPERLINK("http://www.eum.go.kr/web/ar/lu/luLandDet.jsp?pnu=3611010600110070000&amp;isNoScr=script&amp;mode=search", "토지이음")</f>
        <v/>
      </c>
      <c r="O1561" s="3" t="inlineStr">
        <is>
          <t>그래그</t>
        </is>
      </c>
      <c r="P1561" s="4" t="n">
        <v>1</v>
      </c>
      <c r="Q1561" s="4" t="n">
        <v>395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1010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317</v>
      </c>
      <c r="H1562" s="4" t="n">
        <v>96</v>
      </c>
      <c r="I1562" s="5" t="n">
        <v>520.8</v>
      </c>
      <c r="J1562" s="5" t="n">
        <v>302.8</v>
      </c>
      <c r="K1562" s="3" t="inlineStr">
        <is>
          <t>급매 추가조율가능 한솔동D3택지</t>
        </is>
      </c>
      <c r="L1562" s="6">
        <f>HYPERLINK("https://fin.land.naver.com/articles/2649812151", "매물Link")</f>
        <v/>
      </c>
      <c r="M1562" s="6">
        <f>HYPERLINK("https://map.naver.com/p/search/한솔동 1010", "지도Link")</f>
        <v/>
      </c>
      <c r="N1562" s="6">
        <f>HYPERLINK("http://www.eum.go.kr/web/ar/lu/luLandDet.jsp?pnu=3611010600110100000&amp;isNoScr=script&amp;mode=search",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317.1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1033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302</v>
      </c>
      <c r="H1563" s="4" t="n">
        <v>91</v>
      </c>
      <c r="I1563" s="5" t="n">
        <v>571.4</v>
      </c>
      <c r="J1563" s="5" t="n">
        <v>314.9</v>
      </c>
      <c r="K1563" s="3" t="inlineStr">
        <is>
          <t>네모 반듯한  내 집 지을 예쁜  토지.주변 인프라 좋음</t>
        </is>
      </c>
      <c r="L1563" s="6">
        <f>HYPERLINK("https://fin.land.naver.com/articles/2650388988", "매물Link")</f>
        <v/>
      </c>
      <c r="M1563" s="6">
        <f>HYPERLINK("https://map.naver.com/p/search/한솔동 1033", "지도Link")</f>
        <v/>
      </c>
      <c r="N1563" s="6">
        <f>HYPERLINK("http://www.eum.go.kr/web/ar/lu/luLandDet.jsp?pnu=3611010600110330000&amp;isNoScr=script&amp;mode=search", "토지이음")</f>
        <v/>
      </c>
      <c r="O1563" s="3" t="inlineStr">
        <is>
          <t>석촌</t>
        </is>
      </c>
      <c r="P1563" s="4" t="n">
        <v>1</v>
      </c>
      <c r="Q1563" s="4" t="n">
        <v>302.1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소로각지</t>
        </is>
      </c>
    </row>
    <row r="1564">
      <c r="A1564" s="3" t="inlineStr">
        <is>
          <t>한솔동 1036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403</v>
      </c>
      <c r="H1564" s="4" t="n">
        <v>122</v>
      </c>
      <c r="I1564" s="5" t="n">
        <v>450.8</v>
      </c>
      <c r="J1564" s="5" t="n">
        <v>290.7</v>
      </c>
      <c r="K1564" s="3" t="inlineStr">
        <is>
          <t>가격 좋은 넓은 평형 토지매매, 조율도 가능</t>
        </is>
      </c>
      <c r="L1564" s="6">
        <f>HYPERLINK("https://fin.land.naver.com/articles/2650427563", "매물Link")</f>
        <v/>
      </c>
      <c r="M1564" s="6">
        <f>HYPERLINK("https://map.naver.com/p/search/한솔동 1036", "지도Link")</f>
        <v/>
      </c>
      <c r="N1564" s="6">
        <f>HYPERLINK("http://www.eum.go.kr/web/ar/lu/luLandDet.jsp?pnu=3611010600110360000&amp;isNoScr=script&amp;mode=search",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405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자루형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94</v>
      </c>
      <c r="I1565" s="5" t="n">
        <v>531.9</v>
      </c>
      <c r="J1565" s="5" t="n">
        <v>373.6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HYPERLINK("http://www.eum.go.kr/web/ar/lu/luLandDet.jsp?pnu=3611010600110590000&amp;isNoScr=script&amp;mode=search",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91</v>
      </c>
      <c r="I1566" s="5" t="n">
        <v>648.4</v>
      </c>
      <c r="J1566" s="5" t="n">
        <v>369.3</v>
      </c>
      <c r="K1566" s="3" t="inlineStr">
        <is>
          <t>총 91.2p, 한솔동 전원주택지, 위치좋은 토지</t>
        </is>
      </c>
      <c r="L1566" s="6">
        <f>HYPERLINK("https://fin.land.naver.com/articles/2648904535",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91</v>
      </c>
      <c r="I1567" s="5" t="n">
        <v>648.4</v>
      </c>
      <c r="J1567" s="5" t="n">
        <v>369.3</v>
      </c>
      <c r="K1567" s="3" t="inlineStr">
        <is>
          <t>총 91.2p, 근린공원인근, 조율가능</t>
        </is>
      </c>
      <c r="L1567" s="6">
        <f>HYPERLINK("https://fin.land.naver.com/articles/2646690642",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HYPERLINK("http://www.eum.go.kr/web/ar/lu/luLandDet.jsp?pnu=3611010600110800000&amp;isNoScr=script&amp;mode=search", "토지이음")</f>
        <v/>
      </c>
      <c r="O1567" s="3" t="inlineStr">
        <is>
          <t>세종무지개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302</v>
      </c>
      <c r="H1568" s="4" t="n">
        <v>91</v>
      </c>
      <c r="I1568" s="5" t="n">
        <v>659.3</v>
      </c>
      <c r="J1568" s="5" t="n">
        <v>377.2</v>
      </c>
      <c r="K1568" s="3" t="inlineStr">
        <is>
          <t>황제급매 즉시신축 핵심시설 어울린 전원주택 먼곳 찾을필요 없을것 같아요</t>
        </is>
      </c>
      <c r="L1568" s="6">
        <f>HYPERLINK("https://fin.land.naver.com/articles/2649269011", "매물Link")</f>
        <v/>
      </c>
      <c r="M1568" s="6">
        <f>HYPERLINK("https://map.naver.com/p/search/한솔동 1086", "지도Link")</f>
        <v/>
      </c>
      <c r="N1568" s="6">
        <f>HYPERLINK("http://www.eum.go.kr/web/ar/lu/luLandDet.jsp?pnu=3611010600110860000&amp;isNoScr=script&amp;mode=search", "토지이음")</f>
        <v/>
      </c>
      <c r="O1568" s="3" t="inlineStr">
        <is>
          <t>삼성래미안</t>
        </is>
      </c>
      <c r="P1568" s="4" t="n">
        <v>3</v>
      </c>
      <c r="Q1568" s="4" t="n">
        <v>302.9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1087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85000</v>
      </c>
      <c r="G1569" s="4" t="n">
        <v>303</v>
      </c>
      <c r="H1569" s="4" t="n">
        <v>92</v>
      </c>
      <c r="I1569" s="5" t="n">
        <v>923.9</v>
      </c>
      <c r="J1569" s="5" t="n">
        <v>377.2</v>
      </c>
      <c r="K1569" s="3" t="inlineStr">
        <is>
          <t>한솔동, 단독주택지 토지매매</t>
        </is>
      </c>
      <c r="L1569" s="6">
        <f>HYPERLINK("https://fin.land.naver.com/articles/2649875547", "매물Link")</f>
        <v/>
      </c>
      <c r="M1569" s="6">
        <f>HYPERLINK("https://map.naver.com/p/search/한솔동 1087", "지도Link")</f>
        <v/>
      </c>
      <c r="N1569" s="6">
        <f>HYPERLINK("http://www.eum.go.kr/web/ar/lu/luLandDet.jsp?pnu=3611010600110870000&amp;isNoScr=script&amp;mode=search",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303.9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95</v>
      </c>
      <c r="I1570" s="5" t="n">
        <v>842.1</v>
      </c>
      <c r="J1570" s="5" t="n">
        <v>373.6</v>
      </c>
      <c r="K1570" s="3" t="inlineStr">
        <is>
          <t>조건 파격조율가능 도심속전원 시내 시외 진출입편리 이곳은 엘도라도입니다</t>
        </is>
      </c>
      <c r="L1570" s="6">
        <f>HYPERLINK("https://fin.land.naver.com/articles/2648082909",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HYPERLINK("http://www.eum.go.kr/web/ar/lu/luLandDet.jsp?pnu=3611010600110980000&amp;isNoScr=script&amp;mode=search", "토지이음")</f>
        <v/>
      </c>
      <c r="O1570" s="3" t="inlineStr">
        <is>
          <t>세종시삼성래미안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95</v>
      </c>
      <c r="I1571" s="5" t="n">
        <v>842.1</v>
      </c>
      <c r="J1571" s="5" t="n">
        <v>373.6</v>
      </c>
      <c r="K1571" s="3" t="inlineStr">
        <is>
          <t>95.4p, 삼거리코너 맞은편, 새뜸1단지 앞 단독주택 토지</t>
        </is>
      </c>
      <c r="L1571" s="6">
        <f>HYPERLINK("https://fin.land.naver.com/articles/2649004548",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95</v>
      </c>
      <c r="I1572" s="5" t="n">
        <v>842.1</v>
      </c>
      <c r="J1572" s="5" t="n">
        <v>373.6</v>
      </c>
      <c r="K1572" s="3" t="inlineStr">
        <is>
          <t>삼거리 코너입지, 한솔동 단독주택지</t>
        </is>
      </c>
      <c r="L1572" s="6">
        <f>HYPERLINK("https://fin.land.naver.com/articles/2650427968",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HYPERLINK("http://www.eum.go.kr/web/ar/lu/luLandDet.jsp?pnu=3611010600110980000&amp;isNoScr=script&amp;mode=search", "토지이음")</f>
        <v/>
      </c>
      <c r="O1572" s="3" t="inlineStr">
        <is>
          <t>세종무지개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97</v>
      </c>
      <c r="I1573" s="5" t="n">
        <v>618.6</v>
      </c>
      <c r="J1573" s="5" t="n">
        <v>373.6</v>
      </c>
      <c r="K1573" s="3" t="inlineStr">
        <is>
          <t>적극협의가능 시유지넓게접함 선호위치</t>
        </is>
      </c>
      <c r="L1573" s="6">
        <f>HYPERLINK("https://fin.land.naver.com/articles/2649812097",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94</v>
      </c>
      <c r="I1574" s="5" t="n">
        <v>851.1</v>
      </c>
      <c r="J1574" s="5" t="n">
        <v>376.9</v>
      </c>
      <c r="K1574" s="3" t="inlineStr">
        <is>
          <t>총 94p, 한솔동 단독주택지 토지</t>
        </is>
      </c>
      <c r="L1574" s="6">
        <f>HYPERLINK("https://fin.land.naver.com/articles/2648901069",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HYPERLINK("http://www.eum.go.kr/web/ar/lu/luLandDet.jsp?pnu=3611010600111220000&amp;isNoScr=script&amp;mode=search", "토지이음")</f>
        <v/>
      </c>
      <c r="O1574" s="3" t="inlineStr">
        <is>
          <t>명진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94</v>
      </c>
      <c r="I1575" s="5" t="n">
        <v>851.1</v>
      </c>
      <c r="J1575" s="5" t="n">
        <v>376.9</v>
      </c>
      <c r="K1575" s="3" t="inlineStr">
        <is>
          <t>한솔동 단독주택 토지매매</t>
        </is>
      </c>
      <c r="L1575" s="6">
        <f>HYPERLINK("https://fin.land.naver.com/articles/2650427036",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1131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303</v>
      </c>
      <c r="H1576" s="4" t="n">
        <v>92</v>
      </c>
      <c r="I1576" s="5" t="n">
        <v>565.2</v>
      </c>
      <c r="J1576" s="5" t="n">
        <v>391.7</v>
      </c>
      <c r="K1576" s="3" t="inlineStr">
        <is>
          <t>코너각지 주택지 추천</t>
        </is>
      </c>
      <c r="L1576" s="6">
        <f>HYPERLINK("https://fin.land.naver.com/articles/2646560933", "매물Link")</f>
        <v/>
      </c>
      <c r="M1576" s="6">
        <f>HYPERLINK("https://map.naver.com/p/search/한솔동 1131", "지도Link")</f>
        <v/>
      </c>
      <c r="N1576" s="6">
        <f>HYPERLINK("http://www.eum.go.kr/web/ar/lu/luLandDet.jsp?pnu=3611010600111310000&amp;isNoScr=script&amp;mode=search", "토지이음")</f>
        <v/>
      </c>
      <c r="O1576" s="3" t="inlineStr">
        <is>
          <t>소나무</t>
        </is>
      </c>
      <c r="P1576" s="4" t="n">
        <v>1</v>
      </c>
      <c r="Q1576" s="4" t="n">
        <v>303.8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소로각지</t>
        </is>
      </c>
    </row>
    <row r="1577">
      <c r="A1577" s="3" t="inlineStr">
        <is>
          <t>한솔동 1135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309</v>
      </c>
      <c r="H1577" s="4" t="n">
        <v>93</v>
      </c>
      <c r="I1577" s="5" t="n">
        <v>591.4</v>
      </c>
      <c r="J1577" s="5" t="n">
        <v>376.9</v>
      </c>
      <c r="K1577" s="3" t="inlineStr">
        <is>
          <t>새롬동과 한솔동사이 경사진 단독전용 택지,협의가능</t>
        </is>
      </c>
      <c r="L1577" s="6">
        <f>HYPERLINK("https://fin.land.naver.com/articles/2647375576", "매물Link")</f>
        <v/>
      </c>
      <c r="M1577" s="6">
        <f>HYPERLINK("https://map.naver.com/p/search/한솔동 1135", "지도Link")</f>
        <v/>
      </c>
      <c r="N1577" s="6">
        <f>HYPERLINK("http://www.eum.go.kr/web/ar/lu/luLandDet.jsp?pnu=3611010600111350000&amp;isNoScr=script&amp;mode=search", "토지이음")</f>
        <v/>
      </c>
      <c r="O1577" s="3" t="inlineStr">
        <is>
          <t>세종나라</t>
        </is>
      </c>
      <c r="P1577" s="4" t="n">
        <v>3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1175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90000</v>
      </c>
      <c r="G1578" s="4" t="n">
        <v>407</v>
      </c>
      <c r="H1578" s="4" t="n">
        <v>123</v>
      </c>
      <c r="I1578" s="5" t="n">
        <v>731.7</v>
      </c>
      <c r="J1578" s="5" t="n">
        <v>389.8</v>
      </c>
      <c r="K1578" s="3" t="inlineStr">
        <is>
          <t>넓은 평형 토지매매, 한솔동</t>
        </is>
      </c>
      <c r="L1578" s="6">
        <f>HYPERLINK("https://fin.land.naver.com/articles/2650427381", "매물Link")</f>
        <v/>
      </c>
      <c r="M1578" s="6">
        <f>HYPERLINK("https://map.naver.com/p/search/한솔동 1175", "지도Link")</f>
        <v/>
      </c>
      <c r="N1578" s="6">
        <f>HYPERLINK("http://www.eum.go.kr/web/ar/lu/luLandDet.jsp?pnu=3611010600111750000&amp;isNoScr=script&amp;mode=search",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407.1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1175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90000</v>
      </c>
      <c r="G1579" s="4" t="n">
        <v>407</v>
      </c>
      <c r="H1579" s="4" t="n">
        <v>123</v>
      </c>
      <c r="I1579" s="5" t="n">
        <v>731.7</v>
      </c>
      <c r="J1579" s="5" t="n">
        <v>389.8</v>
      </c>
      <c r="K1579" s="3" t="inlineStr">
        <is>
          <t>총 123.4p, 새뜸1단지 맞은편</t>
        </is>
      </c>
      <c r="L1579" s="6">
        <f>HYPERLINK("https://fin.land.naver.com/articles/2648127460", "매물Link")</f>
        <v/>
      </c>
      <c r="M1579" s="6">
        <f>HYPERLINK("https://map.naver.com/p/search/한솔동 1175", "지도Link")</f>
        <v/>
      </c>
      <c r="N1579" s="6">
        <f>HYPERLINK("http://www.eum.go.kr/web/ar/lu/luLandDet.jsp?pnu=3611010600111750000&amp;isNoScr=script&amp;mode=search", "토지이음")</f>
        <v/>
      </c>
      <c r="O1579" s="3" t="inlineStr">
        <is>
          <t>명진</t>
        </is>
      </c>
      <c r="P1579" s="4" t="n">
        <v>1</v>
      </c>
      <c r="Q1579" s="4" t="n">
        <v>407.1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1187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60000</v>
      </c>
      <c r="G1580" s="4" t="n">
        <v>420</v>
      </c>
      <c r="H1580" s="4" t="n">
        <v>127</v>
      </c>
      <c r="I1580" s="5" t="n">
        <v>472.4</v>
      </c>
      <c r="J1580" s="5" t="n">
        <v>391.7</v>
      </c>
      <c r="K1580" s="3" t="inlineStr">
        <is>
          <t>대형평수 코너각지 위치최상 조율협의</t>
        </is>
      </c>
      <c r="L1580" s="6">
        <f>HYPERLINK("https://fin.land.naver.com/articles/2649479860", "매물Link")</f>
        <v/>
      </c>
      <c r="M1580" s="6">
        <f>HYPERLINK("https://map.naver.com/p/search/한솔동 1187", "지도Link")</f>
        <v/>
      </c>
      <c r="N1580" s="6">
        <f>HYPERLINK("http://www.eum.go.kr/web/ar/lu/luLandDet.jsp?pnu=3611010600111870000&amp;isNoScr=script&amp;mode=search",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420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소로각지</t>
        </is>
      </c>
    </row>
    <row r="1581">
      <c r="A1581" s="3" t="inlineStr">
        <is>
          <t>한솔동 1193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65000</v>
      </c>
      <c r="G1581" s="4" t="n">
        <v>320</v>
      </c>
      <c r="H1581" s="4" t="n">
        <v>97</v>
      </c>
      <c r="I1581" s="5" t="n">
        <v>670.1</v>
      </c>
      <c r="J1581" s="5" t="n">
        <v>391.7</v>
      </c>
      <c r="K1581" s="3" t="inlineStr">
        <is>
          <t>코너위치좋은한솔동단독택지매매 가격조정가능</t>
        </is>
      </c>
      <c r="L1581" s="6">
        <f>HYPERLINK("https://fin.land.naver.com/articles/2646135502", "매물Link")</f>
        <v/>
      </c>
      <c r="M1581" s="6">
        <f>HYPERLINK("https://map.naver.com/p/search/한솔동 1193", "지도Link")</f>
        <v/>
      </c>
      <c r="N1581" s="6">
        <f>HYPERLINK("http://www.eum.go.kr/web/ar/lu/luLandDet.jsp?pnu=3611010600111930000&amp;isNoScr=script&amp;mode=search", "토지이음")</f>
        <v/>
      </c>
      <c r="O1581" s="3" t="inlineStr">
        <is>
          <t>고운동리치세종</t>
        </is>
      </c>
      <c r="P1581" s="4" t="n">
        <v>2</v>
      </c>
      <c r="Q1581" s="4" t="n">
        <v>320.1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한솔동 1194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49000</v>
      </c>
      <c r="G1582" s="4" t="n">
        <v>335</v>
      </c>
      <c r="H1582" s="4" t="n">
        <v>101</v>
      </c>
      <c r="I1582" s="5" t="n">
        <v>485.1</v>
      </c>
      <c r="J1582" s="5" t="n">
        <v>376.9</v>
      </c>
      <c r="K1582" s="3" t="inlineStr">
        <is>
          <t>101p.단독택지.1분거리.학원.마트.초중고.5분.단독주택.전원주택.추천</t>
        </is>
      </c>
      <c r="L1582" s="6">
        <f>HYPERLINK("https://fin.land.naver.com/articles/2649858793", "매물Link")</f>
        <v/>
      </c>
      <c r="M1582" s="6">
        <f>HYPERLINK("https://map.naver.com/p/search/한솔동 1194", "지도Link")</f>
        <v/>
      </c>
      <c r="N1582" s="6">
        <f>HYPERLINK("http://www.eum.go.kr/web/ar/lu/luLandDet.jsp?pnu=3611010600111940000&amp;isNoScr=script&amp;mode=search", "토지이음")</f>
        <v/>
      </c>
      <c r="O1582" s="3" t="inlineStr">
        <is>
          <t>원</t>
        </is>
      </c>
      <c r="P1582" s="4" t="n">
        <v>1</v>
      </c>
      <c r="Q1582" s="4" t="n">
        <v>335.4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1194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49000</v>
      </c>
      <c r="G1583" s="4" t="n">
        <v>335</v>
      </c>
      <c r="H1583" s="4" t="n">
        <v>101</v>
      </c>
      <c r="I1583" s="5" t="n">
        <v>485.1</v>
      </c>
      <c r="J1583" s="5" t="n">
        <v>376.9</v>
      </c>
      <c r="K1583" s="3" t="inlineStr">
        <is>
          <t>급매 추가조율가능 한솔D2 최저가 초중고도보 상권인접</t>
        </is>
      </c>
      <c r="L1583" s="6">
        <f>HYPERLINK("https://fin.land.naver.com/articles/2648979487", "매물Link")</f>
        <v/>
      </c>
      <c r="M1583" s="6">
        <f>HYPERLINK("https://map.naver.com/p/search/한솔동 1194", "지도Link")</f>
        <v/>
      </c>
      <c r="N1583" s="6">
        <f>HYPERLINK("http://www.eum.go.kr/web/ar/lu/luLandDet.jsp?pnu=3611010600111940000&amp;isNoScr=script&amp;mode=search",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335.4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1197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75000</v>
      </c>
      <c r="G1584" s="4" t="n">
        <v>320</v>
      </c>
      <c r="H1584" s="4" t="n">
        <v>97</v>
      </c>
      <c r="I1584" s="5" t="n">
        <v>773.2</v>
      </c>
      <c r="J1584" s="5" t="n">
        <v>391.7</v>
      </c>
      <c r="K1584" s="3" t="inlineStr">
        <is>
          <t>공원앞 코너각지토지 97p 답답하지않은 위치</t>
        </is>
      </c>
      <c r="L1584" s="6">
        <f>HYPERLINK("https://fin.land.naver.com/articles/2646827225", "매물Link")</f>
        <v/>
      </c>
      <c r="M1584" s="6">
        <f>HYPERLINK("https://map.naver.com/p/search/한솔동 1197", "지도Link")</f>
        <v/>
      </c>
      <c r="N1584" s="6">
        <f>HYPERLINK("http://www.eum.go.kr/web/ar/lu/luLandDet.jsp?pnu=3611010600111970000&amp;isNoScr=script&amp;mode=search", "토지이음")</f>
        <v/>
      </c>
      <c r="O1584" s="3" t="inlineStr">
        <is>
          <t>세종365</t>
        </is>
      </c>
      <c r="P1584" s="4" t="n">
        <v>1</v>
      </c>
      <c r="Q1584" s="4" t="n">
        <v>320.4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소로각지</t>
        </is>
      </c>
    </row>
    <row r="1585">
      <c r="A1585" s="3" t="inlineStr">
        <is>
          <t>한솔동 1201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294</v>
      </c>
      <c r="H1585" s="4" t="n">
        <v>89</v>
      </c>
      <c r="I1585" s="5" t="n">
        <v>674.2</v>
      </c>
      <c r="J1585" s="5" t="n">
        <v>376.9</v>
      </c>
      <c r="K1585" s="3" t="inlineStr">
        <is>
          <t>위치좋은 단독주택지, 직접보시면 더 좋아요</t>
        </is>
      </c>
      <c r="L1585" s="6">
        <f>HYPERLINK("https://fin.land.naver.com/articles/2649375943", "매물Link")</f>
        <v/>
      </c>
      <c r="M1585" s="6">
        <f>HYPERLINK("https://map.naver.com/p/search/한솔동 1201", "지도Link")</f>
        <v/>
      </c>
      <c r="N1585" s="6">
        <f>HYPERLINK("http://www.eum.go.kr/web/ar/lu/luLandDet.jsp?pnu=3611010600112010000&amp;isNoScr=script&amp;mode=search", "토지이음")</f>
        <v/>
      </c>
      <c r="O1585" s="3" t="inlineStr">
        <is>
          <t>리브</t>
        </is>
      </c>
      <c r="P1585" s="4" t="n">
        <v>1</v>
      </c>
      <c r="Q1585" s="4" t="n">
        <v>294.6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1207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50000</v>
      </c>
      <c r="G1586" s="4" t="n">
        <v>329</v>
      </c>
      <c r="H1586" s="4" t="n">
        <v>100</v>
      </c>
      <c r="I1586" s="5" t="n">
        <v>500</v>
      </c>
      <c r="J1586" s="5" t="n">
        <v>376.9</v>
      </c>
      <c r="K1586" s="3" t="inlineStr">
        <is>
          <t>인기지역 D2 땅모양좋음 조율가능</t>
        </is>
      </c>
      <c r="L1586" s="6">
        <f>HYPERLINK("https://fin.land.naver.com/articles/2650653609", "매물Link")</f>
        <v/>
      </c>
      <c r="M1586" s="6">
        <f>HYPERLINK("https://map.naver.com/p/search/한솔동 1207", "지도Link")</f>
        <v/>
      </c>
      <c r="N1586" s="6">
        <f>HYPERLINK("http://www.eum.go.kr/web/ar/lu/luLandDet.jsp?pnu=3611010600112070000&amp;isNoScr=script&amp;mode=search",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329.5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1207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50000</v>
      </c>
      <c r="G1587" s="4" t="n">
        <v>329</v>
      </c>
      <c r="H1587" s="4" t="n">
        <v>100</v>
      </c>
      <c r="I1587" s="5" t="n">
        <v>500</v>
      </c>
      <c r="J1587" s="5" t="n">
        <v>376.9</v>
      </c>
      <c r="K1587" s="3" t="inlineStr">
        <is>
          <t>네모 반듯한 예쁜 토지 매매, 입지 굿</t>
        </is>
      </c>
      <c r="L1587" s="6">
        <f>HYPERLINK("https://fin.land.naver.com/articles/2650893847", "매물Link")</f>
        <v/>
      </c>
      <c r="M1587" s="6">
        <f>HYPERLINK("https://map.naver.com/p/search/한솔동 1207", "지도Link")</f>
        <v/>
      </c>
      <c r="N1587" s="6">
        <f>HYPERLINK("http://www.eum.go.kr/web/ar/lu/luLandDet.jsp?pnu=3611010600112070000&amp;isNoScr=script&amp;mode=search", "토지이음")</f>
        <v/>
      </c>
      <c r="O1587" s="3" t="inlineStr">
        <is>
          <t>세종무지개</t>
        </is>
      </c>
      <c r="P1587" s="4" t="n">
        <v>1</v>
      </c>
      <c r="Q1587" s="4" t="n">
        <v>329.5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100</v>
      </c>
      <c r="I1588" s="5" t="n">
        <v>500</v>
      </c>
      <c r="J1588" s="5" t="n">
        <v>376.9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HYPERLINK("http://www.eum.go.kr/web/ar/lu/luLandDet.jsp?pnu=3611010600112070000&amp;isNoScr=script&amp;mode=search",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299</v>
      </c>
      <c r="H1589" s="4" t="n">
        <v>90</v>
      </c>
      <c r="I1589" s="5" t="n">
        <v>500</v>
      </c>
      <c r="J1589" s="5" t="n">
        <v>376.9</v>
      </c>
      <c r="K1589" s="3" t="inlineStr">
        <is>
          <t>nan</t>
        </is>
      </c>
      <c r="L1589" s="6">
        <f>HYPERLINK("https://fin.land.naver.com/articles/2649014156", "매물Link")</f>
        <v/>
      </c>
      <c r="M1589" s="6">
        <f>HYPERLINK("https://map.naver.com/p/search/한솔동 1208", "지도Link")</f>
        <v/>
      </c>
      <c r="N1589" s="6">
        <f>HYPERLINK("http://www.eum.go.kr/web/ar/lu/luLandDet.jsp?pnu=3611010600112080000&amp;isNoScr=script&amp;mode=search", "토지이음")</f>
        <v/>
      </c>
      <c r="O1589" s="3" t="inlineStr">
        <is>
          <t>봄마중</t>
        </is>
      </c>
      <c r="P1589" s="4" t="n">
        <v>1</v>
      </c>
      <c r="Q1589" s="4" t="n">
        <v>299.8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1211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323</v>
      </c>
      <c r="H1590" s="4" t="n">
        <v>98</v>
      </c>
      <c r="I1590" s="5" t="n">
        <v>387.8</v>
      </c>
      <c r="J1590" s="5" t="n">
        <v>373.6</v>
      </c>
      <c r="K1590" s="3" t="inlineStr">
        <is>
          <t>급매, 한솔동 단독주택지 가격 좋은 토지</t>
        </is>
      </c>
      <c r="L1590" s="6">
        <f>HYPERLINK("https://fin.land.naver.com/articles/2645343318", "매물Link")</f>
        <v/>
      </c>
      <c r="M1590" s="6">
        <f>HYPERLINK("https://map.naver.com/p/search/한솔동 1211", "지도Link")</f>
        <v/>
      </c>
      <c r="N1590" s="6">
        <f>HYPERLINK("http://www.eum.go.kr/web/ar/lu/luLandDet.jsp?pnu=3611010600112110000&amp;isNoScr=script&amp;mode=search",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323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소로한면</t>
        </is>
      </c>
    </row>
    <row r="1591">
      <c r="A1591" s="3" t="inlineStr">
        <is>
          <t>한솔동 1211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</v>
      </c>
      <c r="G1591" s="4" t="n">
        <v>323</v>
      </c>
      <c r="H1591" s="4" t="n">
        <v>98</v>
      </c>
      <c r="I1591" s="5" t="n">
        <v>387.8</v>
      </c>
      <c r="J1591" s="5" t="n">
        <v>373.6</v>
      </c>
      <c r="K1591" s="3" t="inlineStr">
        <is>
          <t>급매 한솔동d2 최저가 조율가능</t>
        </is>
      </c>
      <c r="L1591" s="6">
        <f>HYPERLINK("https://fin.land.naver.com/articles/2650195191", "매물Link")</f>
        <v/>
      </c>
      <c r="M1591" s="6">
        <f>HYPERLINK("https://map.naver.com/p/search/한솔동 1211", "지도Link")</f>
        <v/>
      </c>
      <c r="N1591" s="6">
        <f>HYPERLINK("http://www.eum.go.kr/web/ar/lu/luLandDet.jsp?pnu=3611010600112110000&amp;isNoScr=script&amp;mode=search", "토지이음")</f>
        <v/>
      </c>
      <c r="O1591" s="3" t="inlineStr">
        <is>
          <t>세종스타</t>
        </is>
      </c>
      <c r="P1591" s="4" t="n">
        <v>2</v>
      </c>
      <c r="Q1591" s="4" t="n">
        <v>323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98</v>
      </c>
      <c r="I1592" s="5" t="n">
        <v>387.8</v>
      </c>
      <c r="J1592" s="5" t="n">
        <v>373.6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HYPERLINK("http://www.eum.go.kr/web/ar/lu/luLandDet.jsp?pnu=3611010600112110000&amp;isNoScr=script&amp;mode=search",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865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80000</v>
      </c>
      <c r="G1593" s="4" t="n">
        <v>352</v>
      </c>
      <c r="H1593" s="4" t="n">
        <v>106</v>
      </c>
      <c r="I1593" s="5" t="n">
        <v>754.7</v>
      </c>
      <c r="J1593" s="5" t="n">
        <v>403</v>
      </c>
      <c r="K1593" s="3" t="inlineStr">
        <is>
          <t>공원 인근, 조용한고 편리한 단독주택지 토지매매</t>
        </is>
      </c>
      <c r="L1593" s="6">
        <f>HYPERLINK("https://fin.land.naver.com/articles/2650427090", "매물Link")</f>
        <v/>
      </c>
      <c r="M1593" s="6">
        <f>HYPERLINK("https://map.naver.com/p/search/한솔동 865", "지도Link")</f>
        <v/>
      </c>
      <c r="N1593" s="6">
        <f>HYPERLINK("http://www.eum.go.kr/web/ar/lu/luLandDet.jsp?pnu=3611010600108650000&amp;isNoScr=script&amp;mode=search", "토지이음")</f>
        <v/>
      </c>
      <c r="O1593" s="3" t="inlineStr">
        <is>
          <t>세종무지개</t>
        </is>
      </c>
      <c r="P1593" s="4" t="n">
        <v>1</v>
      </c>
      <c r="Q1593" s="4" t="n">
        <v>353.4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865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80000</v>
      </c>
      <c r="G1594" s="4" t="n">
        <v>353</v>
      </c>
      <c r="H1594" s="4" t="n">
        <v>107</v>
      </c>
      <c r="I1594" s="5" t="n">
        <v>747.7</v>
      </c>
      <c r="J1594" s="5" t="n">
        <v>403</v>
      </c>
      <c r="K1594" s="3" t="inlineStr">
        <is>
          <t>총 107.1p, 한솔동 단독주택지</t>
        </is>
      </c>
      <c r="L1594" s="6">
        <f>HYPERLINK("https://fin.land.naver.com/articles/2647421737", "매물Link")</f>
        <v/>
      </c>
      <c r="M1594" s="6">
        <f>HYPERLINK("https://map.naver.com/p/search/한솔동 865", "지도Link")</f>
        <v/>
      </c>
      <c r="N1594" s="6">
        <f>HYPERLINK("http://www.eum.go.kr/web/ar/lu/luLandDet.jsp?pnu=3611010600108650000&amp;isNoScr=script&amp;mode=search",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353.4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865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80000</v>
      </c>
      <c r="G1595" s="4" t="n">
        <v>353</v>
      </c>
      <c r="H1595" s="4" t="n">
        <v>107</v>
      </c>
      <c r="I1595" s="5" t="n">
        <v>747.7</v>
      </c>
      <c r="J1595" s="5" t="n">
        <v>403</v>
      </c>
      <c r="K1595" s="3" t="inlineStr">
        <is>
          <t>산조망 공원접 대형상권 새롬동학원가 도보가능</t>
        </is>
      </c>
      <c r="L1595" s="6">
        <f>HYPERLINK("https://fin.land.naver.com/articles/2651085600", "매물Link")</f>
        <v/>
      </c>
      <c r="M1595" s="6">
        <f>HYPERLINK("https://map.naver.com/p/search/한솔동 865", "지도Link")</f>
        <v/>
      </c>
      <c r="N1595" s="6">
        <f>HYPERLINK("http://www.eum.go.kr/web/ar/lu/luLandDet.jsp?pnu=3611010600108650000&amp;isNoScr=script&amp;mode=search",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353.4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885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57000</v>
      </c>
      <c r="G1596" s="4" t="n">
        <v>292</v>
      </c>
      <c r="H1596" s="4" t="n">
        <v>88</v>
      </c>
      <c r="I1596" s="5" t="n">
        <v>647.7</v>
      </c>
      <c r="J1596" s="5" t="n">
        <v>410.9</v>
      </c>
      <c r="K1596" s="3" t="inlineStr">
        <is>
          <t>D1 귀한매물 새롬동학원가도보 조율가능</t>
        </is>
      </c>
      <c r="L1596" s="6">
        <f>HYPERLINK("https://fin.land.naver.com/articles/2645488134", "매물Link")</f>
        <v/>
      </c>
      <c r="M1596" s="6">
        <f>HYPERLINK("https://map.naver.com/p/search/한솔동 885", "지도Link")</f>
        <v/>
      </c>
      <c r="N1596" s="6">
        <f>HYPERLINK("http://www.eum.go.kr/web/ar/lu/luLandDet.jsp?pnu=3611010600108850000&amp;isNoScr=script&amp;mode=search",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292.2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967</t>
        </is>
      </c>
      <c r="B1597" s="3" t="inlineStr">
        <is>
          <t>준주거지역</t>
        </is>
      </c>
      <c r="C1597" s="3" t="inlineStr">
        <is>
          <t>주차장</t>
        </is>
      </c>
      <c r="D1597" s="3" t="inlineStr">
        <is>
          <t>주차장</t>
        </is>
      </c>
      <c r="E1597" s="3" t="inlineStr">
        <is>
          <t>매매</t>
        </is>
      </c>
      <c r="F1597" s="4" t="n">
        <v>580000</v>
      </c>
      <c r="G1597" s="4" t="n">
        <v>1407</v>
      </c>
      <c r="H1597" s="4" t="n">
        <v>426</v>
      </c>
      <c r="I1597" s="5" t="n">
        <v>1361.5</v>
      </c>
      <c r="J1597" s="5" t="n">
        <v>741.2</v>
      </c>
      <c r="K1597" s="3" t="inlineStr">
        <is>
          <t>세종 첫마을 넓은 주차장으로 대형마트나 고급 식당 사옥 추천 드립니다</t>
        </is>
      </c>
      <c r="L1597" s="6">
        <f>HYPERLINK("https://fin.land.naver.com/articles/2645973030", "매물Link")</f>
        <v/>
      </c>
      <c r="M1597" s="6">
        <f>HYPERLINK("https://map.naver.com/p/search/한솔동 967", "지도Link")</f>
        <v/>
      </c>
      <c r="N1597" s="6">
        <f>HYPERLINK("http://www.eum.go.kr/web/ar/lu/luLandDet.jsp?pnu=3611010600109670000&amp;isNoScr=script&amp;mode=search", "토지이음")</f>
        <v/>
      </c>
      <c r="O1597" s="3" t="inlineStr">
        <is>
          <t>자이행복</t>
        </is>
      </c>
      <c r="P1597" s="4" t="n">
        <v>1</v>
      </c>
      <c r="Q1597" s="4" t="n">
        <v>1407</v>
      </c>
      <c r="R1597" s="3" t="inlineStr">
        <is>
          <t>지정되지않음</t>
        </is>
      </c>
      <c r="S1597" s="3" t="inlineStr">
        <is>
          <t>주차장등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중로한면</t>
        </is>
      </c>
    </row>
    <row r="1598">
      <c r="A1598" s="3" t="inlineStr">
        <is>
          <t>한솔동 989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326</v>
      </c>
      <c r="H1598" s="4" t="n">
        <v>99</v>
      </c>
      <c r="I1598" s="5" t="n">
        <v>555.6</v>
      </c>
      <c r="J1598" s="5" t="n">
        <v>302.8</v>
      </c>
      <c r="K1598" s="3" t="inlineStr">
        <is>
          <t>생활 인프라가 완비된 2생활권 내 희소성 높은 알짜 토지.</t>
        </is>
      </c>
      <c r="L1598" s="6">
        <f>HYPERLINK("https://fin.land.naver.com/articles/2648288398", "매물Link")</f>
        <v/>
      </c>
      <c r="M1598" s="6">
        <f>HYPERLINK("https://map.naver.com/p/search/한솔동 989", "지도Link")</f>
        <v/>
      </c>
      <c r="N1598" s="6">
        <f>HYPERLINK("http://www.eum.go.kr/web/ar/lu/luLandDet.jsp?pnu=3611010600109890000&amp;isNoScr=script&amp;mode=search", "토지이음")</f>
        <v/>
      </c>
      <c r="O1598" s="3" t="inlineStr">
        <is>
          <t>이룸</t>
        </is>
      </c>
      <c r="P1598" s="4" t="n">
        <v>1</v>
      </c>
      <c r="Q1598" s="4" t="n">
        <v>326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989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326</v>
      </c>
      <c r="H1599" s="4" t="n">
        <v>99</v>
      </c>
      <c r="I1599" s="5" t="n">
        <v>555.6</v>
      </c>
      <c r="J1599" s="5" t="n">
        <v>302.8</v>
      </c>
      <c r="K1599" s="3" t="inlineStr">
        <is>
          <t>나리꽃어린이공원  인접,학군 한솔초.중.고, 이마트 인근,가격조정가능</t>
        </is>
      </c>
      <c r="L1599" s="6">
        <f>HYPERLINK("https://fin.land.naver.com/articles/2647522138", "매물Link")</f>
        <v/>
      </c>
      <c r="M1599" s="6">
        <f>HYPERLINK("https://map.naver.com/p/search/한솔동 989", "지도Link")</f>
        <v/>
      </c>
      <c r="N1599" s="6">
        <f>HYPERLINK("http://www.eum.go.kr/web/ar/lu/luLandDet.jsp?pnu=3611010600109890000&amp;isNoScr=script&amp;mode=search",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326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992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355</v>
      </c>
      <c r="H1600" s="4" t="n">
        <v>107</v>
      </c>
      <c r="I1600" s="5" t="n">
        <v>514</v>
      </c>
      <c r="J1600" s="5" t="n">
        <v>314.9</v>
      </c>
      <c r="K1600" s="3" t="inlineStr">
        <is>
          <t>조율가능 공원낀위치 상권최인접 한솔초중고 도보5분</t>
        </is>
      </c>
      <c r="L1600" s="6">
        <f>HYPERLINK("https://fin.land.naver.com/articles/2648047441", "매물Link")</f>
        <v/>
      </c>
      <c r="M1600" s="6">
        <f>HYPERLINK("https://map.naver.com/p/search/한솔동 992", "지도Link")</f>
        <v/>
      </c>
      <c r="N1600" s="6">
        <f>HYPERLINK("http://www.eum.go.kr/web/ar/lu/luLandDet.jsp?pnu=3611010600109920000&amp;isNoScr=script&amp;mode=search",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355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해밀동 668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360000</v>
      </c>
      <c r="G1601" s="4" t="n">
        <v>1070</v>
      </c>
      <c r="H1601" s="4" t="n">
        <v>324</v>
      </c>
      <c r="I1601" s="5" t="n">
        <v>1111.1</v>
      </c>
      <c r="J1601" s="5" t="n">
        <v>407.6</v>
      </c>
      <c r="K1601" s="3" t="inlineStr">
        <is>
          <t>급매 대형 상가건물 부지 추가조율협의 옆필지도 매매가능</t>
        </is>
      </c>
      <c r="L1601" s="6">
        <f>HYPERLINK("https://fin.land.naver.com/articles/2649812128", "매물Link")</f>
        <v/>
      </c>
      <c r="M1601" s="6">
        <f>HYPERLINK("https://map.naver.com/p/search/해밀동 668", "지도Link")</f>
        <v/>
      </c>
      <c r="N1601" s="6">
        <f>HYPERLINK("http://www.eum.go.kr/web/ar/lu/luLandDet.jsp?pnu=3611011600106680000&amp;isNoScr=script&amp;mode=search",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1070.9</v>
      </c>
      <c r="R1601" s="3" t="inlineStr">
        <is>
          <t>지정되지않음</t>
        </is>
      </c>
      <c r="S1601" s="3" t="inlineStr">
        <is>
          <t>상업나지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광대소각</t>
        </is>
      </c>
    </row>
    <row r="1602">
      <c r="A1602" s="3" t="inlineStr">
        <is>
          <t>해밀동 670</t>
        </is>
      </c>
      <c r="B1602" s="3" t="inlineStr">
        <is>
          <t>제2종일반주거지역</t>
        </is>
      </c>
      <c r="C1602" s="3" t="inlineStr">
        <is>
          <t>주차장</t>
        </is>
      </c>
      <c r="D1602" s="3" t="inlineStr">
        <is>
          <t>대</t>
        </is>
      </c>
      <c r="E1602" s="3" t="inlineStr">
        <is>
          <t>매매</t>
        </is>
      </c>
      <c r="F1602" s="4" t="n">
        <v>483000</v>
      </c>
      <c r="G1602" s="4" t="n">
        <v>1065</v>
      </c>
      <c r="H1602" s="4" t="n">
        <v>322</v>
      </c>
      <c r="I1602" s="5" t="n">
        <v>1500</v>
      </c>
      <c r="J1602" s="5" t="n">
        <v>285.3</v>
      </c>
      <c r="K1602" s="3" t="inlineStr">
        <is>
          <t>nan</t>
        </is>
      </c>
      <c r="L1602" s="6">
        <f>HYPERLINK("https://fin.land.naver.com/articles/2649329302", "매물Link")</f>
        <v/>
      </c>
      <c r="M1602" s="6">
        <f>HYPERLINK("https://map.naver.com/p/search/해밀동 670", "지도Link")</f>
        <v/>
      </c>
      <c r="N1602" s="6">
        <f>HYPERLINK("http://www.eum.go.kr/web/ar/lu/luLandDet.jsp?pnu=3611011600106700000&amp;isNoScr=script&amp;mode=search", "토지이음")</f>
        <v/>
      </c>
      <c r="O1602" s="3" t="inlineStr">
        <is>
          <t>국제</t>
        </is>
      </c>
      <c r="P1602" s="4" t="n">
        <v>1</v>
      </c>
      <c r="Q1602" s="4" t="n">
        <v>1355.8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광대소각</t>
        </is>
      </c>
    </row>
    <row r="1603">
      <c r="A1603" s="3" t="inlineStr">
        <is>
          <t>해밀동 675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180000</v>
      </c>
      <c r="G1603" s="4" t="n">
        <v>446</v>
      </c>
      <c r="H1603" s="4" t="n">
        <v>135</v>
      </c>
      <c r="I1603" s="5" t="n">
        <v>1333.3</v>
      </c>
      <c r="J1603" s="5" t="n">
        <v>379.2</v>
      </c>
      <c r="K1603" s="3" t="inlineStr">
        <is>
          <t>급매 절충가능한 사거리 코너각지의 카페등을 건축할수있는 근린생활시설 부지</t>
        </is>
      </c>
      <c r="L1603" s="6">
        <f>HYPERLINK("https://fin.land.naver.com/articles/2649200797", "매물Link")</f>
        <v/>
      </c>
      <c r="M1603" s="6">
        <f>HYPERLINK("https://map.naver.com/p/search/해밀동 675", "지도Link")</f>
        <v/>
      </c>
      <c r="N1603" s="6">
        <f>HYPERLINK("http://www.eum.go.kr/web/ar/lu/luLandDet.jsp?pnu=3611011600106750000&amp;isNoScr=script&amp;mode=search",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446.6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중로한면</t>
        </is>
      </c>
    </row>
    <row r="1604">
      <c r="A1604" s="3" t="inlineStr">
        <is>
          <t>해밀동 678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155000</v>
      </c>
      <c r="G1604" s="4" t="n">
        <v>446</v>
      </c>
      <c r="H1604" s="4" t="n">
        <v>135</v>
      </c>
      <c r="I1604" s="5" t="n">
        <v>1148.1</v>
      </c>
      <c r="J1604" s="5" t="n">
        <v>379.2</v>
      </c>
      <c r="K1604" s="3" t="inlineStr">
        <is>
          <t>조율가능 N4 코너각지 3층건축가능 사옥 음식점 카페 애견샵 추천</t>
        </is>
      </c>
      <c r="L1604" s="6">
        <f>HYPERLINK("https://fin.land.naver.com/articles/2645635558", "매물Link")</f>
        <v/>
      </c>
      <c r="M1604" s="6">
        <f>HYPERLINK("https://map.naver.com/p/search/해밀동 678", "지도Link")</f>
        <v/>
      </c>
      <c r="N1604" s="6">
        <f>HYPERLINK("http://www.eum.go.kr/web/ar/lu/luLandDet.jsp?pnu=3611011600106780000&amp;isNoScr=script&amp;mode=search",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446.4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중로한면</t>
        </is>
      </c>
    </row>
    <row r="1605">
      <c r="A1605" s="3" t="inlineStr">
        <is>
          <t>해밀동 687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145000</v>
      </c>
      <c r="G1605" s="4" t="n">
        <v>403</v>
      </c>
      <c r="H1605" s="4" t="n">
        <v>122</v>
      </c>
      <c r="I1605" s="5" t="n">
        <v>1188.5</v>
      </c>
      <c r="J1605" s="5" t="n">
        <v>383.1</v>
      </c>
      <c r="K1605" s="3" t="inlineStr">
        <is>
          <t>N5 근생부지 3층건축가능</t>
        </is>
      </c>
      <c r="L1605" s="6">
        <f>HYPERLINK("https://fin.land.naver.com/articles/2647162535", "매물Link")</f>
        <v/>
      </c>
      <c r="M1605" s="6">
        <f>HYPERLINK("https://map.naver.com/p/search/해밀동 687", "지도Link")</f>
        <v/>
      </c>
      <c r="N1605" s="6">
        <f>HYPERLINK("http://www.eum.go.kr/web/ar/lu/luLandDet.jsp?pnu=3611011600106870000&amp;isNoScr=script&amp;mode=search",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403.2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해밀동 700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401300</v>
      </c>
      <c r="G1606" s="4" t="n">
        <v>2949</v>
      </c>
      <c r="H1606" s="4" t="n">
        <v>892</v>
      </c>
      <c r="I1606" s="5" t="n">
        <v>449.9</v>
      </c>
      <c r="J1606" s="5" t="n">
        <v>219.8</v>
      </c>
      <c r="K1606" s="3" t="inlineStr">
        <is>
          <t>해밀동 제1종전용주거 타운하우스 부지, 15가구 개발가능</t>
        </is>
      </c>
      <c r="L1606" s="6">
        <f>HYPERLINK("https://fin.land.naver.com/articles/2647344856", "매물Link")</f>
        <v/>
      </c>
      <c r="M1606" s="6">
        <f>HYPERLINK("https://map.naver.com/p/search/해밀동 700", "지도Link")</f>
        <v/>
      </c>
      <c r="N1606" s="6">
        <f>HYPERLINK("http://www.eum.go.kr/web/ar/lu/luLandDet.jsp?pnu=3611011600107000000&amp;isNoScr=script&amp;mode=search",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2948.1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해밀동 704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60000</v>
      </c>
      <c r="G1607" s="4" t="n">
        <v>289</v>
      </c>
      <c r="H1607" s="4" t="n">
        <v>87</v>
      </c>
      <c r="I1607" s="5" t="n">
        <v>689.7</v>
      </c>
      <c r="J1607" s="5" t="n">
        <v>241.1</v>
      </c>
      <c r="K1607" s="3" t="inlineStr">
        <is>
          <t>조율가능 지대높음 원수산뷰 학교,상가 가까움</t>
        </is>
      </c>
      <c r="L1607" s="6">
        <f>HYPERLINK("https://fin.land.naver.com/articles/2645721513", "매물Link")</f>
        <v/>
      </c>
      <c r="M1607" s="6">
        <f>HYPERLINK("https://map.naver.com/p/search/해밀동 704", "지도Link")</f>
        <v/>
      </c>
      <c r="N1607" s="6">
        <f>HYPERLINK("http://www.eum.go.kr/web/ar/lu/luLandDet.jsp?pnu=3611011600107040000&amp;isNoScr=script&amp;mode=search",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289.4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해밀동 713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58000</v>
      </c>
      <c r="G1608" s="4" t="n">
        <v>324</v>
      </c>
      <c r="H1608" s="4" t="n">
        <v>98</v>
      </c>
      <c r="I1608" s="5" t="n">
        <v>591.8</v>
      </c>
      <c r="J1608" s="5" t="n">
        <v>241.1</v>
      </c>
      <c r="K1608" s="3" t="inlineStr">
        <is>
          <t>조율가능 남동향 트인위치 땅모양 좋음</t>
        </is>
      </c>
      <c r="L1608" s="6">
        <f>HYPERLINK("https://fin.land.naver.com/articles/2649295989", "매물Link")</f>
        <v/>
      </c>
      <c r="M1608" s="6">
        <f>HYPERLINK("https://map.naver.com/p/search/해밀동 713", "지도Link")</f>
        <v/>
      </c>
      <c r="N1608" s="6">
        <f>HYPERLINK("http://www.eum.go.kr/web/ar/lu/luLandDet.jsp?pnu=3611011600107130000&amp;isNoScr=script&amp;mode=search", "토지이음")</f>
        <v/>
      </c>
      <c r="O1608" s="3" t="inlineStr">
        <is>
          <t>세종스타</t>
        </is>
      </c>
      <c r="P1608" s="4" t="n">
        <v>1</v>
      </c>
      <c r="Q1608" s="4" t="n">
        <v>324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소로한면</t>
        </is>
      </c>
    </row>
    <row r="1609">
      <c r="A1609" s="3" t="inlineStr">
        <is>
          <t>해밀동 713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58000</v>
      </c>
      <c r="G1609" s="4" t="n">
        <v>324</v>
      </c>
      <c r="H1609" s="4" t="n">
        <v>98</v>
      </c>
      <c r="I1609" s="5" t="n">
        <v>591.8</v>
      </c>
      <c r="J1609" s="5" t="n">
        <v>241.1</v>
      </c>
      <c r="K1609" s="3" t="inlineStr">
        <is>
          <t>98.18p, 해밀동 네모 반듯한 단독주택 토지매매</t>
        </is>
      </c>
      <c r="L1609" s="6">
        <f>HYPERLINK("https://fin.land.naver.com/articles/2649004455", "매물Link")</f>
        <v/>
      </c>
      <c r="M1609" s="6">
        <f>HYPERLINK("https://map.naver.com/p/search/해밀동 713", "지도Link")</f>
        <v/>
      </c>
      <c r="N1609" s="6">
        <f>HYPERLINK("http://www.eum.go.kr/web/ar/lu/luLandDet.jsp?pnu=3611011600107130000&amp;isNoScr=script&amp;mode=search",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324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소로한면</t>
        </is>
      </c>
    </row>
    <row r="1610">
      <c r="A1610" s="3" t="inlineStr">
        <is>
          <t>해밀동 756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57000</v>
      </c>
      <c r="G1610" s="4" t="n">
        <v>326</v>
      </c>
      <c r="H1610" s="4" t="n">
        <v>99</v>
      </c>
      <c r="I1610" s="5" t="n">
        <v>575.8</v>
      </c>
      <c r="J1610" s="5" t="n">
        <v>241.1</v>
      </c>
      <c r="K1610" s="3" t="inlineStr">
        <is>
          <t>3면이 보행자 전용도로를 접한 쾌적한 토지</t>
        </is>
      </c>
      <c r="L1610" s="6">
        <f>HYPERLINK("https://fin.land.naver.com/articles/2649589863", "매물Link")</f>
        <v/>
      </c>
      <c r="M1610" s="6">
        <f>HYPERLINK("https://map.naver.com/p/search/해밀동 756", "지도Link")</f>
        <v/>
      </c>
      <c r="N1610" s="6">
        <f>HYPERLINK("http://www.eum.go.kr/web/ar/lu/luLandDet.jsp?pnu=3611011600107560000&amp;isNoScr=script&amp;mode=search", "토지이음")</f>
        <v/>
      </c>
      <c r="O1610" s="3" t="inlineStr">
        <is>
          <t>킹세종</t>
        </is>
      </c>
      <c r="P1610" s="4" t="n">
        <v>2</v>
      </c>
      <c r="Q1610" s="4" t="n">
        <v>326.4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소로한면</t>
        </is>
      </c>
    </row>
    <row r="1611">
      <c r="A1611" s="3" t="inlineStr">
        <is>
          <t>해밀동 767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55000</v>
      </c>
      <c r="G1611" s="4" t="n">
        <v>287</v>
      </c>
      <c r="H1611" s="4" t="n">
        <v>87</v>
      </c>
      <c r="I1611" s="5" t="n">
        <v>632.2</v>
      </c>
      <c r="J1611" s="5" t="n">
        <v>241.1</v>
      </c>
      <c r="K1611" s="3" t="inlineStr">
        <is>
          <t>남향 보행로접함 뒷편 공원조망 조율가능</t>
        </is>
      </c>
      <c r="L1611" s="6">
        <f>HYPERLINK("https://fin.land.naver.com/articles/2649618859", "매물Link")</f>
        <v/>
      </c>
      <c r="M1611" s="6">
        <f>HYPERLINK("https://map.naver.com/p/search/해밀동 767", "지도Link")</f>
        <v/>
      </c>
      <c r="N1611" s="6">
        <f>HYPERLINK("http://www.eum.go.kr/web/ar/lu/luLandDet.jsp?pnu=3611011600107670000&amp;isNoScr=script&amp;mode=search",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287.5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해밀동 777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56500</v>
      </c>
      <c r="G1612" s="4" t="n">
        <v>294</v>
      </c>
      <c r="H1612" s="4" t="n">
        <v>89</v>
      </c>
      <c r="I1612" s="5" t="n">
        <v>634.8</v>
      </c>
      <c r="J1612" s="5" t="n">
        <v>243.3</v>
      </c>
      <c r="K1612" s="3" t="inlineStr">
        <is>
          <t>남향 원수산조망 뒷쪽 보행로접</t>
        </is>
      </c>
      <c r="L1612" s="6">
        <f>HYPERLINK("https://fin.land.naver.com/articles/2648046733", "매물Link")</f>
        <v/>
      </c>
      <c r="M1612" s="6">
        <f>HYPERLINK("https://map.naver.com/p/search/해밀동 777", "지도Link")</f>
        <v/>
      </c>
      <c r="N1612" s="6">
        <f>HYPERLINK("http://www.eum.go.kr/web/ar/lu/luLandDet.jsp?pnu=3611011600107770000&amp;isNoScr=script&amp;mode=search",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294.8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해밀동 777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56500</v>
      </c>
      <c r="G1613" s="4" t="n">
        <v>294</v>
      </c>
      <c r="H1613" s="4" t="n">
        <v>89</v>
      </c>
      <c r="I1613" s="5" t="n">
        <v>634.8</v>
      </c>
      <c r="J1613" s="5" t="n">
        <v>243.3</v>
      </c>
      <c r="K1613" s="3" t="inlineStr">
        <is>
          <t>해밀동 가격 좋은 단독주택 매매, 공원인근</t>
        </is>
      </c>
      <c r="L1613" s="6">
        <f>HYPERLINK("https://fin.land.naver.com/articles/2647424555", "매물Link")</f>
        <v/>
      </c>
      <c r="M1613" s="6">
        <f>HYPERLINK("https://map.naver.com/p/search/해밀동 777", "지도Link")</f>
        <v/>
      </c>
      <c r="N1613" s="6">
        <f>HYPERLINK("http://www.eum.go.kr/web/ar/lu/luLandDet.jsp?pnu=3611011600107770000&amp;isNoScr=script&amp;mode=search",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294.8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</sheetData>
  <autoFilter ref="A1:V1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2026-09-22T00:04:47Z</dcterms:created>
  <dcterms:modified xsi:type="dcterms:W3CDTF">2026-09-22T00:04:53Z</dcterms:modified>
</cp:coreProperties>
</file>