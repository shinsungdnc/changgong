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'주택매물'!$A$1:$Z$299</definedName>
    <definedName name="_xlnm._FilterDatabase" localSheetId="2" hidden="1">'토지매물'!$A$1:$V$1569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해당층</t>
        </is>
      </c>
      <c r="C1" s="2" t="inlineStr">
        <is>
          <t>총층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토지이용계획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2</t>
        </is>
      </c>
      <c r="C2" s="3" t="inlineStr">
        <is>
          <t>0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358</v>
      </c>
      <c r="I2" s="4" t="n">
        <v>108</v>
      </c>
      <c r="J2" s="5" t="n">
        <v>2083.3</v>
      </c>
      <c r="K2" s="4" t="n">
        <v>461</v>
      </c>
      <c r="L2" s="4" t="n">
        <v>139</v>
      </c>
      <c r="M2" s="5" t="n">
        <v>1618.7</v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6">
        <f>HYPERLINK("http://www.eum.go.kr/web/ar/lu/luLandDet.jsp?pnu=3611011200110060000&amp;isNoScr=script&amp;mode=search", "토지이음")</f>
        <v/>
      </c>
      <c r="R2" s="3" t="inlineStr">
        <is>
          <t>오송3산단  사무소</t>
        </is>
      </c>
      <c r="S2" s="4" t="n">
        <v>1</v>
      </c>
      <c r="T2" s="5" t="n">
        <v>773.2</v>
      </c>
      <c r="U2" s="4" t="n">
        <v>358.6</v>
      </c>
      <c r="V2" s="3" t="inlineStr">
        <is>
          <t>지정되지않음</t>
        </is>
      </c>
      <c r="W2" s="3" t="inlineStr">
        <is>
          <t>상업용</t>
        </is>
      </c>
      <c r="X2" s="3" t="inlineStr">
        <is>
          <t>평지</t>
        </is>
      </c>
      <c r="Y2" s="3" t="inlineStr">
        <is>
          <t>정방형</t>
        </is>
      </c>
      <c r="Z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2</t>
        </is>
      </c>
      <c r="C3" s="3" t="inlineStr">
        <is>
          <t>0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364</v>
      </c>
      <c r="I3" s="4" t="n">
        <v>110</v>
      </c>
      <c r="J3" s="5" t="n">
        <v>1136.4</v>
      </c>
      <c r="K3" s="4" t="n">
        <v>147</v>
      </c>
      <c r="L3" s="4" t="n">
        <v>44</v>
      </c>
      <c r="M3" s="5" t="n">
        <v>2840.9</v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6">
        <f>HYPERLINK("http://www.eum.go.kr/web/ar/lu/luLandDet.jsp?pnu=3611011200111060000&amp;isNoScr=script&amp;mode=search", "토지이음")</f>
        <v/>
      </c>
      <c r="R3" s="3" t="inlineStr">
        <is>
          <t>세종시삼성래미안</t>
        </is>
      </c>
      <c r="S3" s="4" t="n">
        <v>1</v>
      </c>
      <c r="T3" s="5" t="n">
        <v>346.4</v>
      </c>
      <c r="U3" s="4" t="n">
        <v>364.9</v>
      </c>
      <c r="V3" s="3" t="inlineStr">
        <is>
          <t>지정되지않음</t>
        </is>
      </c>
      <c r="W3" s="3" t="inlineStr">
        <is>
          <t>단독</t>
        </is>
      </c>
      <c r="X3" s="3" t="inlineStr">
        <is>
          <t>평지</t>
        </is>
      </c>
      <c r="Y3" s="3" t="inlineStr">
        <is>
          <t>정방형</t>
        </is>
      </c>
      <c r="Z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2</t>
        </is>
      </c>
      <c r="C4" s="3" t="inlineStr">
        <is>
          <t>0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353</v>
      </c>
      <c r="I4" s="4" t="n">
        <v>107</v>
      </c>
      <c r="J4" s="5" t="n">
        <v>1018.7</v>
      </c>
      <c r="K4" s="4" t="n">
        <v>248</v>
      </c>
      <c r="L4" s="4" t="n">
        <v>75</v>
      </c>
      <c r="M4" s="5" t="n">
        <v>1453.3</v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6">
        <f>HYPERLINK("http://www.eum.go.kr/web/ar/lu/luLandDet.jsp?pnu=3611011200111160000&amp;isNoScr=script&amp;mode=search", "토지이음")</f>
        <v/>
      </c>
      <c r="R4" s="3" t="inlineStr">
        <is>
          <t>세종무지개</t>
        </is>
      </c>
      <c r="S4" s="4" t="n">
        <v>1</v>
      </c>
      <c r="T4" s="5" t="n">
        <v>308</v>
      </c>
      <c r="U4" s="4" t="n">
        <v>353</v>
      </c>
      <c r="V4" s="3" t="inlineStr">
        <is>
          <t>지정되지않음</t>
        </is>
      </c>
      <c r="W4" s="3" t="inlineStr">
        <is>
          <t>단독</t>
        </is>
      </c>
      <c r="X4" s="3" t="inlineStr">
        <is>
          <t>평지</t>
        </is>
      </c>
      <c r="Y4" s="3" t="inlineStr">
        <is>
          <t>세로장방</t>
        </is>
      </c>
      <c r="Z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2</t>
        </is>
      </c>
      <c r="C5" s="3" t="inlineStr">
        <is>
          <t>0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353</v>
      </c>
      <c r="I5" s="4" t="n">
        <v>107</v>
      </c>
      <c r="J5" s="5" t="n">
        <v>1018.7</v>
      </c>
      <c r="K5" s="4" t="n">
        <v>248</v>
      </c>
      <c r="L5" s="4" t="n">
        <v>75</v>
      </c>
      <c r="M5" s="5" t="n">
        <v>1453.3</v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6">
        <f>HYPERLINK("http://www.eum.go.kr/web/ar/lu/luLandDet.jsp?pnu=3611011200111160000&amp;isNoScr=script&amp;mode=search", "토지이음")</f>
        <v/>
      </c>
      <c r="R5" s="3" t="inlineStr">
        <is>
          <t>새롬스마트</t>
        </is>
      </c>
      <c r="S5" s="4" t="n">
        <v>4</v>
      </c>
      <c r="T5" s="5" t="n">
        <v>308</v>
      </c>
      <c r="U5" s="4" t="n">
        <v>353</v>
      </c>
      <c r="V5" s="3" t="inlineStr">
        <is>
          <t>지정되지않음</t>
        </is>
      </c>
      <c r="W5" s="3" t="inlineStr">
        <is>
          <t>단독</t>
        </is>
      </c>
      <c r="X5" s="3" t="inlineStr">
        <is>
          <t>평지</t>
        </is>
      </c>
      <c r="Y5" s="3" t="inlineStr">
        <is>
          <t>세로장방</t>
        </is>
      </c>
      <c r="Z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2</t>
        </is>
      </c>
      <c r="C6" s="3" t="inlineStr">
        <is>
          <t>0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353</v>
      </c>
      <c r="I6" s="4" t="n">
        <v>107</v>
      </c>
      <c r="J6" s="5" t="n">
        <v>1018.7</v>
      </c>
      <c r="K6" s="4" t="n">
        <v>248</v>
      </c>
      <c r="L6" s="4" t="n">
        <v>75</v>
      </c>
      <c r="M6" s="5" t="n">
        <v>1453.3</v>
      </c>
      <c r="N6" s="3" t="inlineStr">
        <is>
          <t>nan</t>
        </is>
      </c>
      <c r="O6" s="6">
        <f>HYPERLINK("https://fin.land.naver.com/articles/2649034422", "매물Link")</f>
        <v/>
      </c>
      <c r="P6" s="6">
        <f>HYPERLINK("https://map.naver.com/p/search/고운동 1116", "지도Link")</f>
        <v/>
      </c>
      <c r="Q6" s="6">
        <f>HYPERLINK("http://www.eum.go.kr/web/ar/lu/luLandDet.jsp?pnu=3611011200111160000&amp;isNoScr=script&amp;mode=search", "토지이음")</f>
        <v/>
      </c>
      <c r="R6" s="3" t="inlineStr">
        <is>
          <t>백프로</t>
        </is>
      </c>
      <c r="S6" s="4" t="n">
        <v>2</v>
      </c>
      <c r="T6" s="5" t="n">
        <v>308</v>
      </c>
      <c r="U6" s="4" t="n">
        <v>353</v>
      </c>
      <c r="V6" s="3" t="inlineStr">
        <is>
          <t>지정되지않음</t>
        </is>
      </c>
      <c r="W6" s="3" t="inlineStr">
        <is>
          <t>단독</t>
        </is>
      </c>
      <c r="X6" s="3" t="inlineStr">
        <is>
          <t>평지</t>
        </is>
      </c>
      <c r="Y6" s="3" t="inlineStr">
        <is>
          <t>세로장방</t>
        </is>
      </c>
      <c r="Z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2</t>
        </is>
      </c>
      <c r="C7" s="3" t="inlineStr">
        <is>
          <t>0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336</v>
      </c>
      <c r="I7" s="4" t="n">
        <v>102</v>
      </c>
      <c r="J7" s="5" t="n">
        <v>1029.4</v>
      </c>
      <c r="K7" s="4" t="n">
        <v>121</v>
      </c>
      <c r="L7" s="4" t="n">
        <v>37</v>
      </c>
      <c r="M7" s="5" t="n">
        <v>2837.8</v>
      </c>
      <c r="N7" s="3" t="inlineStr">
        <is>
          <t>조율가능 실개천인근 신축 ALC블럭 주택</t>
        </is>
      </c>
      <c r="O7" s="6">
        <f>HYPERLINK("https://fin.land.naver.com/articles/2644908997", "매물Link")</f>
        <v/>
      </c>
      <c r="P7" s="6">
        <f>HYPERLINK("https://map.naver.com/p/search/고운동 1232", "지도Link")</f>
        <v/>
      </c>
      <c r="Q7" s="6">
        <f>HYPERLINK("http://www.eum.go.kr/web/ar/lu/luLandDet.jsp?pnu=3611011200112320000&amp;isNoScr=script&amp;mode=search", "토지이음")</f>
        <v/>
      </c>
      <c r="R7" s="3" t="inlineStr">
        <is>
          <t>세종스타</t>
        </is>
      </c>
      <c r="S7" s="4" t="n">
        <v>1</v>
      </c>
      <c r="T7" s="5" t="n">
        <v>308</v>
      </c>
      <c r="U7" s="4" t="n">
        <v>336.9</v>
      </c>
      <c r="V7" s="3" t="inlineStr">
        <is>
          <t>지정되지않음</t>
        </is>
      </c>
      <c r="W7" s="3" t="inlineStr">
        <is>
          <t>단독</t>
        </is>
      </c>
      <c r="X7" s="3" t="inlineStr">
        <is>
          <t>평지</t>
        </is>
      </c>
      <c r="Y7" s="3" t="inlineStr">
        <is>
          <t>세로장방</t>
        </is>
      </c>
      <c r="Z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2</t>
        </is>
      </c>
      <c r="C8" s="3" t="inlineStr">
        <is>
          <t>0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336</v>
      </c>
      <c r="I8" s="4" t="n">
        <v>102</v>
      </c>
      <c r="J8" s="5" t="n">
        <v>1029.4</v>
      </c>
      <c r="K8" s="4" t="n">
        <v>121</v>
      </c>
      <c r="L8" s="4" t="n">
        <v>37</v>
      </c>
      <c r="M8" s="5" t="n">
        <v>2837.8</v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6">
        <f>HYPERLINK("http://www.eum.go.kr/web/ar/lu/luLandDet.jsp?pnu=3611011200112320000&amp;isNoScr=script&amp;mode=search", "토지이음")</f>
        <v/>
      </c>
      <c r="R8" s="3" t="inlineStr">
        <is>
          <t>세종무지개</t>
        </is>
      </c>
      <c r="S8" s="4" t="n">
        <v>1</v>
      </c>
      <c r="T8" s="5" t="n">
        <v>308</v>
      </c>
      <c r="U8" s="4" t="n">
        <v>336.9</v>
      </c>
      <c r="V8" s="3" t="inlineStr">
        <is>
          <t>지정되지않음</t>
        </is>
      </c>
      <c r="W8" s="3" t="inlineStr">
        <is>
          <t>단독</t>
        </is>
      </c>
      <c r="X8" s="3" t="inlineStr">
        <is>
          <t>평지</t>
        </is>
      </c>
      <c r="Y8" s="3" t="inlineStr">
        <is>
          <t>세로장방</t>
        </is>
      </c>
      <c r="Z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2</t>
        </is>
      </c>
      <c r="C9" s="3" t="inlineStr">
        <is>
          <t>0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336</v>
      </c>
      <c r="I9" s="4" t="n">
        <v>102</v>
      </c>
      <c r="J9" s="5" t="n">
        <v>1029.4</v>
      </c>
      <c r="K9" s="4" t="n">
        <v>121</v>
      </c>
      <c r="L9" s="4" t="n">
        <v>37</v>
      </c>
      <c r="M9" s="5" t="n">
        <v>2837.8</v>
      </c>
      <c r="N9" s="3" t="inlineStr">
        <is>
          <t>신축 단독주택, 화이트톤 깔끔, 올에어컨, 친환경 ACL주택</t>
        </is>
      </c>
      <c r="O9" s="6">
        <f>HYPERLINK("https://fin.land.naver.com/articles/2647304143", "매물Link")</f>
        <v/>
      </c>
      <c r="P9" s="6">
        <f>HYPERLINK("https://map.naver.com/p/search/고운동 1232", "지도Link")</f>
        <v/>
      </c>
      <c r="Q9" s="6">
        <f>HYPERLINK("http://www.eum.go.kr/web/ar/lu/luLandDet.jsp?pnu=3611011200112320000&amp;isNoScr=script&amp;mode=search", "토지이음")</f>
        <v/>
      </c>
      <c r="R9" s="3" t="inlineStr">
        <is>
          <t>명진</t>
        </is>
      </c>
      <c r="S9" s="4" t="n">
        <v>1</v>
      </c>
      <c r="T9" s="5" t="n">
        <v>308</v>
      </c>
      <c r="U9" s="4" t="n">
        <v>336.9</v>
      </c>
      <c r="V9" s="3" t="inlineStr">
        <is>
          <t>지정되지않음</t>
        </is>
      </c>
      <c r="W9" s="3" t="inlineStr">
        <is>
          <t>단독</t>
        </is>
      </c>
      <c r="X9" s="3" t="inlineStr">
        <is>
          <t>평지</t>
        </is>
      </c>
      <c r="Y9" s="3" t="inlineStr">
        <is>
          <t>세로장방</t>
        </is>
      </c>
      <c r="Z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2</t>
        </is>
      </c>
      <c r="C10" s="3" t="inlineStr">
        <is>
          <t>0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341</v>
      </c>
      <c r="I10" s="4" t="n">
        <v>103</v>
      </c>
      <c r="J10" s="5" t="n">
        <v>1310.7</v>
      </c>
      <c r="K10" s="4" t="n">
        <v>213</v>
      </c>
      <c r="L10" s="4" t="n">
        <v>64</v>
      </c>
      <c r="M10" s="5" t="n">
        <v>2109.4</v>
      </c>
      <c r="N10" s="3" t="inlineStr">
        <is>
          <t>급매 조율가능 남향 300p 시유지공원 조망</t>
        </is>
      </c>
      <c r="O10" s="6">
        <f>HYPERLINK("https://fin.land.naver.com/articles/2648716290", "매물Link")</f>
        <v/>
      </c>
      <c r="P10" s="6">
        <f>HYPERLINK("https://map.naver.com/p/search/고운동 1431", "지도Link")</f>
        <v/>
      </c>
      <c r="Q10" s="6">
        <f>HYPERLINK("http://www.eum.go.kr/web/ar/lu/luLandDet.jsp?pnu=3611011200114310000&amp;isNoScr=script&amp;mode=search", "토지이음")</f>
        <v/>
      </c>
      <c r="R10" s="3" t="inlineStr">
        <is>
          <t>세종스타</t>
        </is>
      </c>
      <c r="S10" s="4" t="n">
        <v>3</v>
      </c>
      <c r="T10" s="5" t="n">
        <v>334.9</v>
      </c>
      <c r="U10" s="4" t="n">
        <v>341</v>
      </c>
      <c r="V10" s="3" t="inlineStr">
        <is>
          <t>지정되지않음</t>
        </is>
      </c>
      <c r="W10" s="3" t="inlineStr">
        <is>
          <t>단독</t>
        </is>
      </c>
      <c r="X10" s="3" t="inlineStr">
        <is>
          <t>평지</t>
        </is>
      </c>
      <c r="Y10" s="3" t="inlineStr">
        <is>
          <t>가로장방</t>
        </is>
      </c>
      <c r="Z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2</t>
        </is>
      </c>
      <c r="C11" s="3" t="inlineStr">
        <is>
          <t>0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331</v>
      </c>
      <c r="I11" s="4" t="n">
        <v>100</v>
      </c>
      <c r="J11" s="5" t="n">
        <v>1150</v>
      </c>
      <c r="K11" s="4" t="n">
        <v>246</v>
      </c>
      <c r="L11" s="4" t="n">
        <v>74</v>
      </c>
      <c r="M11" s="5" t="n">
        <v>1554.1</v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6">
        <f>HYPERLINK("http://www.eum.go.kr/web/ar/lu/luLandDet.jsp?pnu=3611011200114510000&amp;isNoScr=script&amp;mode=search", "토지이음")</f>
        <v/>
      </c>
      <c r="R11" s="3" t="inlineStr">
        <is>
          <t>세종스타</t>
        </is>
      </c>
      <c r="S11" s="4" t="n">
        <v>2</v>
      </c>
      <c r="T11" s="5" t="n">
        <v>378.2</v>
      </c>
      <c r="U11" s="4" t="n">
        <v>331</v>
      </c>
      <c r="V11" s="3" t="inlineStr">
        <is>
          <t>지정되지않음</t>
        </is>
      </c>
      <c r="W11" s="3" t="inlineStr">
        <is>
          <t>단독</t>
        </is>
      </c>
      <c r="X11" s="3" t="inlineStr">
        <is>
          <t>평지</t>
        </is>
      </c>
      <c r="Y11" s="3" t="inlineStr">
        <is>
          <t>정방형</t>
        </is>
      </c>
      <c r="Z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2</t>
        </is>
      </c>
      <c r="C12" s="3" t="inlineStr">
        <is>
          <t>0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337</v>
      </c>
      <c r="I12" s="4" t="n">
        <v>102</v>
      </c>
      <c r="J12" s="5" t="n">
        <v>1470.6</v>
      </c>
      <c r="K12" s="4" t="n">
        <v>241</v>
      </c>
      <c r="L12" s="4" t="n">
        <v>73</v>
      </c>
      <c r="M12" s="5" t="n">
        <v>2054.8</v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6">
        <f>HYPERLINK("http://www.eum.go.kr/web/ar/lu/luLandDet.jsp?pnu=3611011200115370000&amp;isNoScr=script&amp;mode=search", "토지이음")</f>
        <v/>
      </c>
      <c r="R12" s="3" t="inlineStr">
        <is>
          <t>오케이세종</t>
        </is>
      </c>
      <c r="S12" s="4" t="n">
        <v>1</v>
      </c>
      <c r="T12" s="5" t="n">
        <v>322.6</v>
      </c>
      <c r="U12" s="4" t="n">
        <v>337.1</v>
      </c>
      <c r="V12" s="3" t="inlineStr">
        <is>
          <t>지정되지않음</t>
        </is>
      </c>
      <c r="W12" s="3" t="inlineStr">
        <is>
          <t>단독</t>
        </is>
      </c>
      <c r="X12" s="3" t="inlineStr">
        <is>
          <t>평지</t>
        </is>
      </c>
      <c r="Y12" s="3" t="inlineStr">
        <is>
          <t>정방형</t>
        </is>
      </c>
      <c r="Z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2</t>
        </is>
      </c>
      <c r="C13" s="3" t="inlineStr">
        <is>
          <t>0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337</v>
      </c>
      <c r="I13" s="4" t="n">
        <v>102</v>
      </c>
      <c r="J13" s="5" t="n">
        <v>1470.6</v>
      </c>
      <c r="K13" s="4" t="n">
        <v>241</v>
      </c>
      <c r="L13" s="4" t="n">
        <v>73</v>
      </c>
      <c r="M13" s="5" t="n">
        <v>2054.8</v>
      </c>
      <c r="N13" s="3" t="inlineStr">
        <is>
          <t>마당 넓은 고급 단독주택매매, 방5개, 욕실4개</t>
        </is>
      </c>
      <c r="O13" s="6">
        <f>HYPERLINK("https://fin.land.naver.com/articles/2646691998", "매물Link")</f>
        <v/>
      </c>
      <c r="P13" s="6">
        <f>HYPERLINK("https://map.naver.com/p/search/고운동 1537", "지도Link")</f>
        <v/>
      </c>
      <c r="Q13" s="6">
        <f>HYPERLINK("http://www.eum.go.kr/web/ar/lu/luLandDet.jsp?pnu=3611011200115370000&amp;isNoScr=script&amp;mode=search", "토지이음")</f>
        <v/>
      </c>
      <c r="R13" s="3" t="inlineStr">
        <is>
          <t>세종무지개</t>
        </is>
      </c>
      <c r="S13" s="4" t="n">
        <v>1</v>
      </c>
      <c r="T13" s="5" t="n">
        <v>322.6</v>
      </c>
      <c r="U13" s="4" t="n">
        <v>337.1</v>
      </c>
      <c r="V13" s="3" t="inlineStr">
        <is>
          <t>지정되지않음</t>
        </is>
      </c>
      <c r="W13" s="3" t="inlineStr">
        <is>
          <t>단독</t>
        </is>
      </c>
      <c r="X13" s="3" t="inlineStr">
        <is>
          <t>평지</t>
        </is>
      </c>
      <c r="Y13" s="3" t="inlineStr">
        <is>
          <t>정방형</t>
        </is>
      </c>
      <c r="Z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2</t>
        </is>
      </c>
      <c r="C14" s="3" t="inlineStr">
        <is>
          <t>0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337</v>
      </c>
      <c r="I14" s="4" t="n">
        <v>102</v>
      </c>
      <c r="J14" s="5" t="n">
        <v>1470.6</v>
      </c>
      <c r="K14" s="4" t="n">
        <v>241</v>
      </c>
      <c r="L14" s="4" t="n">
        <v>73</v>
      </c>
      <c r="M14" s="5" t="n">
        <v>2054.8</v>
      </c>
      <c r="N14" s="3" t="inlineStr">
        <is>
          <t>방5개, 욕실4개, 고급 단독주택, 마당넓고 카페같은 썬큰</t>
        </is>
      </c>
      <c r="O14" s="6">
        <f>HYPERLINK("https://fin.land.naver.com/articles/2648126953", "매물Link")</f>
        <v/>
      </c>
      <c r="P14" s="6">
        <f>HYPERLINK("https://map.naver.com/p/search/고운동 1537", "지도Link")</f>
        <v/>
      </c>
      <c r="Q14" s="6">
        <f>HYPERLINK("http://www.eum.go.kr/web/ar/lu/luLandDet.jsp?pnu=3611011200115370000&amp;isNoScr=script&amp;mode=search", "토지이음")</f>
        <v/>
      </c>
      <c r="R14" s="3" t="inlineStr">
        <is>
          <t>명진</t>
        </is>
      </c>
      <c r="S14" s="4" t="n">
        <v>1</v>
      </c>
      <c r="T14" s="5" t="n">
        <v>322.6</v>
      </c>
      <c r="U14" s="4" t="n">
        <v>337.1</v>
      </c>
      <c r="V14" s="3" t="inlineStr">
        <is>
          <t>지정되지않음</t>
        </is>
      </c>
      <c r="W14" s="3" t="inlineStr">
        <is>
          <t>단독</t>
        </is>
      </c>
      <c r="X14" s="3" t="inlineStr">
        <is>
          <t>평지</t>
        </is>
      </c>
      <c r="Y14" s="3" t="inlineStr">
        <is>
          <t>정방형</t>
        </is>
      </c>
      <c r="Z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2</t>
        </is>
      </c>
      <c r="C15" s="3" t="inlineStr">
        <is>
          <t>0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346</v>
      </c>
      <c r="I15" s="4" t="n">
        <v>105</v>
      </c>
      <c r="J15" s="5" t="n">
        <v>904.8</v>
      </c>
      <c r="K15" s="4" t="n">
        <v>142</v>
      </c>
      <c r="L15" s="4" t="n">
        <v>43</v>
      </c>
      <c r="M15" s="5" t="n">
        <v>2209.3</v>
      </c>
      <c r="N15" s="3" t="inlineStr">
        <is>
          <t>실개천이 흐르는 단독주택.</t>
        </is>
      </c>
      <c r="O15" s="6">
        <f>HYPERLINK("https://fin.land.naver.com/articles/2649456880", "매물Link")</f>
        <v/>
      </c>
      <c r="P15" s="6">
        <f>HYPERLINK("https://map.naver.com/p/search/고운동 1583", "지도Link")</f>
        <v/>
      </c>
      <c r="Q15" s="6">
        <f>HYPERLINK("http://www.eum.go.kr/web/ar/lu/luLandDet.jsp?pnu=3611011200115830000&amp;isNoScr=script&amp;mode=search", "토지이음")</f>
        <v/>
      </c>
      <c r="R15" s="3" t="inlineStr">
        <is>
          <t>세종삼촌</t>
        </is>
      </c>
      <c r="S15" s="4" t="n">
        <v>1</v>
      </c>
      <c r="T15" s="5" t="n">
        <v>324.2</v>
      </c>
      <c r="U15" s="4" t="n">
        <v>346</v>
      </c>
      <c r="V15" s="3" t="inlineStr">
        <is>
          <t>지정되지않음</t>
        </is>
      </c>
      <c r="W15" s="3" t="inlineStr">
        <is>
          <t>단독</t>
        </is>
      </c>
      <c r="X15" s="3" t="inlineStr">
        <is>
          <t>평지</t>
        </is>
      </c>
      <c r="Y15" s="3" t="inlineStr">
        <is>
          <t>세로장방</t>
        </is>
      </c>
      <c r="Z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2</t>
        </is>
      </c>
      <c r="C16" s="3" t="inlineStr">
        <is>
          <t>0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346</v>
      </c>
      <c r="I16" s="4" t="n">
        <v>105</v>
      </c>
      <c r="J16" s="5" t="n">
        <v>904.8</v>
      </c>
      <c r="K16" s="4" t="n">
        <v>142</v>
      </c>
      <c r="L16" s="4" t="n">
        <v>43</v>
      </c>
      <c r="M16" s="5" t="n">
        <v>2209.3</v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6">
        <f>HYPERLINK("http://www.eum.go.kr/web/ar/lu/luLandDet.jsp?pnu=3611011200115830000&amp;isNoScr=script&amp;mode=search", "토지이음")</f>
        <v/>
      </c>
      <c r="R16" s="3" t="inlineStr">
        <is>
          <t>세종스타</t>
        </is>
      </c>
      <c r="S16" s="4" t="n">
        <v>2</v>
      </c>
      <c r="T16" s="5" t="n">
        <v>324.2</v>
      </c>
      <c r="U16" s="4" t="n">
        <v>346</v>
      </c>
      <c r="V16" s="3" t="inlineStr">
        <is>
          <t>지정되지않음</t>
        </is>
      </c>
      <c r="W16" s="3" t="inlineStr">
        <is>
          <t>단독</t>
        </is>
      </c>
      <c r="X16" s="3" t="inlineStr">
        <is>
          <t>평지</t>
        </is>
      </c>
      <c r="Y16" s="3" t="inlineStr">
        <is>
          <t>세로장방</t>
        </is>
      </c>
      <c r="Z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2</t>
        </is>
      </c>
      <c r="C17" s="3" t="inlineStr">
        <is>
          <t>0</t>
        </is>
      </c>
      <c r="D17" s="3" t="inlineStr">
        <is>
          <t>단독</t>
        </is>
      </c>
      <c r="E17" s="3" t="inlineStr">
        <is>
          <t>매매</t>
        </is>
      </c>
      <c r="F17" s="4" t="n">
        <v>95000</v>
      </c>
      <c r="G17" s="4" t="n">
        <v>0</v>
      </c>
      <c r="H17" s="4" t="n">
        <v>346</v>
      </c>
      <c r="I17" s="4" t="n">
        <v>105</v>
      </c>
      <c r="J17" s="5" t="n">
        <v>904.8</v>
      </c>
      <c r="K17" s="4" t="n">
        <v>142</v>
      </c>
      <c r="L17" s="4" t="n">
        <v>43</v>
      </c>
      <c r="M17" s="5" t="n">
        <v>2209.3</v>
      </c>
      <c r="N17" s="3" t="inlineStr">
        <is>
          <t>급매,실개천 인접,테라스,잔금 길게가능</t>
        </is>
      </c>
      <c r="O17" s="6">
        <f>HYPERLINK("https://fin.land.naver.com/articles/2647956507", "매물Link")</f>
        <v/>
      </c>
      <c r="P17" s="6">
        <f>HYPERLINK("https://map.naver.com/p/search/고운동 1583", "지도Link")</f>
        <v/>
      </c>
      <c r="Q17" s="6">
        <f>HYPERLINK("http://www.eum.go.kr/web/ar/lu/luLandDet.jsp?pnu=3611011200115830000&amp;isNoScr=script&amp;mode=search", "토지이음")</f>
        <v/>
      </c>
      <c r="R17" s="3" t="inlineStr">
        <is>
          <t>고운뜰</t>
        </is>
      </c>
      <c r="S17" s="4" t="n">
        <v>1</v>
      </c>
      <c r="T17" s="5" t="n">
        <v>324.2</v>
      </c>
      <c r="U17" s="4" t="n">
        <v>346</v>
      </c>
      <c r="V17" s="3" t="inlineStr">
        <is>
          <t>지정되지않음</t>
        </is>
      </c>
      <c r="W17" s="3" t="inlineStr">
        <is>
          <t>단독</t>
        </is>
      </c>
      <c r="X17" s="3" t="inlineStr">
        <is>
          <t>평지</t>
        </is>
      </c>
      <c r="Y17" s="3" t="inlineStr">
        <is>
          <t>세로장방</t>
        </is>
      </c>
      <c r="Z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2</t>
        </is>
      </c>
      <c r="C18" s="3" t="inlineStr">
        <is>
          <t>0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374</v>
      </c>
      <c r="I18" s="4" t="n">
        <v>113</v>
      </c>
      <c r="J18" s="5" t="n">
        <v>1460.2</v>
      </c>
      <c r="K18" s="4" t="n">
        <v>182</v>
      </c>
      <c r="L18" s="4" t="n">
        <v>55</v>
      </c>
      <c r="M18" s="5" t="n">
        <v>3000</v>
      </c>
      <c r="N18" s="3" t="inlineStr">
        <is>
          <t>고운동  실개천 인근 남향 가격조정가능</t>
        </is>
      </c>
      <c r="O18" s="6">
        <f>HYPERLINK("https://fin.land.naver.com/articles/2649459749", "매물Link")</f>
        <v/>
      </c>
      <c r="P18" s="6">
        <f>HYPERLINK("https://map.naver.com/p/search/고운동 1646", "지도Link")</f>
        <v/>
      </c>
      <c r="Q18" s="6">
        <f>HYPERLINK("http://www.eum.go.kr/web/ar/lu/luLandDet.jsp?pnu=3611011200116460000&amp;isNoScr=script&amp;mode=search", "토지이음")</f>
        <v/>
      </c>
      <c r="R18" s="3" t="inlineStr">
        <is>
          <t>세종삼촌</t>
        </is>
      </c>
      <c r="S18" s="4" t="n">
        <v>1</v>
      </c>
      <c r="T18" s="5" t="n">
        <v>270.9</v>
      </c>
      <c r="U18" s="4" t="n">
        <v>374.1</v>
      </c>
      <c r="V18" s="3" t="inlineStr">
        <is>
          <t>지정되지않음</t>
        </is>
      </c>
      <c r="W18" s="3" t="inlineStr">
        <is>
          <t>단독</t>
        </is>
      </c>
      <c r="X18" s="3" t="inlineStr">
        <is>
          <t>평지</t>
        </is>
      </c>
      <c r="Y18" s="3" t="inlineStr">
        <is>
          <t>정방형</t>
        </is>
      </c>
      <c r="Z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2</t>
        </is>
      </c>
      <c r="C19" s="3" t="inlineStr">
        <is>
          <t>0</t>
        </is>
      </c>
      <c r="D19" s="3" t="inlineStr">
        <is>
          <t>단독</t>
        </is>
      </c>
      <c r="E19" s="3" t="inlineStr">
        <is>
          <t>매매</t>
        </is>
      </c>
      <c r="F19" s="4" t="n">
        <v>165000</v>
      </c>
      <c r="G19" s="4" t="n">
        <v>0</v>
      </c>
      <c r="H19" s="4" t="n">
        <v>374</v>
      </c>
      <c r="I19" s="4" t="n">
        <v>113</v>
      </c>
      <c r="J19" s="5" t="n">
        <v>1460.2</v>
      </c>
      <c r="K19" s="4" t="n">
        <v>182</v>
      </c>
      <c r="L19" s="4" t="n">
        <v>55</v>
      </c>
      <c r="M19" s="5" t="n">
        <v>3000</v>
      </c>
      <c r="N19" s="3" t="inlineStr">
        <is>
          <t>입주협의가능, 정남향, 학교인근, 방4개</t>
        </is>
      </c>
      <c r="O19" s="6">
        <f>HYPERLINK("https://fin.land.naver.com/articles/2646695575", "매물Link")</f>
        <v/>
      </c>
      <c r="P19" s="6">
        <f>HYPERLINK("https://map.naver.com/p/search/고운동 1646", "지도Link")</f>
        <v/>
      </c>
      <c r="Q19" s="6">
        <f>HYPERLINK("http://www.eum.go.kr/web/ar/lu/luLandDet.jsp?pnu=3611011200116460000&amp;isNoScr=script&amp;mode=search", "토지이음")</f>
        <v/>
      </c>
      <c r="R19" s="3" t="inlineStr">
        <is>
          <t>세종무지개</t>
        </is>
      </c>
      <c r="S19" s="4" t="n">
        <v>1</v>
      </c>
      <c r="T19" s="5" t="n">
        <v>270.9</v>
      </c>
      <c r="U19" s="4" t="n">
        <v>374.1</v>
      </c>
      <c r="V19" s="3" t="inlineStr">
        <is>
          <t>지정되지않음</t>
        </is>
      </c>
      <c r="W19" s="3" t="inlineStr">
        <is>
          <t>단독</t>
        </is>
      </c>
      <c r="X19" s="3" t="inlineStr">
        <is>
          <t>평지</t>
        </is>
      </c>
      <c r="Y19" s="3" t="inlineStr">
        <is>
          <t>정방형</t>
        </is>
      </c>
      <c r="Z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2</t>
        </is>
      </c>
      <c r="C20" s="3" t="inlineStr">
        <is>
          <t>0</t>
        </is>
      </c>
      <c r="D20" s="3" t="inlineStr">
        <is>
          <t>단독</t>
        </is>
      </c>
      <c r="E20" s="3" t="inlineStr">
        <is>
          <t>매매</t>
        </is>
      </c>
      <c r="F20" s="4" t="n">
        <v>165000</v>
      </c>
      <c r="G20" s="4" t="n">
        <v>0</v>
      </c>
      <c r="H20" s="4" t="n">
        <v>374</v>
      </c>
      <c r="I20" s="4" t="n">
        <v>113</v>
      </c>
      <c r="J20" s="5" t="n">
        <v>1460.2</v>
      </c>
      <c r="K20" s="4" t="n">
        <v>182</v>
      </c>
      <c r="L20" s="4" t="n">
        <v>55</v>
      </c>
      <c r="M20" s="5" t="n">
        <v>3000</v>
      </c>
      <c r="N20" s="3" t="inlineStr">
        <is>
          <t>초.중.고인근, 방4개, 정남향</t>
        </is>
      </c>
      <c r="O20" s="6">
        <f>HYPERLINK("https://fin.land.naver.com/articles/2645677394", "매물Link")</f>
        <v/>
      </c>
      <c r="P20" s="6">
        <f>HYPERLINK("https://map.naver.com/p/search/고운동 1646", "지도Link")</f>
        <v/>
      </c>
      <c r="Q20" s="6">
        <f>HYPERLINK("http://www.eum.go.kr/web/ar/lu/luLandDet.jsp?pnu=3611011200116460000&amp;isNoScr=script&amp;mode=search", "토지이음")</f>
        <v/>
      </c>
      <c r="R20" s="3" t="inlineStr">
        <is>
          <t>명진</t>
        </is>
      </c>
      <c r="S20" s="4" t="n">
        <v>1</v>
      </c>
      <c r="T20" s="5" t="n">
        <v>270.9</v>
      </c>
      <c r="U20" s="4" t="n">
        <v>374.1</v>
      </c>
      <c r="V20" s="3" t="inlineStr">
        <is>
          <t>지정되지않음</t>
        </is>
      </c>
      <c r="W20" s="3" t="inlineStr">
        <is>
          <t>단독</t>
        </is>
      </c>
      <c r="X20" s="3" t="inlineStr">
        <is>
          <t>평지</t>
        </is>
      </c>
      <c r="Y20" s="3" t="inlineStr">
        <is>
          <t>정방형</t>
        </is>
      </c>
      <c r="Z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2</t>
        </is>
      </c>
      <c r="C21" s="3" t="inlineStr">
        <is>
          <t>0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357</v>
      </c>
      <c r="I21" s="4" t="n">
        <v>108</v>
      </c>
      <c r="J21" s="5" t="n">
        <v>990.7</v>
      </c>
      <c r="K21" s="4" t="n">
        <v>183</v>
      </c>
      <c r="L21" s="4" t="n">
        <v>55</v>
      </c>
      <c r="M21" s="5" t="n">
        <v>1945.5</v>
      </c>
      <c r="N21" s="3" t="inlineStr">
        <is>
          <t>정남향, 태양광설치, 방4개, 화장실3개, 철근콘크리트구조</t>
        </is>
      </c>
      <c r="O21" s="6">
        <f>HYPERLINK("https://fin.land.naver.com/articles/2647421215", "매물Link")</f>
        <v/>
      </c>
      <c r="P21" s="6">
        <f>HYPERLINK("https://map.naver.com/p/search/고운동 1756", "지도Link")</f>
        <v/>
      </c>
      <c r="Q21" s="6">
        <f>HYPERLINK("http://www.eum.go.kr/web/ar/lu/luLandDet.jsp?pnu=3611011200117560000&amp;isNoScr=script&amp;mode=search", "토지이음")</f>
        <v/>
      </c>
      <c r="R21" s="3" t="inlineStr">
        <is>
          <t>명진</t>
        </is>
      </c>
      <c r="S21" s="4" t="n">
        <v>1</v>
      </c>
      <c r="T21" s="5" t="n">
        <v>297.1</v>
      </c>
      <c r="U21" s="4" t="n">
        <v>357.1</v>
      </c>
      <c r="V21" s="3" t="inlineStr">
        <is>
          <t>지정되지않음</t>
        </is>
      </c>
      <c r="W21" s="3" t="inlineStr">
        <is>
          <t>단독</t>
        </is>
      </c>
      <c r="X21" s="3" t="inlineStr">
        <is>
          <t>평지</t>
        </is>
      </c>
      <c r="Y21" s="3" t="inlineStr">
        <is>
          <t>세로장방</t>
        </is>
      </c>
      <c r="Z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2</t>
        </is>
      </c>
      <c r="C22" s="3" t="inlineStr">
        <is>
          <t>0</t>
        </is>
      </c>
      <c r="D22" s="3" t="inlineStr">
        <is>
          <t>단독</t>
        </is>
      </c>
      <c r="E22" s="3" t="inlineStr">
        <is>
          <t>매매</t>
        </is>
      </c>
      <c r="F22" s="4" t="n">
        <v>107000</v>
      </c>
      <c r="G22" s="4" t="n">
        <v>0</v>
      </c>
      <c r="H22" s="4" t="n">
        <v>357</v>
      </c>
      <c r="I22" s="4" t="n">
        <v>108</v>
      </c>
      <c r="J22" s="5" t="n">
        <v>990.7</v>
      </c>
      <c r="K22" s="4" t="n">
        <v>183</v>
      </c>
      <c r="L22" s="4" t="n">
        <v>55</v>
      </c>
      <c r="M22" s="5" t="n">
        <v>1945.5</v>
      </c>
      <c r="N22" s="3" t="inlineStr">
        <is>
          <t>태양광, 어린이집, 유치원 인근, 조율가능</t>
        </is>
      </c>
      <c r="O22" s="6">
        <f>HYPERLINK("https://fin.land.naver.com/articles/2646691179", "매물Link")</f>
        <v/>
      </c>
      <c r="P22" s="6">
        <f>HYPERLINK("https://map.naver.com/p/search/고운동 1756", "지도Link")</f>
        <v/>
      </c>
      <c r="Q22" s="6">
        <f>HYPERLINK("http://www.eum.go.kr/web/ar/lu/luLandDet.jsp?pnu=3611011200117560000&amp;isNoScr=script&amp;mode=search", "토지이음")</f>
        <v/>
      </c>
      <c r="R22" s="3" t="inlineStr">
        <is>
          <t>세종무지개</t>
        </is>
      </c>
      <c r="S22" s="4" t="n">
        <v>1</v>
      </c>
      <c r="T22" s="5" t="n">
        <v>297.1</v>
      </c>
      <c r="U22" s="4" t="n">
        <v>357.1</v>
      </c>
      <c r="V22" s="3" t="inlineStr">
        <is>
          <t>지정되지않음</t>
        </is>
      </c>
      <c r="W22" s="3" t="inlineStr">
        <is>
          <t>단독</t>
        </is>
      </c>
      <c r="X22" s="3" t="inlineStr">
        <is>
          <t>평지</t>
        </is>
      </c>
      <c r="Y22" s="3" t="inlineStr">
        <is>
          <t>세로장방</t>
        </is>
      </c>
      <c r="Z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2</t>
        </is>
      </c>
      <c r="C23" s="3" t="inlineStr">
        <is>
          <t>0</t>
        </is>
      </c>
      <c r="D23" s="3" t="inlineStr">
        <is>
          <t>단독</t>
        </is>
      </c>
      <c r="E23" s="3" t="inlineStr">
        <is>
          <t>매매</t>
        </is>
      </c>
      <c r="F23" s="4" t="n">
        <v>107000</v>
      </c>
      <c r="G23" s="4" t="n">
        <v>0</v>
      </c>
      <c r="H23" s="4" t="n">
        <v>357</v>
      </c>
      <c r="I23" s="4" t="n">
        <v>108</v>
      </c>
      <c r="J23" s="5" t="n">
        <v>990.7</v>
      </c>
      <c r="K23" s="4" t="n">
        <v>183</v>
      </c>
      <c r="L23" s="4" t="n">
        <v>55</v>
      </c>
      <c r="M23" s="5" t="n">
        <v>1945.5</v>
      </c>
      <c r="N23" s="3" t="inlineStr">
        <is>
          <t>남향. 잘지어진집. 철근콘크리트. 구조 좋아요.</t>
        </is>
      </c>
      <c r="O23" s="6">
        <f>HYPERLINK("https://fin.land.naver.com/articles/2649459768", "매물Link")</f>
        <v/>
      </c>
      <c r="P23" s="6">
        <f>HYPERLINK("https://map.naver.com/p/search/고운동 1756", "지도Link")</f>
        <v/>
      </c>
      <c r="Q23" s="6">
        <f>HYPERLINK("http://www.eum.go.kr/web/ar/lu/luLandDet.jsp?pnu=3611011200117560000&amp;isNoScr=script&amp;mode=search", "토지이음")</f>
        <v/>
      </c>
      <c r="R23" s="3" t="inlineStr">
        <is>
          <t>세종삼촌</t>
        </is>
      </c>
      <c r="S23" s="4" t="n">
        <v>3</v>
      </c>
      <c r="T23" s="5" t="n">
        <v>297.1</v>
      </c>
      <c r="U23" s="4" t="n">
        <v>357.1</v>
      </c>
      <c r="V23" s="3" t="inlineStr">
        <is>
          <t>지정되지않음</t>
        </is>
      </c>
      <c r="W23" s="3" t="inlineStr">
        <is>
          <t>단독</t>
        </is>
      </c>
      <c r="X23" s="3" t="inlineStr">
        <is>
          <t>평지</t>
        </is>
      </c>
      <c r="Y23" s="3" t="inlineStr">
        <is>
          <t>세로장방</t>
        </is>
      </c>
      <c r="Z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2</t>
        </is>
      </c>
      <c r="C24" s="3" t="inlineStr">
        <is>
          <t>0</t>
        </is>
      </c>
      <c r="D24" s="3" t="inlineStr">
        <is>
          <t>단독</t>
        </is>
      </c>
      <c r="E24" s="3" t="inlineStr">
        <is>
          <t>매매</t>
        </is>
      </c>
      <c r="F24" s="4" t="n">
        <v>120000</v>
      </c>
      <c r="G24" s="4" t="n">
        <v>0</v>
      </c>
      <c r="H24" s="4" t="n">
        <v>372</v>
      </c>
      <c r="I24" s="4" t="n">
        <v>113</v>
      </c>
      <c r="J24" s="5" t="n">
        <v>1061.9</v>
      </c>
      <c r="K24" s="4" t="n">
        <v>247</v>
      </c>
      <c r="L24" s="4" t="n">
        <v>75</v>
      </c>
      <c r="M24" s="5" t="n">
        <v>1600</v>
      </c>
      <c r="N24" s="3" t="inlineStr">
        <is>
          <t>2세대가능 대형주택 방5개 B12층 사생활보호굿 중정주택</t>
        </is>
      </c>
      <c r="O24" s="6">
        <f>HYPERLINK("https://fin.land.naver.com/articles/2645469694", "매물Link")</f>
        <v/>
      </c>
      <c r="P24" s="6">
        <f>HYPERLINK("https://map.naver.com/p/search/고운동 1763", "지도Link")</f>
        <v/>
      </c>
      <c r="Q24" s="6">
        <f>HYPERLINK("http://www.eum.go.kr/web/ar/lu/luLandDet.jsp?pnu=3611011200117630000&amp;isNoScr=script&amp;mode=search", "토지이음")</f>
        <v/>
      </c>
      <c r="R24" s="3" t="inlineStr">
        <is>
          <t>세종스타</t>
        </is>
      </c>
      <c r="S24" s="4" t="n">
        <v>1</v>
      </c>
      <c r="T24" s="5" t="n">
        <v>297.1</v>
      </c>
      <c r="U24" s="4" t="n">
        <v>372</v>
      </c>
      <c r="V24" s="3" t="inlineStr">
        <is>
          <t>지정되지않음</t>
        </is>
      </c>
      <c r="W24" s="3" t="inlineStr">
        <is>
          <t>단독</t>
        </is>
      </c>
      <c r="X24" s="3" t="inlineStr">
        <is>
          <t>평지</t>
        </is>
      </c>
      <c r="Y24" s="3" t="inlineStr">
        <is>
          <t>정방형</t>
        </is>
      </c>
      <c r="Z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2</t>
        </is>
      </c>
      <c r="C25" s="3" t="inlineStr">
        <is>
          <t>0</t>
        </is>
      </c>
      <c r="D25" s="3" t="inlineStr">
        <is>
          <t>단독</t>
        </is>
      </c>
      <c r="E25" s="3" t="inlineStr">
        <is>
          <t>매매</t>
        </is>
      </c>
      <c r="F25" s="4" t="n">
        <v>110000</v>
      </c>
      <c r="G25" s="4" t="n">
        <v>0</v>
      </c>
      <c r="H25" s="4" t="n">
        <v>334</v>
      </c>
      <c r="I25" s="4" t="n">
        <v>101</v>
      </c>
      <c r="J25" s="5" t="n">
        <v>1089.1</v>
      </c>
      <c r="K25" s="4" t="n">
        <v>214</v>
      </c>
      <c r="L25" s="4" t="n">
        <v>65</v>
      </c>
      <c r="M25" s="5" t="n">
        <v>1692.3</v>
      </c>
      <c r="N25" s="3" t="inlineStr">
        <is>
          <t>세종시내인근, 고운초,고운중 도보가능  가격조율가능</t>
        </is>
      </c>
      <c r="O25" s="6">
        <f>HYPERLINK("https://fin.land.naver.com/articles/2649462140", "매물Link")</f>
        <v/>
      </c>
      <c r="P25" s="6">
        <f>HYPERLINK("https://map.naver.com/p/search/고운동 1765", "지도Link")</f>
        <v/>
      </c>
      <c r="Q25" s="6">
        <f>HYPERLINK("http://www.eum.go.kr/web/ar/lu/luLandDet.jsp?pnu=3611011200117650000&amp;isNoScr=script&amp;mode=search", "토지이음")</f>
        <v/>
      </c>
      <c r="R25" s="3" t="inlineStr">
        <is>
          <t>세종삼촌</t>
        </is>
      </c>
      <c r="S25" s="4" t="n">
        <v>2</v>
      </c>
      <c r="T25" s="5" t="n">
        <v>310.7</v>
      </c>
      <c r="U25" s="4" t="n">
        <v>334.4</v>
      </c>
      <c r="V25" s="3" t="inlineStr">
        <is>
          <t>지정되지않음</t>
        </is>
      </c>
      <c r="W25" s="3" t="inlineStr">
        <is>
          <t>단독</t>
        </is>
      </c>
      <c r="X25" s="3" t="inlineStr">
        <is>
          <t>평지</t>
        </is>
      </c>
      <c r="Y25" s="3" t="inlineStr">
        <is>
          <t>정방형</t>
        </is>
      </c>
      <c r="Z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2</t>
        </is>
      </c>
      <c r="C26" s="3" t="inlineStr">
        <is>
          <t>0</t>
        </is>
      </c>
      <c r="D26" s="3" t="inlineStr">
        <is>
          <t>단독</t>
        </is>
      </c>
      <c r="E26" s="3" t="inlineStr">
        <is>
          <t>매매</t>
        </is>
      </c>
      <c r="F26" s="4" t="n">
        <v>180000</v>
      </c>
      <c r="G26" s="4" t="n">
        <v>0</v>
      </c>
      <c r="H26" s="4" t="n">
        <v>366</v>
      </c>
      <c r="I26" s="4" t="n">
        <v>111</v>
      </c>
      <c r="J26" s="5" t="n">
        <v>1621.6</v>
      </c>
      <c r="K26" s="4" t="n">
        <v>199</v>
      </c>
      <c r="L26" s="4" t="n">
        <v>60</v>
      </c>
      <c r="M26" s="5" t="n">
        <v>3000</v>
      </c>
      <c r="N26" s="3" t="inlineStr">
        <is>
          <t>nan</t>
        </is>
      </c>
      <c r="O26" s="6">
        <f>HYPERLINK("https://fin.land.naver.com/articles/2644847143", "매물Link")</f>
        <v/>
      </c>
      <c r="P26" s="6">
        <f>HYPERLINK("https://map.naver.com/p/search/고운동 1791", "지도Link")</f>
        <v/>
      </c>
      <c r="Q26" s="6">
        <f>HYPERLINK("http://www.eum.go.kr/web/ar/lu/luLandDet.jsp?pnu=3611011200117910000&amp;isNoScr=script&amp;mode=search", "토지이음")</f>
        <v/>
      </c>
      <c r="R26" s="3" t="inlineStr">
        <is>
          <t>미래개발</t>
        </is>
      </c>
      <c r="S26" s="4" t="n">
        <v>1</v>
      </c>
      <c r="T26" s="5" t="n">
        <v>347.4</v>
      </c>
      <c r="U26" s="4" t="n">
        <v>366.1</v>
      </c>
      <c r="V26" s="3" t="inlineStr">
        <is>
          <t>지정되지않음</t>
        </is>
      </c>
      <c r="W26" s="3" t="inlineStr">
        <is>
          <t>단독</t>
        </is>
      </c>
      <c r="X26" s="3" t="inlineStr">
        <is>
          <t>평지</t>
        </is>
      </c>
      <c r="Y26" s="3" t="inlineStr">
        <is>
          <t>세로장방</t>
        </is>
      </c>
      <c r="Z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2</t>
        </is>
      </c>
      <c r="C27" s="3" t="inlineStr">
        <is>
          <t>0</t>
        </is>
      </c>
      <c r="D27" s="3" t="inlineStr">
        <is>
          <t>단독</t>
        </is>
      </c>
      <c r="E27" s="3" t="inlineStr">
        <is>
          <t>매매</t>
        </is>
      </c>
      <c r="F27" s="4" t="n">
        <v>97000</v>
      </c>
      <c r="G27" s="4" t="n">
        <v>0</v>
      </c>
      <c r="H27" s="4" t="n">
        <v>367</v>
      </c>
      <c r="I27" s="4" t="n">
        <v>111</v>
      </c>
      <c r="J27" s="5" t="n">
        <v>873.9</v>
      </c>
      <c r="K27" s="4" t="n">
        <v>142</v>
      </c>
      <c r="L27" s="4" t="n">
        <v>43</v>
      </c>
      <c r="M27" s="5" t="n">
        <v>2255.8</v>
      </c>
      <c r="N27" s="3" t="inlineStr">
        <is>
          <t>땅크기가 큰편인 단독주택 남향전화주셔요</t>
        </is>
      </c>
      <c r="O27" s="6">
        <f>HYPERLINK("https://fin.land.naver.com/articles/2649315048", "매물Link")</f>
        <v/>
      </c>
      <c r="P27" s="6">
        <f>HYPERLINK("https://map.naver.com/p/search/고운동 1971", "지도Link")</f>
        <v/>
      </c>
      <c r="Q27" s="6">
        <f>HYPERLINK("http://www.eum.go.kr/web/ar/lu/luLandDet.jsp?pnu=3611011200119710000&amp;isNoScr=script&amp;mode=search", "토지이음")</f>
        <v/>
      </c>
      <c r="R27" s="3" t="inlineStr">
        <is>
          <t>최무연</t>
        </is>
      </c>
      <c r="S27" s="4" t="n">
        <v>1</v>
      </c>
      <c r="T27" s="5" t="n">
        <v>297.2</v>
      </c>
      <c r="U27" s="4" t="n">
        <v>367.5</v>
      </c>
      <c r="V27" s="3" t="inlineStr">
        <is>
          <t>지정되지않음</t>
        </is>
      </c>
      <c r="W27" s="3" t="inlineStr">
        <is>
          <t>단독</t>
        </is>
      </c>
      <c r="X27" s="3" t="inlineStr">
        <is>
          <t>평지</t>
        </is>
      </c>
      <c r="Y27" s="3" t="inlineStr">
        <is>
          <t>세로장방</t>
        </is>
      </c>
      <c r="Z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3</t>
        </is>
      </c>
      <c r="C28" s="3" t="inlineStr">
        <is>
          <t>0</t>
        </is>
      </c>
      <c r="D28" s="3" t="inlineStr">
        <is>
          <t>단독</t>
        </is>
      </c>
      <c r="E28" s="3" t="inlineStr">
        <is>
          <t>매매</t>
        </is>
      </c>
      <c r="F28" s="4" t="n">
        <v>131400</v>
      </c>
      <c r="G28" s="4" t="n">
        <v>0</v>
      </c>
      <c r="H28" s="4" t="n">
        <v>370</v>
      </c>
      <c r="I28" s="4" t="n">
        <v>112</v>
      </c>
      <c r="J28" s="5" t="n">
        <v>1173.2</v>
      </c>
      <c r="K28" s="4" t="n">
        <v>224</v>
      </c>
      <c r="L28" s="4" t="n">
        <v>68</v>
      </c>
      <c r="M28" s="5" t="n">
        <v>1932.4</v>
      </c>
      <c r="N28" s="3" t="inlineStr">
        <is>
          <t>아르티엠 더블랙 선임대 완료 급매</t>
        </is>
      </c>
      <c r="O28" s="6">
        <f>HYPERLINK("https://fin.land.naver.com/articles/2645308747", "매물Link")</f>
        <v/>
      </c>
      <c r="P28" s="6">
        <f>HYPERLINK("https://map.naver.com/p/search/고운동 2085", "지도Link")</f>
        <v/>
      </c>
      <c r="Q28" s="6">
        <f>HYPERLINK("http://www.eum.go.kr/web/ar/lu/luLandDet.jsp?pnu=3611011200120850000&amp;isNoScr=script&amp;mode=search", "토지이음")</f>
        <v/>
      </c>
      <c r="R28" s="3" t="inlineStr">
        <is>
          <t>찬스</t>
        </is>
      </c>
      <c r="S28" s="4" t="n">
        <v>1</v>
      </c>
      <c r="T28" s="5" t="n">
        <v>324.1</v>
      </c>
      <c r="U28" s="4" t="n">
        <v>12493</v>
      </c>
      <c r="V28" s="3" t="inlineStr">
        <is>
          <t>지정되지않음</t>
        </is>
      </c>
      <c r="W28" s="3" t="inlineStr">
        <is>
          <t>주거나지</t>
        </is>
      </c>
      <c r="X28" s="3" t="inlineStr">
        <is>
          <t>평지</t>
        </is>
      </c>
      <c r="Y28" s="3" t="inlineStr">
        <is>
          <t>사다리형</t>
        </is>
      </c>
      <c r="Z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3</t>
        </is>
      </c>
      <c r="C29" s="3" t="inlineStr">
        <is>
          <t>0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404</v>
      </c>
      <c r="I29" s="4" t="n">
        <v>122</v>
      </c>
      <c r="J29" s="5" t="n">
        <v>1311.5</v>
      </c>
      <c r="K29" s="4" t="n">
        <v>253</v>
      </c>
      <c r="L29" s="4" t="n">
        <v>77</v>
      </c>
      <c r="M29" s="5" t="n">
        <v>2077.9</v>
      </c>
      <c r="N29" s="3" t="inlineStr">
        <is>
          <t>인기C타입 마당넓음 탁트인조망 넓은3층면적</t>
        </is>
      </c>
      <c r="O29" s="6">
        <f>HYPERLINK("https://fin.land.naver.com/articles/2644917554", "매물Link")</f>
        <v/>
      </c>
      <c r="P29" s="6">
        <f>HYPERLINK("https://map.naver.com/p/search/고운동 2085", "지도Link")</f>
        <v/>
      </c>
      <c r="Q29" s="6">
        <f>HYPERLINK("http://www.eum.go.kr/web/ar/lu/luLandDet.jsp?pnu=3611011200120850000&amp;isNoScr=script&amp;mode=search", "토지이음")</f>
        <v/>
      </c>
      <c r="R29" s="3" t="inlineStr">
        <is>
          <t>세종스타</t>
        </is>
      </c>
      <c r="S29" s="4" t="n">
        <v>1</v>
      </c>
      <c r="T29" s="5" t="n">
        <v>324.1</v>
      </c>
      <c r="U29" s="4" t="n">
        <v>12493</v>
      </c>
      <c r="V29" s="3" t="inlineStr">
        <is>
          <t>지정되지않음</t>
        </is>
      </c>
      <c r="W29" s="3" t="inlineStr">
        <is>
          <t>주거나지</t>
        </is>
      </c>
      <c r="X29" s="3" t="inlineStr">
        <is>
          <t>평지</t>
        </is>
      </c>
      <c r="Y29" s="3" t="inlineStr">
        <is>
          <t>사다리형</t>
        </is>
      </c>
      <c r="Z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3</t>
        </is>
      </c>
      <c r="C30" s="3" t="inlineStr">
        <is>
          <t>0</t>
        </is>
      </c>
      <c r="D30" s="3" t="inlineStr">
        <is>
          <t>단독</t>
        </is>
      </c>
      <c r="E30" s="3" t="inlineStr">
        <is>
          <t>매매</t>
        </is>
      </c>
      <c r="F30" s="4" t="n">
        <v>158000</v>
      </c>
      <c r="G30" s="4" t="n">
        <v>0</v>
      </c>
      <c r="H30" s="4" t="n">
        <v>418</v>
      </c>
      <c r="I30" s="4" t="n">
        <v>126</v>
      </c>
      <c r="J30" s="5" t="n">
        <v>1254</v>
      </c>
      <c r="K30" s="4" t="n">
        <v>253</v>
      </c>
      <c r="L30" s="4" t="n">
        <v>77</v>
      </c>
      <c r="M30" s="5" t="n">
        <v>2051.9</v>
      </c>
      <c r="N30" s="3" t="inlineStr">
        <is>
          <t>아르티엠 더블랙 C타입 선임대 완료 급매</t>
        </is>
      </c>
      <c r="O30" s="6">
        <f>HYPERLINK("https://fin.land.naver.com/articles/2645308739", "매물Link")</f>
        <v/>
      </c>
      <c r="P30" s="6">
        <f>HYPERLINK("https://map.naver.com/p/search/고운동 2085", "지도Link")</f>
        <v/>
      </c>
      <c r="Q30" s="6">
        <f>HYPERLINK("http://www.eum.go.kr/web/ar/lu/luLandDet.jsp?pnu=3611011200120850000&amp;isNoScr=script&amp;mode=search", "토지이음")</f>
        <v/>
      </c>
      <c r="R30" s="3" t="inlineStr">
        <is>
          <t>찬스</t>
        </is>
      </c>
      <c r="S30" s="4" t="n">
        <v>1</v>
      </c>
      <c r="T30" s="5" t="n">
        <v>324.1</v>
      </c>
      <c r="U30" s="4" t="n">
        <v>12493</v>
      </c>
      <c r="V30" s="3" t="inlineStr">
        <is>
          <t>지정되지않음</t>
        </is>
      </c>
      <c r="W30" s="3" t="inlineStr">
        <is>
          <t>주거나지</t>
        </is>
      </c>
      <c r="X30" s="3" t="inlineStr">
        <is>
          <t>평지</t>
        </is>
      </c>
      <c r="Y30" s="3" t="inlineStr">
        <is>
          <t>사다리형</t>
        </is>
      </c>
      <c r="Z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3</t>
        </is>
      </c>
      <c r="C31" s="3" t="inlineStr">
        <is>
          <t>0</t>
        </is>
      </c>
      <c r="D31" s="3" t="inlineStr">
        <is>
          <t>단독</t>
        </is>
      </c>
      <c r="E31" s="3" t="inlineStr">
        <is>
          <t>매매</t>
        </is>
      </c>
      <c r="F31" s="4" t="n">
        <v>160000</v>
      </c>
      <c r="G31" s="4" t="n">
        <v>0</v>
      </c>
      <c r="H31" s="4" t="n">
        <v>323</v>
      </c>
      <c r="I31" s="4" t="n">
        <v>98</v>
      </c>
      <c r="J31" s="5" t="n">
        <v>1632.7</v>
      </c>
      <c r="K31" s="4" t="n">
        <v>253</v>
      </c>
      <c r="L31" s="4" t="n">
        <v>77</v>
      </c>
      <c r="M31" s="5" t="n">
        <v>2077.9</v>
      </c>
      <c r="N31" s="3" t="inlineStr">
        <is>
          <t>아르티엠 더블랙  초품아 프리미엄과 풀옵션이 만난 완벽한 타운하우스</t>
        </is>
      </c>
      <c r="O31" s="6">
        <f>HYPERLINK("https://fin.land.naver.com/articles/2645308695", "매물Link")</f>
        <v/>
      </c>
      <c r="P31" s="6">
        <f>HYPERLINK("https://map.naver.com/p/search/고운동 2085", "지도Link")</f>
        <v/>
      </c>
      <c r="Q31" s="6">
        <f>HYPERLINK("http://www.eum.go.kr/web/ar/lu/luLandDet.jsp?pnu=3611011200120850000&amp;isNoScr=script&amp;mode=search", "토지이음")</f>
        <v/>
      </c>
      <c r="R31" s="3" t="inlineStr">
        <is>
          <t>찬스</t>
        </is>
      </c>
      <c r="S31" s="4" t="n">
        <v>1</v>
      </c>
      <c r="T31" s="5" t="n">
        <v>324.1</v>
      </c>
      <c r="U31" s="4" t="n">
        <v>12493</v>
      </c>
      <c r="V31" s="3" t="inlineStr">
        <is>
          <t>지정되지않음</t>
        </is>
      </c>
      <c r="W31" s="3" t="inlineStr">
        <is>
          <t>주거나지</t>
        </is>
      </c>
      <c r="X31" s="3" t="inlineStr">
        <is>
          <t>평지</t>
        </is>
      </c>
      <c r="Y31" s="3" t="inlineStr">
        <is>
          <t>사다리형</t>
        </is>
      </c>
      <c r="Z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3</t>
        </is>
      </c>
      <c r="C32" s="3" t="inlineStr">
        <is>
          <t>0</t>
        </is>
      </c>
      <c r="D32" s="3" t="inlineStr">
        <is>
          <t>단독</t>
        </is>
      </c>
      <c r="E32" s="3" t="inlineStr">
        <is>
          <t>매매</t>
        </is>
      </c>
      <c r="F32" s="4" t="n">
        <v>127600</v>
      </c>
      <c r="G32" s="4" t="n">
        <v>0</v>
      </c>
      <c r="H32" s="4" t="n">
        <v>353</v>
      </c>
      <c r="I32" s="4" t="n">
        <v>107</v>
      </c>
      <c r="J32" s="5" t="n">
        <v>1192.5</v>
      </c>
      <c r="K32" s="4" t="n">
        <v>224</v>
      </c>
      <c r="L32" s="4" t="n">
        <v>68</v>
      </c>
      <c r="M32" s="5" t="n">
        <v>1876.5</v>
      </c>
      <c r="N32" s="3" t="inlineStr">
        <is>
          <t>아르티엠 더블랙 선임대 완료 급매</t>
        </is>
      </c>
      <c r="O32" s="6">
        <f>HYPERLINK("https://fin.land.naver.com/articles/2644927534", "매물Link")</f>
        <v/>
      </c>
      <c r="P32" s="6">
        <f>HYPERLINK("https://map.naver.com/p/search/고운동 2085", "지도Link")</f>
        <v/>
      </c>
      <c r="Q32" s="6">
        <f>HYPERLINK("http://www.eum.go.kr/web/ar/lu/luLandDet.jsp?pnu=3611011200120850000&amp;isNoScr=script&amp;mode=search", "토지이음")</f>
        <v/>
      </c>
      <c r="R32" s="3" t="inlineStr">
        <is>
          <t>찬스</t>
        </is>
      </c>
      <c r="S32" s="4" t="n">
        <v>1</v>
      </c>
      <c r="T32" s="5" t="n">
        <v>324.1</v>
      </c>
      <c r="U32" s="4" t="n">
        <v>12493</v>
      </c>
      <c r="V32" s="3" t="inlineStr">
        <is>
          <t>지정되지않음</t>
        </is>
      </c>
      <c r="W32" s="3" t="inlineStr">
        <is>
          <t>주거나지</t>
        </is>
      </c>
      <c r="X32" s="3" t="inlineStr">
        <is>
          <t>평지</t>
        </is>
      </c>
      <c r="Y32" s="3" t="inlineStr">
        <is>
          <t>사다리형</t>
        </is>
      </c>
      <c r="Z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3</t>
        </is>
      </c>
      <c r="C33" s="3" t="inlineStr">
        <is>
          <t>0</t>
        </is>
      </c>
      <c r="D33" s="3" t="inlineStr">
        <is>
          <t>단독</t>
        </is>
      </c>
      <c r="E33" s="3" t="inlineStr">
        <is>
          <t>매매</t>
        </is>
      </c>
      <c r="F33" s="4" t="n">
        <v>160000</v>
      </c>
      <c r="G33" s="4" t="n">
        <v>0</v>
      </c>
      <c r="H33" s="4" t="n">
        <v>404</v>
      </c>
      <c r="I33" s="4" t="n">
        <v>122</v>
      </c>
      <c r="J33" s="5" t="n">
        <v>1311.5</v>
      </c>
      <c r="K33" s="4" t="n">
        <v>253</v>
      </c>
      <c r="L33" s="4" t="n">
        <v>77</v>
      </c>
      <c r="M33" s="5" t="n">
        <v>2077.9</v>
      </c>
      <c r="N33" s="3" t="inlineStr">
        <is>
          <t>프라이빗 코너 호수의 완벽한 유럽풍 라이프</t>
        </is>
      </c>
      <c r="O33" s="6">
        <f>HYPERLINK("https://fin.land.naver.com/articles/2648068359", "매물Link")</f>
        <v/>
      </c>
      <c r="P33" s="6">
        <f>HYPERLINK("https://map.naver.com/p/search/고운동 2085", "지도Link")</f>
        <v/>
      </c>
      <c r="Q33" s="6">
        <f>HYPERLINK("http://www.eum.go.kr/web/ar/lu/luLandDet.jsp?pnu=3611011200120850000&amp;isNoScr=script&amp;mode=search", "토지이음")</f>
        <v/>
      </c>
      <c r="R33" s="3" t="inlineStr">
        <is>
          <t>찬스</t>
        </is>
      </c>
      <c r="S33" s="4" t="n">
        <v>1</v>
      </c>
      <c r="T33" s="5" t="n">
        <v>324.1</v>
      </c>
      <c r="U33" s="4" t="n">
        <v>12493</v>
      </c>
      <c r="V33" s="3" t="inlineStr">
        <is>
          <t>지정되지않음</t>
        </is>
      </c>
      <c r="W33" s="3" t="inlineStr">
        <is>
          <t>주거나지</t>
        </is>
      </c>
      <c r="X33" s="3" t="inlineStr">
        <is>
          <t>평지</t>
        </is>
      </c>
      <c r="Y33" s="3" t="inlineStr">
        <is>
          <t>사다리형</t>
        </is>
      </c>
      <c r="Z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3</t>
        </is>
      </c>
      <c r="C34" s="3" t="inlineStr">
        <is>
          <t>0</t>
        </is>
      </c>
      <c r="D34" s="3" t="inlineStr">
        <is>
          <t>단독</t>
        </is>
      </c>
      <c r="E34" s="3" t="inlineStr">
        <is>
          <t>매매</t>
        </is>
      </c>
      <c r="F34" s="4" t="n">
        <v>127600</v>
      </c>
      <c r="G34" s="4" t="n">
        <v>0</v>
      </c>
      <c r="H34" s="4" t="n">
        <v>356</v>
      </c>
      <c r="I34" s="4" t="n">
        <v>108</v>
      </c>
      <c r="J34" s="5" t="n">
        <v>1181.5</v>
      </c>
      <c r="K34" s="4" t="n">
        <v>224</v>
      </c>
      <c r="L34" s="4" t="n">
        <v>68</v>
      </c>
      <c r="M34" s="5" t="n">
        <v>1876.5</v>
      </c>
      <c r="N34" s="3" t="inlineStr">
        <is>
          <t>아르티엠 더블랙 선임대 완료 급매</t>
        </is>
      </c>
      <c r="O34" s="6">
        <f>HYPERLINK("https://fin.land.naver.com/articles/2645308761", "매물Link")</f>
        <v/>
      </c>
      <c r="P34" s="6">
        <f>HYPERLINK("https://map.naver.com/p/search/고운동 2085", "지도Link")</f>
        <v/>
      </c>
      <c r="Q34" s="6">
        <f>HYPERLINK("http://www.eum.go.kr/web/ar/lu/luLandDet.jsp?pnu=3611011200120850000&amp;isNoScr=script&amp;mode=search", "토지이음")</f>
        <v/>
      </c>
      <c r="R34" s="3" t="inlineStr">
        <is>
          <t>찬스</t>
        </is>
      </c>
      <c r="S34" s="4" t="n">
        <v>1</v>
      </c>
      <c r="T34" s="5" t="n">
        <v>324.1</v>
      </c>
      <c r="U34" s="4" t="n">
        <v>12493</v>
      </c>
      <c r="V34" s="3" t="inlineStr">
        <is>
          <t>지정되지않음</t>
        </is>
      </c>
      <c r="W34" s="3" t="inlineStr">
        <is>
          <t>주거나지</t>
        </is>
      </c>
      <c r="X34" s="3" t="inlineStr">
        <is>
          <t>평지</t>
        </is>
      </c>
      <c r="Y34" s="3" t="inlineStr">
        <is>
          <t>사다리형</t>
        </is>
      </c>
      <c r="Z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3</t>
        </is>
      </c>
      <c r="C35" s="3" t="inlineStr">
        <is>
          <t>0</t>
        </is>
      </c>
      <c r="D35" s="3" t="inlineStr">
        <is>
          <t>단독</t>
        </is>
      </c>
      <c r="E35" s="3" t="inlineStr">
        <is>
          <t>매매</t>
        </is>
      </c>
      <c r="F35" s="4" t="n">
        <v>165000</v>
      </c>
      <c r="G35" s="4" t="n">
        <v>0</v>
      </c>
      <c r="H35" s="4" t="n">
        <v>336</v>
      </c>
      <c r="I35" s="4" t="n">
        <v>102</v>
      </c>
      <c r="J35" s="5" t="n">
        <v>1617.6</v>
      </c>
      <c r="K35" s="4" t="n">
        <v>253</v>
      </c>
      <c r="L35" s="4" t="n">
        <v>77</v>
      </c>
      <c r="M35" s="5" t="n">
        <v>2142.9</v>
      </c>
      <c r="N35" s="3" t="inlineStr">
        <is>
          <t>협의입주, 시스템에어컨풀, 풀옵션, 조용한동으로 뷰좋은집</t>
        </is>
      </c>
      <c r="O35" s="6">
        <f>HYPERLINK("https://fin.land.naver.com/articles/2649373448", "매물Link")</f>
        <v/>
      </c>
      <c r="P35" s="6">
        <f>HYPERLINK("https://map.naver.com/p/search/고운동 2085", "지도Link")</f>
        <v/>
      </c>
      <c r="Q35" s="6">
        <f>HYPERLINK("http://www.eum.go.kr/web/ar/lu/luLandDet.jsp?pnu=3611011200120850000&amp;isNoScr=script&amp;mode=search", "토지이음")</f>
        <v/>
      </c>
      <c r="R35" s="3" t="inlineStr">
        <is>
          <t>리브</t>
        </is>
      </c>
      <c r="S35" s="4" t="n">
        <v>2</v>
      </c>
      <c r="T35" s="5" t="n">
        <v>324.1</v>
      </c>
      <c r="U35" s="4" t="n">
        <v>12493</v>
      </c>
      <c r="V35" s="3" t="inlineStr">
        <is>
          <t>지정되지않음</t>
        </is>
      </c>
      <c r="W35" s="3" t="inlineStr">
        <is>
          <t>주거나지</t>
        </is>
      </c>
      <c r="X35" s="3" t="inlineStr">
        <is>
          <t>평지</t>
        </is>
      </c>
      <c r="Y35" s="3" t="inlineStr">
        <is>
          <t>사다리형</t>
        </is>
      </c>
      <c r="Z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3</t>
        </is>
      </c>
      <c r="C36" s="3" t="inlineStr">
        <is>
          <t>0</t>
        </is>
      </c>
      <c r="D36" s="3" t="inlineStr">
        <is>
          <t>단독</t>
        </is>
      </c>
      <c r="E36" s="3" t="inlineStr">
        <is>
          <t>매매</t>
        </is>
      </c>
      <c r="F36" s="4" t="n">
        <v>165000</v>
      </c>
      <c r="G36" s="4" t="n">
        <v>0</v>
      </c>
      <c r="H36" s="4" t="n">
        <v>336</v>
      </c>
      <c r="I36" s="4" t="n">
        <v>102</v>
      </c>
      <c r="J36" s="5" t="n">
        <v>1617.6</v>
      </c>
      <c r="K36" s="4" t="n">
        <v>253</v>
      </c>
      <c r="L36" s="4" t="n">
        <v>77</v>
      </c>
      <c r="M36" s="5" t="n">
        <v>2142.9</v>
      </c>
      <c r="N36" s="3" t="inlineStr">
        <is>
          <t>입지좋은 타운하우스매매, A타입, 온빛초, 정남향</t>
        </is>
      </c>
      <c r="O36" s="6">
        <f>HYPERLINK("https://fin.land.naver.com/articles/2646849392", "매물Link")</f>
        <v/>
      </c>
      <c r="P36" s="6">
        <f>HYPERLINK("https://map.naver.com/p/search/고운동 2085", "지도Link")</f>
        <v/>
      </c>
      <c r="Q36" s="6">
        <f>HYPERLINK("http://www.eum.go.kr/web/ar/lu/luLandDet.jsp?pnu=3611011200120850000&amp;isNoScr=script&amp;mode=search", "토지이음")</f>
        <v/>
      </c>
      <c r="R36" s="3" t="inlineStr">
        <is>
          <t>세종무지개</t>
        </is>
      </c>
      <c r="S36" s="4" t="n">
        <v>1</v>
      </c>
      <c r="T36" s="5" t="n">
        <v>324.1</v>
      </c>
      <c r="U36" s="4" t="n">
        <v>12493</v>
      </c>
      <c r="V36" s="3" t="inlineStr">
        <is>
          <t>지정되지않음</t>
        </is>
      </c>
      <c r="W36" s="3" t="inlineStr">
        <is>
          <t>주거나지</t>
        </is>
      </c>
      <c r="X36" s="3" t="inlineStr">
        <is>
          <t>평지</t>
        </is>
      </c>
      <c r="Y36" s="3" t="inlineStr">
        <is>
          <t>사다리형</t>
        </is>
      </c>
      <c r="Z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3</t>
        </is>
      </c>
      <c r="C37" s="3" t="inlineStr">
        <is>
          <t>0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335</v>
      </c>
      <c r="I37" s="4" t="n">
        <v>101</v>
      </c>
      <c r="J37" s="5" t="n">
        <v>1584.2</v>
      </c>
      <c r="K37" s="4" t="n">
        <v>253</v>
      </c>
      <c r="L37" s="4" t="n">
        <v>77</v>
      </c>
      <c r="M37" s="5" t="n">
        <v>2077.9</v>
      </c>
      <c r="N37" s="3" t="inlineStr">
        <is>
          <t>프라이빗한 정원,  인네리어</t>
        </is>
      </c>
      <c r="O37" s="6">
        <f>HYPERLINK("https://fin.land.naver.com/articles/2649457044", "매물Link")</f>
        <v/>
      </c>
      <c r="P37" s="6">
        <f>HYPERLINK("https://map.naver.com/p/search/고운동 2085", "지도Link")</f>
        <v/>
      </c>
      <c r="Q37" s="6">
        <f>HYPERLINK("http://www.eum.go.kr/web/ar/lu/luLandDet.jsp?pnu=3611011200120850000&amp;isNoScr=script&amp;mode=search", "토지이음")</f>
        <v/>
      </c>
      <c r="R37" s="3" t="inlineStr">
        <is>
          <t>세종삼촌</t>
        </is>
      </c>
      <c r="S37" s="4" t="n">
        <v>1</v>
      </c>
      <c r="T37" s="5" t="n">
        <v>324.1</v>
      </c>
      <c r="U37" s="4" t="n">
        <v>12493</v>
      </c>
      <c r="V37" s="3" t="inlineStr">
        <is>
          <t>지정되지않음</t>
        </is>
      </c>
      <c r="W37" s="3" t="inlineStr">
        <is>
          <t>주거나지</t>
        </is>
      </c>
      <c r="X37" s="3" t="inlineStr">
        <is>
          <t>평지</t>
        </is>
      </c>
      <c r="Y37" s="3" t="inlineStr">
        <is>
          <t>사다리형</t>
        </is>
      </c>
      <c r="Z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3</t>
        </is>
      </c>
      <c r="C38" s="3" t="inlineStr">
        <is>
          <t>0</t>
        </is>
      </c>
      <c r="D38" s="3" t="inlineStr">
        <is>
          <t>단독</t>
        </is>
      </c>
      <c r="E38" s="3" t="inlineStr">
        <is>
          <t>매매</t>
        </is>
      </c>
      <c r="F38" s="4" t="n">
        <v>140000</v>
      </c>
      <c r="G38" s="4" t="n">
        <v>0</v>
      </c>
      <c r="H38" s="4" t="n">
        <v>297</v>
      </c>
      <c r="I38" s="4" t="n">
        <v>90</v>
      </c>
      <c r="J38" s="5" t="n">
        <v>1555.6</v>
      </c>
      <c r="K38" s="4" t="n">
        <v>253</v>
      </c>
      <c r="L38" s="4" t="n">
        <v>77</v>
      </c>
      <c r="M38" s="5" t="n">
        <v>1818.2</v>
      </c>
      <c r="N38" s="3" t="inlineStr">
        <is>
          <t>C타입 타운하우스, 급매, 입지 굿, 학교 인접, 협의입주</t>
        </is>
      </c>
      <c r="O38" s="6">
        <f>HYPERLINK("https://fin.land.naver.com/articles/2648909199", "매물Link")</f>
        <v/>
      </c>
      <c r="P38" s="6">
        <f>HYPERLINK("https://map.naver.com/p/search/고운동 2085", "지도Link")</f>
        <v/>
      </c>
      <c r="Q38" s="6">
        <f>HYPERLINK("http://www.eum.go.kr/web/ar/lu/luLandDet.jsp?pnu=3611011200120850000&amp;isNoScr=script&amp;mode=search", "토지이음")</f>
        <v/>
      </c>
      <c r="R38" s="3" t="inlineStr">
        <is>
          <t>명진</t>
        </is>
      </c>
      <c r="S38" s="4" t="n">
        <v>1</v>
      </c>
      <c r="T38" s="5" t="n">
        <v>324.1</v>
      </c>
      <c r="U38" s="4" t="n">
        <v>12493</v>
      </c>
      <c r="V38" s="3" t="inlineStr">
        <is>
          <t>지정되지않음</t>
        </is>
      </c>
      <c r="W38" s="3" t="inlineStr">
        <is>
          <t>주거나지</t>
        </is>
      </c>
      <c r="X38" s="3" t="inlineStr">
        <is>
          <t>평지</t>
        </is>
      </c>
      <c r="Y38" s="3" t="inlineStr">
        <is>
          <t>사다리형</t>
        </is>
      </c>
      <c r="Z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3</t>
        </is>
      </c>
      <c r="C39" s="3" t="inlineStr">
        <is>
          <t>0</t>
        </is>
      </c>
      <c r="D39" s="3" t="inlineStr">
        <is>
          <t>단독</t>
        </is>
      </c>
      <c r="E39" s="3" t="inlineStr">
        <is>
          <t>매매</t>
        </is>
      </c>
      <c r="F39" s="4" t="n">
        <v>165000</v>
      </c>
      <c r="G39" s="4" t="n">
        <v>0</v>
      </c>
      <c r="H39" s="4" t="n">
        <v>336</v>
      </c>
      <c r="I39" s="4" t="n">
        <v>102</v>
      </c>
      <c r="J39" s="5" t="n">
        <v>1617.6</v>
      </c>
      <c r="K39" s="4" t="n">
        <v>253</v>
      </c>
      <c r="L39" s="4" t="n">
        <v>77</v>
      </c>
      <c r="M39" s="5" t="n">
        <v>2142.9</v>
      </c>
      <c r="N39" s="3" t="inlineStr">
        <is>
          <t>A타입 타운하우스매매, 입지 굿, 학교 인접, 협의입주</t>
        </is>
      </c>
      <c r="O39" s="6">
        <f>HYPERLINK("https://fin.land.naver.com/articles/2648903592", "매물Link")</f>
        <v/>
      </c>
      <c r="P39" s="6">
        <f>HYPERLINK("https://map.naver.com/p/search/고운동 2085", "지도Link")</f>
        <v/>
      </c>
      <c r="Q39" s="6">
        <f>HYPERLINK("http://www.eum.go.kr/web/ar/lu/luLandDet.jsp?pnu=3611011200120850000&amp;isNoScr=script&amp;mode=search", "토지이음")</f>
        <v/>
      </c>
      <c r="R39" s="3" t="inlineStr">
        <is>
          <t>명진</t>
        </is>
      </c>
      <c r="S39" s="4" t="n">
        <v>1</v>
      </c>
      <c r="T39" s="5" t="n">
        <v>324.1</v>
      </c>
      <c r="U39" s="4" t="n">
        <v>12493</v>
      </c>
      <c r="V39" s="3" t="inlineStr">
        <is>
          <t>지정되지않음</t>
        </is>
      </c>
      <c r="W39" s="3" t="inlineStr">
        <is>
          <t>주거나지</t>
        </is>
      </c>
      <c r="X39" s="3" t="inlineStr">
        <is>
          <t>평지</t>
        </is>
      </c>
      <c r="Y39" s="3" t="inlineStr">
        <is>
          <t>사다리형</t>
        </is>
      </c>
      <c r="Z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3</t>
        </is>
      </c>
      <c r="C40" s="3" t="inlineStr">
        <is>
          <t>0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297</v>
      </c>
      <c r="I40" s="4" t="n">
        <v>90</v>
      </c>
      <c r="J40" s="5" t="n">
        <v>1555.6</v>
      </c>
      <c r="K40" s="4" t="n">
        <v>253</v>
      </c>
      <c r="L40" s="4" t="n">
        <v>77</v>
      </c>
      <c r="M40" s="5" t="n">
        <v>1818.2</v>
      </c>
      <c r="N40" s="3" t="inlineStr">
        <is>
          <t>입지좋은 타운하우스매매, C타입, 온빛초, 정남향</t>
        </is>
      </c>
      <c r="O40" s="6">
        <f>HYPERLINK("https://fin.land.naver.com/articles/2648836117", "매물Link")</f>
        <v/>
      </c>
      <c r="P40" s="6">
        <f>HYPERLINK("https://map.naver.com/p/search/고운동 2085", "지도Link")</f>
        <v/>
      </c>
      <c r="Q40" s="6">
        <f>HYPERLINK("http://www.eum.go.kr/web/ar/lu/luLandDet.jsp?pnu=3611011200120850000&amp;isNoScr=script&amp;mode=search", "토지이음")</f>
        <v/>
      </c>
      <c r="R40" s="3" t="inlineStr">
        <is>
          <t>세종무지개</t>
        </is>
      </c>
      <c r="S40" s="4" t="n">
        <v>1</v>
      </c>
      <c r="T40" s="5" t="n">
        <v>324.1</v>
      </c>
      <c r="U40" s="4" t="n">
        <v>12493</v>
      </c>
      <c r="V40" s="3" t="inlineStr">
        <is>
          <t>지정되지않음</t>
        </is>
      </c>
      <c r="W40" s="3" t="inlineStr">
        <is>
          <t>주거나지</t>
        </is>
      </c>
      <c r="X40" s="3" t="inlineStr">
        <is>
          <t>평지</t>
        </is>
      </c>
      <c r="Y40" s="3" t="inlineStr">
        <is>
          <t>사다리형</t>
        </is>
      </c>
      <c r="Z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3</t>
        </is>
      </c>
      <c r="C41" s="3" t="inlineStr">
        <is>
          <t>0</t>
        </is>
      </c>
      <c r="D41" s="3" t="inlineStr">
        <is>
          <t>단독</t>
        </is>
      </c>
      <c r="E41" s="3" t="inlineStr">
        <is>
          <t>매매</t>
        </is>
      </c>
      <c r="F41" s="4" t="n">
        <v>160000</v>
      </c>
      <c r="G41" s="4" t="n">
        <v>0</v>
      </c>
      <c r="H41" s="4" t="n">
        <v>336</v>
      </c>
      <c r="I41" s="4" t="n">
        <v>102</v>
      </c>
      <c r="J41" s="5" t="n">
        <v>1568.6</v>
      </c>
      <c r="K41" s="4" t="n">
        <v>253</v>
      </c>
      <c r="L41" s="4" t="n">
        <v>77</v>
      </c>
      <c r="M41" s="5" t="n">
        <v>2077.9</v>
      </c>
      <c r="N41" s="3" t="inlineStr">
        <is>
          <t>입지 최고 거주 및 투자추천, 선임대 맞춰짐, 실입주도 협의가능,</t>
        </is>
      </c>
      <c r="O41" s="6">
        <f>HYPERLINK("https://fin.land.naver.com/articles/2648367997", "매물Link")</f>
        <v/>
      </c>
      <c r="P41" s="6">
        <f>HYPERLINK("https://map.naver.com/p/search/고운동 2085", "지도Link")</f>
        <v/>
      </c>
      <c r="Q41" s="6">
        <f>HYPERLINK("http://www.eum.go.kr/web/ar/lu/luLandDet.jsp?pnu=3611011200120850000&amp;isNoScr=script&amp;mode=search", "토지이음")</f>
        <v/>
      </c>
      <c r="R41" s="3" t="inlineStr">
        <is>
          <t>백프로</t>
        </is>
      </c>
      <c r="S41" s="4" t="n">
        <v>1</v>
      </c>
      <c r="T41" s="5" t="n">
        <v>324.1</v>
      </c>
      <c r="U41" s="4" t="n">
        <v>12493</v>
      </c>
      <c r="V41" s="3" t="inlineStr">
        <is>
          <t>지정되지않음</t>
        </is>
      </c>
      <c r="W41" s="3" t="inlineStr">
        <is>
          <t>주거나지</t>
        </is>
      </c>
      <c r="X41" s="3" t="inlineStr">
        <is>
          <t>평지</t>
        </is>
      </c>
      <c r="Y41" s="3" t="inlineStr">
        <is>
          <t>사다리형</t>
        </is>
      </c>
      <c r="Z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3</t>
        </is>
      </c>
      <c r="C42" s="3" t="inlineStr">
        <is>
          <t>0</t>
        </is>
      </c>
      <c r="D42" s="3" t="inlineStr">
        <is>
          <t>단독</t>
        </is>
      </c>
      <c r="E42" s="3" t="inlineStr">
        <is>
          <t>매매</t>
        </is>
      </c>
      <c r="F42" s="4" t="n">
        <v>165000</v>
      </c>
      <c r="G42" s="4" t="n">
        <v>0</v>
      </c>
      <c r="H42" s="4" t="n">
        <v>336</v>
      </c>
      <c r="I42" s="4" t="n">
        <v>102</v>
      </c>
      <c r="J42" s="5" t="n">
        <v>1617.6</v>
      </c>
      <c r="K42" s="4" t="n">
        <v>253</v>
      </c>
      <c r="L42" s="4" t="n">
        <v>77</v>
      </c>
      <c r="M42" s="5" t="n">
        <v>2142.9</v>
      </c>
      <c r="N42" s="3" t="inlineStr">
        <is>
          <t>초품아, 거주 만족도 높은  관리최상  매물, 협의입주</t>
        </is>
      </c>
      <c r="O42" s="6">
        <f>HYPERLINK("https://fin.land.naver.com/articles/2648366468", "매물Link")</f>
        <v/>
      </c>
      <c r="P42" s="6">
        <f>HYPERLINK("https://map.naver.com/p/search/고운동 2085", "지도Link")</f>
        <v/>
      </c>
      <c r="Q42" s="6">
        <f>HYPERLINK("http://www.eum.go.kr/web/ar/lu/luLandDet.jsp?pnu=3611011200120850000&amp;isNoScr=script&amp;mode=search", "토지이음")</f>
        <v/>
      </c>
      <c r="R42" s="3" t="inlineStr">
        <is>
          <t>백프로</t>
        </is>
      </c>
      <c r="S42" s="4" t="n">
        <v>2</v>
      </c>
      <c r="T42" s="5" t="n">
        <v>324.1</v>
      </c>
      <c r="U42" s="4" t="n">
        <v>12493</v>
      </c>
      <c r="V42" s="3" t="inlineStr">
        <is>
          <t>지정되지않음</t>
        </is>
      </c>
      <c r="W42" s="3" t="inlineStr">
        <is>
          <t>주거나지</t>
        </is>
      </c>
      <c r="X42" s="3" t="inlineStr">
        <is>
          <t>평지</t>
        </is>
      </c>
      <c r="Y42" s="3" t="inlineStr">
        <is>
          <t>사다리형</t>
        </is>
      </c>
      <c r="Z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3</t>
        </is>
      </c>
      <c r="C43" s="3" t="inlineStr">
        <is>
          <t>0</t>
        </is>
      </c>
      <c r="D43" s="3" t="inlineStr">
        <is>
          <t>단독</t>
        </is>
      </c>
      <c r="E43" s="3" t="inlineStr">
        <is>
          <t>매매</t>
        </is>
      </c>
      <c r="F43" s="4" t="n">
        <v>140000</v>
      </c>
      <c r="G43" s="4" t="n">
        <v>0</v>
      </c>
      <c r="H43" s="4" t="n">
        <v>297</v>
      </c>
      <c r="I43" s="4" t="n">
        <v>90</v>
      </c>
      <c r="J43" s="5" t="n">
        <v>1555.6</v>
      </c>
      <c r="K43" s="4" t="n">
        <v>253</v>
      </c>
      <c r="L43" s="4" t="n">
        <v>77</v>
      </c>
      <c r="M43" s="5" t="n">
        <v>1818.2</v>
      </c>
      <c r="N43" s="3" t="inlineStr">
        <is>
          <t>유럽마을 C타입  관리상태좋음  학교 근린생활시설가까운 입지 최고 단지</t>
        </is>
      </c>
      <c r="O43" s="6">
        <f>HYPERLINK("https://fin.land.naver.com/articles/2646787107", "매물Link")</f>
        <v/>
      </c>
      <c r="P43" s="6">
        <f>HYPERLINK("https://map.naver.com/p/search/고운동 2085", "지도Link")</f>
        <v/>
      </c>
      <c r="Q43" s="6">
        <f>HYPERLINK("http://www.eum.go.kr/web/ar/lu/luLandDet.jsp?pnu=3611011200120850000&amp;isNoScr=script&amp;mode=search", "토지이음")</f>
        <v/>
      </c>
      <c r="R43" s="3" t="inlineStr">
        <is>
          <t>고운힐스테이트</t>
        </is>
      </c>
      <c r="S43" s="4" t="n">
        <v>1</v>
      </c>
      <c r="T43" s="5" t="n">
        <v>324.1</v>
      </c>
      <c r="U43" s="4" t="n">
        <v>12493</v>
      </c>
      <c r="V43" s="3" t="inlineStr">
        <is>
          <t>지정되지않음</t>
        </is>
      </c>
      <c r="W43" s="3" t="inlineStr">
        <is>
          <t>주거나지</t>
        </is>
      </c>
      <c r="X43" s="3" t="inlineStr">
        <is>
          <t>평지</t>
        </is>
      </c>
      <c r="Y43" s="3" t="inlineStr">
        <is>
          <t>사다리형</t>
        </is>
      </c>
      <c r="Z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3</t>
        </is>
      </c>
      <c r="C44" s="3" t="inlineStr">
        <is>
          <t>0</t>
        </is>
      </c>
      <c r="D44" s="3" t="inlineStr">
        <is>
          <t>단독</t>
        </is>
      </c>
      <c r="E44" s="3" t="inlineStr">
        <is>
          <t>매매</t>
        </is>
      </c>
      <c r="F44" s="4" t="n">
        <v>140000</v>
      </c>
      <c r="G44" s="4" t="n">
        <v>0</v>
      </c>
      <c r="H44" s="4" t="n">
        <v>297</v>
      </c>
      <c r="I44" s="4" t="n">
        <v>90</v>
      </c>
      <c r="J44" s="5" t="n">
        <v>1555.6</v>
      </c>
      <c r="K44" s="4" t="n">
        <v>253</v>
      </c>
      <c r="L44" s="4" t="n">
        <v>77</v>
      </c>
      <c r="M44" s="5" t="n">
        <v>1818.2</v>
      </c>
      <c r="N44" s="3" t="inlineStr">
        <is>
          <t>급매,C타입,주인거주로집상태좋음.</t>
        </is>
      </c>
      <c r="O44" s="6">
        <f>HYPERLINK("https://fin.land.naver.com/articles/2647138426", "매물Link")</f>
        <v/>
      </c>
      <c r="P44" s="6">
        <f>HYPERLINK("https://map.naver.com/p/search/고운동 2085", "지도Link")</f>
        <v/>
      </c>
      <c r="Q44" s="6">
        <f>HYPERLINK("http://www.eum.go.kr/web/ar/lu/luLandDet.jsp?pnu=3611011200120850000&amp;isNoScr=script&amp;mode=search", "토지이음")</f>
        <v/>
      </c>
      <c r="R44" s="3" t="inlineStr">
        <is>
          <t>세종황소</t>
        </is>
      </c>
      <c r="S44" s="4" t="n">
        <v>1</v>
      </c>
      <c r="T44" s="5" t="n">
        <v>324.1</v>
      </c>
      <c r="U44" s="4" t="n">
        <v>12493</v>
      </c>
      <c r="V44" s="3" t="inlineStr">
        <is>
          <t>지정되지않음</t>
        </is>
      </c>
      <c r="W44" s="3" t="inlineStr">
        <is>
          <t>주거나지</t>
        </is>
      </c>
      <c r="X44" s="3" t="inlineStr">
        <is>
          <t>평지</t>
        </is>
      </c>
      <c r="Y44" s="3" t="inlineStr">
        <is>
          <t>사다리형</t>
        </is>
      </c>
      <c r="Z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1</t>
        </is>
      </c>
      <c r="C45" s="3" t="inlineStr">
        <is>
          <t>0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301</v>
      </c>
      <c r="I45" s="4" t="n">
        <v>91</v>
      </c>
      <c r="J45" s="5" t="n">
        <v>1318.7</v>
      </c>
      <c r="K45" s="4" t="n">
        <v>147</v>
      </c>
      <c r="L45" s="4" t="n">
        <v>44</v>
      </c>
      <c r="M45" s="5" t="n">
        <v>2727.3</v>
      </c>
      <c r="N45" s="3" t="inlineStr">
        <is>
          <t>가격조정가능 고운동한옥마을단독주택</t>
        </is>
      </c>
      <c r="O45" s="6">
        <f>HYPERLINK("https://fin.land.naver.com/articles/2647772478", "매물Link")</f>
        <v/>
      </c>
      <c r="P45" s="6">
        <f>HYPERLINK("https://map.naver.com/p/search/고운동 2127", "지도Link")</f>
        <v/>
      </c>
      <c r="Q45" s="6">
        <f>HYPERLINK("http://www.eum.go.kr/web/ar/lu/luLandDet.jsp?pnu=3611011200121270000&amp;isNoScr=script&amp;mode=search", "토지이음")</f>
        <v/>
      </c>
      <c r="R45" s="3" t="inlineStr">
        <is>
          <t>새롬스마트</t>
        </is>
      </c>
      <c r="S45" s="4" t="n">
        <v>1</v>
      </c>
      <c r="T45" s="5" t="n">
        <v>249.7</v>
      </c>
      <c r="U45" s="4" t="n">
        <v>301.7</v>
      </c>
      <c r="V45" s="3" t="inlineStr">
        <is>
          <t>지정되지않음</t>
        </is>
      </c>
      <c r="W45" s="3" t="inlineStr">
        <is>
          <t>주거나지</t>
        </is>
      </c>
      <c r="X45" s="3" t="inlineStr">
        <is>
          <t>평지</t>
        </is>
      </c>
      <c r="Y45" s="3" t="inlineStr">
        <is>
          <t>사다리형</t>
        </is>
      </c>
      <c r="Z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1</t>
        </is>
      </c>
      <c r="C46" s="3" t="inlineStr">
        <is>
          <t>0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295</v>
      </c>
      <c r="I46" s="4" t="n">
        <v>89</v>
      </c>
      <c r="J46" s="5" t="n">
        <v>1348.3</v>
      </c>
      <c r="K46" s="4" t="n">
        <v>118</v>
      </c>
      <c r="L46" s="4" t="n">
        <v>36</v>
      </c>
      <c r="M46" s="5" t="n">
        <v>3333.3</v>
      </c>
      <c r="N46" s="3" t="inlineStr">
        <is>
          <t>한옥마을매매, 시립도서관, 온빛유.초 인접, 급매</t>
        </is>
      </c>
      <c r="O46" s="6">
        <f>HYPERLINK("https://fin.land.naver.com/articles/2645545491", "매물Link")</f>
        <v/>
      </c>
      <c r="P46" s="6">
        <f>HYPERLINK("https://map.naver.com/p/search/고운동 2176", "지도Link")</f>
        <v/>
      </c>
      <c r="Q46" s="6">
        <f>HYPERLINK("http://www.eum.go.kr/web/ar/lu/luLandDet.jsp?pnu=3611011200121760000&amp;isNoScr=script&amp;mode=search", "토지이음")</f>
        <v/>
      </c>
      <c r="R46" s="3" t="inlineStr">
        <is>
          <t>명진</t>
        </is>
      </c>
      <c r="S46" s="4" t="n">
        <v>1</v>
      </c>
      <c r="T46" s="5" t="n">
        <v>257.1</v>
      </c>
      <c r="U46" s="4" t="n">
        <v>295</v>
      </c>
      <c r="V46" s="3" t="inlineStr">
        <is>
          <t>지정되지않음</t>
        </is>
      </c>
      <c r="W46" s="3" t="inlineStr">
        <is>
          <t>단독</t>
        </is>
      </c>
      <c r="X46" s="3" t="inlineStr">
        <is>
          <t>평지</t>
        </is>
      </c>
      <c r="Y46" s="3" t="inlineStr">
        <is>
          <t>사다리형</t>
        </is>
      </c>
      <c r="Z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1</t>
        </is>
      </c>
      <c r="C47" s="3" t="inlineStr">
        <is>
          <t>0</t>
        </is>
      </c>
      <c r="D47" s="3" t="inlineStr">
        <is>
          <t>단독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295</v>
      </c>
      <c r="I47" s="4" t="n">
        <v>89</v>
      </c>
      <c r="J47" s="5" t="n">
        <v>1348.3</v>
      </c>
      <c r="K47" s="4" t="n">
        <v>118</v>
      </c>
      <c r="L47" s="4" t="n">
        <v>36</v>
      </c>
      <c r="M47" s="5" t="n">
        <v>3333.3</v>
      </c>
      <c r="N47" s="3" t="inlineStr">
        <is>
          <t>희소성 높은 한옥 매매, 학군과 입지 좋은 위치</t>
        </is>
      </c>
      <c r="O47" s="6">
        <f>HYPERLINK("https://fin.land.naver.com/articles/2644481775", "매물Link")</f>
        <v/>
      </c>
      <c r="P47" s="6">
        <f>HYPERLINK("https://map.naver.com/p/search/고운동 2176", "지도Link")</f>
        <v/>
      </c>
      <c r="Q47" s="6">
        <f>HYPERLINK("http://www.eum.go.kr/web/ar/lu/luLandDet.jsp?pnu=3611011200121760000&amp;isNoScr=script&amp;mode=search", "토지이음")</f>
        <v/>
      </c>
      <c r="R47" s="3" t="inlineStr">
        <is>
          <t>세종무지개</t>
        </is>
      </c>
      <c r="S47" s="4" t="n">
        <v>1</v>
      </c>
      <c r="T47" s="5" t="n">
        <v>257.1</v>
      </c>
      <c r="U47" s="4" t="n">
        <v>295</v>
      </c>
      <c r="V47" s="3" t="inlineStr">
        <is>
          <t>지정되지않음</t>
        </is>
      </c>
      <c r="W47" s="3" t="inlineStr">
        <is>
          <t>단독</t>
        </is>
      </c>
      <c r="X47" s="3" t="inlineStr">
        <is>
          <t>평지</t>
        </is>
      </c>
      <c r="Y47" s="3" t="inlineStr">
        <is>
          <t>사다리형</t>
        </is>
      </c>
      <c r="Z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1</t>
        </is>
      </c>
      <c r="C48" s="3" t="inlineStr">
        <is>
          <t>0</t>
        </is>
      </c>
      <c r="D48" s="3" t="inlineStr">
        <is>
          <t>단독</t>
        </is>
      </c>
      <c r="E48" s="3" t="inlineStr">
        <is>
          <t>매매</t>
        </is>
      </c>
      <c r="F48" s="4" t="n">
        <v>120000</v>
      </c>
      <c r="G48" s="4" t="n">
        <v>0</v>
      </c>
      <c r="H48" s="4" t="n">
        <v>295</v>
      </c>
      <c r="I48" s="4" t="n">
        <v>89</v>
      </c>
      <c r="J48" s="5" t="n">
        <v>1348.3</v>
      </c>
      <c r="K48" s="4" t="n">
        <v>118</v>
      </c>
      <c r="L48" s="4" t="n">
        <v>36</v>
      </c>
      <c r="M48" s="5" t="n">
        <v>3333.3</v>
      </c>
      <c r="N48" s="3" t="inlineStr">
        <is>
          <t>nan</t>
        </is>
      </c>
      <c r="O48" s="6">
        <f>HYPERLINK("https://fin.land.naver.com/articles/2646479321", "매물Link")</f>
        <v/>
      </c>
      <c r="P48" s="6">
        <f>HYPERLINK("https://map.naver.com/p/search/고운동 2176", "지도Link")</f>
        <v/>
      </c>
      <c r="Q48" s="6">
        <f>HYPERLINK("http://www.eum.go.kr/web/ar/lu/luLandDet.jsp?pnu=3611011200121760000&amp;isNoScr=script&amp;mode=search", "토지이음")</f>
        <v/>
      </c>
      <c r="R48" s="3" t="inlineStr">
        <is>
          <t>세종스타</t>
        </is>
      </c>
      <c r="S48" s="4" t="n">
        <v>1</v>
      </c>
      <c r="T48" s="5" t="n">
        <v>257.1</v>
      </c>
      <c r="U48" s="4" t="n">
        <v>295</v>
      </c>
      <c r="V48" s="3" t="inlineStr">
        <is>
          <t>지정되지않음</t>
        </is>
      </c>
      <c r="W48" s="3" t="inlineStr">
        <is>
          <t>단독</t>
        </is>
      </c>
      <c r="X48" s="3" t="inlineStr">
        <is>
          <t>평지</t>
        </is>
      </c>
      <c r="Y48" s="3" t="inlineStr">
        <is>
          <t>사다리형</t>
        </is>
      </c>
      <c r="Z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2</t>
        </is>
      </c>
      <c r="C49" s="3" t="inlineStr">
        <is>
          <t>0</t>
        </is>
      </c>
      <c r="D49" s="3" t="inlineStr">
        <is>
          <t>단독</t>
        </is>
      </c>
      <c r="E49" s="3" t="inlineStr">
        <is>
          <t>매매</t>
        </is>
      </c>
      <c r="F49" s="4" t="n">
        <v>75000</v>
      </c>
      <c r="G49" s="4" t="n">
        <v>0</v>
      </c>
      <c r="H49" s="4" t="n">
        <v>193</v>
      </c>
      <c r="I49" s="4" t="n">
        <v>58</v>
      </c>
      <c r="J49" s="5" t="n">
        <v>1293.1</v>
      </c>
      <c r="K49" s="4" t="n">
        <v>121</v>
      </c>
      <c r="L49" s="4" t="n">
        <v>37</v>
      </c>
      <c r="M49" s="5" t="n">
        <v>2027</v>
      </c>
      <c r="N49" s="3" t="inlineStr">
        <is>
          <t>더이상 저렴할 수 없다. 튼튼하게 내부 실용적있게 만들었어요.</t>
        </is>
      </c>
      <c r="O49" s="6">
        <f>HYPERLINK("https://fin.land.naver.com/articles/2647856000", "매물Link")</f>
        <v/>
      </c>
      <c r="P49" s="6">
        <f>HYPERLINK("https://map.naver.com/p/search/고운동 893-34", "지도Link")</f>
        <v/>
      </c>
      <c r="Q49" s="6">
        <f>HYPERLINK("http://www.eum.go.kr/web/ar/lu/luLandDet.jsp?pnu=3611011200108930034&amp;isNoScr=script&amp;mode=search", "토지이음")</f>
        <v/>
      </c>
      <c r="R49" s="3" t="inlineStr">
        <is>
          <t>세종올리브</t>
        </is>
      </c>
      <c r="S49" s="4" t="n">
        <v>1</v>
      </c>
      <c r="T49" s="5" t="n">
        <v>335.5</v>
      </c>
      <c r="U49" s="4" t="n">
        <v>775.4</v>
      </c>
      <c r="V49" s="3" t="inlineStr">
        <is>
          <t>지정되지않음</t>
        </is>
      </c>
      <c r="W49" s="3" t="inlineStr">
        <is>
          <t>단독</t>
        </is>
      </c>
      <c r="X49" s="3" t="inlineStr">
        <is>
          <t>평지</t>
        </is>
      </c>
      <c r="Y49" s="3" t="inlineStr">
        <is>
          <t>가로장방</t>
        </is>
      </c>
      <c r="Z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2</t>
        </is>
      </c>
      <c r="C50" s="3" t="inlineStr">
        <is>
          <t>0</t>
        </is>
      </c>
      <c r="D50" s="3" t="inlineStr">
        <is>
          <t>단독</t>
        </is>
      </c>
      <c r="E50" s="3" t="inlineStr">
        <is>
          <t>매매</t>
        </is>
      </c>
      <c r="F50" s="4" t="n">
        <v>75000</v>
      </c>
      <c r="G50" s="4" t="n">
        <v>0</v>
      </c>
      <c r="H50" s="4" t="n">
        <v>193</v>
      </c>
      <c r="I50" s="4" t="n">
        <v>58</v>
      </c>
      <c r="J50" s="5" t="n">
        <v>1293.1</v>
      </c>
      <c r="K50" s="4" t="n">
        <v>121</v>
      </c>
      <c r="L50" s="4" t="n">
        <v>37</v>
      </c>
      <c r="M50" s="5" t="n">
        <v>2027</v>
      </c>
      <c r="N50" s="3" t="inlineStr">
        <is>
          <t>세종시에서 앞으로 찾기 힘든 분양 금액 , 내부구조 굿, 잔금일 협의가능</t>
        </is>
      </c>
      <c r="O50" s="6">
        <f>HYPERLINK("https://fin.land.naver.com/articles/2646028838", "매물Link")</f>
        <v/>
      </c>
      <c r="P50" s="6">
        <f>HYPERLINK("https://map.naver.com/p/search/고운동 893-34", "지도Link")</f>
        <v/>
      </c>
      <c r="Q50" s="6">
        <f>HYPERLINK("http://www.eum.go.kr/web/ar/lu/luLandDet.jsp?pnu=3611011200108930034&amp;isNoScr=script&amp;mode=search", "토지이음")</f>
        <v/>
      </c>
      <c r="R50" s="3" t="inlineStr">
        <is>
          <t>세종올리브</t>
        </is>
      </c>
      <c r="S50" s="4" t="n">
        <v>1</v>
      </c>
      <c r="T50" s="5" t="n">
        <v>335.5</v>
      </c>
      <c r="U50" s="4" t="n">
        <v>775.4</v>
      </c>
      <c r="V50" s="3" t="inlineStr">
        <is>
          <t>지정되지않음</t>
        </is>
      </c>
      <c r="W50" s="3" t="inlineStr">
        <is>
          <t>단독</t>
        </is>
      </c>
      <c r="X50" s="3" t="inlineStr">
        <is>
          <t>평지</t>
        </is>
      </c>
      <c r="Y50" s="3" t="inlineStr">
        <is>
          <t>가로장방</t>
        </is>
      </c>
      <c r="Z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2</t>
        </is>
      </c>
      <c r="C51" s="3" t="inlineStr">
        <is>
          <t>0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262</v>
      </c>
      <c r="I51" s="4" t="n">
        <v>79</v>
      </c>
      <c r="J51" s="5" t="n">
        <v>1455.7</v>
      </c>
      <c r="K51" s="4" t="n">
        <v>186</v>
      </c>
      <c r="L51" s="4" t="n">
        <v>56</v>
      </c>
      <c r="M51" s="5" t="n">
        <v>2053.6</v>
      </c>
      <c r="N51" s="3" t="inlineStr">
        <is>
          <t>급매 포스힐내 가장 예쁜정원 전세도가능</t>
        </is>
      </c>
      <c r="O51" s="6">
        <f>HYPERLINK("https://fin.land.naver.com/articles/2647125791", "매물Link")</f>
        <v/>
      </c>
      <c r="P51" s="6">
        <f>HYPERLINK("https://map.naver.com/p/search/고운동 895-19", "지도Link")</f>
        <v/>
      </c>
      <c r="Q51" s="6">
        <f>HYPERLINK("http://www.eum.go.kr/web/ar/lu/luLandDet.jsp?pnu=3611011200108950019&amp;isNoScr=script&amp;mode=search", "토지이음")</f>
        <v/>
      </c>
      <c r="R51" s="3" t="inlineStr">
        <is>
          <t>세종스타</t>
        </is>
      </c>
      <c r="S51" s="4" t="n">
        <v>1</v>
      </c>
      <c r="T51" s="5" t="n">
        <v>319.6</v>
      </c>
      <c r="U51" s="4" t="n">
        <v>262.6</v>
      </c>
      <c r="V51" s="3" t="inlineStr">
        <is>
          <t>지정되지않음</t>
        </is>
      </c>
      <c r="W51" s="3" t="inlineStr">
        <is>
          <t>단독</t>
        </is>
      </c>
      <c r="X51" s="3" t="inlineStr">
        <is>
          <t>평지</t>
        </is>
      </c>
      <c r="Y51" s="3" t="inlineStr">
        <is>
          <t>세로장방</t>
        </is>
      </c>
      <c r="Z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2</t>
        </is>
      </c>
      <c r="C52" s="3" t="inlineStr">
        <is>
          <t>0</t>
        </is>
      </c>
      <c r="D52" s="3" t="inlineStr">
        <is>
          <t>단독</t>
        </is>
      </c>
      <c r="E52" s="3" t="inlineStr">
        <is>
          <t>매매</t>
        </is>
      </c>
      <c r="F52" s="4" t="n">
        <v>115000</v>
      </c>
      <c r="G52" s="4" t="n">
        <v>0</v>
      </c>
      <c r="H52" s="4" t="n">
        <v>262</v>
      </c>
      <c r="I52" s="4" t="n">
        <v>79</v>
      </c>
      <c r="J52" s="5" t="n">
        <v>1455.7</v>
      </c>
      <c r="K52" s="4" t="n">
        <v>186</v>
      </c>
      <c r="L52" s="4" t="n">
        <v>56</v>
      </c>
      <c r="M52" s="5" t="n">
        <v>2053.6</v>
      </c>
      <c r="N52" s="3" t="inlineStr">
        <is>
          <t>포스힐타운하우스 단독주택매매 가격조정가능</t>
        </is>
      </c>
      <c r="O52" s="6">
        <f>HYPERLINK("https://fin.land.naver.com/articles/2644103391", "매물Link")</f>
        <v/>
      </c>
      <c r="P52" s="6">
        <f>HYPERLINK("https://map.naver.com/p/search/고운동 895-19", "지도Link")</f>
        <v/>
      </c>
      <c r="Q52" s="6">
        <f>HYPERLINK("http://www.eum.go.kr/web/ar/lu/luLandDet.jsp?pnu=3611011200108950019&amp;isNoScr=script&amp;mode=search", "토지이음")</f>
        <v/>
      </c>
      <c r="R52" s="3" t="inlineStr">
        <is>
          <t>고운동리치세종</t>
        </is>
      </c>
      <c r="S52" s="4" t="n">
        <v>1</v>
      </c>
      <c r="T52" s="5" t="n">
        <v>319.6</v>
      </c>
      <c r="U52" s="4" t="n">
        <v>262.6</v>
      </c>
      <c r="V52" s="3" t="inlineStr">
        <is>
          <t>지정되지않음</t>
        </is>
      </c>
      <c r="W52" s="3" t="inlineStr">
        <is>
          <t>단독</t>
        </is>
      </c>
      <c r="X52" s="3" t="inlineStr">
        <is>
          <t>평지</t>
        </is>
      </c>
      <c r="Y52" s="3" t="inlineStr">
        <is>
          <t>세로장방</t>
        </is>
      </c>
      <c r="Z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2</t>
        </is>
      </c>
      <c r="C53" s="3" t="inlineStr">
        <is>
          <t>0</t>
        </is>
      </c>
      <c r="D53" s="3" t="inlineStr">
        <is>
          <t>단독</t>
        </is>
      </c>
      <c r="E53" s="3" t="inlineStr">
        <is>
          <t>매매</t>
        </is>
      </c>
      <c r="F53" s="4" t="n">
        <v>115000</v>
      </c>
      <c r="G53" s="4" t="n">
        <v>0</v>
      </c>
      <c r="H53" s="4" t="n">
        <v>256</v>
      </c>
      <c r="I53" s="4" t="n">
        <v>77</v>
      </c>
      <c r="J53" s="5" t="n">
        <v>1493.5</v>
      </c>
      <c r="K53" s="4" t="n">
        <v>185</v>
      </c>
      <c r="L53" s="4" t="n">
        <v>56</v>
      </c>
      <c r="M53" s="5" t="n">
        <v>2053.6</v>
      </c>
      <c r="N53" s="3" t="inlineStr">
        <is>
          <t>어어컨풀. 유럽풍 타운하우스,다락방</t>
        </is>
      </c>
      <c r="O53" s="6">
        <f>HYPERLINK("https://fin.land.naver.com/articles/2649458702", "매물Link")</f>
        <v/>
      </c>
      <c r="P53" s="6">
        <f>HYPERLINK("https://map.naver.com/p/search/고운동 895-24", "지도Link")</f>
        <v/>
      </c>
      <c r="Q53" s="6">
        <f>HYPERLINK("http://www.eum.go.kr/web/ar/lu/luLandDet.jsp?pnu=3611011200108950024&amp;isNoScr=script&amp;mode=search", "토지이음")</f>
        <v/>
      </c>
      <c r="R53" s="3" t="inlineStr">
        <is>
          <t>세종삼촌</t>
        </is>
      </c>
      <c r="S53" s="4" t="n">
        <v>2</v>
      </c>
      <c r="T53" s="5" t="n">
        <v>319.6</v>
      </c>
      <c r="U53" s="4" t="n">
        <v>256.5</v>
      </c>
      <c r="V53" s="3" t="inlineStr">
        <is>
          <t>지정되지않음</t>
        </is>
      </c>
      <c r="W53" s="3" t="inlineStr">
        <is>
          <t>단독</t>
        </is>
      </c>
      <c r="X53" s="3" t="inlineStr">
        <is>
          <t>평지</t>
        </is>
      </c>
      <c r="Y53" s="3" t="inlineStr">
        <is>
          <t>세로장방</t>
        </is>
      </c>
      <c r="Z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2</t>
        </is>
      </c>
      <c r="C54" s="3" t="inlineStr">
        <is>
          <t>0</t>
        </is>
      </c>
      <c r="D54" s="3" t="inlineStr">
        <is>
          <t>단독</t>
        </is>
      </c>
      <c r="E54" s="3" t="inlineStr">
        <is>
          <t>매매</t>
        </is>
      </c>
      <c r="F54" s="4" t="n">
        <v>150000</v>
      </c>
      <c r="G54" s="4" t="n">
        <v>0</v>
      </c>
      <c r="H54" s="4" t="n">
        <v>286</v>
      </c>
      <c r="I54" s="4" t="n">
        <v>87</v>
      </c>
      <c r="J54" s="5" t="n">
        <v>1724.1</v>
      </c>
      <c r="K54" s="4" t="n">
        <v>185</v>
      </c>
      <c r="L54" s="4" t="n">
        <v>56</v>
      </c>
      <c r="M54" s="5" t="n">
        <v>2678.6</v>
      </c>
      <c r="N54" s="3" t="inlineStr">
        <is>
          <t>단지 가장 안쪽 사생활보호 잘되는 위치 뒷마당이 산과 접한 좋은위치</t>
        </is>
      </c>
      <c r="O54" s="6">
        <f>HYPERLINK("https://fin.land.naver.com/articles/2646479200", "매물Link")</f>
        <v/>
      </c>
      <c r="P54" s="6">
        <f>HYPERLINK("https://map.naver.com/p/search/고운동 895-38", "지도Link")</f>
        <v/>
      </c>
      <c r="Q54" s="6">
        <f>HYPERLINK("http://www.eum.go.kr/web/ar/lu/luLandDet.jsp?pnu=3611011200108950038&amp;isNoScr=script&amp;mode=search", "토지이음")</f>
        <v/>
      </c>
      <c r="R54" s="3" t="inlineStr">
        <is>
          <t>세종스타</t>
        </is>
      </c>
      <c r="S54" s="4" t="n">
        <v>2</v>
      </c>
      <c r="T54" s="5" t="n">
        <v>316.4</v>
      </c>
      <c r="U54" s="4" t="n">
        <v>286.8</v>
      </c>
      <c r="V54" s="3" t="inlineStr">
        <is>
          <t>지정되지않음</t>
        </is>
      </c>
      <c r="W54" s="3" t="inlineStr">
        <is>
          <t>단독</t>
        </is>
      </c>
      <c r="X54" s="3" t="inlineStr">
        <is>
          <t>평지</t>
        </is>
      </c>
      <c r="Y54" s="3" t="inlineStr">
        <is>
          <t>사다리형</t>
        </is>
      </c>
      <c r="Z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2</t>
        </is>
      </c>
      <c r="C55" s="3" t="inlineStr">
        <is>
          <t>0</t>
        </is>
      </c>
      <c r="D55" s="3" t="inlineStr">
        <is>
          <t>단독</t>
        </is>
      </c>
      <c r="E55" s="3" t="inlineStr">
        <is>
          <t>매매</t>
        </is>
      </c>
      <c r="F55" s="4" t="n">
        <v>145000</v>
      </c>
      <c r="G55" s="4" t="n">
        <v>0</v>
      </c>
      <c r="H55" s="4" t="n">
        <v>255</v>
      </c>
      <c r="I55" s="4" t="n">
        <v>77</v>
      </c>
      <c r="J55" s="5" t="n">
        <v>1883.1</v>
      </c>
      <c r="K55" s="4" t="n">
        <v>181</v>
      </c>
      <c r="L55" s="4" t="n">
        <v>55</v>
      </c>
      <c r="M55" s="5" t="n">
        <v>2636.4</v>
      </c>
      <c r="N55" s="3" t="inlineStr">
        <is>
          <t>포스힐 단독주택, 에어컨풀, 인테리어완료, 주인거주</t>
        </is>
      </c>
      <c r="O55" s="6">
        <f>HYPERLINK("https://fin.land.naver.com/articles/2648345384", "매물Link")</f>
        <v/>
      </c>
      <c r="P55" s="6">
        <f>HYPERLINK("https://map.naver.com/p/search/고운동 895-7", "지도Link")</f>
        <v/>
      </c>
      <c r="Q55" s="6">
        <f>HYPERLINK("http://www.eum.go.kr/web/ar/lu/luLandDet.jsp?pnu=3611011200108950007&amp;isNoScr=script&amp;mode=search", "토지이음")</f>
        <v/>
      </c>
      <c r="R55" s="3" t="inlineStr">
        <is>
          <t>명진</t>
        </is>
      </c>
      <c r="S55" s="4" t="n">
        <v>1</v>
      </c>
      <c r="T55" s="5" t="n">
        <v>319.6</v>
      </c>
      <c r="U55" s="4" t="n">
        <v>255.5</v>
      </c>
      <c r="V55" s="3" t="inlineStr">
        <is>
          <t>지정되지않음</t>
        </is>
      </c>
      <c r="W55" s="3" t="inlineStr">
        <is>
          <t>단독</t>
        </is>
      </c>
      <c r="X55" s="3" t="inlineStr">
        <is>
          <t>평지</t>
        </is>
      </c>
      <c r="Y55" s="3" t="inlineStr">
        <is>
          <t>세로장방</t>
        </is>
      </c>
      <c r="Z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2</t>
        </is>
      </c>
      <c r="C56" s="3" t="inlineStr">
        <is>
          <t>0</t>
        </is>
      </c>
      <c r="D56" s="3" t="inlineStr">
        <is>
          <t>단독</t>
        </is>
      </c>
      <c r="E56" s="3" t="inlineStr">
        <is>
          <t>매매</t>
        </is>
      </c>
      <c r="F56" s="4" t="n">
        <v>145000</v>
      </c>
      <c r="G56" s="4" t="n">
        <v>0</v>
      </c>
      <c r="H56" s="4" t="n">
        <v>255</v>
      </c>
      <c r="I56" s="4" t="n">
        <v>77</v>
      </c>
      <c r="J56" s="5" t="n">
        <v>1883.1</v>
      </c>
      <c r="K56" s="4" t="n">
        <v>181</v>
      </c>
      <c r="L56" s="4" t="n">
        <v>55</v>
      </c>
      <c r="M56" s="5" t="n">
        <v>2636.4</v>
      </c>
      <c r="N56" s="3" t="inlineStr">
        <is>
          <t>풀에어컨, 단독주택, 인테리어 완료된 주인거주로 관리잘된집</t>
        </is>
      </c>
      <c r="O56" s="6">
        <f>HYPERLINK("https://fin.land.naver.com/articles/2646693964", "매물Link")</f>
        <v/>
      </c>
      <c r="P56" s="6">
        <f>HYPERLINK("https://map.naver.com/p/search/고운동 895-7", "지도Link")</f>
        <v/>
      </c>
      <c r="Q56" s="6">
        <f>HYPERLINK("http://www.eum.go.kr/web/ar/lu/luLandDet.jsp?pnu=3611011200108950007&amp;isNoScr=script&amp;mode=search", "토지이음")</f>
        <v/>
      </c>
      <c r="R56" s="3" t="inlineStr">
        <is>
          <t>세종무지개</t>
        </is>
      </c>
      <c r="S56" s="4" t="n">
        <v>1</v>
      </c>
      <c r="T56" s="5" t="n">
        <v>319.6</v>
      </c>
      <c r="U56" s="4" t="n">
        <v>255.5</v>
      </c>
      <c r="V56" s="3" t="inlineStr">
        <is>
          <t>지정되지않음</t>
        </is>
      </c>
      <c r="W56" s="3" t="inlineStr">
        <is>
          <t>단독</t>
        </is>
      </c>
      <c r="X56" s="3" t="inlineStr">
        <is>
          <t>평지</t>
        </is>
      </c>
      <c r="Y56" s="3" t="inlineStr">
        <is>
          <t>세로장방</t>
        </is>
      </c>
      <c r="Z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2</t>
        </is>
      </c>
      <c r="C57" s="3" t="inlineStr">
        <is>
          <t>0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299</v>
      </c>
      <c r="I57" s="4" t="n">
        <v>90</v>
      </c>
      <c r="J57" s="5" t="n">
        <v>1284.2</v>
      </c>
      <c r="K57" s="4" t="n">
        <v>171</v>
      </c>
      <c r="L57" s="4" t="n">
        <v>52</v>
      </c>
      <c r="M57" s="5" t="n">
        <v>2222.7</v>
      </c>
      <c r="N57" s="3" t="inlineStr">
        <is>
          <t>인기 있는 타운하우스 , 매매추천합니다,</t>
        </is>
      </c>
      <c r="O57" s="6">
        <f>HYPERLINK("https://fin.land.naver.com/articles/2648837063", "매물Link")</f>
        <v/>
      </c>
      <c r="P57" s="6">
        <f>HYPERLINK("https://map.naver.com/p/search/고운동 896", "지도Link")</f>
        <v/>
      </c>
      <c r="Q57" s="6">
        <f>HYPERLINK("http://www.eum.go.kr/web/ar/lu/luLandDet.jsp?pnu=3611011200108960000&amp;isNoScr=script&amp;mode=search", "토지이음")</f>
        <v/>
      </c>
      <c r="R57" s="3" t="inlineStr">
        <is>
          <t>세종무지개</t>
        </is>
      </c>
      <c r="S57" s="4" t="n">
        <v>1</v>
      </c>
      <c r="T57" s="5" t="n">
        <v>327.3</v>
      </c>
      <c r="U57" s="4" t="n">
        <v>14467</v>
      </c>
      <c r="V57" s="3" t="inlineStr">
        <is>
          <t>지정되지않음</t>
        </is>
      </c>
      <c r="W57" s="3" t="inlineStr">
        <is>
          <t>주거나지</t>
        </is>
      </c>
      <c r="X57" s="3" t="inlineStr">
        <is>
          <t>평지</t>
        </is>
      </c>
      <c r="Y57" s="3" t="inlineStr">
        <is>
          <t>세로장방</t>
        </is>
      </c>
      <c r="Z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2</t>
        </is>
      </c>
      <c r="C58" s="3" t="inlineStr">
        <is>
          <t>0</t>
        </is>
      </c>
      <c r="D58" s="3" t="inlineStr">
        <is>
          <t>단독</t>
        </is>
      </c>
      <c r="E58" s="3" t="inlineStr">
        <is>
          <t>매매</t>
        </is>
      </c>
      <c r="F58" s="4" t="n">
        <v>110000</v>
      </c>
      <c r="G58" s="4" t="n">
        <v>0</v>
      </c>
      <c r="H58" s="4" t="n">
        <v>299</v>
      </c>
      <c r="I58" s="4" t="n">
        <v>90</v>
      </c>
      <c r="J58" s="5" t="n">
        <v>1222.2</v>
      </c>
      <c r="K58" s="4" t="n">
        <v>171</v>
      </c>
      <c r="L58" s="4" t="n">
        <v>52</v>
      </c>
      <c r="M58" s="5" t="n">
        <v>2115.4</v>
      </c>
      <c r="N58" s="3" t="inlineStr">
        <is>
          <t>급매 신축 첫입주 전세6.5억 월세1억275만 둘다가능</t>
        </is>
      </c>
      <c r="O58" s="6">
        <f>HYPERLINK("https://fin.land.naver.com/articles/2647125959", "매물Link")</f>
        <v/>
      </c>
      <c r="P58" s="6">
        <f>HYPERLINK("https://map.naver.com/p/search/고운동 896", "지도Link")</f>
        <v/>
      </c>
      <c r="Q58" s="6">
        <f>HYPERLINK("http://www.eum.go.kr/web/ar/lu/luLandDet.jsp?pnu=3611011200108960000&amp;isNoScr=script&amp;mode=search", "토지이음")</f>
        <v/>
      </c>
      <c r="R58" s="3" t="inlineStr">
        <is>
          <t>세종스타</t>
        </is>
      </c>
      <c r="S58" s="4" t="n">
        <v>1</v>
      </c>
      <c r="T58" s="5" t="n">
        <v>327.3</v>
      </c>
      <c r="U58" s="4" t="n">
        <v>14467</v>
      </c>
      <c r="V58" s="3" t="inlineStr">
        <is>
          <t>지정되지않음</t>
        </is>
      </c>
      <c r="W58" s="3" t="inlineStr">
        <is>
          <t>주거나지</t>
        </is>
      </c>
      <c r="X58" s="3" t="inlineStr">
        <is>
          <t>평지</t>
        </is>
      </c>
      <c r="Y58" s="3" t="inlineStr">
        <is>
          <t>세로장방</t>
        </is>
      </c>
      <c r="Z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2</t>
        </is>
      </c>
      <c r="C59" s="3" t="inlineStr">
        <is>
          <t>0</t>
        </is>
      </c>
      <c r="D59" s="3" t="inlineStr">
        <is>
          <t>단독</t>
        </is>
      </c>
      <c r="E59" s="3" t="inlineStr">
        <is>
          <t>매매</t>
        </is>
      </c>
      <c r="F59" s="4" t="n">
        <v>129734</v>
      </c>
      <c r="G59" s="4" t="n">
        <v>0</v>
      </c>
      <c r="H59" s="4" t="n">
        <v>328</v>
      </c>
      <c r="I59" s="4" t="n">
        <v>99</v>
      </c>
      <c r="J59" s="5" t="n">
        <v>1310.4</v>
      </c>
      <c r="K59" s="4" t="n">
        <v>196</v>
      </c>
      <c r="L59" s="4" t="n">
        <v>59</v>
      </c>
      <c r="M59" s="5" t="n">
        <v>2198.9</v>
      </c>
      <c r="N59" s="3" t="inlineStr">
        <is>
          <t>고운동 타운하우스 매매, 조율가능, 풀옵션, 다락서비스면적</t>
        </is>
      </c>
      <c r="O59" s="6">
        <f>HYPERLINK("https://fin.land.naver.com/articles/2649079152", "매물Link")</f>
        <v/>
      </c>
      <c r="P59" s="6">
        <f>HYPERLINK("https://map.naver.com/p/search/고운동 896", "지도Link")</f>
        <v/>
      </c>
      <c r="Q59" s="6">
        <f>HYPERLINK("http://www.eum.go.kr/web/ar/lu/luLandDet.jsp?pnu=3611011200108960000&amp;isNoScr=script&amp;mode=search", "토지이음")</f>
        <v/>
      </c>
      <c r="R59" s="3" t="inlineStr">
        <is>
          <t>명진</t>
        </is>
      </c>
      <c r="S59" s="4" t="n">
        <v>1</v>
      </c>
      <c r="T59" s="5" t="n">
        <v>327.3</v>
      </c>
      <c r="U59" s="4" t="n">
        <v>14467</v>
      </c>
      <c r="V59" s="3" t="inlineStr">
        <is>
          <t>지정되지않음</t>
        </is>
      </c>
      <c r="W59" s="3" t="inlineStr">
        <is>
          <t>주거나지</t>
        </is>
      </c>
      <c r="X59" s="3" t="inlineStr">
        <is>
          <t>평지</t>
        </is>
      </c>
      <c r="Y59" s="3" t="inlineStr">
        <is>
          <t>세로장방</t>
        </is>
      </c>
      <c r="Z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2</t>
        </is>
      </c>
      <c r="C60" s="3" t="inlineStr">
        <is>
          <t>0</t>
        </is>
      </c>
      <c r="D60" s="3" t="inlineStr">
        <is>
          <t>단독</t>
        </is>
      </c>
      <c r="E60" s="3" t="inlineStr">
        <is>
          <t>매매</t>
        </is>
      </c>
      <c r="F60" s="4" t="n">
        <v>102000</v>
      </c>
      <c r="G60" s="4" t="n">
        <v>0</v>
      </c>
      <c r="H60" s="4" t="n">
        <v>299</v>
      </c>
      <c r="I60" s="4" t="n">
        <v>90</v>
      </c>
      <c r="J60" s="5" t="n">
        <v>1133.3</v>
      </c>
      <c r="K60" s="4" t="n">
        <v>171</v>
      </c>
      <c r="L60" s="4" t="n">
        <v>52</v>
      </c>
      <c r="M60" s="5" t="n">
        <v>1961.5</v>
      </c>
      <c r="N60" s="3" t="inlineStr">
        <is>
          <t>마이너스 급매 추천매물. 전세끼고매매</t>
        </is>
      </c>
      <c r="O60" s="6">
        <f>HYPERLINK("https://fin.land.naver.com/articles/2646028720", "매물Link")</f>
        <v/>
      </c>
      <c r="P60" s="6">
        <f>HYPERLINK("https://map.naver.com/p/search/고운동 896", "지도Link")</f>
        <v/>
      </c>
      <c r="Q60" s="6">
        <f>HYPERLINK("http://www.eum.go.kr/web/ar/lu/luLandDet.jsp?pnu=3611011200108960000&amp;isNoScr=script&amp;mode=search", "토지이음")</f>
        <v/>
      </c>
      <c r="R60" s="3" t="inlineStr">
        <is>
          <t>세종올리브</t>
        </is>
      </c>
      <c r="S60" s="4" t="n">
        <v>1</v>
      </c>
      <c r="T60" s="5" t="n">
        <v>327.3</v>
      </c>
      <c r="U60" s="4" t="n">
        <v>14467</v>
      </c>
      <c r="V60" s="3" t="inlineStr">
        <is>
          <t>지정되지않음</t>
        </is>
      </c>
      <c r="W60" s="3" t="inlineStr">
        <is>
          <t>주거나지</t>
        </is>
      </c>
      <c r="X60" s="3" t="inlineStr">
        <is>
          <t>평지</t>
        </is>
      </c>
      <c r="Y60" s="3" t="inlineStr">
        <is>
          <t>세로장방</t>
        </is>
      </c>
      <c r="Z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2</t>
        </is>
      </c>
      <c r="C61" s="3" t="inlineStr">
        <is>
          <t>0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378</v>
      </c>
      <c r="I61" s="4" t="n">
        <v>114</v>
      </c>
      <c r="J61" s="5" t="n">
        <v>1447.4</v>
      </c>
      <c r="K61" s="4" t="n">
        <v>220</v>
      </c>
      <c r="L61" s="4" t="n">
        <v>67</v>
      </c>
      <c r="M61" s="5" t="n">
        <v>2462.7</v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6">
        <f>HYPERLINK("http://www.eum.go.kr/web/ar/lu/luLandDet.jsp?pnu=3611011200108960000&amp;isNoScr=script&amp;mode=search", "토지이음")</f>
        <v/>
      </c>
      <c r="R61" s="3" t="inlineStr">
        <is>
          <t>서초만땅</t>
        </is>
      </c>
      <c r="S61" s="4" t="n">
        <v>1</v>
      </c>
      <c r="T61" s="5" t="n">
        <v>327.3</v>
      </c>
      <c r="U61" s="4" t="n">
        <v>14467</v>
      </c>
      <c r="V61" s="3" t="inlineStr">
        <is>
          <t>지정되지않음</t>
        </is>
      </c>
      <c r="W61" s="3" t="inlineStr">
        <is>
          <t>주거나지</t>
        </is>
      </c>
      <c r="X61" s="3" t="inlineStr">
        <is>
          <t>평지</t>
        </is>
      </c>
      <c r="Y61" s="3" t="inlineStr">
        <is>
          <t>세로장방</t>
        </is>
      </c>
      <c r="Z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2</t>
        </is>
      </c>
      <c r="C62" s="3" t="inlineStr">
        <is>
          <t>0</t>
        </is>
      </c>
      <c r="D62" s="3" t="inlineStr">
        <is>
          <t>단독</t>
        </is>
      </c>
      <c r="E62" s="3" t="inlineStr">
        <is>
          <t>매매</t>
        </is>
      </c>
      <c r="F62" s="4" t="n">
        <v>129734</v>
      </c>
      <c r="G62" s="4" t="n">
        <v>0</v>
      </c>
      <c r="H62" s="4" t="n">
        <v>328</v>
      </c>
      <c r="I62" s="4" t="n">
        <v>99</v>
      </c>
      <c r="J62" s="5" t="n">
        <v>1310.4</v>
      </c>
      <c r="K62" s="4" t="n">
        <v>196</v>
      </c>
      <c r="L62" s="4" t="n">
        <v>59</v>
      </c>
      <c r="M62" s="5" t="n">
        <v>2198.9</v>
      </c>
      <c r="N62" s="3" t="inlineStr">
        <is>
          <t>즉시입주 가능,  인기많은 D타입,  총86p</t>
        </is>
      </c>
      <c r="O62" s="6">
        <f>HYPERLINK("https://fin.land.naver.com/articles/2645252401", "매물Link")</f>
        <v/>
      </c>
      <c r="P62" s="6">
        <f>HYPERLINK("https://map.naver.com/p/search/고운동 896", "지도Link")</f>
        <v/>
      </c>
      <c r="Q62" s="6">
        <f>HYPERLINK("http://www.eum.go.kr/web/ar/lu/luLandDet.jsp?pnu=3611011200108960000&amp;isNoScr=script&amp;mode=search", "토지이음")</f>
        <v/>
      </c>
      <c r="R62" s="3" t="inlineStr">
        <is>
          <t>세종무지개</t>
        </is>
      </c>
      <c r="S62" s="4" t="n">
        <v>1</v>
      </c>
      <c r="T62" s="5" t="n">
        <v>327.3</v>
      </c>
      <c r="U62" s="4" t="n">
        <v>14467</v>
      </c>
      <c r="V62" s="3" t="inlineStr">
        <is>
          <t>지정되지않음</t>
        </is>
      </c>
      <c r="W62" s="3" t="inlineStr">
        <is>
          <t>주거나지</t>
        </is>
      </c>
      <c r="X62" s="3" t="inlineStr">
        <is>
          <t>평지</t>
        </is>
      </c>
      <c r="Y62" s="3" t="inlineStr">
        <is>
          <t>세로장방</t>
        </is>
      </c>
      <c r="Z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2</t>
        </is>
      </c>
      <c r="C63" s="3" t="inlineStr">
        <is>
          <t>0</t>
        </is>
      </c>
      <c r="D63" s="3" t="inlineStr">
        <is>
          <t>단독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286</v>
      </c>
      <c r="I63" s="4" t="n">
        <v>87</v>
      </c>
      <c r="J63" s="5" t="n">
        <v>1379.3</v>
      </c>
      <c r="K63" s="4" t="n">
        <v>196</v>
      </c>
      <c r="L63" s="4" t="n">
        <v>59</v>
      </c>
      <c r="M63" s="5" t="n">
        <v>2033.9</v>
      </c>
      <c r="N63" s="3" t="inlineStr">
        <is>
          <t>nan</t>
        </is>
      </c>
      <c r="O63" s="6">
        <f>HYPERLINK("https://fin.land.naver.com/articles/2643971901", "매물Link")</f>
        <v/>
      </c>
      <c r="P63" s="6">
        <f>HYPERLINK("https://map.naver.com/p/search/고운동 896", "지도Link")</f>
        <v/>
      </c>
      <c r="Q63" s="6">
        <f>HYPERLINK("http://www.eum.go.kr/web/ar/lu/luLandDet.jsp?pnu=3611011200108960000&amp;isNoScr=script&amp;mode=search", "토지이음")</f>
        <v/>
      </c>
      <c r="R63" s="3" t="inlineStr">
        <is>
          <t>세종스타</t>
        </is>
      </c>
      <c r="S63" s="4" t="n">
        <v>1</v>
      </c>
      <c r="T63" s="5" t="n">
        <v>327.3</v>
      </c>
      <c r="U63" s="4" t="n">
        <v>14467</v>
      </c>
      <c r="V63" s="3" t="inlineStr">
        <is>
          <t>지정되지않음</t>
        </is>
      </c>
      <c r="W63" s="3" t="inlineStr">
        <is>
          <t>주거나지</t>
        </is>
      </c>
      <c r="X63" s="3" t="inlineStr">
        <is>
          <t>평지</t>
        </is>
      </c>
      <c r="Y63" s="3" t="inlineStr">
        <is>
          <t>세로장방</t>
        </is>
      </c>
      <c r="Z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2</t>
        </is>
      </c>
      <c r="C64" s="3" t="inlineStr">
        <is>
          <t>0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357</v>
      </c>
      <c r="I64" s="4" t="n">
        <v>108</v>
      </c>
      <c r="J64" s="5" t="n">
        <v>1851.9</v>
      </c>
      <c r="K64" s="4" t="n">
        <v>199</v>
      </c>
      <c r="L64" s="4" t="n">
        <v>60</v>
      </c>
      <c r="M64" s="5" t="n">
        <v>3333.3</v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6">
        <f>HYPERLINK("http://www.eum.go.kr/web/ar/lu/luLandDet.jsp?pnu=3611010900107980000&amp;isNoScr=script&amp;mode=search", "토지이음")</f>
        <v/>
      </c>
      <c r="R64" s="3" t="inlineStr">
        <is>
          <t>세종삼촌</t>
        </is>
      </c>
      <c r="S64" s="4" t="n">
        <v>1</v>
      </c>
      <c r="T64" s="5" t="n">
        <v>319.2</v>
      </c>
      <c r="U64" s="4" t="n">
        <v>356.8</v>
      </c>
      <c r="V64" s="3" t="inlineStr">
        <is>
          <t>지정되지않음</t>
        </is>
      </c>
      <c r="W64" s="3" t="inlineStr">
        <is>
          <t>단독</t>
        </is>
      </c>
      <c r="X64" s="3" t="inlineStr">
        <is>
          <t>평지</t>
        </is>
      </c>
      <c r="Y64" s="3" t="inlineStr">
        <is>
          <t>사다리형</t>
        </is>
      </c>
      <c r="Z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2</t>
        </is>
      </c>
      <c r="C65" s="3" t="inlineStr">
        <is>
          <t>0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356</v>
      </c>
      <c r="I65" s="4" t="n">
        <v>108</v>
      </c>
      <c r="J65" s="5" t="n">
        <v>1851.9</v>
      </c>
      <c r="K65" s="4" t="n">
        <v>199</v>
      </c>
      <c r="L65" s="4" t="n">
        <v>60</v>
      </c>
      <c r="M65" s="5" t="n">
        <v>3333.3</v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6">
        <f>HYPERLINK("http://www.eum.go.kr/web/ar/lu/luLandDet.jsp?pnu=3611010900107980000&amp;isNoScr=script&amp;mode=search", "토지이음")</f>
        <v/>
      </c>
      <c r="R65" s="3" t="inlineStr">
        <is>
          <t>세종스타</t>
        </is>
      </c>
      <c r="S65" s="4" t="n">
        <v>1</v>
      </c>
      <c r="T65" s="5" t="n">
        <v>319.2</v>
      </c>
      <c r="U65" s="4" t="n">
        <v>356.8</v>
      </c>
      <c r="V65" s="3" t="inlineStr">
        <is>
          <t>지정되지않음</t>
        </is>
      </c>
      <c r="W65" s="3" t="inlineStr">
        <is>
          <t>단독</t>
        </is>
      </c>
      <c r="X65" s="3" t="inlineStr">
        <is>
          <t>평지</t>
        </is>
      </c>
      <c r="Y65" s="3" t="inlineStr">
        <is>
          <t>사다리형</t>
        </is>
      </c>
      <c r="Z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1</t>
        </is>
      </c>
      <c r="C66" s="3" t="inlineStr">
        <is>
          <t>0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289</v>
      </c>
      <c r="I66" s="4" t="n">
        <v>87</v>
      </c>
      <c r="J66" s="5" t="n">
        <v>1379.3</v>
      </c>
      <c r="K66" s="4" t="n">
        <v>199</v>
      </c>
      <c r="L66" s="4" t="n">
        <v>60</v>
      </c>
      <c r="M66" s="5" t="n">
        <v>2000</v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6">
        <f>HYPERLINK("http://www.eum.go.kr/web/ar/lu/luLandDet.jsp?pnu=3611010900108310000&amp;isNoScr=script&amp;mode=search", "토지이음")</f>
        <v/>
      </c>
      <c r="R66" s="3" t="inlineStr">
        <is>
          <t>세종스타</t>
        </is>
      </c>
      <c r="S66" s="4" t="n">
        <v>4</v>
      </c>
      <c r="T66" s="5" t="n">
        <v>341.2</v>
      </c>
      <c r="U66" s="4" t="n">
        <v>289</v>
      </c>
      <c r="V66" s="3" t="inlineStr">
        <is>
          <t>지정되지않음</t>
        </is>
      </c>
      <c r="W66" s="3" t="inlineStr">
        <is>
          <t>주거나지</t>
        </is>
      </c>
      <c r="X66" s="3" t="inlineStr">
        <is>
          <t>평지</t>
        </is>
      </c>
      <c r="Y66" s="3" t="inlineStr">
        <is>
          <t>세로장방</t>
        </is>
      </c>
      <c r="Z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2</t>
        </is>
      </c>
      <c r="C67" s="3" t="inlineStr">
        <is>
          <t>0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303</v>
      </c>
      <c r="I67" s="4" t="n">
        <v>92</v>
      </c>
      <c r="J67" s="5" t="n">
        <v>1934.8</v>
      </c>
      <c r="K67" s="4" t="n">
        <v>193</v>
      </c>
      <c r="L67" s="4" t="n">
        <v>58</v>
      </c>
      <c r="M67" s="5" t="n">
        <v>3069</v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6">
        <f>HYPERLINK("http://www.eum.go.kr/web/ar/lu/luLandDet.jsp?pnu=3611011400104260000&amp;isNoScr=script&amp;mode=search", "토지이음")</f>
        <v/>
      </c>
      <c r="R67" s="3" t="inlineStr">
        <is>
          <t>세종스타</t>
        </is>
      </c>
      <c r="S67" s="4" t="n">
        <v>3</v>
      </c>
      <c r="T67" s="5" t="n">
        <v>358.3</v>
      </c>
      <c r="U67" s="4" t="n">
        <v>303</v>
      </c>
      <c r="V67" s="3" t="inlineStr">
        <is>
          <t>지정되지않음</t>
        </is>
      </c>
      <c r="W67" s="3" t="inlineStr">
        <is>
          <t>주거나지</t>
        </is>
      </c>
      <c r="X67" s="3" t="inlineStr">
        <is>
          <t>평지</t>
        </is>
      </c>
      <c r="Y67" s="3" t="inlineStr">
        <is>
          <t>사다리형</t>
        </is>
      </c>
      <c r="Z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1</t>
        </is>
      </c>
      <c r="C68" s="3" t="inlineStr">
        <is>
          <t>0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373</v>
      </c>
      <c r="I68" s="4" t="n">
        <v>113</v>
      </c>
      <c r="J68" s="5" t="n">
        <v>1150.4</v>
      </c>
      <c r="K68" s="4" t="n">
        <v>95</v>
      </c>
      <c r="L68" s="4" t="n">
        <v>29</v>
      </c>
      <c r="M68" s="5" t="n">
        <v>4482.8</v>
      </c>
      <c r="N68" s="3" t="inlineStr">
        <is>
          <t>협의입주,말발굽자리,남향,마당넓은 예쁜집입니다.</t>
        </is>
      </c>
      <c r="O68" s="6">
        <f>HYPERLINK("https://fin.land.naver.com/articles/2648245007", "매물Link")</f>
        <v/>
      </c>
      <c r="P68" s="6">
        <f>HYPERLINK("https://map.naver.com/p/search/도담동 518", "지도Link")</f>
        <v/>
      </c>
      <c r="Q68" s="6">
        <f>HYPERLINK("http://www.eum.go.kr/web/ar/lu/luLandDet.jsp?pnu=3611011400105180000&amp;isNoScr=script&amp;mode=search", "토지이음")</f>
        <v/>
      </c>
      <c r="R68" s="3" t="inlineStr">
        <is>
          <t>마마</t>
        </is>
      </c>
      <c r="S68" s="4" t="n">
        <v>1</v>
      </c>
      <c r="T68" s="5" t="n">
        <v>366.9</v>
      </c>
      <c r="U68" s="4" t="n">
        <v>373.8</v>
      </c>
      <c r="V68" s="3" t="inlineStr">
        <is>
          <t>지정되지않음</t>
        </is>
      </c>
      <c r="W68" s="3" t="inlineStr">
        <is>
          <t>주거나지</t>
        </is>
      </c>
      <c r="X68" s="3" t="inlineStr">
        <is>
          <t>평지</t>
        </is>
      </c>
      <c r="Y68" s="3" t="inlineStr">
        <is>
          <t>정방형</t>
        </is>
      </c>
      <c r="Z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1</t>
        </is>
      </c>
      <c r="C69" s="3" t="inlineStr">
        <is>
          <t>0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373</v>
      </c>
      <c r="I69" s="4" t="n">
        <v>113</v>
      </c>
      <c r="J69" s="5" t="n">
        <v>1150.4</v>
      </c>
      <c r="K69" s="4" t="n">
        <v>95</v>
      </c>
      <c r="L69" s="4" t="n">
        <v>29</v>
      </c>
      <c r="M69" s="5" t="n">
        <v>4482.8</v>
      </c>
      <c r="N69" s="3" t="inlineStr">
        <is>
          <t>도담동 말발굽 주택</t>
        </is>
      </c>
      <c r="O69" s="6">
        <f>HYPERLINK("https://fin.land.naver.com/articles/2649456924", "매물Link")</f>
        <v/>
      </c>
      <c r="P69" s="6">
        <f>HYPERLINK("https://map.naver.com/p/search/도담동 518", "지도Link")</f>
        <v/>
      </c>
      <c r="Q69" s="6">
        <f>HYPERLINK("http://www.eum.go.kr/web/ar/lu/luLandDet.jsp?pnu=3611011400105180000&amp;isNoScr=script&amp;mode=search", "토지이음")</f>
        <v/>
      </c>
      <c r="R69" s="3" t="inlineStr">
        <is>
          <t>세종삼촌</t>
        </is>
      </c>
      <c r="S69" s="4" t="n">
        <v>2</v>
      </c>
      <c r="T69" s="5" t="n">
        <v>366.9</v>
      </c>
      <c r="U69" s="4" t="n">
        <v>373.8</v>
      </c>
      <c r="V69" s="3" t="inlineStr">
        <is>
          <t>지정되지않음</t>
        </is>
      </c>
      <c r="W69" s="3" t="inlineStr">
        <is>
          <t>주거나지</t>
        </is>
      </c>
      <c r="X69" s="3" t="inlineStr">
        <is>
          <t>평지</t>
        </is>
      </c>
      <c r="Y69" s="3" t="inlineStr">
        <is>
          <t>정방형</t>
        </is>
      </c>
      <c r="Z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1</t>
        </is>
      </c>
      <c r="C70" s="3" t="inlineStr">
        <is>
          <t>0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373</v>
      </c>
      <c r="I70" s="4" t="n">
        <v>113</v>
      </c>
      <c r="J70" s="5" t="n">
        <v>1150.4</v>
      </c>
      <c r="K70" s="4" t="n">
        <v>95</v>
      </c>
      <c r="L70" s="4" t="n">
        <v>29</v>
      </c>
      <c r="M70" s="5" t="n">
        <v>4482.8</v>
      </c>
      <c r="N70" s="3" t="inlineStr">
        <is>
          <t>마당이 넓은 예쁜 집, 텃밭, 남향</t>
        </is>
      </c>
      <c r="O70" s="6">
        <f>HYPERLINK("https://fin.land.naver.com/articles/2645492924", "매물Link")</f>
        <v/>
      </c>
      <c r="P70" s="6">
        <f>HYPERLINK("https://map.naver.com/p/search/도담동 518", "지도Link")</f>
        <v/>
      </c>
      <c r="Q70" s="6">
        <f>HYPERLINK("http://www.eum.go.kr/web/ar/lu/luLandDet.jsp?pnu=3611011400105180000&amp;isNoScr=script&amp;mode=search", "토지이음")</f>
        <v/>
      </c>
      <c r="R70" s="3" t="inlineStr">
        <is>
          <t>명진</t>
        </is>
      </c>
      <c r="S70" s="4" t="n">
        <v>1</v>
      </c>
      <c r="T70" s="5" t="n">
        <v>366.9</v>
      </c>
      <c r="U70" s="4" t="n">
        <v>373.8</v>
      </c>
      <c r="V70" s="3" t="inlineStr">
        <is>
          <t>지정되지않음</t>
        </is>
      </c>
      <c r="W70" s="3" t="inlineStr">
        <is>
          <t>주거나지</t>
        </is>
      </c>
      <c r="X70" s="3" t="inlineStr">
        <is>
          <t>평지</t>
        </is>
      </c>
      <c r="Y70" s="3" t="inlineStr">
        <is>
          <t>정방형</t>
        </is>
      </c>
      <c r="Z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2</t>
        </is>
      </c>
      <c r="C71" s="3" t="inlineStr">
        <is>
          <t>2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116</v>
      </c>
      <c r="I71" s="4" t="n">
        <v>35</v>
      </c>
      <c r="J71" s="5" t="n">
        <v>1.4</v>
      </c>
      <c r="K71" s="4" t="n">
        <v>79</v>
      </c>
      <c r="L71" s="4" t="n">
        <v>24</v>
      </c>
      <c r="M71" s="5" t="n">
        <v>2.1</v>
      </c>
      <c r="N71" s="3" t="inlineStr">
        <is>
          <t>2층만,3억전세가능,2층전용출입문,다락방,테라스,방축천 충대병원 도보</t>
        </is>
      </c>
      <c r="O71" s="6">
        <f>HYPERLINK("https://fin.land.naver.com/articles/2647449152", "매물Link")</f>
        <v/>
      </c>
      <c r="P71" s="6">
        <f>HYPERLINK("https://map.naver.com/p/search/도담동 601", "지도Link")</f>
        <v/>
      </c>
      <c r="Q71" s="6">
        <f>HYPERLINK("http://www.eum.go.kr/web/ar/lu/luLandDet.jsp?pnu=3611011400106010000&amp;isNoScr=script&amp;mode=search", "토지이음")</f>
        <v/>
      </c>
      <c r="R71" s="3" t="inlineStr">
        <is>
          <t>태복</t>
        </is>
      </c>
      <c r="S71" s="4" t="n">
        <v>2</v>
      </c>
      <c r="T71" s="5" t="n">
        <v>433.7</v>
      </c>
      <c r="U71" s="4" t="n">
        <v>294.8</v>
      </c>
      <c r="V71" s="3" t="inlineStr">
        <is>
          <t>지정되지않음</t>
        </is>
      </c>
      <c r="W71" s="3" t="inlineStr">
        <is>
          <t>주거나지</t>
        </is>
      </c>
      <c r="X71" s="3" t="inlineStr">
        <is>
          <t>평지</t>
        </is>
      </c>
      <c r="Y71" s="3" t="inlineStr">
        <is>
          <t>정방형</t>
        </is>
      </c>
      <c r="Z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2</t>
        </is>
      </c>
      <c r="C72" s="3" t="inlineStr">
        <is>
          <t>2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116</v>
      </c>
      <c r="I72" s="4" t="n">
        <v>35</v>
      </c>
      <c r="J72" s="5" t="n">
        <v>1.4</v>
      </c>
      <c r="K72" s="4" t="n">
        <v>79</v>
      </c>
      <c r="L72" s="4" t="n">
        <v>24</v>
      </c>
      <c r="M72" s="5" t="n">
        <v>2.1</v>
      </c>
      <c r="N72" s="3" t="inlineStr">
        <is>
          <t>2층과 다락방사용, 외부계단이용, 전기태양광설치, 전세로 가능</t>
        </is>
      </c>
      <c r="O72" s="6">
        <f>HYPERLINK("https://fin.land.naver.com/articles/2645583986", "매물Link")</f>
        <v/>
      </c>
      <c r="P72" s="6">
        <f>HYPERLINK("https://map.naver.com/p/search/도담동 601", "지도Link")</f>
        <v/>
      </c>
      <c r="Q72" s="6">
        <f>HYPERLINK("http://www.eum.go.kr/web/ar/lu/luLandDet.jsp?pnu=3611011400106010000&amp;isNoScr=script&amp;mode=search", "토지이음")</f>
        <v/>
      </c>
      <c r="R72" s="3" t="inlineStr">
        <is>
          <t>OK세종</t>
        </is>
      </c>
      <c r="S72" s="4" t="n">
        <v>1</v>
      </c>
      <c r="T72" s="5" t="n">
        <v>433.7</v>
      </c>
      <c r="U72" s="4" t="n">
        <v>294.8</v>
      </c>
      <c r="V72" s="3" t="inlineStr">
        <is>
          <t>지정되지않음</t>
        </is>
      </c>
      <c r="W72" s="3" t="inlineStr">
        <is>
          <t>주거나지</t>
        </is>
      </c>
      <c r="X72" s="3" t="inlineStr">
        <is>
          <t>평지</t>
        </is>
      </c>
      <c r="Y72" s="3" t="inlineStr">
        <is>
          <t>정방형</t>
        </is>
      </c>
      <c r="Z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2</t>
        </is>
      </c>
      <c r="C73" s="3" t="inlineStr">
        <is>
          <t>0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324</v>
      </c>
      <c r="I73" s="4" t="n">
        <v>98</v>
      </c>
      <c r="J73" s="5" t="n">
        <v>1734.7</v>
      </c>
      <c r="K73" s="4" t="n">
        <v>293</v>
      </c>
      <c r="L73" s="4" t="n">
        <v>89</v>
      </c>
      <c r="M73" s="5" t="n">
        <v>1910.1</v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6">
        <f>HYPERLINK("http://www.eum.go.kr/web/ar/lu/luLandDet.jsp?pnu=3611011400106970000&amp;isNoScr=script&amp;mode=search", "토지이음")</f>
        <v/>
      </c>
      <c r="R73" s="3" t="inlineStr">
        <is>
          <t>세종스타</t>
        </is>
      </c>
      <c r="S73" s="4" t="n">
        <v>2</v>
      </c>
      <c r="T73" s="5" t="n">
        <v>378.2</v>
      </c>
      <c r="U73" s="4" t="n">
        <v>324</v>
      </c>
      <c r="V73" s="3" t="inlineStr">
        <is>
          <t>지정되지않음</t>
        </is>
      </c>
      <c r="W73" s="3" t="inlineStr">
        <is>
          <t>단독</t>
        </is>
      </c>
      <c r="X73" s="3" t="inlineStr">
        <is>
          <t>평지</t>
        </is>
      </c>
      <c r="Y73" s="3" t="inlineStr">
        <is>
          <t>사다리형</t>
        </is>
      </c>
      <c r="Z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2</t>
        </is>
      </c>
      <c r="C74" s="3" t="inlineStr">
        <is>
          <t>0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324</v>
      </c>
      <c r="I74" s="4" t="n">
        <v>98</v>
      </c>
      <c r="J74" s="5" t="n">
        <v>1734.7</v>
      </c>
      <c r="K74" s="4" t="n">
        <v>293</v>
      </c>
      <c r="L74" s="4" t="n">
        <v>89</v>
      </c>
      <c r="M74" s="5" t="n">
        <v>1910.1</v>
      </c>
      <c r="N74" s="3" t="inlineStr">
        <is>
          <t>전용 89p, 조율가능, 급매물, 2세대가능, 전세도가능</t>
        </is>
      </c>
      <c r="O74" s="6">
        <f>HYPERLINK("https://fin.land.naver.com/articles/2648836474", "매물Link")</f>
        <v/>
      </c>
      <c r="P74" s="6">
        <f>HYPERLINK("https://map.naver.com/p/search/도담동 697", "지도Link")</f>
        <v/>
      </c>
      <c r="Q74" s="6">
        <f>HYPERLINK("http://www.eum.go.kr/web/ar/lu/luLandDet.jsp?pnu=3611011400106970000&amp;isNoScr=script&amp;mode=search", "토지이음")</f>
        <v/>
      </c>
      <c r="R74" s="3" t="inlineStr">
        <is>
          <t>세종무지개</t>
        </is>
      </c>
      <c r="S74" s="4" t="n">
        <v>2</v>
      </c>
      <c r="T74" s="5" t="n">
        <v>378.2</v>
      </c>
      <c r="U74" s="4" t="n">
        <v>324</v>
      </c>
      <c r="V74" s="3" t="inlineStr">
        <is>
          <t>지정되지않음</t>
        </is>
      </c>
      <c r="W74" s="3" t="inlineStr">
        <is>
          <t>단독</t>
        </is>
      </c>
      <c r="X74" s="3" t="inlineStr">
        <is>
          <t>평지</t>
        </is>
      </c>
      <c r="Y74" s="3" t="inlineStr">
        <is>
          <t>사다리형</t>
        </is>
      </c>
      <c r="Z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2</t>
        </is>
      </c>
      <c r="C75" s="3" t="inlineStr">
        <is>
          <t>0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324</v>
      </c>
      <c r="I75" s="4" t="n">
        <v>98</v>
      </c>
      <c r="J75" s="5" t="n">
        <v>2346.9</v>
      </c>
      <c r="K75" s="4" t="n">
        <v>199</v>
      </c>
      <c r="L75" s="4" t="n">
        <v>60</v>
      </c>
      <c r="M75" s="5" t="n">
        <v>3833.3</v>
      </c>
      <c r="N75" s="3" t="inlineStr">
        <is>
          <t>초품아. 도담동 학군지 단독주택, brt,</t>
        </is>
      </c>
      <c r="O75" s="6">
        <f>HYPERLINK("https://fin.land.naver.com/articles/2647898031", "매물Link")</f>
        <v/>
      </c>
      <c r="P75" s="6">
        <f>HYPERLINK("https://map.naver.com/p/search/도담동 698", "지도Link")</f>
        <v/>
      </c>
      <c r="Q75" s="6">
        <f>HYPERLINK("http://www.eum.go.kr/web/ar/lu/luLandDet.jsp?pnu=3611011400106980000&amp;isNoScr=script&amp;mode=search", "토지이음")</f>
        <v/>
      </c>
      <c r="R75" s="3" t="inlineStr">
        <is>
          <t>최무연</t>
        </is>
      </c>
      <c r="S75" s="4" t="n">
        <v>1</v>
      </c>
      <c r="T75" s="5" t="n">
        <v>382.1</v>
      </c>
      <c r="U75" s="4" t="n">
        <v>324</v>
      </c>
      <c r="V75" s="3" t="inlineStr">
        <is>
          <t>지정되지않음</t>
        </is>
      </c>
      <c r="W75" s="3" t="inlineStr">
        <is>
          <t>단독</t>
        </is>
      </c>
      <c r="X75" s="3" t="inlineStr">
        <is>
          <t>평지</t>
        </is>
      </c>
      <c r="Y75" s="3" t="inlineStr">
        <is>
          <t>가로장방</t>
        </is>
      </c>
      <c r="Z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2</t>
        </is>
      </c>
      <c r="C76" s="3" t="inlineStr">
        <is>
          <t>0</t>
        </is>
      </c>
      <c r="D76" s="3" t="inlineStr">
        <is>
          <t>단독</t>
        </is>
      </c>
      <c r="E76" s="3" t="inlineStr">
        <is>
          <t>매매</t>
        </is>
      </c>
      <c r="F76" s="4" t="n">
        <v>225000</v>
      </c>
      <c r="G76" s="4" t="n">
        <v>0</v>
      </c>
      <c r="H76" s="4" t="n">
        <v>324</v>
      </c>
      <c r="I76" s="4" t="n">
        <v>98</v>
      </c>
      <c r="J76" s="5" t="n">
        <v>2295.9</v>
      </c>
      <c r="K76" s="4" t="n">
        <v>199</v>
      </c>
      <c r="L76" s="4" t="n">
        <v>60</v>
      </c>
      <c r="M76" s="5" t="n">
        <v>3750</v>
      </c>
      <c r="N76" s="3" t="inlineStr">
        <is>
          <t>자재 하나 하나 고급진  단독 매매</t>
        </is>
      </c>
      <c r="O76" s="6">
        <f>HYPERLINK("https://fin.land.naver.com/articles/2644279347", "매물Link")</f>
        <v/>
      </c>
      <c r="P76" s="6">
        <f>HYPERLINK("https://map.naver.com/p/search/도담동 698", "지도Link")</f>
        <v/>
      </c>
      <c r="Q76" s="6">
        <f>HYPERLINK("http://www.eum.go.kr/web/ar/lu/luLandDet.jsp?pnu=3611011400106980000&amp;isNoScr=script&amp;mode=search", "토지이음")</f>
        <v/>
      </c>
      <c r="R76" s="3" t="inlineStr">
        <is>
          <t>THE행복</t>
        </is>
      </c>
      <c r="S76" s="4" t="n">
        <v>1</v>
      </c>
      <c r="T76" s="5" t="n">
        <v>382.1</v>
      </c>
      <c r="U76" s="4" t="n">
        <v>324</v>
      </c>
      <c r="V76" s="3" t="inlineStr">
        <is>
          <t>지정되지않음</t>
        </is>
      </c>
      <c r="W76" s="3" t="inlineStr">
        <is>
          <t>단독</t>
        </is>
      </c>
      <c r="X76" s="3" t="inlineStr">
        <is>
          <t>평지</t>
        </is>
      </c>
      <c r="Y76" s="3" t="inlineStr">
        <is>
          <t>가로장방</t>
        </is>
      </c>
      <c r="Z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2</t>
        </is>
      </c>
      <c r="C77" s="3" t="inlineStr">
        <is>
          <t>0</t>
        </is>
      </c>
      <c r="D77" s="3" t="inlineStr">
        <is>
          <t>단독</t>
        </is>
      </c>
      <c r="E77" s="3" t="inlineStr">
        <is>
          <t>매매</t>
        </is>
      </c>
      <c r="F77" s="4" t="n">
        <v>230000</v>
      </c>
      <c r="G77" s="4" t="n">
        <v>0</v>
      </c>
      <c r="H77" s="4" t="n">
        <v>324</v>
      </c>
      <c r="I77" s="4" t="n">
        <v>98</v>
      </c>
      <c r="J77" s="5" t="n">
        <v>2346.9</v>
      </c>
      <c r="K77" s="4" t="n">
        <v>199</v>
      </c>
      <c r="L77" s="4" t="n">
        <v>60</v>
      </c>
      <c r="M77" s="5" t="n">
        <v>3833.3</v>
      </c>
      <c r="N77" s="3" t="inlineStr">
        <is>
          <t>명성공인, 방4, 화4, 풀에어컨, 다락까지 있는 위치 좋은 추천 매물</t>
        </is>
      </c>
      <c r="O77" s="6">
        <f>HYPERLINK("https://fin.land.naver.com/articles/2644037373", "매물Link")</f>
        <v/>
      </c>
      <c r="P77" s="6">
        <f>HYPERLINK("https://map.naver.com/p/search/도담동 698", "지도Link")</f>
        <v/>
      </c>
      <c r="Q77" s="6">
        <f>HYPERLINK("http://www.eum.go.kr/web/ar/lu/luLandDet.jsp?pnu=3611011400106980000&amp;isNoScr=script&amp;mode=search", "토지이음")</f>
        <v/>
      </c>
      <c r="R77" s="3" t="inlineStr">
        <is>
          <t>명성</t>
        </is>
      </c>
      <c r="S77" s="4" t="n">
        <v>1</v>
      </c>
      <c r="T77" s="5" t="n">
        <v>382.1</v>
      </c>
      <c r="U77" s="4" t="n">
        <v>324</v>
      </c>
      <c r="V77" s="3" t="inlineStr">
        <is>
          <t>지정되지않음</t>
        </is>
      </c>
      <c r="W77" s="3" t="inlineStr">
        <is>
          <t>단독</t>
        </is>
      </c>
      <c r="X77" s="3" t="inlineStr">
        <is>
          <t>평지</t>
        </is>
      </c>
      <c r="Y77" s="3" t="inlineStr">
        <is>
          <t>가로장방</t>
        </is>
      </c>
      <c r="Z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2</t>
        </is>
      </c>
      <c r="C78" s="3" t="inlineStr">
        <is>
          <t>0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324</v>
      </c>
      <c r="I78" s="4" t="n">
        <v>98</v>
      </c>
      <c r="J78" s="5" t="n">
        <v>2295.9</v>
      </c>
      <c r="K78" s="4" t="n">
        <v>199</v>
      </c>
      <c r="L78" s="4" t="n">
        <v>60</v>
      </c>
      <c r="M78" s="5" t="n">
        <v>3750</v>
      </c>
      <c r="N78" s="3" t="inlineStr">
        <is>
          <t>도담동 최고입지 귀한 단독주택 넓은평수 목조주택</t>
        </is>
      </c>
      <c r="O78" s="6">
        <f>HYPERLINK("https://fin.land.naver.com/articles/2648380127", "매물Link")</f>
        <v/>
      </c>
      <c r="P78" s="6">
        <f>HYPERLINK("https://map.naver.com/p/search/도담동 698", "지도Link")</f>
        <v/>
      </c>
      <c r="Q78" s="6">
        <f>HYPERLINK("http://www.eum.go.kr/web/ar/lu/luLandDet.jsp?pnu=3611011400106980000&amp;isNoScr=script&amp;mode=search", "토지이음")</f>
        <v/>
      </c>
      <c r="R78" s="3" t="inlineStr">
        <is>
          <t>세종스타</t>
        </is>
      </c>
      <c r="S78" s="4" t="n">
        <v>1</v>
      </c>
      <c r="T78" s="5" t="n">
        <v>382.1</v>
      </c>
      <c r="U78" s="4" t="n">
        <v>324</v>
      </c>
      <c r="V78" s="3" t="inlineStr">
        <is>
          <t>지정되지않음</t>
        </is>
      </c>
      <c r="W78" s="3" t="inlineStr">
        <is>
          <t>단독</t>
        </is>
      </c>
      <c r="X78" s="3" t="inlineStr">
        <is>
          <t>평지</t>
        </is>
      </c>
      <c r="Y78" s="3" t="inlineStr">
        <is>
          <t>가로장방</t>
        </is>
      </c>
      <c r="Z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2</t>
        </is>
      </c>
      <c r="C79" s="3" t="inlineStr">
        <is>
          <t>0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324</v>
      </c>
      <c r="I79" s="4" t="n">
        <v>98</v>
      </c>
      <c r="J79" s="5" t="n">
        <v>2295.9</v>
      </c>
      <c r="K79" s="4" t="n">
        <v>199</v>
      </c>
      <c r="L79" s="4" t="n">
        <v>60</v>
      </c>
      <c r="M79" s="5" t="n">
        <v>3750</v>
      </c>
      <c r="N79" s="3" t="inlineStr">
        <is>
          <t>전용60.3p, 방4개, 화장실4개, 입지 좋은 단독주택</t>
        </is>
      </c>
      <c r="O79" s="6">
        <f>HYPERLINK("https://fin.land.naver.com/articles/2648833272", "매물Link")</f>
        <v/>
      </c>
      <c r="P79" s="6">
        <f>HYPERLINK("https://map.naver.com/p/search/도담동 698", "지도Link")</f>
        <v/>
      </c>
      <c r="Q79" s="6">
        <f>HYPERLINK("http://www.eum.go.kr/web/ar/lu/luLandDet.jsp?pnu=3611011400106980000&amp;isNoScr=script&amp;mode=search", "토지이음")</f>
        <v/>
      </c>
      <c r="R79" s="3" t="inlineStr">
        <is>
          <t>세종무지개</t>
        </is>
      </c>
      <c r="S79" s="4" t="n">
        <v>1</v>
      </c>
      <c r="T79" s="5" t="n">
        <v>382.1</v>
      </c>
      <c r="U79" s="4" t="n">
        <v>324</v>
      </c>
      <c r="V79" s="3" t="inlineStr">
        <is>
          <t>지정되지않음</t>
        </is>
      </c>
      <c r="W79" s="3" t="inlineStr">
        <is>
          <t>단독</t>
        </is>
      </c>
      <c r="X79" s="3" t="inlineStr">
        <is>
          <t>평지</t>
        </is>
      </c>
      <c r="Y79" s="3" t="inlineStr">
        <is>
          <t>가로장방</t>
        </is>
      </c>
      <c r="Z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1</t>
        </is>
      </c>
      <c r="C80" s="3" t="inlineStr">
        <is>
          <t>0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302</v>
      </c>
      <c r="I80" s="4" t="n">
        <v>91</v>
      </c>
      <c r="J80" s="5" t="n">
        <v>934.1</v>
      </c>
      <c r="K80" s="4" t="n">
        <v>52</v>
      </c>
      <c r="L80" s="4" t="n">
        <v>16</v>
      </c>
      <c r="M80" s="5" t="n">
        <v>5312.5</v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6">
        <f>HYPERLINK("http://www.eum.go.kr/web/ar/lu/luLandDet.jsp?pnu=3611011400107500000&amp;isNoScr=script&amp;mode=search", "토지이음")</f>
        <v/>
      </c>
      <c r="R80" s="3" t="inlineStr">
        <is>
          <t>어반나래</t>
        </is>
      </c>
      <c r="S80" s="4" t="n">
        <v>1</v>
      </c>
      <c r="T80" s="5" t="n">
        <v>382.1</v>
      </c>
      <c r="U80" s="4" t="n">
        <v>302.8</v>
      </c>
      <c r="V80" s="3" t="inlineStr">
        <is>
          <t>지정되지않음</t>
        </is>
      </c>
      <c r="W80" s="3" t="inlineStr">
        <is>
          <t>주거나지</t>
        </is>
      </c>
      <c r="X80" s="3" t="inlineStr">
        <is>
          <t>평지</t>
        </is>
      </c>
      <c r="Y80" s="3" t="inlineStr">
        <is>
          <t>세로장방</t>
        </is>
      </c>
      <c r="Z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2</t>
        </is>
      </c>
      <c r="C81" s="3" t="inlineStr">
        <is>
          <t>0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400</v>
      </c>
      <c r="I81" s="4" t="n">
        <v>121</v>
      </c>
      <c r="J81" s="5" t="n">
        <v>1900.8</v>
      </c>
      <c r="K81" s="4" t="n">
        <v>245</v>
      </c>
      <c r="L81" s="4" t="n">
        <v>74</v>
      </c>
      <c r="M81" s="5" t="n">
        <v>3108.1</v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6">
        <f>HYPERLINK("http://www.eum.go.kr/web/ar/lu/luLandDet.jsp?pnu=3611011400108970044&amp;isNoScr=script&amp;mode=search", "토지이음")</f>
        <v/>
      </c>
      <c r="R81" s="3" t="inlineStr">
        <is>
          <t>세종스타</t>
        </is>
      </c>
      <c r="S81" s="4" t="n">
        <v>2</v>
      </c>
      <c r="T81" s="5" t="n">
        <v>385.1</v>
      </c>
      <c r="U81" s="4" t="n">
        <v>400</v>
      </c>
      <c r="V81" s="3" t="inlineStr">
        <is>
          <t>지정되지않음</t>
        </is>
      </c>
      <c r="W81" s="3" t="inlineStr">
        <is>
          <t>단독</t>
        </is>
      </c>
      <c r="X81" s="3" t="inlineStr">
        <is>
          <t>평지</t>
        </is>
      </c>
      <c r="Y81" s="3" t="inlineStr">
        <is>
          <t>세로장방</t>
        </is>
      </c>
      <c r="Z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1</t>
        </is>
      </c>
      <c r="C82" s="3" t="inlineStr">
        <is>
          <t>0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939</v>
      </c>
      <c r="I82" s="4" t="n">
        <v>284</v>
      </c>
      <c r="J82" s="5" t="n">
        <v>422.5</v>
      </c>
      <c r="K82" s="4" t="n">
        <v>108</v>
      </c>
      <c r="L82" s="4" t="n">
        <v>33</v>
      </c>
      <c r="M82" s="5" t="n">
        <v>3636.4</v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6">
        <f>HYPERLINK("http://www.eum.go.kr/web/ar/lu/luLandDet.jsp?pnu=3611033028102340005&amp;isNoScr=script&amp;mode=search", "토지이음")</f>
        <v/>
      </c>
      <c r="R82" s="3" t="inlineStr">
        <is>
          <t>한얼</t>
        </is>
      </c>
      <c r="S82" s="4" t="n">
        <v>1</v>
      </c>
      <c r="T82" s="5" t="n">
        <v>89.90000000000001</v>
      </c>
      <c r="U82" s="4" t="n">
        <v>939</v>
      </c>
      <c r="V82" s="3" t="inlineStr">
        <is>
          <t>지정되지않음</t>
        </is>
      </c>
      <c r="W82" s="3" t="inlineStr">
        <is>
          <t>주거기타</t>
        </is>
      </c>
      <c r="X82" s="3" t="inlineStr">
        <is>
          <t>평지</t>
        </is>
      </c>
      <c r="Y82" s="3" t="inlineStr">
        <is>
          <t>사다리형</t>
        </is>
      </c>
      <c r="Z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2</t>
        </is>
      </c>
      <c r="C83" s="3" t="inlineStr">
        <is>
          <t>0</t>
        </is>
      </c>
      <c r="D83" s="3" t="inlineStr">
        <is>
          <t>전원주택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448</v>
      </c>
      <c r="I83" s="4" t="n">
        <v>136</v>
      </c>
      <c r="J83" s="5" t="n">
        <v>404.4</v>
      </c>
      <c r="K83" s="4" t="n">
        <v>142</v>
      </c>
      <c r="L83" s="4" t="n">
        <v>43</v>
      </c>
      <c r="M83" s="5" t="n">
        <v>1279.1</v>
      </c>
      <c r="N83" s="3" t="inlineStr">
        <is>
          <t>탁트인 전망 별장같은 멋진주택</t>
        </is>
      </c>
      <c r="O83" s="6">
        <f>HYPERLINK("https://fin.land.naver.com/articles/2648222638", "매물Link")</f>
        <v/>
      </c>
      <c r="P83" s="6">
        <f>HYPERLINK("https://map.naver.com/p/search/부강면 금호리 390-8", "지도Link")</f>
        <v/>
      </c>
      <c r="Q83" s="6">
        <f>HYPERLINK("http://www.eum.go.kr/web/ar/lu/luLandDet.jsp?pnu=3611033028103900008&amp;isNoScr=script&amp;mode=search", "토지이음")</f>
        <v/>
      </c>
      <c r="R83" s="3" t="inlineStr">
        <is>
          <t>학사</t>
        </is>
      </c>
      <c r="S83" s="4" t="n">
        <v>1</v>
      </c>
      <c r="T83" s="5" t="n">
        <v>80.7</v>
      </c>
      <c r="U83" s="4" t="n">
        <v>448</v>
      </c>
      <c r="V83" s="3" t="inlineStr">
        <is>
          <t>지정되지않음</t>
        </is>
      </c>
      <c r="W83" s="3" t="inlineStr">
        <is>
          <t>단독</t>
        </is>
      </c>
      <c r="X83" s="3" t="inlineStr">
        <is>
          <t>평지</t>
        </is>
      </c>
      <c r="Y83" s="3" t="inlineStr">
        <is>
          <t>사다리형</t>
        </is>
      </c>
      <c r="Z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2</t>
        </is>
      </c>
      <c r="C84" s="3" t="inlineStr">
        <is>
          <t>0</t>
        </is>
      </c>
      <c r="D84" s="3" t="inlineStr">
        <is>
          <t>단독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448</v>
      </c>
      <c r="I84" s="4" t="n">
        <v>136</v>
      </c>
      <c r="J84" s="5" t="n">
        <v>404.4</v>
      </c>
      <c r="K84" s="4" t="n">
        <v>142</v>
      </c>
      <c r="L84" s="4" t="n">
        <v>43</v>
      </c>
      <c r="M84" s="5" t="n">
        <v>1279.1</v>
      </c>
      <c r="N84" s="3" t="inlineStr">
        <is>
          <t>금강뷰 전원주택, 금호교 개통으로 4생활권에서 5분거리</t>
        </is>
      </c>
      <c r="O84" s="6">
        <f>HYPERLINK("https://fin.land.naver.com/articles/2649458393", "매물Link")</f>
        <v/>
      </c>
      <c r="P84" s="6">
        <f>HYPERLINK("https://map.naver.com/p/search/부강면 금호리 390-8", "지도Link")</f>
        <v/>
      </c>
      <c r="Q84" s="6">
        <f>HYPERLINK("http://www.eum.go.kr/web/ar/lu/luLandDet.jsp?pnu=3611033028103900008&amp;isNoScr=script&amp;mode=search", "토지이음")</f>
        <v/>
      </c>
      <c r="R84" s="3" t="inlineStr">
        <is>
          <t>세종삼촌</t>
        </is>
      </c>
      <c r="S84" s="4" t="n">
        <v>3</v>
      </c>
      <c r="T84" s="5" t="n">
        <v>80.7</v>
      </c>
      <c r="U84" s="4" t="n">
        <v>448</v>
      </c>
      <c r="V84" s="3" t="inlineStr">
        <is>
          <t>지정되지않음</t>
        </is>
      </c>
      <c r="W84" s="3" t="inlineStr">
        <is>
          <t>단독</t>
        </is>
      </c>
      <c r="X84" s="3" t="inlineStr">
        <is>
          <t>평지</t>
        </is>
      </c>
      <c r="Y84" s="3" t="inlineStr">
        <is>
          <t>사다리형</t>
        </is>
      </c>
      <c r="Z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1</t>
        </is>
      </c>
      <c r="C85" s="3" t="inlineStr">
        <is>
          <t>0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679</v>
      </c>
      <c r="I85" s="4" t="n">
        <v>205</v>
      </c>
      <c r="J85" s="5" t="n">
        <v>268.3</v>
      </c>
      <c r="K85" s="4" t="n">
        <v>92</v>
      </c>
      <c r="L85" s="4" t="n">
        <v>28</v>
      </c>
      <c r="M85" s="5" t="n">
        <v>1964.3</v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6">
        <f>HYPERLINK("http://www.eum.go.kr/web/ar/lu/luLandDet.jsp?pnu=3611033028106130000&amp;isNoScr=script&amp;mode=search", "토지이음")</f>
        <v/>
      </c>
      <c r="R85" s="3" t="inlineStr">
        <is>
          <t>드림</t>
        </is>
      </c>
      <c r="S85" s="4" t="n">
        <v>1</v>
      </c>
      <c r="T85" s="5" t="n">
        <v>88</v>
      </c>
      <c r="U85" s="4" t="n">
        <v>679</v>
      </c>
      <c r="V85" s="3" t="inlineStr">
        <is>
          <t>지정되지않음</t>
        </is>
      </c>
      <c r="W85" s="3" t="inlineStr">
        <is>
          <t>단독</t>
        </is>
      </c>
      <c r="X85" s="3" t="inlineStr">
        <is>
          <t>평지</t>
        </is>
      </c>
      <c r="Y85" s="3" t="inlineStr">
        <is>
          <t>부정형</t>
        </is>
      </c>
      <c r="Z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1</t>
        </is>
      </c>
      <c r="C86" s="3" t="inlineStr">
        <is>
          <t>0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379</v>
      </c>
      <c r="I86" s="4" t="n">
        <v>115</v>
      </c>
      <c r="J86" s="5" t="n">
        <v>304.3</v>
      </c>
      <c r="K86" s="4" t="n">
        <v>71</v>
      </c>
      <c r="L86" s="4" t="n">
        <v>21</v>
      </c>
      <c r="M86" s="5" t="n">
        <v>1666.7</v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6">
        <f>HYPERLINK("http://www.eum.go.kr/web/ar/lu/luLandDet.jsp?pnu=3611033028107120016&amp;isNoScr=script&amp;mode=search", "토지이음")</f>
        <v/>
      </c>
      <c r="R86" s="3" t="inlineStr">
        <is>
          <t>세종무지개</t>
        </is>
      </c>
      <c r="S86" s="4" t="n">
        <v>1</v>
      </c>
      <c r="T86" s="5" t="n">
        <v>94.5</v>
      </c>
      <c r="U86" s="4" t="n">
        <v>379</v>
      </c>
      <c r="V86" s="3" t="inlineStr">
        <is>
          <t>지정되지않음</t>
        </is>
      </c>
      <c r="W86" s="3" t="inlineStr">
        <is>
          <t>단독</t>
        </is>
      </c>
      <c r="X86" s="3" t="inlineStr">
        <is>
          <t>평지</t>
        </is>
      </c>
      <c r="Y86" s="3" t="inlineStr">
        <is>
          <t>사다리형</t>
        </is>
      </c>
      <c r="Z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1</t>
        </is>
      </c>
      <c r="C87" s="3" t="inlineStr">
        <is>
          <t>0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340</v>
      </c>
      <c r="I87" s="4" t="n">
        <v>103</v>
      </c>
      <c r="J87" s="5" t="n">
        <v>582.5</v>
      </c>
      <c r="K87" s="4" t="n">
        <v>90</v>
      </c>
      <c r="L87" s="4" t="n">
        <v>27</v>
      </c>
      <c r="M87" s="5" t="n">
        <v>2222.2</v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6">
        <f>HYPERLINK("http://www.eum.go.kr/web/ar/lu/luLandDet.jsp?pnu=3611033027103070000&amp;isNoScr=script&amp;mode=search", "토지이음")</f>
        <v/>
      </c>
      <c r="R87" s="3" t="inlineStr">
        <is>
          <t>좋은</t>
        </is>
      </c>
      <c r="S87" s="4" t="n">
        <v>1</v>
      </c>
      <c r="T87" s="5" t="n">
        <v>40.6</v>
      </c>
      <c r="U87" s="4" t="n">
        <v>340</v>
      </c>
      <c r="V87" s="3" t="inlineStr">
        <is>
          <t>지정되지않음</t>
        </is>
      </c>
      <c r="W87" s="3" t="inlineStr">
        <is>
          <t>단독</t>
        </is>
      </c>
      <c r="X87" s="3" t="inlineStr">
        <is>
          <t>완경사</t>
        </is>
      </c>
      <c r="Y87" s="3" t="inlineStr">
        <is>
          <t>자루형</t>
        </is>
      </c>
      <c r="Z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1</t>
        </is>
      </c>
      <c r="C88" s="3" t="inlineStr">
        <is>
          <t>0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1785</v>
      </c>
      <c r="I88" s="4" t="n">
        <v>540</v>
      </c>
      <c r="J88" s="5" t="n">
        <v>135.2</v>
      </c>
      <c r="K88" s="4" t="n">
        <v>531</v>
      </c>
      <c r="L88" s="4" t="n">
        <v>161</v>
      </c>
      <c r="M88" s="5" t="n">
        <v>453.4</v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HYPERLINK("https://fin.land.naver.com/articles/2649193160", "매물Link")</f>
        <v/>
      </c>
      <c r="P88" s="6">
        <f>HYPERLINK("https://map.naver.com/p/search/부강면 노호리 354", "지도Link")</f>
        <v/>
      </c>
      <c r="Q88" s="6">
        <f>HYPERLINK("http://www.eum.go.kr/web/ar/lu/luLandDet.jsp?pnu=3611033027103540000&amp;isNoScr=script&amp;mode=search", "토지이음")</f>
        <v/>
      </c>
      <c r="R88" s="3" t="inlineStr">
        <is>
          <t>수성</t>
        </is>
      </c>
      <c r="S88" s="4" t="n">
        <v>1</v>
      </c>
      <c r="T88" s="5" t="n">
        <v>45.9</v>
      </c>
      <c r="U88" s="4" t="n">
        <v>1785</v>
      </c>
      <c r="V88" s="3" t="inlineStr">
        <is>
          <t>지정되지않음</t>
        </is>
      </c>
      <c r="W88" s="3" t="inlineStr">
        <is>
          <t>단독</t>
        </is>
      </c>
      <c r="X88" s="3" t="inlineStr">
        <is>
          <t>평지</t>
        </is>
      </c>
      <c r="Y88" s="3" t="inlineStr">
        <is>
          <t>부정형</t>
        </is>
      </c>
      <c r="Z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0</t>
        </is>
      </c>
      <c r="C89" s="3" t="inlineStr">
        <is>
          <t>4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33</v>
      </c>
      <c r="I89" s="4" t="n">
        <v>10</v>
      </c>
      <c r="J89" s="5" t="n">
        <v>3.5</v>
      </c>
      <c r="K89" s="4" t="n">
        <v>29</v>
      </c>
      <c r="L89" s="4" t="n">
        <v>9</v>
      </c>
      <c r="M89" s="5" t="n">
        <v>3.9</v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6">
        <f>HYPERLINK("http://www.eum.go.kr/web/ar/lu/luLandDet.jsp?pnu=3611033021101260008&amp;isNoScr=script&amp;mode=search", "토지이음")</f>
        <v/>
      </c>
      <c r="R89" s="3" t="inlineStr">
        <is>
          <t>세종행복한</t>
        </is>
      </c>
      <c r="S89" s="4" t="n">
        <v>1</v>
      </c>
      <c r="T89" s="5" t="n">
        <v>209.7</v>
      </c>
      <c r="U89" s="4" t="n">
        <v>378</v>
      </c>
      <c r="V89" s="3" t="inlineStr">
        <is>
          <t>지정되지않음</t>
        </is>
      </c>
      <c r="W89" s="3" t="inlineStr">
        <is>
          <t>단독</t>
        </is>
      </c>
      <c r="X89" s="3" t="inlineStr">
        <is>
          <t>평지</t>
        </is>
      </c>
      <c r="Y89" s="3" t="inlineStr">
        <is>
          <t>사다리형</t>
        </is>
      </c>
      <c r="Z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0</t>
        </is>
      </c>
      <c r="C90" s="3" t="inlineStr">
        <is>
          <t>4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40</v>
      </c>
      <c r="I90" s="4" t="n">
        <v>12</v>
      </c>
      <c r="J90" s="5" t="n">
        <v>3.1</v>
      </c>
      <c r="K90" s="4" t="n">
        <v>33</v>
      </c>
      <c r="L90" s="4" t="n">
        <v>10</v>
      </c>
      <c r="M90" s="5" t="n">
        <v>3.7</v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6">
        <f>HYPERLINK("http://www.eum.go.kr/web/ar/lu/luLandDet.jsp?pnu=3611033021104190014&amp;isNoScr=script&amp;mode=search", "토지이음")</f>
        <v/>
      </c>
      <c r="R90" s="3" t="inlineStr">
        <is>
          <t>부강대박</t>
        </is>
      </c>
      <c r="S90" s="4" t="n">
        <v>1</v>
      </c>
      <c r="T90" s="5" t="n">
        <v>239.6</v>
      </c>
      <c r="U90" s="4" t="n">
        <v>317</v>
      </c>
      <c r="V90" s="3" t="inlineStr">
        <is>
          <t>지정되지않음</t>
        </is>
      </c>
      <c r="W90" s="3" t="inlineStr">
        <is>
          <t>단독</t>
        </is>
      </c>
      <c r="X90" s="3" t="inlineStr">
        <is>
          <t>평지</t>
        </is>
      </c>
      <c r="Y90" s="3" t="inlineStr">
        <is>
          <t>사다리형</t>
        </is>
      </c>
      <c r="Z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0</t>
        </is>
      </c>
      <c r="C91" s="3" t="inlineStr">
        <is>
          <t>5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40</v>
      </c>
      <c r="I91" s="4" t="n">
        <v>12</v>
      </c>
      <c r="J91" s="5" t="n">
        <v>3.8</v>
      </c>
      <c r="K91" s="4" t="n">
        <v>33</v>
      </c>
      <c r="L91" s="4" t="n">
        <v>10</v>
      </c>
      <c r="M91" s="5" t="n">
        <v>4.5</v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6">
        <f>HYPERLINK("http://www.eum.go.kr/web/ar/lu/luLandDet.jsp?pnu=3611033021104250009&amp;isNoScr=script&amp;mode=search", "토지이음")</f>
        <v/>
      </c>
      <c r="R91" s="3" t="inlineStr">
        <is>
          <t>부강대박</t>
        </is>
      </c>
      <c r="S91" s="4" t="n">
        <v>1</v>
      </c>
      <c r="T91" s="5" t="n">
        <v>256.5</v>
      </c>
      <c r="U91" s="4" t="n">
        <v>294</v>
      </c>
      <c r="V91" s="3" t="inlineStr">
        <is>
          <t>지정되지않음</t>
        </is>
      </c>
      <c r="W91" s="3" t="inlineStr">
        <is>
          <t>단독</t>
        </is>
      </c>
      <c r="X91" s="3" t="inlineStr">
        <is>
          <t>평지</t>
        </is>
      </c>
      <c r="Y91" s="3" t="inlineStr">
        <is>
          <t>사다리형</t>
        </is>
      </c>
      <c r="Z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2</t>
        </is>
      </c>
      <c r="C92" s="3" t="inlineStr">
        <is>
          <t>3</t>
        </is>
      </c>
      <c r="D92" s="3" t="inlineStr">
        <is>
          <t>일반원룸</t>
        </is>
      </c>
      <c r="E92" s="3" t="inlineStr">
        <is>
          <t>월세</t>
        </is>
      </c>
      <c r="F92" s="4" t="n">
        <v>300</v>
      </c>
      <c r="G92" s="4" t="n">
        <v>50</v>
      </c>
      <c r="H92" s="4" t="n">
        <v>45</v>
      </c>
      <c r="I92" s="4" t="n">
        <v>14</v>
      </c>
      <c r="J92" s="5" t="n">
        <v>3.6</v>
      </c>
      <c r="K92" s="4" t="n">
        <v>33</v>
      </c>
      <c r="L92" s="4" t="n">
        <v>10</v>
      </c>
      <c r="M92" s="5" t="n">
        <v>5</v>
      </c>
      <c r="N92" s="3" t="inlineStr">
        <is>
          <t>편의시설 초근접 풀옵션 1.5룸</t>
        </is>
      </c>
      <c r="O92" s="6">
        <f>HYPERLINK("https://fin.land.naver.com/articles/2647216211", "매물Link")</f>
        <v/>
      </c>
      <c r="P92" s="6">
        <f>HYPERLINK("https://map.naver.com/p/search/부강면 부강리 463-10", "지도Link")</f>
        <v/>
      </c>
      <c r="Q92" s="6">
        <f>HYPERLINK("http://www.eum.go.kr/web/ar/lu/luLandDet.jsp?pnu=3611033021104630010&amp;isNoScr=script&amp;mode=search", "토지이음")</f>
        <v/>
      </c>
      <c r="R92" s="3" t="inlineStr">
        <is>
          <t>세종시</t>
        </is>
      </c>
      <c r="S92" s="4" t="n">
        <v>1</v>
      </c>
      <c r="T92" s="5" t="n">
        <v>212.4</v>
      </c>
      <c r="U92" s="4" t="n">
        <v>932</v>
      </c>
      <c r="V92" s="3" t="inlineStr">
        <is>
          <t>지정되지않음</t>
        </is>
      </c>
      <c r="W92" s="3" t="inlineStr">
        <is>
          <t>단독</t>
        </is>
      </c>
      <c r="X92" s="3" t="inlineStr">
        <is>
          <t>평지</t>
        </is>
      </c>
      <c r="Y92" s="3" t="inlineStr">
        <is>
          <t>가로장방</t>
        </is>
      </c>
      <c r="Z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2</t>
        </is>
      </c>
      <c r="C93" s="3" t="inlineStr">
        <is>
          <t>3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45</v>
      </c>
      <c r="I93" s="4" t="n">
        <v>14</v>
      </c>
      <c r="J93" s="5" t="n">
        <v>3.2</v>
      </c>
      <c r="K93" s="4" t="n">
        <v>30</v>
      </c>
      <c r="L93" s="4" t="n">
        <v>9</v>
      </c>
      <c r="M93" s="5" t="n">
        <v>5</v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6">
        <f>HYPERLINK("http://www.eum.go.kr/web/ar/lu/luLandDet.jsp?pnu=3611033021104630010&amp;isNoScr=script&amp;mode=search", "토지이음")</f>
        <v/>
      </c>
      <c r="R93" s="3" t="inlineStr">
        <is>
          <t>세종시</t>
        </is>
      </c>
      <c r="S93" s="4" t="n">
        <v>1</v>
      </c>
      <c r="T93" s="5" t="n">
        <v>212.4</v>
      </c>
      <c r="U93" s="4" t="n">
        <v>932</v>
      </c>
      <c r="V93" s="3" t="inlineStr">
        <is>
          <t>지정되지않음</t>
        </is>
      </c>
      <c r="W93" s="3" t="inlineStr">
        <is>
          <t>단독</t>
        </is>
      </c>
      <c r="X93" s="3" t="inlineStr">
        <is>
          <t>평지</t>
        </is>
      </c>
      <c r="Y93" s="3" t="inlineStr">
        <is>
          <t>가로장방</t>
        </is>
      </c>
      <c r="Z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3</t>
        </is>
      </c>
      <c r="C94" s="3" t="inlineStr">
        <is>
          <t>3</t>
        </is>
      </c>
      <c r="D94" s="3" t="inlineStr">
        <is>
          <t>다가구</t>
        </is>
      </c>
      <c r="E94" s="3" t="inlineStr">
        <is>
          <t>전세</t>
        </is>
      </c>
      <c r="F94" s="4" t="n">
        <v>5000</v>
      </c>
      <c r="G94" s="4" t="n">
        <v>0</v>
      </c>
      <c r="H94" s="4" t="n">
        <v>45</v>
      </c>
      <c r="I94" s="4" t="n">
        <v>14</v>
      </c>
      <c r="J94" s="5" t="n">
        <v>357.1</v>
      </c>
      <c r="K94" s="4" t="n">
        <v>35</v>
      </c>
      <c r="L94" s="4" t="n">
        <v>11</v>
      </c>
      <c r="M94" s="5" t="n">
        <v>454.5</v>
      </c>
      <c r="N94" s="3" t="inlineStr">
        <is>
          <t>주차용이, 편의시설 초근접 1.5룸</t>
        </is>
      </c>
      <c r="O94" s="6">
        <f>HYPERLINK("https://fin.land.naver.com/articles/2645479915", "매물Link")</f>
        <v/>
      </c>
      <c r="P94" s="6">
        <f>HYPERLINK("https://map.naver.com/p/search/부강면 부강리 463-10", "지도Link")</f>
        <v/>
      </c>
      <c r="Q94" s="6">
        <f>HYPERLINK("http://www.eum.go.kr/web/ar/lu/luLandDet.jsp?pnu=3611033021104630010&amp;isNoScr=script&amp;mode=search", "토지이음")</f>
        <v/>
      </c>
      <c r="R94" s="3" t="inlineStr">
        <is>
          <t>세종시</t>
        </is>
      </c>
      <c r="S94" s="4" t="n">
        <v>1</v>
      </c>
      <c r="T94" s="5" t="n">
        <v>212.4</v>
      </c>
      <c r="U94" s="4" t="n">
        <v>932</v>
      </c>
      <c r="V94" s="3" t="inlineStr">
        <is>
          <t>지정되지않음</t>
        </is>
      </c>
      <c r="W94" s="3" t="inlineStr">
        <is>
          <t>단독</t>
        </is>
      </c>
      <c r="X94" s="3" t="inlineStr">
        <is>
          <t>평지</t>
        </is>
      </c>
      <c r="Y94" s="3" t="inlineStr">
        <is>
          <t>가로장방</t>
        </is>
      </c>
      <c r="Z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3</t>
        </is>
      </c>
      <c r="C95" s="3" t="inlineStr">
        <is>
          <t>4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28</v>
      </c>
      <c r="I95" s="4" t="n">
        <v>8</v>
      </c>
      <c r="J95" s="5" t="n">
        <v>4</v>
      </c>
      <c r="K95" s="4" t="n">
        <v>18</v>
      </c>
      <c r="L95" s="4" t="n">
        <v>5</v>
      </c>
      <c r="M95" s="5" t="n">
        <v>6.4</v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6">
        <f>HYPERLINK("http://www.eum.go.kr/web/ar/lu/luLandDet.jsp?pnu=3611033021109390000&amp;isNoScr=script&amp;mode=search", "토지이음")</f>
        <v/>
      </c>
      <c r="R95" s="3" t="inlineStr">
        <is>
          <t>세종행복한</t>
        </is>
      </c>
      <c r="S95" s="4" t="n">
        <v>1</v>
      </c>
      <c r="T95" s="5" t="n">
        <v>204.4</v>
      </c>
      <c r="U95" s="4" t="n">
        <v>285</v>
      </c>
      <c r="V95" s="3" t="inlineStr">
        <is>
          <t>지정되지않음</t>
        </is>
      </c>
      <c r="W95" s="3" t="inlineStr">
        <is>
          <t>연립</t>
        </is>
      </c>
      <c r="X95" s="3" t="inlineStr">
        <is>
          <t>평지</t>
        </is>
      </c>
      <c r="Y95" s="3" t="inlineStr">
        <is>
          <t>부정형</t>
        </is>
      </c>
      <c r="Z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3</t>
        </is>
      </c>
      <c r="C96" s="3" t="inlineStr">
        <is>
          <t>4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60</v>
      </c>
      <c r="I96" s="4" t="n">
        <v>18</v>
      </c>
      <c r="J96" s="5" t="n">
        <v>2.5</v>
      </c>
      <c r="K96" s="4" t="n">
        <v>50</v>
      </c>
      <c r="L96" s="4" t="n">
        <v>15</v>
      </c>
      <c r="M96" s="5" t="n">
        <v>3</v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6">
        <f>HYPERLINK("http://www.eum.go.kr/web/ar/lu/luLandDet.jsp?pnu=3611033021109420002&amp;isNoScr=script&amp;mode=search", "토지이음")</f>
        <v/>
      </c>
      <c r="R96" s="3" t="inlineStr">
        <is>
          <t>지원</t>
        </is>
      </c>
      <c r="S96" s="4" t="n">
        <v>1</v>
      </c>
      <c r="T96" s="5" t="n">
        <v>195.4</v>
      </c>
      <c r="U96" s="4" t="n">
        <v>385</v>
      </c>
      <c r="V96" s="3" t="inlineStr">
        <is>
          <t>지정되지않음</t>
        </is>
      </c>
      <c r="W96" s="3" t="inlineStr">
        <is>
          <t>단독</t>
        </is>
      </c>
      <c r="X96" s="3" t="inlineStr">
        <is>
          <t>평지</t>
        </is>
      </c>
      <c r="Y96" s="3" t="inlineStr">
        <is>
          <t>사다리형</t>
        </is>
      </c>
      <c r="Z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3</t>
        </is>
      </c>
      <c r="C97" s="3" t="inlineStr">
        <is>
          <t>4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50</v>
      </c>
      <c r="I97" s="4" t="n">
        <v>15</v>
      </c>
      <c r="J97" s="5" t="n">
        <v>3.3</v>
      </c>
      <c r="K97" s="4" t="n">
        <v>40</v>
      </c>
      <c r="L97" s="4" t="n">
        <v>12</v>
      </c>
      <c r="M97" s="5" t="n">
        <v>4.2</v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6">
        <f>HYPERLINK("http://www.eum.go.kr/web/ar/lu/luLandDet.jsp?pnu=3611033021109700011&amp;isNoScr=script&amp;mode=search", "토지이음")</f>
        <v/>
      </c>
      <c r="R97" s="3" t="inlineStr">
        <is>
          <t>지원</t>
        </is>
      </c>
      <c r="S97" s="4" t="n">
        <v>1</v>
      </c>
      <c r="T97" s="5" t="n">
        <v>212.9</v>
      </c>
      <c r="U97" s="4" t="n">
        <v>392</v>
      </c>
      <c r="V97" s="3" t="inlineStr">
        <is>
          <t>지정되지않음</t>
        </is>
      </c>
      <c r="W97" s="3" t="inlineStr">
        <is>
          <t>단독</t>
        </is>
      </c>
      <c r="X97" s="3" t="inlineStr">
        <is>
          <t>평지</t>
        </is>
      </c>
      <c r="Y97" s="3" t="inlineStr">
        <is>
          <t>사다리형</t>
        </is>
      </c>
      <c r="Z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2</t>
        </is>
      </c>
      <c r="C98" s="3" t="inlineStr">
        <is>
          <t>0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33</v>
      </c>
      <c r="I98" s="4" t="n">
        <v>10</v>
      </c>
      <c r="J98" s="5" t="n">
        <v>14000</v>
      </c>
      <c r="K98" s="4" t="n">
        <v>157</v>
      </c>
      <c r="L98" s="4" t="n">
        <v>47</v>
      </c>
      <c r="M98" s="5" t="n">
        <v>2978.7</v>
      </c>
      <c r="N98" s="3" t="inlineStr">
        <is>
          <t>교통편리한 세종 아름동 주택가, 서울세종고속도로,국도1호선, 세종외곽도로</t>
        </is>
      </c>
      <c r="O98" s="6">
        <f>HYPERLINK("https://fin.land.naver.com/articles/2643990747", "매물Link")</f>
        <v/>
      </c>
      <c r="P98" s="6">
        <f>HYPERLINK("https://map.naver.com/p/search/아름동 1046", "지도Link")</f>
        <v/>
      </c>
      <c r="Q98" s="6">
        <f>HYPERLINK("http://www.eum.go.kr/web/ar/lu/luLandDet.jsp?pnu=3611011300110460000&amp;isNoScr=script&amp;mode=search", "토지이음")</f>
        <v/>
      </c>
      <c r="R98" s="3" t="inlineStr">
        <is>
          <t>아름</t>
        </is>
      </c>
      <c r="S98" s="4" t="n">
        <v>1</v>
      </c>
      <c r="T98" s="5" t="n">
        <v>353.1</v>
      </c>
      <c r="U98" s="4" t="n">
        <v>332.4</v>
      </c>
      <c r="V98" s="3" t="inlineStr">
        <is>
          <t>지정되지않음</t>
        </is>
      </c>
      <c r="W98" s="3" t="inlineStr">
        <is>
          <t>단독</t>
        </is>
      </c>
      <c r="X98" s="3" t="inlineStr">
        <is>
          <t>평지</t>
        </is>
      </c>
      <c r="Y98" s="3" t="inlineStr">
        <is>
          <t>가로장방</t>
        </is>
      </c>
      <c r="Z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2</t>
        </is>
      </c>
      <c r="C99" s="3" t="inlineStr">
        <is>
          <t>0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332</v>
      </c>
      <c r="I99" s="4" t="n">
        <v>100</v>
      </c>
      <c r="J99" s="5" t="n">
        <v>1400</v>
      </c>
      <c r="K99" s="4" t="n">
        <v>165</v>
      </c>
      <c r="L99" s="4" t="n">
        <v>50</v>
      </c>
      <c r="M99" s="5" t="n">
        <v>2800</v>
      </c>
      <c r="N99" s="3" t="inlineStr">
        <is>
          <t>세종 최선호 택지지구내 고급주택, 충남대병원, 음식점 등 가까워 생활편리</t>
        </is>
      </c>
      <c r="O99" s="6">
        <f>HYPERLINK("https://fin.land.naver.com/articles/2644835914", "매물Link")</f>
        <v/>
      </c>
      <c r="P99" s="6">
        <f>HYPERLINK("https://map.naver.com/p/search/아름동 1046", "지도Link")</f>
        <v/>
      </c>
      <c r="Q99" s="6">
        <f>HYPERLINK("http://www.eum.go.kr/web/ar/lu/luLandDet.jsp?pnu=3611011300110460000&amp;isNoScr=script&amp;mode=search", "토지이음")</f>
        <v/>
      </c>
      <c r="R99" s="3" t="inlineStr">
        <is>
          <t>온뜰</t>
        </is>
      </c>
      <c r="S99" s="4" t="n">
        <v>1</v>
      </c>
      <c r="T99" s="5" t="n">
        <v>353.1</v>
      </c>
      <c r="U99" s="4" t="n">
        <v>332.4</v>
      </c>
      <c r="V99" s="3" t="inlineStr">
        <is>
          <t>지정되지않음</t>
        </is>
      </c>
      <c r="W99" s="3" t="inlineStr">
        <is>
          <t>단독</t>
        </is>
      </c>
      <c r="X99" s="3" t="inlineStr">
        <is>
          <t>평지</t>
        </is>
      </c>
      <c r="Y99" s="3" t="inlineStr">
        <is>
          <t>가로장방</t>
        </is>
      </c>
      <c r="Z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2</t>
        </is>
      </c>
      <c r="C100" s="3" t="inlineStr">
        <is>
          <t>0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328</v>
      </c>
      <c r="I100" s="4" t="n">
        <v>99</v>
      </c>
      <c r="J100" s="5" t="n">
        <v>1313.1</v>
      </c>
      <c r="K100" s="4" t="n">
        <v>148</v>
      </c>
      <c r="L100" s="4" t="n">
        <v>45</v>
      </c>
      <c r="M100" s="5" t="n">
        <v>2888.9</v>
      </c>
      <c r="N100" s="3" t="inlineStr">
        <is>
          <t>조율가능 국제고인근 정남향 아이들의 놀이터같은 특색주택</t>
        </is>
      </c>
      <c r="O100" s="6">
        <f>HYPERLINK("https://fin.land.naver.com/articles/2648716323", "매물Link")</f>
        <v/>
      </c>
      <c r="P100" s="6">
        <f>HYPERLINK("https://map.naver.com/p/search/아름동 1148", "지도Link")</f>
        <v/>
      </c>
      <c r="Q100" s="6">
        <f>HYPERLINK("http://www.eum.go.kr/web/ar/lu/luLandDet.jsp?pnu=3611011300111480000&amp;isNoScr=script&amp;mode=search", "토지이음")</f>
        <v/>
      </c>
      <c r="R100" s="3" t="inlineStr">
        <is>
          <t>세종스타</t>
        </is>
      </c>
      <c r="S100" s="4" t="n">
        <v>2</v>
      </c>
      <c r="T100" s="5" t="n">
        <v>356.4</v>
      </c>
      <c r="U100" s="4" t="n">
        <v>328.7</v>
      </c>
      <c r="V100" s="3" t="inlineStr">
        <is>
          <t>지정되지않음</t>
        </is>
      </c>
      <c r="W100" s="3" t="inlineStr">
        <is>
          <t>단독</t>
        </is>
      </c>
      <c r="X100" s="3" t="inlineStr">
        <is>
          <t>평지</t>
        </is>
      </c>
      <c r="Y100" s="3" t="inlineStr">
        <is>
          <t>가로장방</t>
        </is>
      </c>
      <c r="Z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2</t>
        </is>
      </c>
      <c r="C101" s="3" t="inlineStr">
        <is>
          <t>0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328</v>
      </c>
      <c r="I101" s="4" t="n">
        <v>99</v>
      </c>
      <c r="J101" s="5" t="n">
        <v>1313.1</v>
      </c>
      <c r="K101" s="4" t="n">
        <v>148</v>
      </c>
      <c r="L101" s="4" t="n">
        <v>45</v>
      </c>
      <c r="M101" s="5" t="n">
        <v>2888.9</v>
      </c>
      <c r="N101" s="3" t="inlineStr">
        <is>
          <t>벽난로,태양광, 어린이 를 위한 공간, 가격절충</t>
        </is>
      </c>
      <c r="O101" s="6">
        <f>HYPERLINK("https://fin.land.naver.com/articles/2646426563", "매물Link")</f>
        <v/>
      </c>
      <c r="P101" s="6">
        <f>HYPERLINK("https://map.naver.com/p/search/아름동 1148", "지도Link")</f>
        <v/>
      </c>
      <c r="Q101" s="6">
        <f>HYPERLINK("http://www.eum.go.kr/web/ar/lu/luLandDet.jsp?pnu=3611011300111480000&amp;isNoScr=script&amp;mode=search", "토지이음")</f>
        <v/>
      </c>
      <c r="R101" s="3" t="inlineStr">
        <is>
          <t>세종삼촌</t>
        </is>
      </c>
      <c r="S101" s="4" t="n">
        <v>1</v>
      </c>
      <c r="T101" s="5" t="n">
        <v>356.4</v>
      </c>
      <c r="U101" s="4" t="n">
        <v>328.7</v>
      </c>
      <c r="V101" s="3" t="inlineStr">
        <is>
          <t>지정되지않음</t>
        </is>
      </c>
      <c r="W101" s="3" t="inlineStr">
        <is>
          <t>단독</t>
        </is>
      </c>
      <c r="X101" s="3" t="inlineStr">
        <is>
          <t>평지</t>
        </is>
      </c>
      <c r="Y101" s="3" t="inlineStr">
        <is>
          <t>가로장방</t>
        </is>
      </c>
      <c r="Z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2</t>
        </is>
      </c>
      <c r="C102" s="3" t="inlineStr">
        <is>
          <t>0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328</v>
      </c>
      <c r="I102" s="4" t="n">
        <v>99</v>
      </c>
      <c r="J102" s="5" t="n">
        <v>1313.1</v>
      </c>
      <c r="K102" s="4" t="n">
        <v>148</v>
      </c>
      <c r="L102" s="4" t="n">
        <v>45</v>
      </c>
      <c r="M102" s="5" t="n">
        <v>2888.9</v>
      </c>
      <c r="N102" s="3" t="inlineStr">
        <is>
          <t>남향집으로 따뜻한 집 입니다. 입주는 협의 가능하며 가격절충가능합니다.</t>
        </is>
      </c>
      <c r="O102" s="6">
        <f>HYPERLINK("https://fin.land.naver.com/articles/2647499785", "매물Link")</f>
        <v/>
      </c>
      <c r="P102" s="6">
        <f>HYPERLINK("https://map.naver.com/p/search/아름동 1148", "지도Link")</f>
        <v/>
      </c>
      <c r="Q102" s="6">
        <f>HYPERLINK("http://www.eum.go.kr/web/ar/lu/luLandDet.jsp?pnu=3611011300111480000&amp;isNoScr=script&amp;mode=search", "토지이음")</f>
        <v/>
      </c>
      <c r="R102" s="3" t="inlineStr">
        <is>
          <t>주황푸르지오</t>
        </is>
      </c>
      <c r="S102" s="4" t="n">
        <v>1</v>
      </c>
      <c r="T102" s="5" t="n">
        <v>356.4</v>
      </c>
      <c r="U102" s="4" t="n">
        <v>328.7</v>
      </c>
      <c r="V102" s="3" t="inlineStr">
        <is>
          <t>지정되지않음</t>
        </is>
      </c>
      <c r="W102" s="3" t="inlineStr">
        <is>
          <t>단독</t>
        </is>
      </c>
      <c r="X102" s="3" t="inlineStr">
        <is>
          <t>평지</t>
        </is>
      </c>
      <c r="Y102" s="3" t="inlineStr">
        <is>
          <t>가로장방</t>
        </is>
      </c>
      <c r="Z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1</t>
        </is>
      </c>
      <c r="C103" s="3" t="inlineStr">
        <is>
          <t>0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328</v>
      </c>
      <c r="I103" s="4" t="n">
        <v>99</v>
      </c>
      <c r="J103" s="5" t="n">
        <v>1313.1</v>
      </c>
      <c r="K103" s="4" t="n">
        <v>148</v>
      </c>
      <c r="L103" s="4" t="n">
        <v>45</v>
      </c>
      <c r="M103" s="5" t="n">
        <v>2888.9</v>
      </c>
      <c r="N103" s="3" t="inlineStr">
        <is>
          <t>벽난로, 태양광, 정남향으로 가격조율가능한 단독주택</t>
        </is>
      </c>
      <c r="O103" s="6">
        <f>HYPERLINK("https://fin.land.naver.com/articles/2648905063", "매물Link")</f>
        <v/>
      </c>
      <c r="P103" s="6">
        <f>HYPERLINK("https://map.naver.com/p/search/아름동 1148", "지도Link")</f>
        <v/>
      </c>
      <c r="Q103" s="6">
        <f>HYPERLINK("http://www.eum.go.kr/web/ar/lu/luLandDet.jsp?pnu=3611011300111480000&amp;isNoScr=script&amp;mode=search", "토지이음")</f>
        <v/>
      </c>
      <c r="R103" s="3" t="inlineStr">
        <is>
          <t>명진</t>
        </is>
      </c>
      <c r="S103" s="4" t="n">
        <v>2</v>
      </c>
      <c r="T103" s="5" t="n">
        <v>356.4</v>
      </c>
      <c r="U103" s="4" t="n">
        <v>328.7</v>
      </c>
      <c r="V103" s="3" t="inlineStr">
        <is>
          <t>지정되지않음</t>
        </is>
      </c>
      <c r="W103" s="3" t="inlineStr">
        <is>
          <t>단독</t>
        </is>
      </c>
      <c r="X103" s="3" t="inlineStr">
        <is>
          <t>평지</t>
        </is>
      </c>
      <c r="Y103" s="3" t="inlineStr">
        <is>
          <t>가로장방</t>
        </is>
      </c>
      <c r="Z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2</t>
        </is>
      </c>
      <c r="C104" s="3" t="inlineStr">
        <is>
          <t>0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353</v>
      </c>
      <c r="I104" s="4" t="n">
        <v>107</v>
      </c>
      <c r="J104" s="5" t="n">
        <v>1308.4</v>
      </c>
      <c r="K104" s="4" t="n">
        <v>160</v>
      </c>
      <c r="L104" s="4" t="n">
        <v>48</v>
      </c>
      <c r="M104" s="5" t="n">
        <v>2916.7</v>
      </c>
      <c r="N104" s="3" t="inlineStr">
        <is>
          <t>시스템에어컨풀, 주인거주, 협의입주, 1.2층 단독주택</t>
        </is>
      </c>
      <c r="O104" s="6">
        <f>HYPERLINK("https://fin.land.naver.com/articles/2646689830", "매물Link")</f>
        <v/>
      </c>
      <c r="P104" s="6">
        <f>HYPERLINK("https://map.naver.com/p/search/아름동 1241", "지도Link")</f>
        <v/>
      </c>
      <c r="Q104" s="6">
        <f>HYPERLINK("http://www.eum.go.kr/web/ar/lu/luLandDet.jsp?pnu=3611011300112410000&amp;isNoScr=script&amp;mode=search", "토지이음")</f>
        <v/>
      </c>
      <c r="R104" s="3" t="inlineStr">
        <is>
          <t>세종무지개</t>
        </is>
      </c>
      <c r="S104" s="4" t="n">
        <v>1</v>
      </c>
      <c r="T104" s="5" t="n">
        <v>343.1</v>
      </c>
      <c r="U104" s="4" t="n">
        <v>353.2</v>
      </c>
      <c r="V104" s="3" t="inlineStr">
        <is>
          <t>지정되지않음</t>
        </is>
      </c>
      <c r="W104" s="3" t="inlineStr">
        <is>
          <t>단독</t>
        </is>
      </c>
      <c r="X104" s="3" t="inlineStr">
        <is>
          <t>평지</t>
        </is>
      </c>
      <c r="Y104" s="3" t="inlineStr">
        <is>
          <t>가로장방</t>
        </is>
      </c>
      <c r="Z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2</t>
        </is>
      </c>
      <c r="C105" s="3" t="inlineStr">
        <is>
          <t>0</t>
        </is>
      </c>
      <c r="D105" s="3" t="inlineStr">
        <is>
          <t>단독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353</v>
      </c>
      <c r="I105" s="4" t="n">
        <v>107</v>
      </c>
      <c r="J105" s="5" t="n">
        <v>1308.4</v>
      </c>
      <c r="K105" s="4" t="n">
        <v>160</v>
      </c>
      <c r="L105" s="4" t="n">
        <v>48</v>
      </c>
      <c r="M105" s="5" t="n">
        <v>2916.7</v>
      </c>
      <c r="N105" s="3" t="inlineStr">
        <is>
          <t>주택 에어컨5개 마당있고 편안한 주택매물입니다.</t>
        </is>
      </c>
      <c r="O105" s="6">
        <f>HYPERLINK("https://fin.land.naver.com/articles/2648169316", "매물Link")</f>
        <v/>
      </c>
      <c r="P105" s="6">
        <f>HYPERLINK("https://map.naver.com/p/search/아름동 1241", "지도Link")</f>
        <v/>
      </c>
      <c r="Q105" s="6">
        <f>HYPERLINK("http://www.eum.go.kr/web/ar/lu/luLandDet.jsp?pnu=3611011300112410000&amp;isNoScr=script&amp;mode=search", "토지이음")</f>
        <v/>
      </c>
      <c r="R105" s="3" t="inlineStr">
        <is>
          <t>세석</t>
        </is>
      </c>
      <c r="S105" s="4" t="n">
        <v>1</v>
      </c>
      <c r="T105" s="5" t="n">
        <v>343.1</v>
      </c>
      <c r="U105" s="4" t="n">
        <v>353.2</v>
      </c>
      <c r="V105" s="3" t="inlineStr">
        <is>
          <t>지정되지않음</t>
        </is>
      </c>
      <c r="W105" s="3" t="inlineStr">
        <is>
          <t>단독</t>
        </is>
      </c>
      <c r="X105" s="3" t="inlineStr">
        <is>
          <t>평지</t>
        </is>
      </c>
      <c r="Y105" s="3" t="inlineStr">
        <is>
          <t>가로장방</t>
        </is>
      </c>
      <c r="Z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2</t>
        </is>
      </c>
      <c r="C106" s="3" t="inlineStr">
        <is>
          <t>0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353</v>
      </c>
      <c r="I106" s="4" t="n">
        <v>107</v>
      </c>
      <c r="J106" s="5" t="n">
        <v>1308.4</v>
      </c>
      <c r="K106" s="4" t="n">
        <v>160</v>
      </c>
      <c r="L106" s="4" t="n">
        <v>48</v>
      </c>
      <c r="M106" s="5" t="n">
        <v>2916.7</v>
      </c>
      <c r="N106" s="3" t="inlineStr">
        <is>
          <t>전용 48.6p, 1.2층 단독주택, 시스템에어컨풀, 협의입주</t>
        </is>
      </c>
      <c r="O106" s="6">
        <f>HYPERLINK("https://fin.land.naver.com/articles/2648906147", "매물Link")</f>
        <v/>
      </c>
      <c r="P106" s="6">
        <f>HYPERLINK("https://map.naver.com/p/search/아름동 1241", "지도Link")</f>
        <v/>
      </c>
      <c r="Q106" s="6">
        <f>HYPERLINK("http://www.eum.go.kr/web/ar/lu/luLandDet.jsp?pnu=3611011300112410000&amp;isNoScr=script&amp;mode=search", "토지이음")</f>
        <v/>
      </c>
      <c r="R106" s="3" t="inlineStr">
        <is>
          <t>명진</t>
        </is>
      </c>
      <c r="S106" s="4" t="n">
        <v>1</v>
      </c>
      <c r="T106" s="5" t="n">
        <v>343.1</v>
      </c>
      <c r="U106" s="4" t="n">
        <v>353.2</v>
      </c>
      <c r="V106" s="3" t="inlineStr">
        <is>
          <t>지정되지않음</t>
        </is>
      </c>
      <c r="W106" s="3" t="inlineStr">
        <is>
          <t>단독</t>
        </is>
      </c>
      <c r="X106" s="3" t="inlineStr">
        <is>
          <t>평지</t>
        </is>
      </c>
      <c r="Y106" s="3" t="inlineStr">
        <is>
          <t>가로장방</t>
        </is>
      </c>
      <c r="Z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2</t>
        </is>
      </c>
      <c r="C107" s="3" t="inlineStr">
        <is>
          <t>0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353</v>
      </c>
      <c r="I107" s="4" t="n">
        <v>107</v>
      </c>
      <c r="J107" s="5" t="n">
        <v>1355.1</v>
      </c>
      <c r="K107" s="4" t="n">
        <v>160</v>
      </c>
      <c r="L107" s="4" t="n">
        <v>48</v>
      </c>
      <c r="M107" s="5" t="n">
        <v>3020.8</v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6">
        <f>HYPERLINK("http://www.eum.go.kr/web/ar/lu/luLandDet.jsp?pnu=3611011300112410000&amp;isNoScr=script&amp;mode=search", "토지이음")</f>
        <v/>
      </c>
      <c r="R107" s="3" t="inlineStr">
        <is>
          <t>인서</t>
        </is>
      </c>
      <c r="S107" s="4" t="n">
        <v>1</v>
      </c>
      <c r="T107" s="5" t="n">
        <v>343.1</v>
      </c>
      <c r="U107" s="4" t="n">
        <v>353.2</v>
      </c>
      <c r="V107" s="3" t="inlineStr">
        <is>
          <t>지정되지않음</t>
        </is>
      </c>
      <c r="W107" s="3" t="inlineStr">
        <is>
          <t>단독</t>
        </is>
      </c>
      <c r="X107" s="3" t="inlineStr">
        <is>
          <t>평지</t>
        </is>
      </c>
      <c r="Y107" s="3" t="inlineStr">
        <is>
          <t>가로장방</t>
        </is>
      </c>
      <c r="Z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2</t>
        </is>
      </c>
      <c r="C108" s="3" t="inlineStr">
        <is>
          <t>0</t>
        </is>
      </c>
      <c r="D108" s="3" t="inlineStr">
        <is>
          <t>전원주택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353</v>
      </c>
      <c r="I108" s="4" t="n">
        <v>107</v>
      </c>
      <c r="J108" s="5" t="n">
        <v>1355.1</v>
      </c>
      <c r="K108" s="4" t="n">
        <v>160</v>
      </c>
      <c r="L108" s="4" t="n">
        <v>48</v>
      </c>
      <c r="M108" s="5" t="n">
        <v>3020.8</v>
      </c>
      <c r="N108" s="3" t="inlineStr">
        <is>
          <t>철근콘크리트 튼튼  시스템에어컨 5대 단독 매매</t>
        </is>
      </c>
      <c r="O108" s="6">
        <f>HYPERLINK("https://fin.land.naver.com/articles/2644280535", "매물Link")</f>
        <v/>
      </c>
      <c r="P108" s="6">
        <f>HYPERLINK("https://map.naver.com/p/search/아름동 1241", "지도Link")</f>
        <v/>
      </c>
      <c r="Q108" s="6">
        <f>HYPERLINK("http://www.eum.go.kr/web/ar/lu/luLandDet.jsp?pnu=3611011300112410000&amp;isNoScr=script&amp;mode=search", "토지이음")</f>
        <v/>
      </c>
      <c r="R108" s="3" t="inlineStr">
        <is>
          <t>THE행복</t>
        </is>
      </c>
      <c r="S108" s="4" t="n">
        <v>1</v>
      </c>
      <c r="T108" s="5" t="n">
        <v>343.1</v>
      </c>
      <c r="U108" s="4" t="n">
        <v>353.2</v>
      </c>
      <c r="V108" s="3" t="inlineStr">
        <is>
          <t>지정되지않음</t>
        </is>
      </c>
      <c r="W108" s="3" t="inlineStr">
        <is>
          <t>단독</t>
        </is>
      </c>
      <c r="X108" s="3" t="inlineStr">
        <is>
          <t>평지</t>
        </is>
      </c>
      <c r="Y108" s="3" t="inlineStr">
        <is>
          <t>가로장방</t>
        </is>
      </c>
      <c r="Z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2</t>
        </is>
      </c>
      <c r="C109" s="3" t="inlineStr">
        <is>
          <t>0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160</v>
      </c>
      <c r="I109" s="4" t="n">
        <v>48</v>
      </c>
      <c r="J109" s="5" t="n">
        <v>2916.7</v>
      </c>
      <c r="K109" s="4" t="n">
        <v>160</v>
      </c>
      <c r="L109" s="4" t="n">
        <v>48</v>
      </c>
      <c r="M109" s="5" t="n">
        <v>2916.7</v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6">
        <f>HYPERLINK("http://www.eum.go.kr/web/ar/lu/luLandDet.jsp?pnu=3611011300112410000&amp;isNoScr=script&amp;mode=search", "토지이음")</f>
        <v/>
      </c>
      <c r="R109" s="3" t="inlineStr">
        <is>
          <t>강아지풀</t>
        </is>
      </c>
      <c r="S109" s="4" t="n">
        <v>1</v>
      </c>
      <c r="T109" s="5" t="n">
        <v>343.1</v>
      </c>
      <c r="U109" s="4" t="n">
        <v>353.2</v>
      </c>
      <c r="V109" s="3" t="inlineStr">
        <is>
          <t>지정되지않음</t>
        </is>
      </c>
      <c r="W109" s="3" t="inlineStr">
        <is>
          <t>단독</t>
        </is>
      </c>
      <c r="X109" s="3" t="inlineStr">
        <is>
          <t>평지</t>
        </is>
      </c>
      <c r="Y109" s="3" t="inlineStr">
        <is>
          <t>가로장방</t>
        </is>
      </c>
      <c r="Z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2</t>
        </is>
      </c>
      <c r="C110" s="3" t="inlineStr">
        <is>
          <t>0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303</v>
      </c>
      <c r="I110" s="4" t="n">
        <v>92</v>
      </c>
      <c r="J110" s="5" t="n">
        <v>1576.1</v>
      </c>
      <c r="K110" s="4" t="n">
        <v>204</v>
      </c>
      <c r="L110" s="4" t="n">
        <v>62</v>
      </c>
      <c r="M110" s="5" t="n">
        <v>2338.7</v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6">
        <f>HYPERLINK("http://www.eum.go.kr/web/ar/lu/luLandDet.jsp?pnu=3611011300114080000&amp;isNoScr=script&amp;mode=search", "토지이음")</f>
        <v/>
      </c>
      <c r="R110" s="3" t="inlineStr">
        <is>
          <t>주황푸르지오</t>
        </is>
      </c>
      <c r="S110" s="4" t="n">
        <v>1</v>
      </c>
      <c r="T110" s="5" t="n">
        <v>338.2</v>
      </c>
      <c r="U110" s="4" t="n">
        <v>303.7</v>
      </c>
      <c r="V110" s="3" t="inlineStr">
        <is>
          <t>지정되지않음</t>
        </is>
      </c>
      <c r="W110" s="3" t="inlineStr">
        <is>
          <t>단독</t>
        </is>
      </c>
      <c r="X110" s="3" t="inlineStr">
        <is>
          <t>평지</t>
        </is>
      </c>
      <c r="Y110" s="3" t="inlineStr">
        <is>
          <t>세로장방</t>
        </is>
      </c>
      <c r="Z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2</t>
        </is>
      </c>
      <c r="C111" s="3" t="inlineStr">
        <is>
          <t>0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285</v>
      </c>
      <c r="I111" s="4" t="n">
        <v>86</v>
      </c>
      <c r="J111" s="5" t="n">
        <v>1569.8</v>
      </c>
      <c r="K111" s="4" t="n">
        <v>178</v>
      </c>
      <c r="L111" s="4" t="n">
        <v>54</v>
      </c>
      <c r="M111" s="5" t="n">
        <v>2500</v>
      </c>
      <c r="N111" s="3" t="inlineStr">
        <is>
          <t>올 리모델링. 풀에어컨, 코너 입지</t>
        </is>
      </c>
      <c r="O111" s="6">
        <f>HYPERLINK("https://fin.land.naver.com/articles/2649459333", "매물Link")</f>
        <v/>
      </c>
      <c r="P111" s="6">
        <f>HYPERLINK("https://map.naver.com/p/search/아름동 856", "지도Link")</f>
        <v/>
      </c>
      <c r="Q111" s="6">
        <f>HYPERLINK("http://www.eum.go.kr/web/ar/lu/luLandDet.jsp?pnu=3611011300108560000&amp;isNoScr=script&amp;mode=search", "토지이음")</f>
        <v/>
      </c>
      <c r="R111" s="3" t="inlineStr">
        <is>
          <t>세종삼촌</t>
        </is>
      </c>
      <c r="S111" s="4" t="n">
        <v>1</v>
      </c>
      <c r="T111" s="5" t="n">
        <v>356.7</v>
      </c>
      <c r="U111" s="4" t="n">
        <v>285.9</v>
      </c>
      <c r="V111" s="3" t="inlineStr">
        <is>
          <t>지정되지않음</t>
        </is>
      </c>
      <c r="W111" s="3" t="inlineStr">
        <is>
          <t>단독</t>
        </is>
      </c>
      <c r="X111" s="3" t="inlineStr">
        <is>
          <t>평지</t>
        </is>
      </c>
      <c r="Y111" s="3" t="inlineStr">
        <is>
          <t>정방형</t>
        </is>
      </c>
      <c r="Z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2</t>
        </is>
      </c>
      <c r="C112" s="3" t="inlineStr">
        <is>
          <t>0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285</v>
      </c>
      <c r="I112" s="4" t="n">
        <v>86</v>
      </c>
      <c r="J112" s="5" t="n">
        <v>1569.8</v>
      </c>
      <c r="K112" s="4" t="n">
        <v>178</v>
      </c>
      <c r="L112" s="4" t="n">
        <v>54</v>
      </c>
      <c r="M112" s="5" t="n">
        <v>2500</v>
      </c>
      <c r="N112" s="3" t="inlineStr">
        <is>
          <t>올리모델링 방3개 욕실3개 시스템에어컨5대 조율가능</t>
        </is>
      </c>
      <c r="O112" s="6">
        <f>HYPERLINK("https://fin.land.naver.com/articles/2648979509", "매물Link")</f>
        <v/>
      </c>
      <c r="P112" s="6">
        <f>HYPERLINK("https://map.naver.com/p/search/아름동 856", "지도Link")</f>
        <v/>
      </c>
      <c r="Q112" s="6">
        <f>HYPERLINK("http://www.eum.go.kr/web/ar/lu/luLandDet.jsp?pnu=3611011300108560000&amp;isNoScr=script&amp;mode=search", "토지이음")</f>
        <v/>
      </c>
      <c r="R112" s="3" t="inlineStr">
        <is>
          <t>세종스타</t>
        </is>
      </c>
      <c r="S112" s="4" t="n">
        <v>1</v>
      </c>
      <c r="T112" s="5" t="n">
        <v>356.7</v>
      </c>
      <c r="U112" s="4" t="n">
        <v>285.9</v>
      </c>
      <c r="V112" s="3" t="inlineStr">
        <is>
          <t>지정되지않음</t>
        </is>
      </c>
      <c r="W112" s="3" t="inlineStr">
        <is>
          <t>단독</t>
        </is>
      </c>
      <c r="X112" s="3" t="inlineStr">
        <is>
          <t>평지</t>
        </is>
      </c>
      <c r="Y112" s="3" t="inlineStr">
        <is>
          <t>정방형</t>
        </is>
      </c>
      <c r="Z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2</t>
        </is>
      </c>
      <c r="C113" s="3" t="inlineStr">
        <is>
          <t>0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285</v>
      </c>
      <c r="I113" s="4" t="n">
        <v>86</v>
      </c>
      <c r="J113" s="5" t="n">
        <v>1569.8</v>
      </c>
      <c r="K113" s="4" t="n">
        <v>178</v>
      </c>
      <c r="L113" s="4" t="n">
        <v>54</v>
      </c>
      <c r="M113" s="5" t="n">
        <v>2500</v>
      </c>
      <c r="N113" s="3" t="inlineStr">
        <is>
          <t>최근 리모델링한 단독주택 매매, 방3개, 욕실2개</t>
        </is>
      </c>
      <c r="O113" s="6">
        <f>HYPERLINK("https://fin.land.naver.com/articles/2649020493", "매물Link")</f>
        <v/>
      </c>
      <c r="P113" s="6">
        <f>HYPERLINK("https://map.naver.com/p/search/아름동 856", "지도Link")</f>
        <v/>
      </c>
      <c r="Q113" s="6">
        <f>HYPERLINK("http://www.eum.go.kr/web/ar/lu/luLandDet.jsp?pnu=3611011300108560000&amp;isNoScr=script&amp;mode=search", "토지이음")</f>
        <v/>
      </c>
      <c r="R113" s="3" t="inlineStr">
        <is>
          <t>명진</t>
        </is>
      </c>
      <c r="S113" s="4" t="n">
        <v>1</v>
      </c>
      <c r="T113" s="5" t="n">
        <v>356.7</v>
      </c>
      <c r="U113" s="4" t="n">
        <v>285.9</v>
      </c>
      <c r="V113" s="3" t="inlineStr">
        <is>
          <t>지정되지않음</t>
        </is>
      </c>
      <c r="W113" s="3" t="inlineStr">
        <is>
          <t>단독</t>
        </is>
      </c>
      <c r="X113" s="3" t="inlineStr">
        <is>
          <t>평지</t>
        </is>
      </c>
      <c r="Y113" s="3" t="inlineStr">
        <is>
          <t>정방형</t>
        </is>
      </c>
      <c r="Z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2</t>
        </is>
      </c>
      <c r="C114" s="3" t="inlineStr">
        <is>
          <t>0</t>
        </is>
      </c>
      <c r="D114" s="3" t="inlineStr">
        <is>
          <t>단독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285</v>
      </c>
      <c r="I114" s="4" t="n">
        <v>86</v>
      </c>
      <c r="J114" s="5" t="n">
        <v>1569.8</v>
      </c>
      <c r="K114" s="4" t="n">
        <v>178</v>
      </c>
      <c r="L114" s="4" t="n">
        <v>54</v>
      </c>
      <c r="M114" s="5" t="n">
        <v>2500</v>
      </c>
      <c r="N114" s="3" t="inlineStr">
        <is>
          <t>아름동 입지좋은 단독주택 매매, 올리모델링</t>
        </is>
      </c>
      <c r="O114" s="6">
        <f>HYPERLINK("https://fin.land.naver.com/articles/2648835163", "매물Link")</f>
        <v/>
      </c>
      <c r="P114" s="6">
        <f>HYPERLINK("https://map.naver.com/p/search/아름동 856", "지도Link")</f>
        <v/>
      </c>
      <c r="Q114" s="6">
        <f>HYPERLINK("http://www.eum.go.kr/web/ar/lu/luLandDet.jsp?pnu=3611011300108560000&amp;isNoScr=script&amp;mode=search", "토지이음")</f>
        <v/>
      </c>
      <c r="R114" s="3" t="inlineStr">
        <is>
          <t>세종무지개</t>
        </is>
      </c>
      <c r="S114" s="4" t="n">
        <v>1</v>
      </c>
      <c r="T114" s="5" t="n">
        <v>356.7</v>
      </c>
      <c r="U114" s="4" t="n">
        <v>285.9</v>
      </c>
      <c r="V114" s="3" t="inlineStr">
        <is>
          <t>지정되지않음</t>
        </is>
      </c>
      <c r="W114" s="3" t="inlineStr">
        <is>
          <t>단독</t>
        </is>
      </c>
      <c r="X114" s="3" t="inlineStr">
        <is>
          <t>평지</t>
        </is>
      </c>
      <c r="Y114" s="3" t="inlineStr">
        <is>
          <t>정방형</t>
        </is>
      </c>
      <c r="Z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2</t>
        </is>
      </c>
      <c r="C115" s="3" t="inlineStr">
        <is>
          <t>0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314</v>
      </c>
      <c r="I115" s="4" t="n">
        <v>95</v>
      </c>
      <c r="J115" s="5" t="n">
        <v>610.5</v>
      </c>
      <c r="K115" s="4" t="n">
        <v>147</v>
      </c>
      <c r="L115" s="4" t="n">
        <v>44</v>
      </c>
      <c r="M115" s="5" t="n">
        <v>1318.2</v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6">
        <f>HYPERLINK("http://www.eum.go.kr/web/ar/lu/luLandDet.jsp?pnu=3611011300108620000&amp;isNoScr=script&amp;mode=search", "토지이음")</f>
        <v/>
      </c>
      <c r="R115" s="3" t="inlineStr">
        <is>
          <t>국제</t>
        </is>
      </c>
      <c r="S115" s="4" t="n">
        <v>1</v>
      </c>
      <c r="T115" s="5" t="n">
        <v>339.8</v>
      </c>
      <c r="U115" s="4" t="n">
        <v>314.8</v>
      </c>
      <c r="V115" s="3" t="inlineStr">
        <is>
          <t>지정되지않음</t>
        </is>
      </c>
      <c r="W115" s="3" t="inlineStr">
        <is>
          <t>단독</t>
        </is>
      </c>
      <c r="X115" s="3" t="inlineStr">
        <is>
          <t>평지</t>
        </is>
      </c>
      <c r="Y115" s="3" t="inlineStr">
        <is>
          <t>가로장방</t>
        </is>
      </c>
      <c r="Z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2</t>
        </is>
      </c>
      <c r="C116" s="3" t="inlineStr">
        <is>
          <t>0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314</v>
      </c>
      <c r="I116" s="4" t="n">
        <v>95</v>
      </c>
      <c r="J116" s="5" t="n">
        <v>1126.3</v>
      </c>
      <c r="K116" s="4" t="n">
        <v>147</v>
      </c>
      <c r="L116" s="4" t="n">
        <v>44</v>
      </c>
      <c r="M116" s="5" t="n">
        <v>2431.8</v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6">
        <f>HYPERLINK("http://www.eum.go.kr/web/ar/lu/luLandDet.jsp?pnu=3611011300108620000&amp;isNoScr=script&amp;mode=search", "토지이음")</f>
        <v/>
      </c>
      <c r="R116" s="3" t="inlineStr">
        <is>
          <t>세종무지개</t>
        </is>
      </c>
      <c r="S116" s="4" t="n">
        <v>1</v>
      </c>
      <c r="T116" s="5" t="n">
        <v>339.8</v>
      </c>
      <c r="U116" s="4" t="n">
        <v>314.8</v>
      </c>
      <c r="V116" s="3" t="inlineStr">
        <is>
          <t>지정되지않음</t>
        </is>
      </c>
      <c r="W116" s="3" t="inlineStr">
        <is>
          <t>단독</t>
        </is>
      </c>
      <c r="X116" s="3" t="inlineStr">
        <is>
          <t>평지</t>
        </is>
      </c>
      <c r="Y116" s="3" t="inlineStr">
        <is>
          <t>가로장방</t>
        </is>
      </c>
      <c r="Z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2</t>
        </is>
      </c>
      <c r="C117" s="3" t="inlineStr">
        <is>
          <t>0</t>
        </is>
      </c>
      <c r="D117" s="3" t="inlineStr">
        <is>
          <t>전원주택</t>
        </is>
      </c>
      <c r="E117" s="3" t="inlineStr">
        <is>
          <t>매매</t>
        </is>
      </c>
      <c r="F117" s="4" t="n">
        <v>160000</v>
      </c>
      <c r="G117" s="4" t="n">
        <v>0</v>
      </c>
      <c r="H117" s="4" t="n">
        <v>340</v>
      </c>
      <c r="I117" s="4" t="n">
        <v>103</v>
      </c>
      <c r="J117" s="5" t="n">
        <v>1553.4</v>
      </c>
      <c r="K117" s="4" t="n">
        <v>192</v>
      </c>
      <c r="L117" s="4" t="n">
        <v>58</v>
      </c>
      <c r="M117" s="5" t="n">
        <v>2758.6</v>
      </c>
      <c r="N117" s="3" t="inlineStr">
        <is>
          <t>잘 지어지고 관리가 잘된 집</t>
        </is>
      </c>
      <c r="O117" s="6">
        <f>HYPERLINK("https://fin.land.naver.com/articles/2649006146", "매물Link")</f>
        <v/>
      </c>
      <c r="P117" s="6">
        <f>HYPERLINK("https://map.naver.com/p/search/아름동 875", "지도Link")</f>
        <v/>
      </c>
      <c r="Q117" s="6">
        <f>HYPERLINK("http://www.eum.go.kr/web/ar/lu/luLandDet.jsp?pnu=3611011300108750000&amp;isNoScr=script&amp;mode=search", "토지이음")</f>
        <v/>
      </c>
      <c r="R117" s="3" t="inlineStr">
        <is>
          <t>세종푸르지오</t>
        </is>
      </c>
      <c r="S117" s="4" t="n">
        <v>1</v>
      </c>
      <c r="T117" s="5" t="n">
        <v>339.5</v>
      </c>
      <c r="U117" s="4" t="n">
        <v>340</v>
      </c>
      <c r="V117" s="3" t="inlineStr">
        <is>
          <t>지정되지않음</t>
        </is>
      </c>
      <c r="W117" s="3" t="inlineStr">
        <is>
          <t>단독</t>
        </is>
      </c>
      <c r="X117" s="3" t="inlineStr">
        <is>
          <t>평지</t>
        </is>
      </c>
      <c r="Y117" s="3" t="inlineStr">
        <is>
          <t>정방형</t>
        </is>
      </c>
      <c r="Z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2</t>
        </is>
      </c>
      <c r="C118" s="3" t="inlineStr">
        <is>
          <t>0</t>
        </is>
      </c>
      <c r="D118" s="3" t="inlineStr">
        <is>
          <t>단독</t>
        </is>
      </c>
      <c r="E118" s="3" t="inlineStr">
        <is>
          <t>매매</t>
        </is>
      </c>
      <c r="F118" s="4" t="n">
        <v>160000</v>
      </c>
      <c r="G118" s="4" t="n">
        <v>0</v>
      </c>
      <c r="H118" s="4" t="n">
        <v>340</v>
      </c>
      <c r="I118" s="4" t="n">
        <v>103</v>
      </c>
      <c r="J118" s="5" t="n">
        <v>1553.4</v>
      </c>
      <c r="K118" s="4" t="n">
        <v>192</v>
      </c>
      <c r="L118" s="4" t="n">
        <v>58</v>
      </c>
      <c r="M118" s="5" t="n">
        <v>2758.6</v>
      </c>
      <c r="N118" s="3" t="inlineStr">
        <is>
          <t>입주협의 위치좋은 단독주택 관리상태굿 가격조정가능</t>
        </is>
      </c>
      <c r="O118" s="6">
        <f>HYPERLINK("https://fin.land.naver.com/articles/2644599103", "매물Link")</f>
        <v/>
      </c>
      <c r="P118" s="6">
        <f>HYPERLINK("https://map.naver.com/p/search/아름동 875", "지도Link")</f>
        <v/>
      </c>
      <c r="Q118" s="6">
        <f>HYPERLINK("http://www.eum.go.kr/web/ar/lu/luLandDet.jsp?pnu=3611011300108750000&amp;isNoScr=script&amp;mode=search", "토지이음")</f>
        <v/>
      </c>
      <c r="R118" s="3" t="inlineStr">
        <is>
          <t>고운동리치세종</t>
        </is>
      </c>
      <c r="S118" s="4" t="n">
        <v>1</v>
      </c>
      <c r="T118" s="5" t="n">
        <v>339.5</v>
      </c>
      <c r="U118" s="4" t="n">
        <v>340</v>
      </c>
      <c r="V118" s="3" t="inlineStr">
        <is>
          <t>지정되지않음</t>
        </is>
      </c>
      <c r="W118" s="3" t="inlineStr">
        <is>
          <t>단독</t>
        </is>
      </c>
      <c r="X118" s="3" t="inlineStr">
        <is>
          <t>평지</t>
        </is>
      </c>
      <c r="Y118" s="3" t="inlineStr">
        <is>
          <t>정방형</t>
        </is>
      </c>
      <c r="Z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2</t>
        </is>
      </c>
      <c r="C119" s="3" t="inlineStr">
        <is>
          <t>0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340</v>
      </c>
      <c r="I119" s="4" t="n">
        <v>103</v>
      </c>
      <c r="J119" s="5" t="n">
        <v>1553.4</v>
      </c>
      <c r="K119" s="4" t="n">
        <v>192</v>
      </c>
      <c r="L119" s="4" t="n">
        <v>58</v>
      </c>
      <c r="M119" s="5" t="n">
        <v>2758.6</v>
      </c>
      <c r="N119" s="3" t="inlineStr">
        <is>
          <t>nan</t>
        </is>
      </c>
      <c r="O119" s="6">
        <f>HYPERLINK("https://fin.land.naver.com/articles/2645959810", "매물Link")</f>
        <v/>
      </c>
      <c r="P119" s="6">
        <f>HYPERLINK("https://map.naver.com/p/search/아름동 875", "지도Link")</f>
        <v/>
      </c>
      <c r="Q119" s="6">
        <f>HYPERLINK("http://www.eum.go.kr/web/ar/lu/luLandDet.jsp?pnu=3611011300108750000&amp;isNoScr=script&amp;mode=search", "토지이음")</f>
        <v/>
      </c>
      <c r="R119" s="3" t="inlineStr">
        <is>
          <t>세종갑부</t>
        </is>
      </c>
      <c r="S119" s="4" t="n">
        <v>1</v>
      </c>
      <c r="T119" s="5" t="n">
        <v>339.5</v>
      </c>
      <c r="U119" s="4" t="n">
        <v>340</v>
      </c>
      <c r="V119" s="3" t="inlineStr">
        <is>
          <t>지정되지않음</t>
        </is>
      </c>
      <c r="W119" s="3" t="inlineStr">
        <is>
          <t>단독</t>
        </is>
      </c>
      <c r="X119" s="3" t="inlineStr">
        <is>
          <t>평지</t>
        </is>
      </c>
      <c r="Y119" s="3" t="inlineStr">
        <is>
          <t>정방형</t>
        </is>
      </c>
      <c r="Z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2</t>
        </is>
      </c>
      <c r="C120" s="3" t="inlineStr">
        <is>
          <t>0</t>
        </is>
      </c>
      <c r="D120" s="3" t="inlineStr">
        <is>
          <t>단독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357</v>
      </c>
      <c r="I120" s="4" t="n">
        <v>108</v>
      </c>
      <c r="J120" s="5" t="n">
        <v>1481.5</v>
      </c>
      <c r="K120" s="4" t="n">
        <v>248</v>
      </c>
      <c r="L120" s="4" t="n">
        <v>75</v>
      </c>
      <c r="M120" s="5" t="n">
        <v>2133.3</v>
      </c>
      <c r="N120" s="3" t="inlineStr">
        <is>
          <t>조율가능 유럽풍스타일 1층 방2개 거실넓은 철콘주택</t>
        </is>
      </c>
      <c r="O120" s="6">
        <f>HYPERLINK("https://fin.land.naver.com/articles/2644917553", "매물Link")</f>
        <v/>
      </c>
      <c r="P120" s="6">
        <f>HYPERLINK("https://map.naver.com/p/search/아름동 959", "지도Link")</f>
        <v/>
      </c>
      <c r="Q120" s="6">
        <f>HYPERLINK("http://www.eum.go.kr/web/ar/lu/luLandDet.jsp?pnu=3611011300109590000&amp;isNoScr=script&amp;mode=search", "토지이음")</f>
        <v/>
      </c>
      <c r="R120" s="3" t="inlineStr">
        <is>
          <t>세종스타</t>
        </is>
      </c>
      <c r="S120" s="4" t="n">
        <v>1</v>
      </c>
      <c r="T120" s="5" t="n">
        <v>327.2</v>
      </c>
      <c r="U120" s="4" t="n">
        <v>357.9</v>
      </c>
      <c r="V120" s="3" t="inlineStr">
        <is>
          <t>지정되지않음</t>
        </is>
      </c>
      <c r="W120" s="3" t="inlineStr">
        <is>
          <t>단독</t>
        </is>
      </c>
      <c r="X120" s="3" t="inlineStr">
        <is>
          <t>평지</t>
        </is>
      </c>
      <c r="Y120" s="3" t="inlineStr">
        <is>
          <t>사다리형</t>
        </is>
      </c>
      <c r="Z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2</t>
        </is>
      </c>
      <c r="C121" s="3" t="inlineStr">
        <is>
          <t>0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357</v>
      </c>
      <c r="I121" s="4" t="n">
        <v>108</v>
      </c>
      <c r="J121" s="5" t="n">
        <v>1481.5</v>
      </c>
      <c r="K121" s="4" t="n">
        <v>248</v>
      </c>
      <c r="L121" s="4" t="n">
        <v>75</v>
      </c>
      <c r="M121" s="5" t="n">
        <v>2133.3</v>
      </c>
      <c r="N121" s="3" t="inlineStr">
        <is>
          <t>방5개, 화장실2개, 고급 단독주택, 태양광</t>
        </is>
      </c>
      <c r="O121" s="6">
        <f>HYPERLINK("https://fin.land.naver.com/articles/2645493231", "매물Link")</f>
        <v/>
      </c>
      <c r="P121" s="6">
        <f>HYPERLINK("https://map.naver.com/p/search/아름동 959", "지도Link")</f>
        <v/>
      </c>
      <c r="Q121" s="6">
        <f>HYPERLINK("http://www.eum.go.kr/web/ar/lu/luLandDet.jsp?pnu=3611011300109590000&amp;isNoScr=script&amp;mode=search", "토지이음")</f>
        <v/>
      </c>
      <c r="R121" s="3" t="inlineStr">
        <is>
          <t>명진</t>
        </is>
      </c>
      <c r="S121" s="4" t="n">
        <v>1</v>
      </c>
      <c r="T121" s="5" t="n">
        <v>327.2</v>
      </c>
      <c r="U121" s="4" t="n">
        <v>357.9</v>
      </c>
      <c r="V121" s="3" t="inlineStr">
        <is>
          <t>지정되지않음</t>
        </is>
      </c>
      <c r="W121" s="3" t="inlineStr">
        <is>
          <t>단독</t>
        </is>
      </c>
      <c r="X121" s="3" t="inlineStr">
        <is>
          <t>평지</t>
        </is>
      </c>
      <c r="Y121" s="3" t="inlineStr">
        <is>
          <t>사다리형</t>
        </is>
      </c>
      <c r="Z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2</t>
        </is>
      </c>
      <c r="C122" s="3" t="inlineStr">
        <is>
          <t>0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357</v>
      </c>
      <c r="I122" s="4" t="n">
        <v>108</v>
      </c>
      <c r="J122" s="5" t="n">
        <v>1481.5</v>
      </c>
      <c r="K122" s="4" t="n">
        <v>248</v>
      </c>
      <c r="L122" s="4" t="n">
        <v>75</v>
      </c>
      <c r="M122" s="5" t="n">
        <v>2133.3</v>
      </c>
      <c r="N122" s="3" t="inlineStr">
        <is>
          <t>고급 단독주택 매매, 태양광 설치, 1층에 방2개</t>
        </is>
      </c>
      <c r="O122" s="6">
        <f>HYPERLINK("https://fin.land.naver.com/articles/2646691449", "매물Link")</f>
        <v/>
      </c>
      <c r="P122" s="6">
        <f>HYPERLINK("https://map.naver.com/p/search/아름동 959", "지도Link")</f>
        <v/>
      </c>
      <c r="Q122" s="6">
        <f>HYPERLINK("http://www.eum.go.kr/web/ar/lu/luLandDet.jsp?pnu=3611011300109590000&amp;isNoScr=script&amp;mode=search", "토지이음")</f>
        <v/>
      </c>
      <c r="R122" s="3" t="inlineStr">
        <is>
          <t>세종무지개</t>
        </is>
      </c>
      <c r="S122" s="4" t="n">
        <v>1</v>
      </c>
      <c r="T122" s="5" t="n">
        <v>327.2</v>
      </c>
      <c r="U122" s="4" t="n">
        <v>357.9</v>
      </c>
      <c r="V122" s="3" t="inlineStr">
        <is>
          <t>지정되지않음</t>
        </is>
      </c>
      <c r="W122" s="3" t="inlineStr">
        <is>
          <t>단독</t>
        </is>
      </c>
      <c r="X122" s="3" t="inlineStr">
        <is>
          <t>평지</t>
        </is>
      </c>
      <c r="Y122" s="3" t="inlineStr">
        <is>
          <t>사다리형</t>
        </is>
      </c>
      <c r="Z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1</t>
        </is>
      </c>
      <c r="C123" s="3" t="inlineStr">
        <is>
          <t>0</t>
        </is>
      </c>
      <c r="D123" s="3" t="inlineStr">
        <is>
          <t>전원주택</t>
        </is>
      </c>
      <c r="E123" s="3" t="inlineStr">
        <is>
          <t>매매</t>
        </is>
      </c>
      <c r="F123" s="4" t="n">
        <v>65000</v>
      </c>
      <c r="G123" s="4" t="n">
        <v>0</v>
      </c>
      <c r="H123" s="4" t="n">
        <v>579</v>
      </c>
      <c r="I123" s="4" t="n">
        <v>175</v>
      </c>
      <c r="J123" s="5" t="n">
        <v>371.4</v>
      </c>
      <c r="K123" s="4" t="n">
        <v>93</v>
      </c>
      <c r="L123" s="4" t="n">
        <v>28</v>
      </c>
      <c r="M123" s="5" t="n">
        <v>2321.4</v>
      </c>
      <c r="N123" s="3" t="inlineStr">
        <is>
          <t>조용하고 살기좋은 전원주택 매매</t>
        </is>
      </c>
      <c r="O123" s="6">
        <f>HYPERLINK("https://fin.land.naver.com/articles/2649113394", "매물Link")</f>
        <v/>
      </c>
      <c r="P123" s="6">
        <f>HYPERLINK("https://map.naver.com/p/search/연동면 내판리 425-4", "지도Link")</f>
        <v/>
      </c>
      <c r="Q123" s="6">
        <f>HYPERLINK("http://www.eum.go.kr/web/ar/lu/luLandDet.jsp?pnu=3611032021104250004&amp;isNoScr=script&amp;mode=search", "토지이음")</f>
        <v/>
      </c>
      <c r="R123" s="3" t="inlineStr">
        <is>
          <t>으뜸</t>
        </is>
      </c>
      <c r="S123" s="4" t="n">
        <v>1</v>
      </c>
      <c r="T123" s="5" t="n">
        <v>73.2</v>
      </c>
      <c r="U123" s="4" t="n">
        <v>499</v>
      </c>
      <c r="V123" s="3" t="inlineStr">
        <is>
          <t>지정되지않음</t>
        </is>
      </c>
      <c r="W123" s="3" t="inlineStr">
        <is>
          <t>단독</t>
        </is>
      </c>
      <c r="X123" s="3" t="inlineStr">
        <is>
          <t>완경사</t>
        </is>
      </c>
      <c r="Y123" s="3" t="inlineStr">
        <is>
          <t>부정형</t>
        </is>
      </c>
      <c r="Z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2</t>
        </is>
      </c>
      <c r="C124" s="3" t="inlineStr">
        <is>
          <t>0</t>
        </is>
      </c>
      <c r="D124" s="3" t="inlineStr">
        <is>
          <t>전원주택</t>
        </is>
      </c>
      <c r="E124" s="3" t="inlineStr">
        <is>
          <t>매매</t>
        </is>
      </c>
      <c r="F124" s="4" t="n">
        <v>180000</v>
      </c>
      <c r="G124" s="4" t="n">
        <v>0</v>
      </c>
      <c r="H124" s="4" t="n">
        <v>1756</v>
      </c>
      <c r="I124" s="4" t="n">
        <v>531</v>
      </c>
      <c r="J124" s="5" t="n">
        <v>339</v>
      </c>
      <c r="K124" s="4" t="n">
        <v>191</v>
      </c>
      <c r="L124" s="4" t="n">
        <v>58</v>
      </c>
      <c r="M124" s="5" t="n">
        <v>3103.4</v>
      </c>
      <c r="N124" s="3" t="inlineStr">
        <is>
          <t>남향의 2층 전원주택</t>
        </is>
      </c>
      <c r="O124" s="6">
        <f>HYPERLINK("https://fin.land.naver.com/articles/2646049802", "매물Link")</f>
        <v/>
      </c>
      <c r="P124" s="6">
        <f>HYPERLINK("https://map.naver.com/p/search/연동면 노송리 28", "지도Link")</f>
        <v/>
      </c>
      <c r="Q124" s="6">
        <f>HYPERLINK("http://www.eum.go.kr/web/ar/lu/luLandDet.jsp?pnu=3611032025100280000&amp;isNoScr=script&amp;mode=search", "토지이음")</f>
        <v/>
      </c>
      <c r="R124" s="3" t="inlineStr">
        <is>
          <t>보람최고</t>
        </is>
      </c>
      <c r="S124" s="4" t="n">
        <v>1</v>
      </c>
      <c r="T124" s="5" t="n">
        <v>68.90000000000001</v>
      </c>
      <c r="U124" s="4" t="n">
        <v>1001</v>
      </c>
      <c r="V124" s="3" t="inlineStr">
        <is>
          <t>지정되지않음</t>
        </is>
      </c>
      <c r="W124" s="3" t="inlineStr">
        <is>
          <t>단독</t>
        </is>
      </c>
      <c r="X124" s="3" t="inlineStr">
        <is>
          <t>완경사</t>
        </is>
      </c>
      <c r="Y124" s="3" t="inlineStr">
        <is>
          <t>부정형</t>
        </is>
      </c>
      <c r="Z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1</t>
        </is>
      </c>
      <c r="C125" s="3" t="inlineStr">
        <is>
          <t>0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18500</v>
      </c>
      <c r="G125" s="4" t="n">
        <v>0</v>
      </c>
      <c r="H125" s="4" t="n">
        <v>176</v>
      </c>
      <c r="I125" s="4" t="n">
        <v>53</v>
      </c>
      <c r="J125" s="5" t="n">
        <v>349.1</v>
      </c>
      <c r="K125" s="4" t="n">
        <v>52</v>
      </c>
      <c r="L125" s="4" t="n">
        <v>16</v>
      </c>
      <c r="M125" s="5" t="n">
        <v>1156.2</v>
      </c>
      <c r="N125" s="3" t="inlineStr">
        <is>
          <t>소액 투자 추천, 세컨하우스, 주말별장, 실거주도 좋아요.</t>
        </is>
      </c>
      <c r="O125" s="6">
        <f>HYPERLINK("https://fin.land.naver.com/articles/2648902549", "매물Link")</f>
        <v/>
      </c>
      <c r="P125" s="6">
        <f>HYPERLINK("https://map.naver.com/p/search/연동면 명학리 217-1", "지도Link")</f>
        <v/>
      </c>
      <c r="Q125" s="6">
        <f>HYPERLINK("http://www.eum.go.kr/web/ar/lu/luLandDet.jsp?pnu=3611032023102170001&amp;isNoScr=script&amp;mode=search", "토지이음")</f>
        <v/>
      </c>
      <c r="R125" s="3" t="inlineStr">
        <is>
          <t>수자인시티</t>
        </is>
      </c>
      <c r="S125" s="4" t="n">
        <v>1</v>
      </c>
      <c r="T125" s="5" t="n">
        <v>98.7</v>
      </c>
      <c r="U125" s="4" t="n">
        <v>176</v>
      </c>
      <c r="V125" s="3" t="inlineStr">
        <is>
          <t>지정되지않음</t>
        </is>
      </c>
      <c r="W125" s="3" t="inlineStr">
        <is>
          <t>단독</t>
        </is>
      </c>
      <c r="X125" s="3" t="inlineStr">
        <is>
          <t>평지</t>
        </is>
      </c>
      <c r="Y125" s="3" t="inlineStr">
        <is>
          <t>부정형</t>
        </is>
      </c>
      <c r="Z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1</t>
        </is>
      </c>
      <c r="C126" s="3" t="inlineStr">
        <is>
          <t>0</t>
        </is>
      </c>
      <c r="D126" s="3" t="inlineStr">
        <is>
          <t>단독</t>
        </is>
      </c>
      <c r="E126" s="3" t="inlineStr">
        <is>
          <t>매매</t>
        </is>
      </c>
      <c r="F126" s="4" t="n">
        <v>21000</v>
      </c>
      <c r="G126" s="4" t="n">
        <v>0</v>
      </c>
      <c r="H126" s="4" t="n">
        <v>259</v>
      </c>
      <c r="I126" s="4" t="n">
        <v>78</v>
      </c>
      <c r="J126" s="5" t="n">
        <v>269.2</v>
      </c>
      <c r="K126" s="4" t="n">
        <v>92</v>
      </c>
      <c r="L126" s="4" t="n">
        <v>28</v>
      </c>
      <c r="M126" s="5" t="n">
        <v>750</v>
      </c>
      <c r="N126" s="3" t="inlineStr">
        <is>
          <t>세종시 공기좋고 한적한 곳 저렴한 시골집 세컨하우스 주말주택</t>
        </is>
      </c>
      <c r="O126" s="6">
        <f>HYPERLINK("https://fin.land.naver.com/articles/2645324832", "매물Link")</f>
        <v/>
      </c>
      <c r="P126" s="6">
        <f>HYPERLINK("https://map.naver.com/p/search/연동면 예양리 640-1", "지도Link")</f>
        <v/>
      </c>
      <c r="Q126" s="6">
        <f>HYPERLINK("http://www.eum.go.kr/web/ar/lu/luLandDet.jsp?pnu=3611032026106400001&amp;isNoScr=script&amp;mode=search", "토지이음")</f>
        <v/>
      </c>
      <c r="R126" s="3" t="inlineStr">
        <is>
          <t>청담</t>
        </is>
      </c>
      <c r="S126" s="4" t="n">
        <v>1</v>
      </c>
      <c r="T126" s="5" t="n">
        <v>60.4</v>
      </c>
      <c r="U126" s="4" t="n">
        <v>259</v>
      </c>
      <c r="V126" s="3" t="inlineStr">
        <is>
          <t>지정되지않음</t>
        </is>
      </c>
      <c r="W126" s="3" t="inlineStr">
        <is>
          <t>단독</t>
        </is>
      </c>
      <c r="X126" s="3" t="inlineStr">
        <is>
          <t>평지</t>
        </is>
      </c>
      <c r="Y126" s="3" t="inlineStr">
        <is>
          <t>사다리형</t>
        </is>
      </c>
      <c r="Z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1</t>
        </is>
      </c>
      <c r="C127" s="3" t="inlineStr">
        <is>
          <t>0</t>
        </is>
      </c>
      <c r="D127" s="3" t="inlineStr">
        <is>
          <t>단독</t>
        </is>
      </c>
      <c r="E127" s="3" t="inlineStr">
        <is>
          <t>매매</t>
        </is>
      </c>
      <c r="F127" s="4" t="n">
        <v>60000</v>
      </c>
      <c r="G127" s="4" t="n">
        <v>0</v>
      </c>
      <c r="H127" s="4" t="n">
        <v>1025</v>
      </c>
      <c r="I127" s="4" t="n">
        <v>310</v>
      </c>
      <c r="J127" s="5" t="n">
        <v>193.5</v>
      </c>
      <c r="K127" s="4" t="n">
        <v>103</v>
      </c>
      <c r="L127" s="4" t="n">
        <v>31</v>
      </c>
      <c r="M127" s="5" t="n">
        <v>1935.5</v>
      </c>
      <c r="N127" s="3" t="inlineStr">
        <is>
          <t>nan</t>
        </is>
      </c>
      <c r="O127" s="6">
        <f>HYPERLINK("https://fin.land.naver.com/articles/2648221451", "매물Link")</f>
        <v/>
      </c>
      <c r="P127" s="6">
        <f>HYPERLINK("https://map.naver.com/p/search/연동면 응암리 121-4", "지도Link")</f>
        <v/>
      </c>
      <c r="Q127" s="6">
        <f>HYPERLINK("http://www.eum.go.kr/web/ar/lu/luLandDet.jsp?pnu=3611032024101210004&amp;isNoScr=script&amp;mode=search", "토지이음")</f>
        <v/>
      </c>
      <c r="R127" s="3" t="inlineStr">
        <is>
          <t>어반통</t>
        </is>
      </c>
      <c r="S127" s="4" t="n">
        <v>1</v>
      </c>
      <c r="T127" s="5" t="n">
        <v>67.5</v>
      </c>
      <c r="U127" s="4" t="n">
        <v>1025</v>
      </c>
      <c r="V127" s="3" t="inlineStr">
        <is>
          <t>지정되지않음</t>
        </is>
      </c>
      <c r="W127" s="3" t="inlineStr">
        <is>
          <t>단독</t>
        </is>
      </c>
      <c r="X127" s="3" t="inlineStr">
        <is>
          <t>완경사</t>
        </is>
      </c>
      <c r="Y127" s="3" t="inlineStr">
        <is>
          <t>부정형</t>
        </is>
      </c>
      <c r="Z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1</t>
        </is>
      </c>
      <c r="C128" s="3" t="inlineStr">
        <is>
          <t>0</t>
        </is>
      </c>
      <c r="D128" s="3" t="inlineStr">
        <is>
          <t>단독</t>
        </is>
      </c>
      <c r="E128" s="3" t="inlineStr">
        <is>
          <t>매매</t>
        </is>
      </c>
      <c r="F128" s="4" t="n">
        <v>27000</v>
      </c>
      <c r="G128" s="4" t="n">
        <v>0</v>
      </c>
      <c r="H128" s="4" t="n">
        <v>464</v>
      </c>
      <c r="I128" s="4" t="n">
        <v>140</v>
      </c>
      <c r="J128" s="5" t="n">
        <v>192.9</v>
      </c>
      <c r="K128" s="4" t="n">
        <v>89</v>
      </c>
      <c r="L128" s="4" t="n">
        <v>27</v>
      </c>
      <c r="M128" s="5" t="n">
        <v>1000</v>
      </c>
      <c r="N128" s="3" t="inlineStr">
        <is>
          <t>0초이스0 전세 안고 투자도 가능</t>
        </is>
      </c>
      <c r="O128" s="6">
        <f>HYPERLINK("https://fin.land.naver.com/articles/2649446382", "매물Link")</f>
        <v/>
      </c>
      <c r="P128" s="6">
        <f>HYPERLINK("https://map.naver.com/p/search/연동면 응암리 199-4", "지도Link")</f>
        <v/>
      </c>
      <c r="Q128" s="6">
        <f>HYPERLINK("http://www.eum.go.kr/web/ar/lu/luLandDet.jsp?pnu=3611032024101990004&amp;isNoScr=script&amp;mode=search", "토지이음")</f>
        <v/>
      </c>
      <c r="R128" s="3" t="inlineStr">
        <is>
          <t>세종초이스</t>
        </is>
      </c>
      <c r="S128" s="4" t="n">
        <v>1</v>
      </c>
      <c r="T128" s="5" t="n">
        <v>59.8</v>
      </c>
      <c r="U128" s="4" t="n">
        <v>464</v>
      </c>
      <c r="V128" s="3" t="inlineStr">
        <is>
          <t>지정되지않음</t>
        </is>
      </c>
      <c r="W128" s="3" t="inlineStr">
        <is>
          <t>단독</t>
        </is>
      </c>
      <c r="X128" s="3" t="inlineStr">
        <is>
          <t>평지</t>
        </is>
      </c>
      <c r="Y128" s="3" t="inlineStr">
        <is>
          <t>사다리형</t>
        </is>
      </c>
      <c r="Z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1</t>
        </is>
      </c>
      <c r="C129" s="3" t="inlineStr">
        <is>
          <t>0</t>
        </is>
      </c>
      <c r="D129" s="3" t="inlineStr">
        <is>
          <t>전원주택</t>
        </is>
      </c>
      <c r="E129" s="3" t="inlineStr">
        <is>
          <t>매매</t>
        </is>
      </c>
      <c r="F129" s="4" t="n">
        <v>54200</v>
      </c>
      <c r="G129" s="4" t="n">
        <v>0</v>
      </c>
      <c r="H129" s="4" t="n">
        <v>725</v>
      </c>
      <c r="I129" s="4" t="n">
        <v>219</v>
      </c>
      <c r="J129" s="5" t="n">
        <v>247.5</v>
      </c>
      <c r="K129" s="4" t="n">
        <v>72</v>
      </c>
      <c r="L129" s="4" t="n">
        <v>22</v>
      </c>
      <c r="M129" s="5" t="n">
        <v>2463.6</v>
      </c>
      <c r="N129" s="3" t="inlineStr">
        <is>
          <t>고복저수지 초근접 한 매물이며,별장으로 활용해도 좋아요</t>
        </is>
      </c>
      <c r="O129" s="6">
        <f>HYPERLINK("https://fin.land.naver.com/articles/2647765328", "매물Link")</f>
        <v/>
      </c>
      <c r="P129" s="6">
        <f>HYPERLINK("https://map.naver.com/p/search/연서면 고복리 415-34", "지도Link")</f>
        <v/>
      </c>
      <c r="Q129" s="6">
        <f>HYPERLINK("http://www.eum.go.kr/web/ar/lu/luLandDet.jsp?pnu=3611036024104150034&amp;isNoScr=script&amp;mode=search", "토지이음")</f>
        <v/>
      </c>
      <c r="R129" s="3" t="inlineStr">
        <is>
          <t>지호주식회사</t>
        </is>
      </c>
      <c r="S129" s="4" t="n">
        <v>1</v>
      </c>
      <c r="T129" s="5" t="n">
        <v>122.9</v>
      </c>
      <c r="U129" s="4" t="n">
        <v>725</v>
      </c>
      <c r="V129" s="3" t="inlineStr">
        <is>
          <t>지정되지않음</t>
        </is>
      </c>
      <c r="W129" s="3" t="inlineStr">
        <is>
          <t>단독</t>
        </is>
      </c>
      <c r="X129" s="3" t="inlineStr">
        <is>
          <t>완경사</t>
        </is>
      </c>
      <c r="Y129" s="3" t="inlineStr">
        <is>
          <t>사다리형</t>
        </is>
      </c>
      <c r="Z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1</t>
        </is>
      </c>
      <c r="C130" s="3" t="inlineStr">
        <is>
          <t>0</t>
        </is>
      </c>
      <c r="D130" s="3" t="inlineStr">
        <is>
          <t>전원주택</t>
        </is>
      </c>
      <c r="E130" s="3" t="inlineStr">
        <is>
          <t>매매</t>
        </is>
      </c>
      <c r="F130" s="4" t="n">
        <v>7000</v>
      </c>
      <c r="G130" s="4" t="n">
        <v>0</v>
      </c>
      <c r="H130" s="4" t="n">
        <v>304</v>
      </c>
      <c r="I130" s="4" t="n">
        <v>92</v>
      </c>
      <c r="J130" s="5" t="n">
        <v>76.09999999999999</v>
      </c>
      <c r="K130" s="4" t="n">
        <v>54</v>
      </c>
      <c r="L130" s="4" t="n">
        <v>16</v>
      </c>
      <c r="M130" s="5" t="n">
        <v>437.5</v>
      </c>
      <c r="N130" s="3" t="inlineStr">
        <is>
          <t>매매가 이하 저렴한 농가주택입니다</t>
        </is>
      </c>
      <c r="O130" s="6">
        <f>HYPERLINK("https://fin.land.naver.com/articles/2644366822", "매물Link")</f>
        <v/>
      </c>
      <c r="P130" s="6">
        <f>HYPERLINK("https://map.naver.com/p/search/연서면 기룡리 657-4", "지도Link")</f>
        <v/>
      </c>
      <c r="Q130" s="6">
        <f>HYPERLINK("http://www.eum.go.kr/web/ar/lu/luLandDet.jsp?pnu=3611036028106570004&amp;isNoScr=script&amp;mode=search", "토지이음")</f>
        <v/>
      </c>
      <c r="R130" s="3" t="inlineStr">
        <is>
          <t>캠퍼스</t>
        </is>
      </c>
      <c r="S130" s="4" t="n">
        <v>1</v>
      </c>
      <c r="T130" s="5" t="n">
        <v>66.7</v>
      </c>
      <c r="U130" s="4" t="n">
        <v>304</v>
      </c>
      <c r="V130" s="3" t="inlineStr">
        <is>
          <t>지정되지않음</t>
        </is>
      </c>
      <c r="W130" s="3" t="inlineStr">
        <is>
          <t>단독</t>
        </is>
      </c>
      <c r="X130" s="3" t="inlineStr">
        <is>
          <t>평지</t>
        </is>
      </c>
      <c r="Y130" s="3" t="inlineStr">
        <is>
          <t>부정형</t>
        </is>
      </c>
      <c r="Z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4</t>
        </is>
      </c>
      <c r="C131" s="3" t="inlineStr">
        <is>
          <t>0</t>
        </is>
      </c>
      <c r="D131" s="3" t="inlineStr">
        <is>
          <t>단독</t>
        </is>
      </c>
      <c r="E131" s="3" t="inlineStr">
        <is>
          <t>매매</t>
        </is>
      </c>
      <c r="F131" s="4" t="n">
        <v>107000</v>
      </c>
      <c r="G131" s="4" t="n">
        <v>0</v>
      </c>
      <c r="H131" s="4" t="n">
        <v>421</v>
      </c>
      <c r="I131" s="4" t="n">
        <v>127</v>
      </c>
      <c r="J131" s="5" t="n">
        <v>842.5</v>
      </c>
      <c r="K131" s="4" t="n">
        <v>450</v>
      </c>
      <c r="L131" s="4" t="n">
        <v>136</v>
      </c>
      <c r="M131" s="5" t="n">
        <v>786.8</v>
      </c>
      <c r="N131" s="3" t="inlineStr">
        <is>
          <t>스마트산업단지 예정 인근 다가구 통매매,중심상권 위치로 투자수익 기대</t>
        </is>
      </c>
      <c r="O131" s="6">
        <f>HYPERLINK("https://fin.land.naver.com/articles/2644670568", "매물Link")</f>
        <v/>
      </c>
      <c r="P131" s="6">
        <f>HYPERLINK("https://map.naver.com/p/search/연서면 봉암리 112-30", "지도Link")</f>
        <v/>
      </c>
      <c r="Q131" s="6">
        <f>HYPERLINK("http://www.eum.go.kr/web/ar/lu/luLandDet.jsp?pnu=3611036033101120030&amp;isNoScr=script&amp;mode=search", "토지이음")</f>
        <v/>
      </c>
      <c r="R131" s="3" t="inlineStr">
        <is>
          <t>연기더조은</t>
        </is>
      </c>
      <c r="S131" s="4" t="n">
        <v>1</v>
      </c>
      <c r="T131" s="5" t="n">
        <v>194.8</v>
      </c>
      <c r="U131" s="4" t="n">
        <v>421</v>
      </c>
      <c r="V131" s="3" t="inlineStr">
        <is>
          <t>지정되지않음</t>
        </is>
      </c>
      <c r="W131" s="3" t="inlineStr">
        <is>
          <t>단독</t>
        </is>
      </c>
      <c r="X131" s="3" t="inlineStr">
        <is>
          <t>평지</t>
        </is>
      </c>
      <c r="Y131" s="3" t="inlineStr">
        <is>
          <t>세로장방</t>
        </is>
      </c>
      <c r="Z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4</t>
        </is>
      </c>
      <c r="C132" s="3" t="inlineStr">
        <is>
          <t>0</t>
        </is>
      </c>
      <c r="D132" s="3" t="inlineStr">
        <is>
          <t>다가구</t>
        </is>
      </c>
      <c r="E132" s="3" t="inlineStr">
        <is>
          <t>매매</t>
        </is>
      </c>
      <c r="F132" s="4" t="n">
        <v>107000</v>
      </c>
      <c r="G132" s="4" t="n">
        <v>0</v>
      </c>
      <c r="H132" s="4" t="n">
        <v>420</v>
      </c>
      <c r="I132" s="4" t="n">
        <v>127</v>
      </c>
      <c r="J132" s="5" t="n">
        <v>842.5</v>
      </c>
      <c r="K132" s="4" t="n">
        <v>450</v>
      </c>
      <c r="L132" s="4" t="n">
        <v>136</v>
      </c>
      <c r="M132" s="5" t="n">
        <v>786.8</v>
      </c>
      <c r="N132" s="3" t="inlineStr">
        <is>
          <t>다가구 매매 .위치.방 컨디션 매우좋은 건물</t>
        </is>
      </c>
      <c r="O132" s="6">
        <f>HYPERLINK("https://fin.land.naver.com/articles/2646956117", "매물Link")</f>
        <v/>
      </c>
      <c r="P132" s="6">
        <f>HYPERLINK("https://map.naver.com/p/search/연서면 봉암리 112-30", "지도Link")</f>
        <v/>
      </c>
      <c r="Q132" s="6">
        <f>HYPERLINK("http://www.eum.go.kr/web/ar/lu/luLandDet.jsp?pnu=3611036033101120030&amp;isNoScr=script&amp;mode=search", "토지이음")</f>
        <v/>
      </c>
      <c r="R132" s="3" t="inlineStr">
        <is>
          <t>연서</t>
        </is>
      </c>
      <c r="S132" s="4" t="n">
        <v>1</v>
      </c>
      <c r="T132" s="5" t="n">
        <v>194.8</v>
      </c>
      <c r="U132" s="4" t="n">
        <v>421</v>
      </c>
      <c r="V132" s="3" t="inlineStr">
        <is>
          <t>지정되지않음</t>
        </is>
      </c>
      <c r="W132" s="3" t="inlineStr">
        <is>
          <t>단독</t>
        </is>
      </c>
      <c r="X132" s="3" t="inlineStr">
        <is>
          <t>평지</t>
        </is>
      </c>
      <c r="Y132" s="3" t="inlineStr">
        <is>
          <t>세로장방</t>
        </is>
      </c>
      <c r="Z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4</t>
        </is>
      </c>
      <c r="C133" s="3" t="inlineStr">
        <is>
          <t>4</t>
        </is>
      </c>
      <c r="D133" s="3" t="inlineStr">
        <is>
          <t>다가구</t>
        </is>
      </c>
      <c r="E133" s="3" t="inlineStr">
        <is>
          <t>월세</t>
        </is>
      </c>
      <c r="F133" s="4" t="n">
        <v>500</v>
      </c>
      <c r="G133" s="4" t="n">
        <v>79</v>
      </c>
      <c r="H133" s="4" t="n">
        <v>0</v>
      </c>
      <c r="I133" s="4" t="n">
        <v>0</v>
      </c>
      <c r="J133" s="5" t="n">
        <v>0</v>
      </c>
      <c r="K133" s="4" t="n">
        <v>79</v>
      </c>
      <c r="L133" s="4" t="n">
        <v>24</v>
      </c>
      <c r="M133" s="5" t="n">
        <v>3.3</v>
      </c>
      <c r="N133" s="3" t="inlineStr">
        <is>
          <t>쓰리룸. 방3, 화장실 2, 베란다 2, 거실</t>
        </is>
      </c>
      <c r="O133" s="6">
        <f>HYPERLINK("https://fin.land.naver.com/articles/2647387374", "매물Link")</f>
        <v/>
      </c>
      <c r="P133" s="6">
        <f>HYPERLINK("https://map.naver.com/p/search/연서면 봉암리 112-31", "지도Link")</f>
        <v/>
      </c>
      <c r="Q133" s="6">
        <f>HYPERLINK("http://www.eum.go.kr/web/ar/lu/luLandDet.jsp?pnu=3611036033101120031&amp;isNoScr=script&amp;mode=search", "토지이음")</f>
        <v/>
      </c>
      <c r="R133" s="3" t="inlineStr">
        <is>
          <t>지성</t>
        </is>
      </c>
      <c r="S133" s="4" t="n">
        <v>1</v>
      </c>
      <c r="T133" s="5" t="n">
        <v>319.6</v>
      </c>
      <c r="U133" s="4" t="n">
        <v>358</v>
      </c>
      <c r="V133" s="3" t="inlineStr">
        <is>
          <t>지정되지않음</t>
        </is>
      </c>
      <c r="W133" s="3" t="inlineStr">
        <is>
          <t>주상기타</t>
        </is>
      </c>
      <c r="X133" s="3" t="inlineStr">
        <is>
          <t>평지</t>
        </is>
      </c>
      <c r="Y133" s="3" t="inlineStr">
        <is>
          <t>세로장방</t>
        </is>
      </c>
      <c r="Z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0</t>
        </is>
      </c>
      <c r="C134" s="3" t="inlineStr">
        <is>
          <t>4</t>
        </is>
      </c>
      <c r="D134" s="3" t="inlineStr">
        <is>
          <t>일반원룸</t>
        </is>
      </c>
      <c r="E134" s="3" t="inlineStr">
        <is>
          <t>월세</t>
        </is>
      </c>
      <c r="F134" s="4" t="n">
        <v>300</v>
      </c>
      <c r="G134" s="4" t="n">
        <v>45</v>
      </c>
      <c r="H134" s="4" t="n">
        <v>49</v>
      </c>
      <c r="I134" s="4" t="n">
        <v>15</v>
      </c>
      <c r="J134" s="5" t="n">
        <v>3</v>
      </c>
      <c r="K134" s="4" t="n">
        <v>39</v>
      </c>
      <c r="L134" s="4" t="n">
        <v>12</v>
      </c>
      <c r="M134" s="5" t="n">
        <v>3.8</v>
      </c>
      <c r="N134" s="3" t="inlineStr">
        <is>
          <t>nan</t>
        </is>
      </c>
      <c r="O134" s="6">
        <f>HYPERLINK("https://fin.land.naver.com/articles/2645105601", "매물Link")</f>
        <v/>
      </c>
      <c r="P134" s="6">
        <f>HYPERLINK("https://map.naver.com/p/search/연서면 봉암리 112-31", "지도Link")</f>
        <v/>
      </c>
      <c r="Q134" s="6">
        <f>HYPERLINK("http://www.eum.go.kr/web/ar/lu/luLandDet.jsp?pnu=3611036033101120031&amp;isNoScr=script&amp;mode=search", "토지이음")</f>
        <v/>
      </c>
      <c r="R134" s="3" t="inlineStr">
        <is>
          <t>엄지척</t>
        </is>
      </c>
      <c r="S134" s="4" t="n">
        <v>1</v>
      </c>
      <c r="T134" s="5" t="n">
        <v>319.6</v>
      </c>
      <c r="U134" s="4" t="n">
        <v>358</v>
      </c>
      <c r="V134" s="3" t="inlineStr">
        <is>
          <t>지정되지않음</t>
        </is>
      </c>
      <c r="W134" s="3" t="inlineStr">
        <is>
          <t>주상기타</t>
        </is>
      </c>
      <c r="X134" s="3" t="inlineStr">
        <is>
          <t>평지</t>
        </is>
      </c>
      <c r="Y134" s="3" t="inlineStr">
        <is>
          <t>세로장방</t>
        </is>
      </c>
      <c r="Z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4</t>
        </is>
      </c>
      <c r="C135" s="3" t="inlineStr">
        <is>
          <t>0</t>
        </is>
      </c>
      <c r="D135" s="3" t="inlineStr">
        <is>
          <t>다가구</t>
        </is>
      </c>
      <c r="E135" s="3" t="inlineStr">
        <is>
          <t>매매</t>
        </is>
      </c>
      <c r="F135" s="4" t="n">
        <v>98000</v>
      </c>
      <c r="G135" s="4" t="n">
        <v>0</v>
      </c>
      <c r="H135" s="4" t="n">
        <v>410</v>
      </c>
      <c r="I135" s="4" t="n">
        <v>124</v>
      </c>
      <c r="J135" s="5" t="n">
        <v>790.3</v>
      </c>
      <c r="K135" s="4" t="n">
        <v>487</v>
      </c>
      <c r="L135" s="4" t="n">
        <v>147</v>
      </c>
      <c r="M135" s="5" t="n">
        <v>666.7</v>
      </c>
      <c r="N135" s="3" t="inlineStr">
        <is>
          <t>세종시 투자의 정석 공실 걱정 없는 안정적인 고수익 다가구주택</t>
        </is>
      </c>
      <c r="O135" s="6">
        <f>HYPERLINK("https://fin.land.naver.com/articles/2645675840", "매물Link")</f>
        <v/>
      </c>
      <c r="P135" s="6">
        <f>HYPERLINK("https://map.naver.com/p/search/연서면 봉암리 112-35", "지도Link")</f>
        <v/>
      </c>
      <c r="Q135" s="6">
        <f>HYPERLINK("http://www.eum.go.kr/web/ar/lu/luLandDet.jsp?pnu=3611036033101120035&amp;isNoScr=script&amp;mode=search", "토지이음")</f>
        <v/>
      </c>
      <c r="R135" s="3" t="inlineStr">
        <is>
          <t>엄지척</t>
        </is>
      </c>
      <c r="S135" s="4" t="n">
        <v>1</v>
      </c>
      <c r="T135" s="5" t="n">
        <v>194.8</v>
      </c>
      <c r="U135" s="4" t="n">
        <v>410</v>
      </c>
      <c r="V135" s="3" t="inlineStr">
        <is>
          <t>지정되지않음</t>
        </is>
      </c>
      <c r="W135" s="3" t="inlineStr">
        <is>
          <t>단독</t>
        </is>
      </c>
      <c r="X135" s="3" t="inlineStr">
        <is>
          <t>평지</t>
        </is>
      </c>
      <c r="Y135" s="3" t="inlineStr">
        <is>
          <t>세로장방</t>
        </is>
      </c>
      <c r="Z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4</t>
        </is>
      </c>
      <c r="C136" s="3" t="inlineStr">
        <is>
          <t>4</t>
        </is>
      </c>
      <c r="D136" s="3" t="inlineStr">
        <is>
          <t>일반원룸</t>
        </is>
      </c>
      <c r="E136" s="3" t="inlineStr">
        <is>
          <t>월세</t>
        </is>
      </c>
      <c r="F136" s="4" t="n">
        <v>200</v>
      </c>
      <c r="G136" s="4" t="n">
        <v>35</v>
      </c>
      <c r="H136" s="4" t="n">
        <v>0</v>
      </c>
      <c r="I136" s="4" t="n">
        <v>0</v>
      </c>
      <c r="J136" s="5" t="n">
        <v>0</v>
      </c>
      <c r="K136" s="4" t="n">
        <v>30</v>
      </c>
      <c r="L136" s="4" t="n">
        <v>9</v>
      </c>
      <c r="M136" s="5" t="n">
        <v>3.9</v>
      </c>
      <c r="N136" s="3" t="inlineStr">
        <is>
          <t>가성비좋은 풀옵션 완비방   깔끔한 주방분리 짐만 챙겨오세요  해밀동5분</t>
        </is>
      </c>
      <c r="O136" s="6">
        <f>HYPERLINK("https://fin.land.naver.com/articles/2649064055", "매물Link")</f>
        <v/>
      </c>
      <c r="P136" s="6">
        <f>HYPERLINK("https://map.naver.com/p/search/연서면 봉암리 112-40", "지도Link")</f>
        <v/>
      </c>
      <c r="Q136" s="6">
        <f>HYPERLINK("http://www.eum.go.kr/web/ar/lu/luLandDet.jsp?pnu=3611036033101120040&amp;isNoScr=script&amp;mode=search", "토지이음")</f>
        <v/>
      </c>
      <c r="R136" s="3" t="inlineStr">
        <is>
          <t>연서으뜸</t>
        </is>
      </c>
      <c r="S136" s="4" t="n">
        <v>1</v>
      </c>
      <c r="T136" s="5" t="n">
        <v>194.8</v>
      </c>
      <c r="U136" s="4" t="n">
        <v>412</v>
      </c>
      <c r="V136" s="3" t="inlineStr">
        <is>
          <t>지정되지않음</t>
        </is>
      </c>
      <c r="W136" s="3" t="inlineStr">
        <is>
          <t>단독</t>
        </is>
      </c>
      <c r="X136" s="3" t="inlineStr">
        <is>
          <t>평지</t>
        </is>
      </c>
      <c r="Y136" s="3" t="inlineStr">
        <is>
          <t>세로장방</t>
        </is>
      </c>
      <c r="Z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3</t>
        </is>
      </c>
      <c r="C137" s="3" t="inlineStr">
        <is>
          <t>3</t>
        </is>
      </c>
      <c r="D137" s="3" t="inlineStr">
        <is>
          <t>다가구</t>
        </is>
      </c>
      <c r="E137" s="3" t="inlineStr">
        <is>
          <t>월세</t>
        </is>
      </c>
      <c r="F137" s="4" t="n">
        <v>500</v>
      </c>
      <c r="G137" s="4" t="n">
        <v>50</v>
      </c>
      <c r="H137" s="4" t="n">
        <v>0</v>
      </c>
      <c r="I137" s="4" t="n">
        <v>0</v>
      </c>
      <c r="J137" s="5" t="n">
        <v>0</v>
      </c>
      <c r="K137" s="4" t="n">
        <v>45</v>
      </c>
      <c r="L137" s="4" t="n">
        <v>14</v>
      </c>
      <c r="M137" s="5" t="n">
        <v>3.6</v>
      </c>
      <c r="N137" s="3" t="inlineStr">
        <is>
          <t>깨끗한 투룸</t>
        </is>
      </c>
      <c r="O137" s="6">
        <f>HYPERLINK("https://fin.land.naver.com/articles/2648813395", "매물Link")</f>
        <v/>
      </c>
      <c r="P137" s="6">
        <f>HYPERLINK("https://map.naver.com/p/search/연서면 봉암리 215-4", "지도Link")</f>
        <v/>
      </c>
      <c r="Q137" s="6">
        <f>HYPERLINK("http://www.eum.go.kr/web/ar/lu/luLandDet.jsp?pnu=3611036033102150004&amp;isNoScr=script&amp;mode=search", "토지이음")</f>
        <v/>
      </c>
      <c r="R137" s="3" t="inlineStr">
        <is>
          <t>세종대박</t>
        </is>
      </c>
      <c r="S137" s="4" t="n">
        <v>1</v>
      </c>
      <c r="T137" s="5" t="n">
        <v>321.4</v>
      </c>
      <c r="U137" s="4" t="n">
        <v>269</v>
      </c>
      <c r="V137" s="3" t="inlineStr">
        <is>
          <t>지정되지않음</t>
        </is>
      </c>
      <c r="W137" s="3" t="inlineStr">
        <is>
          <t>주상용</t>
        </is>
      </c>
      <c r="X137" s="3" t="inlineStr">
        <is>
          <t>평지</t>
        </is>
      </c>
      <c r="Y137" s="3" t="inlineStr">
        <is>
          <t>사다리형</t>
        </is>
      </c>
      <c r="Z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4</t>
        </is>
      </c>
      <c r="C138" s="3" t="inlineStr">
        <is>
          <t>0</t>
        </is>
      </c>
      <c r="D138" s="3" t="inlineStr">
        <is>
          <t>상가주택</t>
        </is>
      </c>
      <c r="E138" s="3" t="inlineStr">
        <is>
          <t>매매</t>
        </is>
      </c>
      <c r="F138" s="4" t="n">
        <v>100000</v>
      </c>
      <c r="G138" s="4" t="n">
        <v>0</v>
      </c>
      <c r="H138" s="4" t="n">
        <v>269</v>
      </c>
      <c r="I138" s="4" t="n">
        <v>81</v>
      </c>
      <c r="J138" s="5" t="n">
        <v>1234.6</v>
      </c>
      <c r="K138" s="4" t="n">
        <v>327</v>
      </c>
      <c r="L138" s="4" t="n">
        <v>99</v>
      </c>
      <c r="M138" s="5" t="n">
        <v>1010.1</v>
      </c>
      <c r="N138" s="3" t="inlineStr">
        <is>
          <t>상가주택 매매</t>
        </is>
      </c>
      <c r="O138" s="6">
        <f>HYPERLINK("https://fin.land.naver.com/articles/2648813394", "매물Link")</f>
        <v/>
      </c>
      <c r="P138" s="6">
        <f>HYPERLINK("https://map.naver.com/p/search/연서면 봉암리 215-4", "지도Link")</f>
        <v/>
      </c>
      <c r="Q138" s="6">
        <f>HYPERLINK("http://www.eum.go.kr/web/ar/lu/luLandDet.jsp?pnu=3611036033102150004&amp;isNoScr=script&amp;mode=search", "토지이음")</f>
        <v/>
      </c>
      <c r="R138" s="3" t="inlineStr">
        <is>
          <t>세종대박</t>
        </is>
      </c>
      <c r="S138" s="4" t="n">
        <v>1</v>
      </c>
      <c r="T138" s="5" t="n">
        <v>321.4</v>
      </c>
      <c r="U138" s="4" t="n">
        <v>269</v>
      </c>
      <c r="V138" s="3" t="inlineStr">
        <is>
          <t>지정되지않음</t>
        </is>
      </c>
      <c r="W138" s="3" t="inlineStr">
        <is>
          <t>주상용</t>
        </is>
      </c>
      <c r="X138" s="3" t="inlineStr">
        <is>
          <t>평지</t>
        </is>
      </c>
      <c r="Y138" s="3" t="inlineStr">
        <is>
          <t>사다리형</t>
        </is>
      </c>
      <c r="Z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4</t>
        </is>
      </c>
      <c r="C139" s="3" t="inlineStr">
        <is>
          <t>0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372</v>
      </c>
      <c r="I139" s="4" t="n">
        <v>113</v>
      </c>
      <c r="J139" s="5" t="n">
        <v>752.2</v>
      </c>
      <c r="K139" s="4" t="n">
        <v>483</v>
      </c>
      <c r="L139" s="4" t="n">
        <v>146</v>
      </c>
      <c r="M139" s="5" t="n">
        <v>582.2</v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6">
        <f>HYPERLINK("http://www.eum.go.kr/web/ar/lu/luLandDet.jsp?pnu=3611036033102170016&amp;isNoScr=script&amp;mode=search", "토지이음")</f>
        <v/>
      </c>
      <c r="R139" s="3" t="inlineStr">
        <is>
          <t>연기더조은</t>
        </is>
      </c>
      <c r="S139" s="4" t="n">
        <v>1</v>
      </c>
      <c r="T139" s="5" t="n">
        <v>172.4</v>
      </c>
      <c r="U139" s="4" t="n">
        <v>372</v>
      </c>
      <c r="V139" s="3" t="inlineStr">
        <is>
          <t>지정되지않음</t>
        </is>
      </c>
      <c r="W139" s="3" t="inlineStr">
        <is>
          <t>단독</t>
        </is>
      </c>
      <c r="X139" s="3" t="inlineStr">
        <is>
          <t>평지</t>
        </is>
      </c>
      <c r="Y139" s="3" t="inlineStr">
        <is>
          <t>사다리형</t>
        </is>
      </c>
      <c r="Z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2</t>
        </is>
      </c>
      <c r="C140" s="3" t="inlineStr">
        <is>
          <t>4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300</v>
      </c>
      <c r="G140" s="4" t="n">
        <v>34</v>
      </c>
      <c r="H140" s="4" t="n">
        <v>179</v>
      </c>
      <c r="I140" s="4" t="n">
        <v>54</v>
      </c>
      <c r="J140" s="5" t="n">
        <v>0.6</v>
      </c>
      <c r="K140" s="4" t="n">
        <v>33</v>
      </c>
      <c r="L140" s="4" t="n">
        <v>10</v>
      </c>
      <c r="M140" s="5" t="n">
        <v>3.4</v>
      </c>
      <c r="N140" s="3" t="inlineStr">
        <is>
          <t>인기매물  깔끔한 풀옵션방  정류장 1분  나성동 10분  산울동  5분</t>
        </is>
      </c>
      <c r="O140" s="6">
        <f>HYPERLINK("https://fin.land.naver.com/articles/2648758626", "매물Link")</f>
        <v/>
      </c>
      <c r="P140" s="6">
        <f>HYPERLINK("https://map.naver.com/p/search/연서면 봉암리 234-36", "지도Link")</f>
        <v/>
      </c>
      <c r="Q140" s="6">
        <f>HYPERLINK("http://www.eum.go.kr/web/ar/lu/luLandDet.jsp?pnu=3611036033102340036&amp;isNoScr=script&amp;mode=search", "토지이음")</f>
        <v/>
      </c>
      <c r="R140" s="3" t="inlineStr">
        <is>
          <t>연서으뜸</t>
        </is>
      </c>
      <c r="S140" s="4" t="n">
        <v>1</v>
      </c>
      <c r="T140" s="5" t="n">
        <v>172.4</v>
      </c>
      <c r="U140" s="4" t="n">
        <v>363</v>
      </c>
      <c r="V140" s="3" t="inlineStr">
        <is>
          <t>지정되지않음</t>
        </is>
      </c>
      <c r="W140" s="3" t="inlineStr">
        <is>
          <t>단독</t>
        </is>
      </c>
      <c r="X140" s="3" t="inlineStr">
        <is>
          <t>평지</t>
        </is>
      </c>
      <c r="Y140" s="3" t="inlineStr">
        <is>
          <t>사다리형</t>
        </is>
      </c>
      <c r="Z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1</t>
        </is>
      </c>
      <c r="C141" s="3" t="inlineStr">
        <is>
          <t>0</t>
        </is>
      </c>
      <c r="D141" s="3" t="inlineStr">
        <is>
          <t>단독</t>
        </is>
      </c>
      <c r="E141" s="3" t="inlineStr">
        <is>
          <t>매매</t>
        </is>
      </c>
      <c r="F141" s="4" t="n">
        <v>18500</v>
      </c>
      <c r="G141" s="4" t="n">
        <v>0</v>
      </c>
      <c r="H141" s="4" t="n">
        <v>175</v>
      </c>
      <c r="I141" s="4" t="n">
        <v>53</v>
      </c>
      <c r="J141" s="5" t="n">
        <v>349.1</v>
      </c>
      <c r="K141" s="4" t="n">
        <v>67</v>
      </c>
      <c r="L141" s="4" t="n">
        <v>20</v>
      </c>
      <c r="M141" s="5" t="n">
        <v>925</v>
      </c>
      <c r="N141" s="3" t="inlineStr">
        <is>
          <t>nan</t>
        </is>
      </c>
      <c r="O141" s="6">
        <f>HYPERLINK("https://fin.land.naver.com/articles/2647590651", "매물Link")</f>
        <v/>
      </c>
      <c r="P141" s="6">
        <f>HYPERLINK("https://map.naver.com/p/search/연서면 봉암리 54-45", "지도Link")</f>
        <v/>
      </c>
      <c r="Q141" s="6">
        <f>HYPERLINK("http://www.eum.go.kr/web/ar/lu/luLandDet.jsp?pnu=3611036033100540045&amp;isNoScr=script&amp;mode=search", "토지이음")</f>
        <v/>
      </c>
      <c r="R141" s="3" t="inlineStr">
        <is>
          <t>KB세종</t>
        </is>
      </c>
      <c r="S141" s="4" t="n">
        <v>1</v>
      </c>
      <c r="T141" s="5" t="n">
        <v>116.1</v>
      </c>
      <c r="U141" s="4" t="n">
        <v>175</v>
      </c>
      <c r="V141" s="3" t="inlineStr">
        <is>
          <t>지정되지않음</t>
        </is>
      </c>
      <c r="W141" s="3" t="inlineStr">
        <is>
          <t>단독</t>
        </is>
      </c>
      <c r="X141" s="3" t="inlineStr">
        <is>
          <t>평지</t>
        </is>
      </c>
      <c r="Y141" s="3" t="inlineStr">
        <is>
          <t>사다리형</t>
        </is>
      </c>
      <c r="Z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2</t>
        </is>
      </c>
      <c r="C142" s="3" t="inlineStr">
        <is>
          <t>4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200</v>
      </c>
      <c r="G142" s="4" t="n">
        <v>30</v>
      </c>
      <c r="H142" s="4" t="n">
        <v>0</v>
      </c>
      <c r="I142" s="4" t="n">
        <v>0</v>
      </c>
      <c r="J142" s="5" t="n">
        <v>0</v>
      </c>
      <c r="K142" s="4" t="n">
        <v>23</v>
      </c>
      <c r="L142" s="4" t="n">
        <v>7</v>
      </c>
      <c r="M142" s="5" t="n">
        <v>4.3</v>
      </c>
      <c r="N142" s="3" t="inlineStr">
        <is>
          <t>인기좋은  풀옵션완비방   깔끔한 주방분리   바로입주  주차편함</t>
        </is>
      </c>
      <c r="O142" s="6">
        <f>HYPERLINK("https://fin.land.naver.com/articles/2648544810", "매물Link")</f>
        <v/>
      </c>
      <c r="P142" s="6">
        <f>HYPERLINK("https://map.naver.com/p/search/연서면 봉암리 54-76", "지도Link")</f>
        <v/>
      </c>
      <c r="Q142" s="6">
        <f>HYPERLINK("http://www.eum.go.kr/web/ar/lu/luLandDet.jsp?pnu=3611036033100540076&amp;isNoScr=script&amp;mode=search", "토지이음")</f>
        <v/>
      </c>
      <c r="R142" s="3" t="inlineStr">
        <is>
          <t>연서으뜸</t>
        </is>
      </c>
      <c r="S142" s="4" t="n">
        <v>1</v>
      </c>
      <c r="T142" s="5" t="n">
        <v>281.7</v>
      </c>
      <c r="U142" s="4" t="n">
        <v>321</v>
      </c>
      <c r="V142" s="3" t="inlineStr">
        <is>
          <t>지정되지않음</t>
        </is>
      </c>
      <c r="W142" s="3" t="inlineStr">
        <is>
          <t>주상기타</t>
        </is>
      </c>
      <c r="X142" s="3" t="inlineStr">
        <is>
          <t>평지</t>
        </is>
      </c>
      <c r="Y142" s="3" t="inlineStr">
        <is>
          <t>가로장방</t>
        </is>
      </c>
      <c r="Z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4</t>
        </is>
      </c>
      <c r="C143" s="3" t="inlineStr">
        <is>
          <t>0</t>
        </is>
      </c>
      <c r="D143" s="3" t="inlineStr">
        <is>
          <t>다가구</t>
        </is>
      </c>
      <c r="E143" s="3" t="inlineStr">
        <is>
          <t>매매</t>
        </is>
      </c>
      <c r="F143" s="4" t="n">
        <v>100000</v>
      </c>
      <c r="G143" s="4" t="n">
        <v>0</v>
      </c>
      <c r="H143" s="4" t="n">
        <v>360</v>
      </c>
      <c r="I143" s="4" t="n">
        <v>109</v>
      </c>
      <c r="J143" s="5" t="n">
        <v>917.4</v>
      </c>
      <c r="K143" s="4" t="n">
        <v>490</v>
      </c>
      <c r="L143" s="4" t="n">
        <v>148</v>
      </c>
      <c r="M143" s="5" t="n">
        <v>675.7</v>
      </c>
      <c r="N143" s="3" t="inlineStr">
        <is>
          <t>nan</t>
        </is>
      </c>
      <c r="O143" s="6">
        <f>HYPERLINK("https://fin.land.naver.com/articles/2645645528", "매물Link")</f>
        <v/>
      </c>
      <c r="P143" s="6">
        <f>HYPERLINK("https://map.naver.com/p/search/연서면 봉암리 54-89", "지도Link")</f>
        <v/>
      </c>
      <c r="Q143" s="6">
        <f>HYPERLINK("http://www.eum.go.kr/web/ar/lu/luLandDet.jsp?pnu=3611036033100540089&amp;isNoScr=script&amp;mode=search", "토지이음")</f>
        <v/>
      </c>
      <c r="R143" s="3" t="inlineStr">
        <is>
          <t>엄지척</t>
        </is>
      </c>
      <c r="S143" s="4" t="n">
        <v>1</v>
      </c>
      <c r="T143" s="5" t="n">
        <v>196.8</v>
      </c>
      <c r="U143" s="4" t="n">
        <v>360</v>
      </c>
      <c r="V143" s="3" t="inlineStr">
        <is>
          <t>지정되지않음</t>
        </is>
      </c>
      <c r="W143" s="3" t="inlineStr">
        <is>
          <t>단독</t>
        </is>
      </c>
      <c r="X143" s="3" t="inlineStr">
        <is>
          <t>평지</t>
        </is>
      </c>
      <c r="Y143" s="3" t="inlineStr">
        <is>
          <t>사다리형</t>
        </is>
      </c>
      <c r="Z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4</t>
        </is>
      </c>
      <c r="C144" s="3" t="inlineStr">
        <is>
          <t>0</t>
        </is>
      </c>
      <c r="D144" s="3" t="inlineStr">
        <is>
          <t>다가구</t>
        </is>
      </c>
      <c r="E144" s="3" t="inlineStr">
        <is>
          <t>매매</t>
        </is>
      </c>
      <c r="F144" s="4" t="n">
        <v>100000</v>
      </c>
      <c r="G144" s="4" t="n">
        <v>0</v>
      </c>
      <c r="H144" s="4" t="n">
        <v>359</v>
      </c>
      <c r="I144" s="4" t="n">
        <v>109</v>
      </c>
      <c r="J144" s="5" t="n">
        <v>917.4</v>
      </c>
      <c r="K144" s="4" t="n">
        <v>490</v>
      </c>
      <c r="L144" s="4" t="n">
        <v>148</v>
      </c>
      <c r="M144" s="5" t="n">
        <v>675.7</v>
      </c>
      <c r="N144" s="3" t="inlineStr">
        <is>
          <t>세종시 인접  19실  수익형 다가구매매</t>
        </is>
      </c>
      <c r="O144" s="6">
        <f>HYPERLINK("https://fin.land.naver.com/articles/2646955761", "매물Link")</f>
        <v/>
      </c>
      <c r="P144" s="6">
        <f>HYPERLINK("https://map.naver.com/p/search/연서면 봉암리 54-89", "지도Link")</f>
        <v/>
      </c>
      <c r="Q144" s="6">
        <f>HYPERLINK("http://www.eum.go.kr/web/ar/lu/luLandDet.jsp?pnu=3611036033100540089&amp;isNoScr=script&amp;mode=search", "토지이음")</f>
        <v/>
      </c>
      <c r="R144" s="3" t="inlineStr">
        <is>
          <t>연서</t>
        </is>
      </c>
      <c r="S144" s="4" t="n">
        <v>1</v>
      </c>
      <c r="T144" s="5" t="n">
        <v>196.8</v>
      </c>
      <c r="U144" s="4" t="n">
        <v>360</v>
      </c>
      <c r="V144" s="3" t="inlineStr">
        <is>
          <t>지정되지않음</t>
        </is>
      </c>
      <c r="W144" s="3" t="inlineStr">
        <is>
          <t>단독</t>
        </is>
      </c>
      <c r="X144" s="3" t="inlineStr">
        <is>
          <t>평지</t>
        </is>
      </c>
      <c r="Y144" s="3" t="inlineStr">
        <is>
          <t>사다리형</t>
        </is>
      </c>
      <c r="Z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2</t>
        </is>
      </c>
      <c r="C145" s="3" t="inlineStr">
        <is>
          <t>4</t>
        </is>
      </c>
      <c r="D145" s="3" t="inlineStr">
        <is>
          <t>다가구</t>
        </is>
      </c>
      <c r="E145" s="3" t="inlineStr">
        <is>
          <t>월세</t>
        </is>
      </c>
      <c r="F145" s="4" t="n">
        <v>300</v>
      </c>
      <c r="G145" s="4" t="n">
        <v>45</v>
      </c>
      <c r="H145" s="4" t="n">
        <v>139</v>
      </c>
      <c r="I145" s="4" t="n">
        <v>42</v>
      </c>
      <c r="J145" s="5" t="n">
        <v>1.1</v>
      </c>
      <c r="K145" s="4" t="n">
        <v>39</v>
      </c>
      <c r="L145" s="4" t="n">
        <v>12</v>
      </c>
      <c r="M145" s="5" t="n">
        <v>3.8</v>
      </c>
      <c r="N145" s="3" t="inlineStr">
        <is>
          <t>nan</t>
        </is>
      </c>
      <c r="O145" s="6">
        <f>HYPERLINK("https://fin.land.naver.com/articles/2648794253", "매물Link")</f>
        <v/>
      </c>
      <c r="P145" s="6">
        <f>HYPERLINK("https://map.naver.com/p/search/연서면 봉암리 58-3", "지도Link")</f>
        <v/>
      </c>
      <c r="Q145" s="6">
        <f>HYPERLINK("http://www.eum.go.kr/web/ar/lu/luLandDet.jsp?pnu=3611036033100580003&amp;isNoScr=script&amp;mode=search", "토지이음")</f>
        <v/>
      </c>
      <c r="R145" s="3" t="inlineStr">
        <is>
          <t>동서남북</t>
        </is>
      </c>
      <c r="S145" s="4" t="n">
        <v>1</v>
      </c>
      <c r="T145" s="5" t="n">
        <v>196.8</v>
      </c>
      <c r="U145" s="4" t="n">
        <v>434</v>
      </c>
      <c r="V145" s="3" t="inlineStr">
        <is>
          <t>지정되지않음</t>
        </is>
      </c>
      <c r="W145" s="3" t="inlineStr">
        <is>
          <t>단독</t>
        </is>
      </c>
      <c r="X145" s="3" t="inlineStr">
        <is>
          <t>평지</t>
        </is>
      </c>
      <c r="Y145" s="3" t="inlineStr">
        <is>
          <t>세로장방</t>
        </is>
      </c>
      <c r="Z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2</t>
        </is>
      </c>
      <c r="C146" s="3" t="inlineStr">
        <is>
          <t>4</t>
        </is>
      </c>
      <c r="D146" s="3" t="inlineStr">
        <is>
          <t>다가구</t>
        </is>
      </c>
      <c r="E146" s="3" t="inlineStr">
        <is>
          <t>단기임대</t>
        </is>
      </c>
      <c r="F146" s="4" t="n">
        <v>300</v>
      </c>
      <c r="G146" s="4" t="n">
        <v>45</v>
      </c>
      <c r="H146" s="4" t="n">
        <v>139</v>
      </c>
      <c r="I146" s="4" t="n">
        <v>42</v>
      </c>
      <c r="J146" s="5" t="n">
        <v>7.1</v>
      </c>
      <c r="K146" s="4" t="n">
        <v>39</v>
      </c>
      <c r="L146" s="4" t="n">
        <v>12</v>
      </c>
      <c r="M146" s="5" t="n">
        <v>25</v>
      </c>
      <c r="N146" s="3" t="inlineStr">
        <is>
          <t>nan</t>
        </is>
      </c>
      <c r="O146" s="6">
        <f>HYPERLINK("https://fin.land.naver.com/articles/2647050039", "매물Link")</f>
        <v/>
      </c>
      <c r="P146" s="6">
        <f>HYPERLINK("https://map.naver.com/p/search/연서면 봉암리 58-3", "지도Link")</f>
        <v/>
      </c>
      <c r="Q146" s="6">
        <f>HYPERLINK("http://www.eum.go.kr/web/ar/lu/luLandDet.jsp?pnu=3611036033100580003&amp;isNoScr=script&amp;mode=search", "토지이음")</f>
        <v/>
      </c>
      <c r="R146" s="3" t="inlineStr">
        <is>
          <t>동서남북</t>
        </is>
      </c>
      <c r="S146" s="4" t="n">
        <v>1</v>
      </c>
      <c r="T146" s="5" t="n">
        <v>196.8</v>
      </c>
      <c r="U146" s="4" t="n">
        <v>434</v>
      </c>
      <c r="V146" s="3" t="inlineStr">
        <is>
          <t>지정되지않음</t>
        </is>
      </c>
      <c r="W146" s="3" t="inlineStr">
        <is>
          <t>단독</t>
        </is>
      </c>
      <c r="X146" s="3" t="inlineStr">
        <is>
          <t>평지</t>
        </is>
      </c>
      <c r="Y146" s="3" t="inlineStr">
        <is>
          <t>세로장방</t>
        </is>
      </c>
      <c r="Z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2</t>
        </is>
      </c>
      <c r="C147" s="3" t="inlineStr">
        <is>
          <t>4</t>
        </is>
      </c>
      <c r="D147" s="3" t="inlineStr">
        <is>
          <t>일반원룸</t>
        </is>
      </c>
      <c r="E147" s="3" t="inlineStr">
        <is>
          <t>단기임대</t>
        </is>
      </c>
      <c r="F147" s="4" t="n">
        <v>300</v>
      </c>
      <c r="G147" s="4" t="n">
        <v>45</v>
      </c>
      <c r="H147" s="4" t="n">
        <v>139</v>
      </c>
      <c r="I147" s="4" t="n">
        <v>42</v>
      </c>
      <c r="J147" s="5" t="n">
        <v>7.1</v>
      </c>
      <c r="K147" s="4" t="n">
        <v>39</v>
      </c>
      <c r="L147" s="4" t="n">
        <v>12</v>
      </c>
      <c r="M147" s="5" t="n">
        <v>25</v>
      </c>
      <c r="N147" s="3" t="inlineStr">
        <is>
          <t>nan</t>
        </is>
      </c>
      <c r="O147" s="6">
        <f>HYPERLINK("https://fin.land.naver.com/articles/2647001229", "매물Link")</f>
        <v/>
      </c>
      <c r="P147" s="6">
        <f>HYPERLINK("https://map.naver.com/p/search/연서면 봉암리 58-3", "지도Link")</f>
        <v/>
      </c>
      <c r="Q147" s="6">
        <f>HYPERLINK("http://www.eum.go.kr/web/ar/lu/luLandDet.jsp?pnu=3611036033100580003&amp;isNoScr=script&amp;mode=search", "토지이음")</f>
        <v/>
      </c>
      <c r="R147" s="3" t="inlineStr">
        <is>
          <t>동서남북</t>
        </is>
      </c>
      <c r="S147" s="4" t="n">
        <v>1</v>
      </c>
      <c r="T147" s="5" t="n">
        <v>196.8</v>
      </c>
      <c r="U147" s="4" t="n">
        <v>434</v>
      </c>
      <c r="V147" s="3" t="inlineStr">
        <is>
          <t>지정되지않음</t>
        </is>
      </c>
      <c r="W147" s="3" t="inlineStr">
        <is>
          <t>단독</t>
        </is>
      </c>
      <c r="X147" s="3" t="inlineStr">
        <is>
          <t>평지</t>
        </is>
      </c>
      <c r="Y147" s="3" t="inlineStr">
        <is>
          <t>세로장방</t>
        </is>
      </c>
      <c r="Z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2</t>
        </is>
      </c>
      <c r="C148" s="3" t="inlineStr">
        <is>
          <t>4</t>
        </is>
      </c>
      <c r="D148" s="3" t="inlineStr">
        <is>
          <t>일반원룸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139</v>
      </c>
      <c r="I148" s="4" t="n">
        <v>42</v>
      </c>
      <c r="J148" s="5" t="n">
        <v>1.1</v>
      </c>
      <c r="K148" s="4" t="n">
        <v>39</v>
      </c>
      <c r="L148" s="4" t="n">
        <v>12</v>
      </c>
      <c r="M148" s="5" t="n">
        <v>3.8</v>
      </c>
      <c r="N148" s="3" t="inlineStr">
        <is>
          <t>nan</t>
        </is>
      </c>
      <c r="O148" s="6">
        <f>HYPERLINK("https://fin.land.naver.com/articles/2645609304", "매물Link")</f>
        <v/>
      </c>
      <c r="P148" s="6">
        <f>HYPERLINK("https://map.naver.com/p/search/연서면 봉암리 58-3", "지도Link")</f>
        <v/>
      </c>
      <c r="Q148" s="6">
        <f>HYPERLINK("http://www.eum.go.kr/web/ar/lu/luLandDet.jsp?pnu=3611036033100580003&amp;isNoScr=script&amp;mode=search", "토지이음")</f>
        <v/>
      </c>
      <c r="R148" s="3" t="inlineStr">
        <is>
          <t>동서남북</t>
        </is>
      </c>
      <c r="S148" s="4" t="n">
        <v>1</v>
      </c>
      <c r="T148" s="5" t="n">
        <v>196.8</v>
      </c>
      <c r="U148" s="4" t="n">
        <v>434</v>
      </c>
      <c r="V148" s="3" t="inlineStr">
        <is>
          <t>지정되지않음</t>
        </is>
      </c>
      <c r="W148" s="3" t="inlineStr">
        <is>
          <t>단독</t>
        </is>
      </c>
      <c r="X148" s="3" t="inlineStr">
        <is>
          <t>평지</t>
        </is>
      </c>
      <c r="Y148" s="3" t="inlineStr">
        <is>
          <t>세로장방</t>
        </is>
      </c>
      <c r="Z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2</t>
        </is>
      </c>
      <c r="C149" s="3" t="inlineStr">
        <is>
          <t>4</t>
        </is>
      </c>
      <c r="D149" s="3" t="inlineStr">
        <is>
          <t>일반원룸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139</v>
      </c>
      <c r="I149" s="4" t="n">
        <v>42</v>
      </c>
      <c r="J149" s="5" t="n">
        <v>1.1</v>
      </c>
      <c r="K149" s="4" t="n">
        <v>39</v>
      </c>
      <c r="L149" s="4" t="n">
        <v>12</v>
      </c>
      <c r="M149" s="5" t="n">
        <v>3.8</v>
      </c>
      <c r="N149" s="3" t="inlineStr">
        <is>
          <t>nan</t>
        </is>
      </c>
      <c r="O149" s="6">
        <f>HYPERLINK("https://fin.land.naver.com/articles/2645609323", "매물Link")</f>
        <v/>
      </c>
      <c r="P149" s="6">
        <f>HYPERLINK("https://map.naver.com/p/search/연서면 봉암리 58-3", "지도Link")</f>
        <v/>
      </c>
      <c r="Q149" s="6">
        <f>HYPERLINK("http://www.eum.go.kr/web/ar/lu/luLandDet.jsp?pnu=3611036033100580003&amp;isNoScr=script&amp;mode=search", "토지이음")</f>
        <v/>
      </c>
      <c r="R149" s="3" t="inlineStr">
        <is>
          <t>동서남북</t>
        </is>
      </c>
      <c r="S149" s="4" t="n">
        <v>1</v>
      </c>
      <c r="T149" s="5" t="n">
        <v>196.8</v>
      </c>
      <c r="U149" s="4" t="n">
        <v>434</v>
      </c>
      <c r="V149" s="3" t="inlineStr">
        <is>
          <t>지정되지않음</t>
        </is>
      </c>
      <c r="W149" s="3" t="inlineStr">
        <is>
          <t>단독</t>
        </is>
      </c>
      <c r="X149" s="3" t="inlineStr">
        <is>
          <t>평지</t>
        </is>
      </c>
      <c r="Y149" s="3" t="inlineStr">
        <is>
          <t>세로장방</t>
        </is>
      </c>
      <c r="Z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2</t>
        </is>
      </c>
      <c r="C150" s="3" t="inlineStr">
        <is>
          <t>4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139</v>
      </c>
      <c r="I150" s="4" t="n">
        <v>42</v>
      </c>
      <c r="J150" s="5" t="n">
        <v>7.1</v>
      </c>
      <c r="K150" s="4" t="n">
        <v>39</v>
      </c>
      <c r="L150" s="4" t="n">
        <v>12</v>
      </c>
      <c r="M150" s="5" t="n">
        <v>25</v>
      </c>
      <c r="N150" s="3" t="inlineStr">
        <is>
          <t>nan</t>
        </is>
      </c>
      <c r="O150" s="6">
        <f>HYPERLINK("https://fin.land.naver.com/articles/2646008689", "매물Link")</f>
        <v/>
      </c>
      <c r="P150" s="6">
        <f>HYPERLINK("https://map.naver.com/p/search/연서면 봉암리 58-3", "지도Link")</f>
        <v/>
      </c>
      <c r="Q150" s="6">
        <f>HYPERLINK("http://www.eum.go.kr/web/ar/lu/luLandDet.jsp?pnu=3611036033100580003&amp;isNoScr=script&amp;mode=search", "토지이음")</f>
        <v/>
      </c>
      <c r="R150" s="3" t="inlineStr">
        <is>
          <t>동서남북</t>
        </is>
      </c>
      <c r="S150" s="4" t="n">
        <v>1</v>
      </c>
      <c r="T150" s="5" t="n">
        <v>196.8</v>
      </c>
      <c r="U150" s="4" t="n">
        <v>434</v>
      </c>
      <c r="V150" s="3" t="inlineStr">
        <is>
          <t>지정되지않음</t>
        </is>
      </c>
      <c r="W150" s="3" t="inlineStr">
        <is>
          <t>단독</t>
        </is>
      </c>
      <c r="X150" s="3" t="inlineStr">
        <is>
          <t>평지</t>
        </is>
      </c>
      <c r="Y150" s="3" t="inlineStr">
        <is>
          <t>세로장방</t>
        </is>
      </c>
      <c r="Z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2</t>
        </is>
      </c>
      <c r="C151" s="3" t="inlineStr">
        <is>
          <t>4</t>
        </is>
      </c>
      <c r="D151" s="3" t="inlineStr">
        <is>
          <t>일반원룸</t>
        </is>
      </c>
      <c r="E151" s="3" t="inlineStr">
        <is>
          <t>단기임대</t>
        </is>
      </c>
      <c r="F151" s="4" t="n">
        <v>300</v>
      </c>
      <c r="G151" s="4" t="n">
        <v>45</v>
      </c>
      <c r="H151" s="4" t="n">
        <v>139</v>
      </c>
      <c r="I151" s="4" t="n">
        <v>42</v>
      </c>
      <c r="J151" s="5" t="n">
        <v>7.1</v>
      </c>
      <c r="K151" s="4" t="n">
        <v>39</v>
      </c>
      <c r="L151" s="4" t="n">
        <v>12</v>
      </c>
      <c r="M151" s="5" t="n">
        <v>25</v>
      </c>
      <c r="N151" s="3" t="inlineStr">
        <is>
          <t>nan</t>
        </is>
      </c>
      <c r="O151" s="6">
        <f>HYPERLINK("https://fin.land.naver.com/articles/2646349438", "매물Link")</f>
        <v/>
      </c>
      <c r="P151" s="6">
        <f>HYPERLINK("https://map.naver.com/p/search/연서면 봉암리 58-3", "지도Link")</f>
        <v/>
      </c>
      <c r="Q151" s="6">
        <f>HYPERLINK("http://www.eum.go.kr/web/ar/lu/luLandDet.jsp?pnu=3611036033100580003&amp;isNoScr=script&amp;mode=search", "토지이음")</f>
        <v/>
      </c>
      <c r="R151" s="3" t="inlineStr">
        <is>
          <t>동서남북</t>
        </is>
      </c>
      <c r="S151" s="4" t="n">
        <v>1</v>
      </c>
      <c r="T151" s="5" t="n">
        <v>196.8</v>
      </c>
      <c r="U151" s="4" t="n">
        <v>434</v>
      </c>
      <c r="V151" s="3" t="inlineStr">
        <is>
          <t>지정되지않음</t>
        </is>
      </c>
      <c r="W151" s="3" t="inlineStr">
        <is>
          <t>단독</t>
        </is>
      </c>
      <c r="X151" s="3" t="inlineStr">
        <is>
          <t>평지</t>
        </is>
      </c>
      <c r="Y151" s="3" t="inlineStr">
        <is>
          <t>세로장방</t>
        </is>
      </c>
      <c r="Z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2</t>
        </is>
      </c>
      <c r="C152" s="3" t="inlineStr">
        <is>
          <t>4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139</v>
      </c>
      <c r="I152" s="4" t="n">
        <v>42</v>
      </c>
      <c r="J152" s="5" t="n">
        <v>1.1</v>
      </c>
      <c r="K152" s="4" t="n">
        <v>39</v>
      </c>
      <c r="L152" s="4" t="n">
        <v>12</v>
      </c>
      <c r="M152" s="5" t="n">
        <v>3.8</v>
      </c>
      <c r="N152" s="3" t="inlineStr">
        <is>
          <t>nan</t>
        </is>
      </c>
      <c r="O152" s="6">
        <f>HYPERLINK("https://fin.land.naver.com/articles/2646744402", "매물Link")</f>
        <v/>
      </c>
      <c r="P152" s="6">
        <f>HYPERLINK("https://map.naver.com/p/search/연서면 봉암리 58-3", "지도Link")</f>
        <v/>
      </c>
      <c r="Q152" s="6">
        <f>HYPERLINK("http://www.eum.go.kr/web/ar/lu/luLandDet.jsp?pnu=3611036033100580003&amp;isNoScr=script&amp;mode=search", "토지이음")</f>
        <v/>
      </c>
      <c r="R152" s="3" t="inlineStr">
        <is>
          <t>동서남북</t>
        </is>
      </c>
      <c r="S152" s="4" t="n">
        <v>1</v>
      </c>
      <c r="T152" s="5" t="n">
        <v>196.8</v>
      </c>
      <c r="U152" s="4" t="n">
        <v>434</v>
      </c>
      <c r="V152" s="3" t="inlineStr">
        <is>
          <t>지정되지않음</t>
        </is>
      </c>
      <c r="W152" s="3" t="inlineStr">
        <is>
          <t>단독</t>
        </is>
      </c>
      <c r="X152" s="3" t="inlineStr">
        <is>
          <t>평지</t>
        </is>
      </c>
      <c r="Y152" s="3" t="inlineStr">
        <is>
          <t>세로장방</t>
        </is>
      </c>
      <c r="Z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4</t>
        </is>
      </c>
      <c r="C153" s="3" t="inlineStr">
        <is>
          <t>0</t>
        </is>
      </c>
      <c r="D153" s="3" t="inlineStr">
        <is>
          <t>다가구</t>
        </is>
      </c>
      <c r="E153" s="3" t="inlineStr">
        <is>
          <t>매매</t>
        </is>
      </c>
      <c r="F153" s="4" t="n">
        <v>100000</v>
      </c>
      <c r="G153" s="4" t="n">
        <v>0</v>
      </c>
      <c r="H153" s="4" t="n">
        <v>435</v>
      </c>
      <c r="I153" s="4" t="n">
        <v>132</v>
      </c>
      <c r="J153" s="5" t="n">
        <v>757.6</v>
      </c>
      <c r="K153" s="4" t="n">
        <v>434</v>
      </c>
      <c r="L153" s="4" t="n">
        <v>131</v>
      </c>
      <c r="M153" s="5" t="n">
        <v>763.4</v>
      </c>
      <c r="N153" s="3" t="inlineStr">
        <is>
          <t>nan</t>
        </is>
      </c>
      <c r="O153" s="6">
        <f>HYPERLINK("https://fin.land.naver.com/articles/2646738010", "매물Link")</f>
        <v/>
      </c>
      <c r="P153" s="6">
        <f>HYPERLINK("https://map.naver.com/p/search/연서면 봉암리 58-4", "지도Link")</f>
        <v/>
      </c>
      <c r="Q153" s="6">
        <f>HYPERLINK("http://www.eum.go.kr/web/ar/lu/luLandDet.jsp?pnu=3611036033100580004&amp;isNoScr=script&amp;mode=search", "토지이음")</f>
        <v/>
      </c>
      <c r="R153" s="3" t="inlineStr">
        <is>
          <t>동서남북</t>
        </is>
      </c>
      <c r="S153" s="4" t="n">
        <v>1</v>
      </c>
      <c r="T153" s="5" t="n">
        <v>196.8</v>
      </c>
      <c r="U153" s="4" t="n">
        <v>435</v>
      </c>
      <c r="V153" s="3" t="inlineStr">
        <is>
          <t>지정되지않음</t>
        </is>
      </c>
      <c r="W153" s="3" t="inlineStr">
        <is>
          <t>단독</t>
        </is>
      </c>
      <c r="X153" s="3" t="inlineStr">
        <is>
          <t>평지</t>
        </is>
      </c>
      <c r="Y153" s="3" t="inlineStr">
        <is>
          <t>세로장방</t>
        </is>
      </c>
      <c r="Z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1</t>
        </is>
      </c>
      <c r="C154" s="3" t="inlineStr">
        <is>
          <t>0</t>
        </is>
      </c>
      <c r="D154" s="3" t="inlineStr">
        <is>
          <t>전원주택</t>
        </is>
      </c>
      <c r="E154" s="3" t="inlineStr">
        <is>
          <t>월세</t>
        </is>
      </c>
      <c r="F154" s="4" t="n">
        <v>1000</v>
      </c>
      <c r="G154" s="4" t="n">
        <v>40</v>
      </c>
      <c r="H154" s="4" t="n">
        <v>397</v>
      </c>
      <c r="I154" s="4" t="n">
        <v>120</v>
      </c>
      <c r="J154" s="5" t="n">
        <v>0.3</v>
      </c>
      <c r="K154" s="4" t="n">
        <v>75</v>
      </c>
      <c r="L154" s="4" t="n">
        <v>23</v>
      </c>
      <c r="M154" s="5" t="n">
        <v>1.7</v>
      </c>
      <c r="N154" s="3" t="inlineStr">
        <is>
          <t>1번국도변 봉암리 네스트아파트앞 조용하고 텃빝에 있음.</t>
        </is>
      </c>
      <c r="O154" s="6">
        <f>HYPERLINK("https://fin.land.naver.com/articles/2648729436", "매물Link")</f>
        <v/>
      </c>
      <c r="P154" s="6">
        <f>HYPERLINK("https://map.naver.com/p/search/연서면 봉암리 620-25", "지도Link")</f>
        <v/>
      </c>
      <c r="Q154" s="6">
        <f>HYPERLINK("http://www.eum.go.kr/web/ar/lu/luLandDet.jsp?pnu=3611036033106200025&amp;isNoScr=script&amp;mode=search", "토지이음")</f>
        <v/>
      </c>
      <c r="R154" s="3" t="inlineStr">
        <is>
          <t>꿈드림</t>
        </is>
      </c>
      <c r="S154" s="4" t="n">
        <v>1</v>
      </c>
      <c r="T154" s="5" t="n">
        <v>144.4</v>
      </c>
      <c r="U154" s="4" t="n">
        <v>397</v>
      </c>
      <c r="V154" s="3" t="inlineStr">
        <is>
          <t>지정되지않음</t>
        </is>
      </c>
      <c r="W154" s="3" t="inlineStr">
        <is>
          <t>단독</t>
        </is>
      </c>
      <c r="X154" s="3" t="inlineStr">
        <is>
          <t>평지</t>
        </is>
      </c>
      <c r="Y154" s="3" t="inlineStr">
        <is>
          <t>사다리형</t>
        </is>
      </c>
      <c r="Z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1</t>
        </is>
      </c>
      <c r="C155" s="3" t="inlineStr">
        <is>
          <t>0</t>
        </is>
      </c>
      <c r="D155" s="3" t="inlineStr">
        <is>
          <t>단독</t>
        </is>
      </c>
      <c r="E155" s="3" t="inlineStr">
        <is>
          <t>매매</t>
        </is>
      </c>
      <c r="F155" s="4" t="n">
        <v>400000</v>
      </c>
      <c r="G155" s="4" t="n">
        <v>0</v>
      </c>
      <c r="H155" s="4" t="n">
        <v>655</v>
      </c>
      <c r="I155" s="4" t="n">
        <v>198</v>
      </c>
      <c r="J155" s="5" t="n">
        <v>2020.2</v>
      </c>
      <c r="K155" s="4" t="n">
        <v>253</v>
      </c>
      <c r="L155" s="4" t="n">
        <v>77</v>
      </c>
      <c r="M155" s="5" t="n">
        <v>5194.8</v>
      </c>
      <c r="N155" s="3" t="inlineStr">
        <is>
          <t>nan</t>
        </is>
      </c>
      <c r="O155" s="6">
        <f>HYPERLINK("https://fin.land.naver.com/articles/2645081812", "매물Link")</f>
        <v/>
      </c>
      <c r="P155" s="6">
        <f>HYPERLINK("https://map.naver.com/p/search/연서면 봉암리 677-2", "지도Link")</f>
        <v/>
      </c>
      <c r="Q155" s="6">
        <f>HYPERLINK("http://www.eum.go.kr/web/ar/lu/luLandDet.jsp?pnu=3611036033106770002&amp;isNoScr=script&amp;mode=search", "토지이음")</f>
        <v/>
      </c>
      <c r="R155" s="3" t="inlineStr">
        <is>
          <t>오송파라곤리치</t>
        </is>
      </c>
      <c r="S155" s="4" t="n">
        <v>1</v>
      </c>
      <c r="T155" s="5" t="n">
        <v>116.6</v>
      </c>
      <c r="U155" s="4" t="n">
        <v>655</v>
      </c>
      <c r="V155" s="3" t="inlineStr">
        <is>
          <t>지정되지않음</t>
        </is>
      </c>
      <c r="W155" s="3" t="inlineStr">
        <is>
          <t>주거기타</t>
        </is>
      </c>
      <c r="X155" s="3" t="inlineStr">
        <is>
          <t>평지</t>
        </is>
      </c>
      <c r="Y155" s="3" t="inlineStr">
        <is>
          <t>사다리형</t>
        </is>
      </c>
      <c r="Z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4</t>
        </is>
      </c>
      <c r="C156" s="3" t="inlineStr">
        <is>
          <t>0</t>
        </is>
      </c>
      <c r="D156" s="3" t="inlineStr">
        <is>
          <t>다가구</t>
        </is>
      </c>
      <c r="E156" s="3" t="inlineStr">
        <is>
          <t>매매</t>
        </is>
      </c>
      <c r="F156" s="4" t="n">
        <v>190000</v>
      </c>
      <c r="G156" s="4" t="n">
        <v>0</v>
      </c>
      <c r="H156" s="4" t="n">
        <v>570</v>
      </c>
      <c r="I156" s="4" t="n">
        <v>172</v>
      </c>
      <c r="J156" s="5" t="n">
        <v>1104.7</v>
      </c>
      <c r="K156" s="4" t="n">
        <v>594</v>
      </c>
      <c r="L156" s="4" t="n">
        <v>180</v>
      </c>
      <c r="M156" s="5" t="n">
        <v>1055.6</v>
      </c>
      <c r="N156" s="3" t="inlineStr">
        <is>
          <t>신축다가구  가격조정가능 엘리베이터 와촌국가산업단지 인근</t>
        </is>
      </c>
      <c r="O156" s="6">
        <f>HYPERLINK("https://fin.land.naver.com/articles/2645022936", "매물Link")</f>
        <v/>
      </c>
      <c r="P156" s="6">
        <f>HYPERLINK("https://map.naver.com/p/search/연서면 봉암리 73-8", "지도Link")</f>
        <v/>
      </c>
      <c r="Q156" s="6">
        <f>HYPERLINK("http://www.eum.go.kr/web/ar/lu/luLandDet.jsp?pnu=3611036033100730008&amp;isNoScr=script&amp;mode=search", "토지이음")</f>
        <v/>
      </c>
      <c r="R156" s="3" t="inlineStr">
        <is>
          <t>그래그</t>
        </is>
      </c>
      <c r="S156" s="4" t="n">
        <v>1</v>
      </c>
      <c r="T156" s="5" t="n">
        <v>199.3</v>
      </c>
      <c r="U156" s="4" t="n">
        <v>570</v>
      </c>
      <c r="V156" s="3" t="inlineStr">
        <is>
          <t>지정되지않음</t>
        </is>
      </c>
      <c r="W156" s="3" t="inlineStr">
        <is>
          <t>단독</t>
        </is>
      </c>
      <c r="X156" s="3" t="inlineStr">
        <is>
          <t>평지</t>
        </is>
      </c>
      <c r="Y156" s="3" t="inlineStr">
        <is>
          <t>자루형</t>
        </is>
      </c>
      <c r="Z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4</t>
        </is>
      </c>
      <c r="C157" s="3" t="inlineStr">
        <is>
          <t>0</t>
        </is>
      </c>
      <c r="D157" s="3" t="inlineStr">
        <is>
          <t>다가구</t>
        </is>
      </c>
      <c r="E157" s="3" t="inlineStr">
        <is>
          <t>매매</t>
        </is>
      </c>
      <c r="F157" s="4" t="n">
        <v>190000</v>
      </c>
      <c r="G157" s="4" t="n">
        <v>0</v>
      </c>
      <c r="H157" s="4" t="n">
        <v>570</v>
      </c>
      <c r="I157" s="4" t="n">
        <v>172</v>
      </c>
      <c r="J157" s="5" t="n">
        <v>1104.7</v>
      </c>
      <c r="K157" s="4" t="n">
        <v>568</v>
      </c>
      <c r="L157" s="4" t="n">
        <v>172</v>
      </c>
      <c r="M157" s="5" t="n">
        <v>1104.7</v>
      </c>
      <c r="N157" s="3" t="inlineStr">
        <is>
          <t>신축다가구건물, 엘리베이터 1층 카페,23층 원룸,투룸,1.5룸으로구성</t>
        </is>
      </c>
      <c r="O157" s="6">
        <f>HYPERLINK("https://fin.land.naver.com/articles/2644295374", "매물Link")</f>
        <v/>
      </c>
      <c r="P157" s="6">
        <f>HYPERLINK("https://map.naver.com/p/search/연서면 봉암리 73-8", "지도Link")</f>
        <v/>
      </c>
      <c r="Q157" s="6">
        <f>HYPERLINK("http://www.eum.go.kr/web/ar/lu/luLandDet.jsp?pnu=3611036033100730008&amp;isNoScr=script&amp;mode=search", "토지이음")</f>
        <v/>
      </c>
      <c r="R157" s="3" t="inlineStr">
        <is>
          <t>담뜰</t>
        </is>
      </c>
      <c r="S157" s="4" t="n">
        <v>1</v>
      </c>
      <c r="T157" s="5" t="n">
        <v>199.3</v>
      </c>
      <c r="U157" s="4" t="n">
        <v>570</v>
      </c>
      <c r="V157" s="3" t="inlineStr">
        <is>
          <t>지정되지않음</t>
        </is>
      </c>
      <c r="W157" s="3" t="inlineStr">
        <is>
          <t>단독</t>
        </is>
      </c>
      <c r="X157" s="3" t="inlineStr">
        <is>
          <t>평지</t>
        </is>
      </c>
      <c r="Y157" s="3" t="inlineStr">
        <is>
          <t>자루형</t>
        </is>
      </c>
      <c r="Z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1</t>
        </is>
      </c>
      <c r="C158" s="3" t="inlineStr">
        <is>
          <t>0</t>
        </is>
      </c>
      <c r="D158" s="3" t="inlineStr">
        <is>
          <t>단독</t>
        </is>
      </c>
      <c r="E158" s="3" t="inlineStr">
        <is>
          <t>매매</t>
        </is>
      </c>
      <c r="F158" s="4" t="n">
        <v>43000</v>
      </c>
      <c r="G158" s="4" t="n">
        <v>0</v>
      </c>
      <c r="H158" s="4" t="n">
        <v>507</v>
      </c>
      <c r="I158" s="4" t="n">
        <v>153</v>
      </c>
      <c r="J158" s="5" t="n">
        <v>281</v>
      </c>
      <c r="K158" s="4" t="n">
        <v>92</v>
      </c>
      <c r="L158" s="4" t="n">
        <v>28</v>
      </c>
      <c r="M158" s="5" t="n">
        <v>1535.7</v>
      </c>
      <c r="N158" s="3" t="inlineStr">
        <is>
          <t>세종 스마트국가산업단지 인근 단독주택 도로지분포함 저렴하게 일괄매매.</t>
        </is>
      </c>
      <c r="O158" s="6">
        <f>HYPERLINK("https://fin.land.naver.com/articles/2646592114", "매물Link")</f>
        <v/>
      </c>
      <c r="P158" s="6">
        <f>HYPERLINK("https://map.naver.com/p/search/연서면 부동리 80-2", "지도Link")</f>
        <v/>
      </c>
      <c r="Q158" s="6">
        <f>HYPERLINK("http://www.eum.go.kr/web/ar/lu/luLandDet.jsp?pnu=3611036032100800002&amp;isNoScr=script&amp;mode=search", "토지이음")</f>
        <v/>
      </c>
      <c r="R158" s="3" t="inlineStr">
        <is>
          <t>세종대장</t>
        </is>
      </c>
      <c r="S158" s="4" t="n">
        <v>1</v>
      </c>
      <c r="T158" s="5" t="n">
        <v>86.40000000000001</v>
      </c>
      <c r="U158" s="4" t="n">
        <v>507</v>
      </c>
      <c r="V158" s="3" t="inlineStr">
        <is>
          <t>지정되지않음</t>
        </is>
      </c>
      <c r="W158" s="3" t="inlineStr">
        <is>
          <t>단독</t>
        </is>
      </c>
      <c r="X158" s="3" t="inlineStr">
        <is>
          <t>평지</t>
        </is>
      </c>
      <c r="Y158" s="3" t="inlineStr">
        <is>
          <t>사다리형</t>
        </is>
      </c>
      <c r="Z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2</t>
        </is>
      </c>
      <c r="C159" s="3" t="inlineStr">
        <is>
          <t>0</t>
        </is>
      </c>
      <c r="D159" s="3" t="inlineStr">
        <is>
          <t>단독</t>
        </is>
      </c>
      <c r="E159" s="3" t="inlineStr">
        <is>
          <t>매매</t>
        </is>
      </c>
      <c r="F159" s="4" t="n">
        <v>44000</v>
      </c>
      <c r="G159" s="4" t="n">
        <v>0</v>
      </c>
      <c r="H159" s="4" t="n">
        <v>327</v>
      </c>
      <c r="I159" s="4" t="n">
        <v>99</v>
      </c>
      <c r="J159" s="5" t="n">
        <v>444.4</v>
      </c>
      <c r="K159" s="4" t="n">
        <v>168</v>
      </c>
      <c r="L159" s="4" t="n">
        <v>51</v>
      </c>
      <c r="M159" s="5" t="n">
        <v>862.7</v>
      </c>
      <c r="N159" s="3" t="inlineStr">
        <is>
          <t>깨끗한 2층전원주택,주택바로뒤가 연서중학교 위치,3층다락방은 서비스면적</t>
        </is>
      </c>
      <c r="O159" s="6">
        <f>HYPERLINK("https://fin.land.naver.com/articles/2645458088", "매물Link")</f>
        <v/>
      </c>
      <c r="P159" s="6">
        <f>HYPERLINK("https://map.naver.com/p/search/연서면 신대리 105-8", "지도Link")</f>
        <v/>
      </c>
      <c r="Q159" s="6">
        <f>HYPERLINK("http://www.eum.go.kr/web/ar/lu/luLandDet.jsp?pnu=3611036029101050008&amp;isNoScr=script&amp;mode=search", "토지이음")</f>
        <v/>
      </c>
      <c r="R159" s="3" t="inlineStr">
        <is>
          <t>담뜰</t>
        </is>
      </c>
      <c r="S159" s="4" t="n">
        <v>1</v>
      </c>
      <c r="T159" s="5" t="n">
        <v>91.59999999999999</v>
      </c>
      <c r="U159" s="4" t="n">
        <v>327</v>
      </c>
      <c r="V159" s="3" t="inlineStr">
        <is>
          <t>지정되지않음</t>
        </is>
      </c>
      <c r="W159" s="3" t="inlineStr">
        <is>
          <t>단독</t>
        </is>
      </c>
      <c r="X159" s="3" t="inlineStr">
        <is>
          <t>평지</t>
        </is>
      </c>
      <c r="Y159" s="3" t="inlineStr">
        <is>
          <t>사다리형</t>
        </is>
      </c>
      <c r="Z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3</t>
        </is>
      </c>
      <c r="C160" s="3" t="inlineStr">
        <is>
          <t>0</t>
        </is>
      </c>
      <c r="D160" s="3" t="inlineStr">
        <is>
          <t>전원주택</t>
        </is>
      </c>
      <c r="E160" s="3" t="inlineStr">
        <is>
          <t>매매</t>
        </is>
      </c>
      <c r="F160" s="4" t="n">
        <v>44000</v>
      </c>
      <c r="G160" s="4" t="n">
        <v>0</v>
      </c>
      <c r="H160" s="4" t="n">
        <v>327</v>
      </c>
      <c r="I160" s="4" t="n">
        <v>99</v>
      </c>
      <c r="J160" s="5" t="n">
        <v>444.4</v>
      </c>
      <c r="K160" s="4" t="n">
        <v>168</v>
      </c>
      <c r="L160" s="4" t="n">
        <v>51</v>
      </c>
      <c r="M160" s="5" t="n">
        <v>862.7</v>
      </c>
      <c r="N160" s="3" t="inlineStr">
        <is>
          <t>조용한 전원생활, 초중학교 인접, 고복저수지 자연환경 전원주택 매매</t>
        </is>
      </c>
      <c r="O160" s="6">
        <f>HYPERLINK("https://fin.land.naver.com/articles/2646625706", "매물Link")</f>
        <v/>
      </c>
      <c r="P160" s="6">
        <f>HYPERLINK("https://map.naver.com/p/search/연서면 신대리 105-8", "지도Link")</f>
        <v/>
      </c>
      <c r="Q160" s="6">
        <f>HYPERLINK("http://www.eum.go.kr/web/ar/lu/luLandDet.jsp?pnu=3611036029101050008&amp;isNoScr=script&amp;mode=search", "토지이음")</f>
        <v/>
      </c>
      <c r="R160" s="3" t="inlineStr">
        <is>
          <t>연기더조은</t>
        </is>
      </c>
      <c r="S160" s="4" t="n">
        <v>2</v>
      </c>
      <c r="T160" s="5" t="n">
        <v>91.59999999999999</v>
      </c>
      <c r="U160" s="4" t="n">
        <v>327</v>
      </c>
      <c r="V160" s="3" t="inlineStr">
        <is>
          <t>지정되지않음</t>
        </is>
      </c>
      <c r="W160" s="3" t="inlineStr">
        <is>
          <t>단독</t>
        </is>
      </c>
      <c r="X160" s="3" t="inlineStr">
        <is>
          <t>평지</t>
        </is>
      </c>
      <c r="Y160" s="3" t="inlineStr">
        <is>
          <t>사다리형</t>
        </is>
      </c>
      <c r="Z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2</t>
        </is>
      </c>
      <c r="C161" s="3" t="inlineStr">
        <is>
          <t>0</t>
        </is>
      </c>
      <c r="D161" s="3" t="inlineStr">
        <is>
          <t>단독</t>
        </is>
      </c>
      <c r="E161" s="3" t="inlineStr">
        <is>
          <t>매매</t>
        </is>
      </c>
      <c r="F161" s="4" t="n">
        <v>55000</v>
      </c>
      <c r="G161" s="4" t="n">
        <v>0</v>
      </c>
      <c r="H161" s="4" t="n">
        <v>624</v>
      </c>
      <c r="I161" s="4" t="n">
        <v>189</v>
      </c>
      <c r="J161" s="5" t="n">
        <v>291</v>
      </c>
      <c r="K161" s="4" t="n">
        <v>140</v>
      </c>
      <c r="L161" s="4" t="n">
        <v>42</v>
      </c>
      <c r="M161" s="5" t="n">
        <v>1309.5</v>
      </c>
      <c r="N161" s="3" t="inlineStr">
        <is>
          <t>급매. 쌍전리 뷰 좋고 관리 잘 된 2층 단독주택. 입주일 협의.</t>
        </is>
      </c>
      <c r="O161" s="6">
        <f>HYPERLINK("https://fin.land.naver.com/articles/2648074660", "매물Link")</f>
        <v/>
      </c>
      <c r="P161" s="6">
        <f>HYPERLINK("https://map.naver.com/p/search/연서면 쌍전리 159-2", "지도Link")</f>
        <v/>
      </c>
      <c r="Q161" s="6">
        <f>HYPERLINK("http://www.eum.go.kr/web/ar/lu/luLandDet.jsp?pnu=3611036022101590002&amp;isNoScr=script&amp;mode=search", "토지이음")</f>
        <v/>
      </c>
      <c r="R161" s="3" t="inlineStr">
        <is>
          <t>세종대장</t>
        </is>
      </c>
      <c r="S161" s="4" t="n">
        <v>1</v>
      </c>
      <c r="T161" s="5" t="n">
        <v>111.2</v>
      </c>
      <c r="U161" s="4" t="n">
        <v>635</v>
      </c>
      <c r="V161" s="3" t="inlineStr">
        <is>
          <t>지정되지않음</t>
        </is>
      </c>
      <c r="W161" s="3" t="inlineStr">
        <is>
          <t>단독</t>
        </is>
      </c>
      <c r="X161" s="3" t="inlineStr">
        <is>
          <t>평지</t>
        </is>
      </c>
      <c r="Y161" s="3" t="inlineStr">
        <is>
          <t>사다리형</t>
        </is>
      </c>
      <c r="Z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1</t>
        </is>
      </c>
      <c r="C162" s="3" t="inlineStr">
        <is>
          <t>0</t>
        </is>
      </c>
      <c r="D162" s="3" t="inlineStr">
        <is>
          <t>단독</t>
        </is>
      </c>
      <c r="E162" s="3" t="inlineStr">
        <is>
          <t>매매</t>
        </is>
      </c>
      <c r="F162" s="4" t="n">
        <v>65000</v>
      </c>
      <c r="G162" s="4" t="n">
        <v>0</v>
      </c>
      <c r="H162" s="4" t="n">
        <v>496</v>
      </c>
      <c r="I162" s="4" t="n">
        <v>150</v>
      </c>
      <c r="J162" s="5" t="n">
        <v>433.3</v>
      </c>
      <c r="K162" s="4" t="n">
        <v>91</v>
      </c>
      <c r="L162" s="4" t="n">
        <v>28</v>
      </c>
      <c r="M162" s="5" t="n">
        <v>2321.4</v>
      </c>
      <c r="N162" s="3" t="inlineStr">
        <is>
          <t>신축 한옥주택황토방 즉시입주협의</t>
        </is>
      </c>
      <c r="O162" s="6">
        <f>HYPERLINK("https://fin.land.naver.com/articles/2644444543", "매물Link")</f>
        <v/>
      </c>
      <c r="P162" s="6">
        <f>HYPERLINK("https://map.naver.com/p/search/연서면 와촌리 791", "지도Link")</f>
        <v/>
      </c>
      <c r="Q162" s="6">
        <f>HYPERLINK("http://www.eum.go.kr/web/ar/lu/luLandDet.jsp?pnu=3611036031107910000&amp;isNoScr=script&amp;mode=search", "토지이음")</f>
        <v/>
      </c>
      <c r="R162" s="3" t="inlineStr">
        <is>
          <t>세종대박</t>
        </is>
      </c>
      <c r="S162" s="4" t="n">
        <v>1</v>
      </c>
      <c r="T162" s="5" t="n">
        <v>122</v>
      </c>
      <c r="U162" s="4" t="n">
        <v>496</v>
      </c>
      <c r="V162" s="3" t="inlineStr">
        <is>
          <t>지정되지않음</t>
        </is>
      </c>
      <c r="W162" s="3" t="inlineStr">
        <is>
          <t>단독</t>
        </is>
      </c>
      <c r="X162" s="3" t="inlineStr">
        <is>
          <t>평지</t>
        </is>
      </c>
      <c r="Y162" s="3" t="inlineStr">
        <is>
          <t>사다리형</t>
        </is>
      </c>
      <c r="Z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2</t>
        </is>
      </c>
      <c r="C163" s="3" t="inlineStr">
        <is>
          <t>0</t>
        </is>
      </c>
      <c r="D163" s="3" t="inlineStr">
        <is>
          <t>전원주택</t>
        </is>
      </c>
      <c r="E163" s="3" t="inlineStr">
        <is>
          <t>매매</t>
        </is>
      </c>
      <c r="F163" s="4" t="n">
        <v>30000</v>
      </c>
      <c r="G163" s="4" t="n">
        <v>0</v>
      </c>
      <c r="H163" s="4" t="n">
        <v>144</v>
      </c>
      <c r="I163" s="4" t="n">
        <v>44</v>
      </c>
      <c r="J163" s="5" t="n">
        <v>681.8</v>
      </c>
      <c r="K163" s="4" t="n">
        <v>84</v>
      </c>
      <c r="L163" s="4" t="n">
        <v>25</v>
      </c>
      <c r="M163" s="5" t="n">
        <v>1200</v>
      </c>
      <c r="N163" s="3" t="inlineStr">
        <is>
          <t>빠른입주, 전망 좋은 주택</t>
        </is>
      </c>
      <c r="O163" s="6">
        <f>HYPERLINK("https://fin.land.naver.com/articles/2645171950", "매물Link")</f>
        <v/>
      </c>
      <c r="P163" s="6">
        <f>HYPERLINK("https://map.naver.com/p/search/연서면 월하리 1008-5", "지도Link")</f>
        <v/>
      </c>
      <c r="Q163" s="6">
        <f>HYPERLINK("http://www.eum.go.kr/web/ar/lu/luLandDet.jsp?pnu=3611036021110080005&amp;isNoScr=script&amp;mode=search", "토지이음")</f>
        <v/>
      </c>
      <c r="R163" s="3" t="inlineStr">
        <is>
          <t>정인</t>
        </is>
      </c>
      <c r="S163" s="4" t="n">
        <v>1</v>
      </c>
      <c r="T163" s="5" t="n">
        <v>184.8</v>
      </c>
      <c r="U163" s="4" t="n">
        <v>145</v>
      </c>
      <c r="V163" s="3" t="inlineStr">
        <is>
          <t>지정되지않음</t>
        </is>
      </c>
      <c r="W163" s="3" t="inlineStr">
        <is>
          <t>단독</t>
        </is>
      </c>
      <c r="X163" s="3" t="inlineStr">
        <is>
          <t>평지</t>
        </is>
      </c>
      <c r="Y163" s="3" t="inlineStr">
        <is>
          <t>사다리형</t>
        </is>
      </c>
      <c r="Z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1</t>
        </is>
      </c>
      <c r="C164" s="3" t="inlineStr">
        <is>
          <t>4</t>
        </is>
      </c>
      <c r="D164" s="3" t="inlineStr">
        <is>
          <t>연립</t>
        </is>
      </c>
      <c r="E164" s="3" t="inlineStr">
        <is>
          <t>매매</t>
        </is>
      </c>
      <c r="F164" s="4" t="n">
        <v>8000</v>
      </c>
      <c r="G164" s="4" t="n">
        <v>0</v>
      </c>
      <c r="H164" s="4" t="n">
        <v>54</v>
      </c>
      <c r="I164" s="4" t="n">
        <v>16</v>
      </c>
      <c r="J164" s="5" t="n">
        <v>500</v>
      </c>
      <c r="K164" s="4" t="n">
        <v>54</v>
      </c>
      <c r="L164" s="4" t="n">
        <v>16</v>
      </c>
      <c r="M164" s="5" t="n">
        <v>500</v>
      </c>
      <c r="N164" s="3" t="inlineStr">
        <is>
          <t>욕실,주방,거실,샷시까지 올리모델링됨,세입자끼고매매,소액투자</t>
        </is>
      </c>
      <c r="O164" s="6">
        <f>HYPERLINK("https://fin.land.naver.com/articles/2644429104", "매물Link")</f>
        <v/>
      </c>
      <c r="P164" s="6">
        <f>HYPERLINK("https://map.naver.com/p/search/연서면 월하리 618-1", "지도Link")</f>
        <v/>
      </c>
      <c r="Q164" s="6">
        <f>HYPERLINK("http://www.eum.go.kr/web/ar/lu/luLandDet.jsp?pnu=3611036021106180001&amp;isNoScr=script&amp;mode=search", "토지이음")</f>
        <v/>
      </c>
      <c r="R164" s="3" t="inlineStr">
        <is>
          <t>신안무소</t>
        </is>
      </c>
      <c r="S164" s="4" t="n">
        <v>1</v>
      </c>
      <c r="T164" s="5" t="n">
        <v>151.2</v>
      </c>
      <c r="U164" s="4" t="n">
        <v>281</v>
      </c>
      <c r="V164" s="3" t="inlineStr">
        <is>
          <t>지정되지않음</t>
        </is>
      </c>
      <c r="W164" s="3" t="inlineStr">
        <is>
          <t>다세대</t>
        </is>
      </c>
      <c r="X164" s="3" t="inlineStr">
        <is>
          <t>평지</t>
        </is>
      </c>
      <c r="Y164" s="3" t="inlineStr">
        <is>
          <t>부정형</t>
        </is>
      </c>
      <c r="Z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4</t>
        </is>
      </c>
      <c r="C165" s="3" t="inlineStr">
        <is>
          <t>0</t>
        </is>
      </c>
      <c r="D165" s="3" t="inlineStr">
        <is>
          <t>상가주택</t>
        </is>
      </c>
      <c r="E165" s="3" t="inlineStr">
        <is>
          <t>매매</t>
        </is>
      </c>
      <c r="F165" s="4" t="n">
        <v>140000</v>
      </c>
      <c r="G165" s="4" t="n">
        <v>0</v>
      </c>
      <c r="H165" s="4" t="n">
        <v>396</v>
      </c>
      <c r="I165" s="4" t="n">
        <v>120</v>
      </c>
      <c r="J165" s="5" t="n">
        <v>1166.7</v>
      </c>
      <c r="K165" s="4" t="n">
        <v>616</v>
      </c>
      <c r="L165" s="4" t="n">
        <v>186</v>
      </c>
      <c r="M165" s="5" t="n">
        <v>752.7</v>
      </c>
      <c r="N165" s="3" t="inlineStr">
        <is>
          <t>nan</t>
        </is>
      </c>
      <c r="O165" s="6">
        <f>HYPERLINK("https://fin.land.naver.com/articles/2644717952", "매물Link")</f>
        <v/>
      </c>
      <c r="P165" s="6">
        <f>HYPERLINK("https://map.naver.com/p/search/조치원읍 교리 11-6", "지도Link")</f>
        <v/>
      </c>
      <c r="Q165" s="6">
        <f>HYPERLINK("http://www.eum.go.kr/web/ar/lu/luLandDet.jsp?pnu=3611025024100110006&amp;isNoScr=script&amp;mode=search", "토지이음")</f>
        <v/>
      </c>
      <c r="R165" s="3" t="inlineStr">
        <is>
          <t>효자</t>
        </is>
      </c>
      <c r="S165" s="4" t="n">
        <v>1</v>
      </c>
      <c r="T165" s="5" t="n">
        <v>283.3</v>
      </c>
      <c r="U165" s="4" t="n">
        <v>396.4</v>
      </c>
      <c r="V165" s="3" t="inlineStr">
        <is>
          <t>지정되지않음</t>
        </is>
      </c>
      <c r="W165" s="3" t="inlineStr">
        <is>
          <t>주상용</t>
        </is>
      </c>
      <c r="X165" s="3" t="inlineStr">
        <is>
          <t>평지</t>
        </is>
      </c>
      <c r="Y165" s="3" t="inlineStr">
        <is>
          <t>세로장방</t>
        </is>
      </c>
      <c r="Z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4</t>
        </is>
      </c>
      <c r="C166" s="3" t="inlineStr">
        <is>
          <t>0</t>
        </is>
      </c>
      <c r="D166" s="3" t="inlineStr">
        <is>
          <t>상가주택</t>
        </is>
      </c>
      <c r="E166" s="3" t="inlineStr">
        <is>
          <t>매매</t>
        </is>
      </c>
      <c r="F166" s="4" t="n">
        <v>150000</v>
      </c>
      <c r="G166" s="4" t="n">
        <v>0</v>
      </c>
      <c r="H166" s="4" t="n">
        <v>396</v>
      </c>
      <c r="I166" s="4" t="n">
        <v>120</v>
      </c>
      <c r="J166" s="5" t="n">
        <v>1250</v>
      </c>
      <c r="K166" s="4" t="n">
        <v>616</v>
      </c>
      <c r="L166" s="4" t="n">
        <v>186</v>
      </c>
      <c r="M166" s="5" t="n">
        <v>806.5</v>
      </c>
      <c r="N166" s="3" t="inlineStr">
        <is>
          <t>상가주택, 2가구, 상가임대1, 가격조정가능, 주차가능</t>
        </is>
      </c>
      <c r="O166" s="6">
        <f>HYPERLINK("https://fin.land.naver.com/articles/2644864006", "매물Link")</f>
        <v/>
      </c>
      <c r="P166" s="6">
        <f>HYPERLINK("https://map.naver.com/p/search/조치원읍 교리 11-6", "지도Link")</f>
        <v/>
      </c>
      <c r="Q166" s="6">
        <f>HYPERLINK("http://www.eum.go.kr/web/ar/lu/luLandDet.jsp?pnu=3611025024100110006&amp;isNoScr=script&amp;mode=search", "토지이음")</f>
        <v/>
      </c>
      <c r="R166" s="3" t="inlineStr">
        <is>
          <t>엄마와딸</t>
        </is>
      </c>
      <c r="S166" s="4" t="n">
        <v>1</v>
      </c>
      <c r="T166" s="5" t="n">
        <v>283.3</v>
      </c>
      <c r="U166" s="4" t="n">
        <v>396.4</v>
      </c>
      <c r="V166" s="3" t="inlineStr">
        <is>
          <t>지정되지않음</t>
        </is>
      </c>
      <c r="W166" s="3" t="inlineStr">
        <is>
          <t>주상용</t>
        </is>
      </c>
      <c r="X166" s="3" t="inlineStr">
        <is>
          <t>평지</t>
        </is>
      </c>
      <c r="Y166" s="3" t="inlineStr">
        <is>
          <t>세로장방</t>
        </is>
      </c>
      <c r="Z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1</t>
        </is>
      </c>
      <c r="C167" s="3" t="inlineStr">
        <is>
          <t>0</t>
        </is>
      </c>
      <c r="D167" s="3" t="inlineStr">
        <is>
          <t>단독</t>
        </is>
      </c>
      <c r="E167" s="3" t="inlineStr">
        <is>
          <t>매매</t>
        </is>
      </c>
      <c r="F167" s="4" t="n">
        <v>40000</v>
      </c>
      <c r="G167" s="4" t="n">
        <v>0</v>
      </c>
      <c r="H167" s="4" t="n">
        <v>103</v>
      </c>
      <c r="I167" s="4" t="n">
        <v>31</v>
      </c>
      <c r="J167" s="5" t="n">
        <v>1290.3</v>
      </c>
      <c r="K167" s="4" t="n">
        <v>67</v>
      </c>
      <c r="L167" s="4" t="n">
        <v>20</v>
      </c>
      <c r="M167" s="5" t="n">
        <v>2000</v>
      </c>
      <c r="N167" s="3" t="inlineStr">
        <is>
          <t>기업은행 바로 뒷편,구옥2채 매매 입니다.</t>
        </is>
      </c>
      <c r="O167" s="6">
        <f>HYPERLINK("https://fin.land.naver.com/articles/2647876689", "매물Link")</f>
        <v/>
      </c>
      <c r="P167" s="6">
        <f>HYPERLINK("https://map.naver.com/p/search/조치원읍 교리 16-5", "지도Link")</f>
        <v/>
      </c>
      <c r="Q167" s="6">
        <f>HYPERLINK("http://www.eum.go.kr/web/ar/lu/luLandDet.jsp?pnu=3611025024100160005&amp;isNoScr=script&amp;mode=search", "토지이음")</f>
        <v/>
      </c>
      <c r="R167" s="3" t="inlineStr">
        <is>
          <t>이음 사무소</t>
        </is>
      </c>
      <c r="S167" s="4" t="n">
        <v>2</v>
      </c>
      <c r="T167" s="5" t="n">
        <v>206.5</v>
      </c>
      <c r="U167" s="4" t="n">
        <v>103.5</v>
      </c>
      <c r="V167" s="3" t="inlineStr">
        <is>
          <t>지정되지않음</t>
        </is>
      </c>
      <c r="W167" s="3" t="inlineStr">
        <is>
          <t>단독</t>
        </is>
      </c>
      <c r="X167" s="3" t="inlineStr">
        <is>
          <t>평지</t>
        </is>
      </c>
      <c r="Y167" s="3" t="inlineStr">
        <is>
          <t>세로장방</t>
        </is>
      </c>
      <c r="Z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2</t>
        </is>
      </c>
      <c r="C168" s="3" t="inlineStr">
        <is>
          <t>3</t>
        </is>
      </c>
      <c r="D168" s="3" t="inlineStr">
        <is>
          <t>일반원룸</t>
        </is>
      </c>
      <c r="E168" s="3" t="inlineStr">
        <is>
          <t>월세</t>
        </is>
      </c>
      <c r="F168" s="4" t="n">
        <v>100</v>
      </c>
      <c r="G168" s="4" t="n">
        <v>25</v>
      </c>
      <c r="H168" s="4" t="n">
        <v>20</v>
      </c>
      <c r="I168" s="4" t="n">
        <v>6</v>
      </c>
      <c r="J168" s="5" t="n">
        <v>4.2</v>
      </c>
      <c r="K168" s="4" t="n">
        <v>20</v>
      </c>
      <c r="L168" s="4" t="n">
        <v>6</v>
      </c>
      <c r="M168" s="5" t="n">
        <v>4.2</v>
      </c>
      <c r="N168" s="3" t="inlineStr">
        <is>
          <t>교리 원룸 저렴 세종등기소인근 풀옵션유</t>
        </is>
      </c>
      <c r="O168" s="6">
        <f>HYPERLINK("https://fin.land.naver.com/articles/2647587687", "매물Link")</f>
        <v/>
      </c>
      <c r="P168" s="6">
        <f>HYPERLINK("https://map.naver.com/p/search/조치원읍 교리 18-1", "지도Link")</f>
        <v/>
      </c>
      <c r="Q168" s="6">
        <f>HYPERLINK("http://www.eum.go.kr/web/ar/lu/luLandDet.jsp?pnu=3611025024100180001&amp;isNoScr=script&amp;mode=search", "토지이음")</f>
        <v/>
      </c>
      <c r="R168" s="3" t="inlineStr">
        <is>
          <t>OK수</t>
        </is>
      </c>
      <c r="S168" s="4" t="n">
        <v>1</v>
      </c>
      <c r="T168" s="5" t="n">
        <v>289.1</v>
      </c>
      <c r="U168" s="4" t="n">
        <v>232.4</v>
      </c>
      <c r="V168" s="3" t="inlineStr">
        <is>
          <t>지정되지않음</t>
        </is>
      </c>
      <c r="W168" s="3" t="inlineStr">
        <is>
          <t>주상기타</t>
        </is>
      </c>
      <c r="X168" s="3" t="inlineStr">
        <is>
          <t>평지</t>
        </is>
      </c>
      <c r="Y168" s="3" t="inlineStr">
        <is>
          <t>가로장방</t>
        </is>
      </c>
      <c r="Z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2</t>
        </is>
      </c>
      <c r="C169" s="3" t="inlineStr">
        <is>
          <t>3</t>
        </is>
      </c>
      <c r="D169" s="3" t="inlineStr">
        <is>
          <t>다가구</t>
        </is>
      </c>
      <c r="E169" s="3" t="inlineStr">
        <is>
          <t>월세</t>
        </is>
      </c>
      <c r="F169" s="4" t="n">
        <v>200</v>
      </c>
      <c r="G169" s="4" t="n">
        <v>27</v>
      </c>
      <c r="H169" s="4" t="n">
        <v>33</v>
      </c>
      <c r="I169" s="4" t="n">
        <v>10</v>
      </c>
      <c r="J169" s="5" t="n">
        <v>2.7</v>
      </c>
      <c r="K169" s="4" t="n">
        <v>19</v>
      </c>
      <c r="L169" s="4" t="n">
        <v>6</v>
      </c>
      <c r="M169" s="5" t="n">
        <v>4.5</v>
      </c>
      <c r="N169" s="3" t="inlineStr">
        <is>
          <t>조치원역도보거리O막힘없는O깨끗한 원룸</t>
        </is>
      </c>
      <c r="O169" s="6">
        <f>HYPERLINK("https://fin.land.naver.com/articles/2644840286", "매물Link")</f>
        <v/>
      </c>
      <c r="P169" s="6">
        <f>HYPERLINK("https://map.naver.com/p/search/조치원읍 남리 119-10", "지도Link")</f>
        <v/>
      </c>
      <c r="Q169" s="6">
        <f>HYPERLINK("http://www.eum.go.kr/web/ar/lu/luLandDet.jsp?pnu=3611025027101190010&amp;isNoScr=script&amp;mode=search", "토지이음")</f>
        <v/>
      </c>
      <c r="R169" s="3" t="inlineStr">
        <is>
          <t>척척</t>
        </is>
      </c>
      <c r="S169" s="4" t="n">
        <v>1</v>
      </c>
      <c r="T169" s="5" t="n">
        <v>242.2</v>
      </c>
      <c r="U169" s="4" t="n">
        <v>280</v>
      </c>
      <c r="V169" s="3" t="inlineStr">
        <is>
          <t>지정되지않음</t>
        </is>
      </c>
      <c r="W169" s="3" t="inlineStr">
        <is>
          <t>상업기타</t>
        </is>
      </c>
      <c r="X169" s="3" t="inlineStr">
        <is>
          <t>평지</t>
        </is>
      </c>
      <c r="Y169" s="3" t="inlineStr">
        <is>
          <t>자루형</t>
        </is>
      </c>
      <c r="Z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2</t>
        </is>
      </c>
      <c r="C170" s="3" t="inlineStr">
        <is>
          <t>4</t>
        </is>
      </c>
      <c r="D170" s="3" t="inlineStr">
        <is>
          <t>일반원룸</t>
        </is>
      </c>
      <c r="E170" s="3" t="inlineStr">
        <is>
          <t>월세</t>
        </is>
      </c>
      <c r="F170" s="4" t="n">
        <v>200</v>
      </c>
      <c r="G170" s="4" t="n">
        <v>30</v>
      </c>
      <c r="H170" s="4" t="n">
        <v>20</v>
      </c>
      <c r="I170" s="4" t="n">
        <v>6</v>
      </c>
      <c r="J170" s="5" t="n">
        <v>5</v>
      </c>
      <c r="K170" s="4" t="n">
        <v>20</v>
      </c>
      <c r="L170" s="4" t="n">
        <v>6</v>
      </c>
      <c r="M170" s="5" t="n">
        <v>5</v>
      </c>
      <c r="N170" s="3" t="inlineStr">
        <is>
          <t>원룸 남향  조치원역 도보가능합니다</t>
        </is>
      </c>
      <c r="O170" s="6">
        <f>HYPERLINK("https://fin.land.naver.com/articles/2647321662", "매물Link")</f>
        <v/>
      </c>
      <c r="P170" s="6">
        <f>HYPERLINK("https://map.naver.com/p/search/조치원읍 남리 119-12", "지도Link")</f>
        <v/>
      </c>
      <c r="Q170" s="6">
        <f>HYPERLINK("http://www.eum.go.kr/web/ar/lu/luLandDet.jsp?pnu=3611025027101190012&amp;isNoScr=script&amp;mode=search", "토지이음")</f>
        <v/>
      </c>
      <c r="R170" s="3" t="inlineStr">
        <is>
          <t>OK수</t>
        </is>
      </c>
      <c r="S170" s="4" t="n">
        <v>1</v>
      </c>
      <c r="T170" s="5" t="n">
        <v>282.8</v>
      </c>
      <c r="U170" s="4" t="n">
        <v>485</v>
      </c>
      <c r="V170" s="3" t="inlineStr">
        <is>
          <t>지정되지않음</t>
        </is>
      </c>
      <c r="W170" s="3" t="inlineStr">
        <is>
          <t>상업기타</t>
        </is>
      </c>
      <c r="X170" s="3" t="inlineStr">
        <is>
          <t>평지</t>
        </is>
      </c>
      <c r="Y170" s="3" t="inlineStr">
        <is>
          <t>세로장방</t>
        </is>
      </c>
      <c r="Z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2</t>
        </is>
      </c>
      <c r="C171" s="3" t="inlineStr">
        <is>
          <t>3</t>
        </is>
      </c>
      <c r="D171" s="3" t="inlineStr">
        <is>
          <t>일반원룸</t>
        </is>
      </c>
      <c r="E171" s="3" t="inlineStr">
        <is>
          <t>월세</t>
        </is>
      </c>
      <c r="F171" s="4" t="n">
        <v>200</v>
      </c>
      <c r="G171" s="4" t="n">
        <v>25</v>
      </c>
      <c r="H171" s="4" t="n">
        <v>0</v>
      </c>
      <c r="I171" s="4" t="n">
        <v>0</v>
      </c>
      <c r="J171" s="5" t="n">
        <v>0</v>
      </c>
      <c r="K171" s="4" t="n">
        <v>19</v>
      </c>
      <c r="L171" s="4" t="n">
        <v>6</v>
      </c>
      <c r="M171" s="5" t="n">
        <v>4.2</v>
      </c>
      <c r="N171" s="3" t="inlineStr">
        <is>
          <t>남리 버스정류장 가까운 위치</t>
        </is>
      </c>
      <c r="O171" s="6">
        <f>HYPERLINK("https://fin.land.naver.com/articles/2648317995", "매물Link")</f>
        <v/>
      </c>
      <c r="P171" s="6">
        <f>HYPERLINK("https://map.naver.com/p/search/조치원읍 남리 119-6", "지도Link")</f>
        <v/>
      </c>
      <c r="Q171" s="6">
        <f>HYPERLINK("http://www.eum.go.kr/web/ar/lu/luLandDet.jsp?pnu=3611025027101190006&amp;isNoScr=script&amp;mode=search", "토지이음")</f>
        <v/>
      </c>
      <c r="R171" s="3" t="inlineStr">
        <is>
          <t>척척</t>
        </is>
      </c>
      <c r="S171" s="4" t="n">
        <v>1</v>
      </c>
      <c r="T171" s="5" t="n">
        <v>285.5</v>
      </c>
      <c r="U171" s="4" t="n">
        <v>249</v>
      </c>
      <c r="V171" s="3" t="inlineStr">
        <is>
          <t>지정되지않음</t>
        </is>
      </c>
      <c r="W171" s="3" t="inlineStr">
        <is>
          <t>상업기타</t>
        </is>
      </c>
      <c r="X171" s="3" t="inlineStr">
        <is>
          <t>평지</t>
        </is>
      </c>
      <c r="Y171" s="3" t="inlineStr">
        <is>
          <t>정방형</t>
        </is>
      </c>
      <c r="Z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2</t>
        </is>
      </c>
      <c r="C172" s="3" t="inlineStr">
        <is>
          <t>4</t>
        </is>
      </c>
      <c r="D172" s="3" t="inlineStr">
        <is>
          <t>단독</t>
        </is>
      </c>
      <c r="E172" s="3" t="inlineStr">
        <is>
          <t>월세</t>
        </is>
      </c>
      <c r="F172" s="4" t="n">
        <v>200</v>
      </c>
      <c r="G172" s="4" t="n">
        <v>30</v>
      </c>
      <c r="H172" s="4" t="n">
        <v>26</v>
      </c>
      <c r="I172" s="4" t="n">
        <v>8</v>
      </c>
      <c r="J172" s="5" t="n">
        <v>3.8</v>
      </c>
      <c r="K172" s="4" t="n">
        <v>19</v>
      </c>
      <c r="L172" s="4" t="n">
        <v>6</v>
      </c>
      <c r="M172" s="5" t="n">
        <v>5</v>
      </c>
      <c r="N172" s="3" t="inlineStr">
        <is>
          <t>주방분리형.시장1분. 역3분.깔끔한방</t>
        </is>
      </c>
      <c r="O172" s="6">
        <f>HYPERLINK("https://fin.land.naver.com/articles/2648041959", "매물Link")</f>
        <v/>
      </c>
      <c r="P172" s="6">
        <f>HYPERLINK("https://map.naver.com/p/search/조치원읍 남리 299-2", "지도Link")</f>
        <v/>
      </c>
      <c r="Q172" s="6">
        <f>HYPERLINK("http://www.eum.go.kr/web/ar/lu/luLandDet.jsp?pnu=3611025027102990002&amp;isNoScr=script&amp;mode=search", "토지이음")</f>
        <v/>
      </c>
      <c r="R172" s="3" t="inlineStr">
        <is>
          <t>마이룸</t>
        </is>
      </c>
      <c r="S172" s="4" t="n">
        <v>1</v>
      </c>
      <c r="T172" s="5" t="n">
        <v>223.9</v>
      </c>
      <c r="U172" s="4" t="n">
        <v>407.8</v>
      </c>
      <c r="V172" s="3" t="inlineStr">
        <is>
          <t>지정되지않음</t>
        </is>
      </c>
      <c r="W172" s="3" t="inlineStr">
        <is>
          <t>단독</t>
        </is>
      </c>
      <c r="X172" s="3" t="inlineStr">
        <is>
          <t>평지</t>
        </is>
      </c>
      <c r="Y172" s="3" t="inlineStr">
        <is>
          <t>세로장방</t>
        </is>
      </c>
      <c r="Z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2</t>
        </is>
      </c>
      <c r="C173" s="3" t="inlineStr">
        <is>
          <t>4</t>
        </is>
      </c>
      <c r="D173" s="3" t="inlineStr">
        <is>
          <t>단독</t>
        </is>
      </c>
      <c r="E173" s="3" t="inlineStr">
        <is>
          <t>전세</t>
        </is>
      </c>
      <c r="F173" s="4" t="n">
        <v>4000</v>
      </c>
      <c r="G173" s="4" t="n">
        <v>0</v>
      </c>
      <c r="H173" s="4" t="n">
        <v>26</v>
      </c>
      <c r="I173" s="4" t="n">
        <v>8</v>
      </c>
      <c r="J173" s="5" t="n">
        <v>500</v>
      </c>
      <c r="K173" s="4" t="n">
        <v>19</v>
      </c>
      <c r="L173" s="4" t="n">
        <v>6</v>
      </c>
      <c r="M173" s="5" t="n">
        <v>666.7</v>
      </c>
      <c r="N173" s="3" t="inlineStr">
        <is>
          <t>LH 가능.주방분리형.보증보험가능.시장1분. 역3분.깔끔한방</t>
        </is>
      </c>
      <c r="O173" s="6">
        <f>HYPERLINK("https://fin.land.naver.com/articles/2647870045", "매물Link")</f>
        <v/>
      </c>
      <c r="P173" s="6">
        <f>HYPERLINK("https://map.naver.com/p/search/조치원읍 남리 299-2", "지도Link")</f>
        <v/>
      </c>
      <c r="Q173" s="6">
        <f>HYPERLINK("http://www.eum.go.kr/web/ar/lu/luLandDet.jsp?pnu=3611025027102990002&amp;isNoScr=script&amp;mode=search", "토지이음")</f>
        <v/>
      </c>
      <c r="R173" s="3" t="inlineStr">
        <is>
          <t>마이룸</t>
        </is>
      </c>
      <c r="S173" s="4" t="n">
        <v>1</v>
      </c>
      <c r="T173" s="5" t="n">
        <v>223.9</v>
      </c>
      <c r="U173" s="4" t="n">
        <v>407.8</v>
      </c>
      <c r="V173" s="3" t="inlineStr">
        <is>
          <t>지정되지않음</t>
        </is>
      </c>
      <c r="W173" s="3" t="inlineStr">
        <is>
          <t>단독</t>
        </is>
      </c>
      <c r="X173" s="3" t="inlineStr">
        <is>
          <t>평지</t>
        </is>
      </c>
      <c r="Y173" s="3" t="inlineStr">
        <is>
          <t>세로장방</t>
        </is>
      </c>
      <c r="Z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0</t>
        </is>
      </c>
      <c r="C174" s="3" t="inlineStr">
        <is>
          <t>4</t>
        </is>
      </c>
      <c r="D174" s="3" t="inlineStr">
        <is>
          <t>단독</t>
        </is>
      </c>
      <c r="E174" s="3" t="inlineStr">
        <is>
          <t>전세</t>
        </is>
      </c>
      <c r="F174" s="4" t="n">
        <v>4200</v>
      </c>
      <c r="G174" s="4" t="n">
        <v>0</v>
      </c>
      <c r="H174" s="4" t="n">
        <v>46</v>
      </c>
      <c r="I174" s="4" t="n">
        <v>14</v>
      </c>
      <c r="J174" s="5" t="n">
        <v>300</v>
      </c>
      <c r="K174" s="4" t="n">
        <v>33</v>
      </c>
      <c r="L174" s="4" t="n">
        <v>10</v>
      </c>
      <c r="M174" s="5" t="n">
        <v>420</v>
      </c>
      <c r="N174" s="3" t="inlineStr">
        <is>
          <t>nan</t>
        </is>
      </c>
      <c r="O174" s="6">
        <f>HYPERLINK("https://fin.land.naver.com/articles/2646917268", "매물Link")</f>
        <v/>
      </c>
      <c r="P174" s="6">
        <f>HYPERLINK("https://map.naver.com/p/search/조치원읍 남리 368", "지도Link")</f>
        <v/>
      </c>
      <c r="Q174" s="6">
        <f>HYPERLINK("http://www.eum.go.kr/web/ar/lu/luLandDet.jsp?pnu=3611025027103680000&amp;isNoScr=script&amp;mode=search", "토지이음")</f>
        <v/>
      </c>
      <c r="R174" s="3" t="inlineStr">
        <is>
          <t>척척</t>
        </is>
      </c>
      <c r="S174" s="4" t="n">
        <v>1</v>
      </c>
      <c r="T174" s="5" t="n">
        <v>280.4</v>
      </c>
      <c r="U174" s="4" t="n">
        <v>549.4</v>
      </c>
      <c r="V174" s="3" t="inlineStr">
        <is>
          <t>지정되지않음</t>
        </is>
      </c>
      <c r="W174" s="3" t="inlineStr">
        <is>
          <t>상업나지</t>
        </is>
      </c>
      <c r="X174" s="3" t="inlineStr">
        <is>
          <t>평지</t>
        </is>
      </c>
      <c r="Y174" s="3" t="inlineStr">
        <is>
          <t>세로장방</t>
        </is>
      </c>
      <c r="Z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3</t>
        </is>
      </c>
      <c r="C175" s="3" t="inlineStr">
        <is>
          <t>3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31</v>
      </c>
      <c r="H175" s="4" t="n">
        <v>23</v>
      </c>
      <c r="I175" s="4" t="n">
        <v>7</v>
      </c>
      <c r="J175" s="5" t="n">
        <v>4.4</v>
      </c>
      <c r="K175" s="4" t="n">
        <v>23</v>
      </c>
      <c r="L175" s="4" t="n">
        <v>7</v>
      </c>
      <c r="M175" s="5" t="n">
        <v>4.4</v>
      </c>
      <c r="N175" s="3" t="inlineStr">
        <is>
          <t>남리 원룸 넓은방 전통시장 편의시설 도보이용가능합니다</t>
        </is>
      </c>
      <c r="O175" s="6">
        <f>HYPERLINK("https://fin.land.naver.com/articles/2645236588", "매물Link")</f>
        <v/>
      </c>
      <c r="P175" s="6">
        <f>HYPERLINK("https://map.naver.com/p/search/조치원읍 남리 371-1", "지도Link")</f>
        <v/>
      </c>
      <c r="Q175" s="6">
        <f>HYPERLINK("http://www.eum.go.kr/web/ar/lu/luLandDet.jsp?pnu=3611025027103710001&amp;isNoScr=script&amp;mode=search", "토지이음")</f>
        <v/>
      </c>
      <c r="R175" s="3" t="inlineStr">
        <is>
          <t>OK수</t>
        </is>
      </c>
      <c r="S175" s="4" t="n">
        <v>1</v>
      </c>
      <c r="T175" s="5" t="n">
        <v>232.4</v>
      </c>
      <c r="U175" s="4" t="n">
        <v>379</v>
      </c>
      <c r="V175" s="3" t="inlineStr">
        <is>
          <t>지정되지않음</t>
        </is>
      </c>
      <c r="W175" s="3" t="inlineStr">
        <is>
          <t>상업나지</t>
        </is>
      </c>
      <c r="X175" s="3" t="inlineStr">
        <is>
          <t>평지</t>
        </is>
      </c>
      <c r="Y175" s="3" t="inlineStr">
        <is>
          <t>정방형</t>
        </is>
      </c>
      <c r="Z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4</t>
        </is>
      </c>
      <c r="C176" s="3" t="inlineStr">
        <is>
          <t>4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0</v>
      </c>
      <c r="I176" s="4" t="n">
        <v>0</v>
      </c>
      <c r="J176" s="5" t="n">
        <v>0</v>
      </c>
      <c r="K176" s="4" t="n">
        <v>20</v>
      </c>
      <c r="L176" s="4" t="n">
        <v>6</v>
      </c>
      <c r="M176" s="5" t="n">
        <v>5</v>
      </c>
      <c r="N176" s="3" t="inlineStr">
        <is>
          <t>조용하게 살기좋은 주차 및 엘베있는 원룸</t>
        </is>
      </c>
      <c r="O176" s="6">
        <f>HYPERLINK("https://fin.land.naver.com/articles/2647381250", "매물Link")</f>
        <v/>
      </c>
      <c r="P176" s="6">
        <f>HYPERLINK("https://map.naver.com/p/search/조치원읍 남리 371-1", "지도Link")</f>
        <v/>
      </c>
      <c r="Q176" s="6">
        <f>HYPERLINK("http://www.eum.go.kr/web/ar/lu/luLandDet.jsp?pnu=3611025027103710001&amp;isNoScr=script&amp;mode=search", "토지이음")</f>
        <v/>
      </c>
      <c r="R176" s="3" t="inlineStr">
        <is>
          <t>무지개</t>
        </is>
      </c>
      <c r="S176" s="4" t="n">
        <v>1</v>
      </c>
      <c r="T176" s="5" t="n">
        <v>232.4</v>
      </c>
      <c r="U176" s="4" t="n">
        <v>379</v>
      </c>
      <c r="V176" s="3" t="inlineStr">
        <is>
          <t>지정되지않음</t>
        </is>
      </c>
      <c r="W176" s="3" t="inlineStr">
        <is>
          <t>상업나지</t>
        </is>
      </c>
      <c r="X176" s="3" t="inlineStr">
        <is>
          <t>평지</t>
        </is>
      </c>
      <c r="Y176" s="3" t="inlineStr">
        <is>
          <t>정방형</t>
        </is>
      </c>
      <c r="Z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3</t>
        </is>
      </c>
      <c r="C177" s="3" t="inlineStr">
        <is>
          <t>5</t>
        </is>
      </c>
      <c r="D177" s="3" t="inlineStr">
        <is>
          <t>다가구</t>
        </is>
      </c>
      <c r="E177" s="3" t="inlineStr">
        <is>
          <t>월세</t>
        </is>
      </c>
      <c r="F177" s="4" t="n">
        <v>200</v>
      </c>
      <c r="G177" s="4" t="n">
        <v>31</v>
      </c>
      <c r="H177" s="4" t="n">
        <v>26</v>
      </c>
      <c r="I177" s="4" t="n">
        <v>8</v>
      </c>
      <c r="J177" s="5" t="n">
        <v>3.9</v>
      </c>
      <c r="K177" s="4" t="n">
        <v>26</v>
      </c>
      <c r="L177" s="4" t="n">
        <v>8</v>
      </c>
      <c r="M177" s="5" t="n">
        <v>3.9</v>
      </c>
      <c r="N177" s="3" t="inlineStr">
        <is>
          <t>조치원 시내이며, 재래시장, 초등학교인근이며, 오송과 인접함</t>
        </is>
      </c>
      <c r="O177" s="6">
        <f>HYPERLINK("https://fin.land.naver.com/articles/2645045638", "매물Link")</f>
        <v/>
      </c>
      <c r="P177" s="6">
        <f>HYPERLINK("https://map.naver.com/p/search/조치원읍 남리 473", "지도Link")</f>
        <v/>
      </c>
      <c r="Q177" s="6">
        <f>HYPERLINK("http://www.eum.go.kr/web/ar/lu/luLandDet.jsp?pnu=3611025027104730000&amp;isNoScr=script&amp;mode=search", "토지이음")</f>
        <v/>
      </c>
      <c r="R177" s="3" t="inlineStr">
        <is>
          <t>세종베스트</t>
        </is>
      </c>
      <c r="S177" s="4" t="n">
        <v>1</v>
      </c>
      <c r="T177" s="5" t="n">
        <v>261.8</v>
      </c>
      <c r="U177" s="4" t="n">
        <v>446.7</v>
      </c>
      <c r="V177" s="3" t="inlineStr">
        <is>
          <t>지정되지않음</t>
        </is>
      </c>
      <c r="W177" s="3" t="inlineStr">
        <is>
          <t>상업용</t>
        </is>
      </c>
      <c r="X177" s="3" t="inlineStr">
        <is>
          <t>평지</t>
        </is>
      </c>
      <c r="Y177" s="3" t="inlineStr">
        <is>
          <t>정방형</t>
        </is>
      </c>
      <c r="Z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2</t>
        </is>
      </c>
      <c r="C178" s="3" t="inlineStr">
        <is>
          <t>0</t>
        </is>
      </c>
      <c r="D178" s="3" t="inlineStr">
        <is>
          <t>다가구</t>
        </is>
      </c>
      <c r="E178" s="3" t="inlineStr">
        <is>
          <t>매매</t>
        </is>
      </c>
      <c r="F178" s="4" t="n">
        <v>29500</v>
      </c>
      <c r="G178" s="4" t="n">
        <v>0</v>
      </c>
      <c r="H178" s="4" t="n">
        <v>180</v>
      </c>
      <c r="I178" s="4" t="n">
        <v>54</v>
      </c>
      <c r="J178" s="5" t="n">
        <v>546.3</v>
      </c>
      <c r="K178" s="4" t="n">
        <v>163</v>
      </c>
      <c r="L178" s="4" t="n">
        <v>49</v>
      </c>
      <c r="M178" s="5" t="n">
        <v>602</v>
      </c>
      <c r="N178" s="3" t="inlineStr">
        <is>
          <t>조치원시내 관공서와 버스정류장 조치원역 도보로 가능한 조용한 주택,</t>
        </is>
      </c>
      <c r="O178" s="6">
        <f>HYPERLINK("https://fin.land.naver.com/articles/2644752879", "매물Link")</f>
        <v/>
      </c>
      <c r="P178" s="6">
        <f>HYPERLINK("https://map.naver.com/p/search/조치원읍 남리 62-19", "지도Link")</f>
        <v/>
      </c>
      <c r="Q178" s="6">
        <f>HYPERLINK("http://www.eum.go.kr/web/ar/lu/luLandDet.jsp?pnu=3611025027100620019&amp;isNoScr=script&amp;mode=search", "토지이음")</f>
        <v/>
      </c>
      <c r="R178" s="3" t="inlineStr">
        <is>
          <t>담뜰</t>
        </is>
      </c>
      <c r="S178" s="4" t="n">
        <v>1</v>
      </c>
      <c r="T178" s="5" t="n">
        <v>178.8</v>
      </c>
      <c r="U178" s="4" t="n">
        <v>180</v>
      </c>
      <c r="V178" s="3" t="inlineStr">
        <is>
          <t>지정되지않음</t>
        </is>
      </c>
      <c r="W178" s="3" t="inlineStr">
        <is>
          <t>단독</t>
        </is>
      </c>
      <c r="X178" s="3" t="inlineStr">
        <is>
          <t>평지</t>
        </is>
      </c>
      <c r="Y178" s="3" t="inlineStr">
        <is>
          <t>가로장방</t>
        </is>
      </c>
      <c r="Z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4</t>
        </is>
      </c>
      <c r="C179" s="3" t="inlineStr">
        <is>
          <t>4</t>
        </is>
      </c>
      <c r="D179" s="3" t="inlineStr">
        <is>
          <t>다가구</t>
        </is>
      </c>
      <c r="E179" s="3" t="inlineStr">
        <is>
          <t>전세</t>
        </is>
      </c>
      <c r="F179" s="4" t="n">
        <v>3800</v>
      </c>
      <c r="G179" s="4" t="n">
        <v>0</v>
      </c>
      <c r="H179" s="4" t="n">
        <v>39</v>
      </c>
      <c r="I179" s="4" t="n">
        <v>12</v>
      </c>
      <c r="J179" s="5" t="n">
        <v>316.7</v>
      </c>
      <c r="K179" s="4" t="n">
        <v>26</v>
      </c>
      <c r="L179" s="4" t="n">
        <v>8</v>
      </c>
      <c r="M179" s="5" t="n">
        <v>475</v>
      </c>
      <c r="N179" s="3" t="inlineStr">
        <is>
          <t>조치원역도보거리.융자없음.깔끔한전세.즉시입주</t>
        </is>
      </c>
      <c r="O179" s="6">
        <f>HYPERLINK("https://fin.land.naver.com/articles/2645524964", "매물Link")</f>
        <v/>
      </c>
      <c r="P179" s="6">
        <f>HYPERLINK("https://map.naver.com/p/search/조치원읍 남리 62-6", "지도Link")</f>
        <v/>
      </c>
      <c r="Q179" s="6">
        <f>HYPERLINK("http://www.eum.go.kr/web/ar/lu/luLandDet.jsp?pnu=3611025027100620006&amp;isNoScr=script&amp;mode=search", "토지이음")</f>
        <v/>
      </c>
      <c r="R179" s="3" t="inlineStr">
        <is>
          <t>척척</t>
        </is>
      </c>
      <c r="S179" s="4" t="n">
        <v>1</v>
      </c>
      <c r="T179" s="5" t="n">
        <v>396</v>
      </c>
      <c r="U179" s="4" t="n">
        <v>472</v>
      </c>
      <c r="V179" s="3" t="inlineStr">
        <is>
          <t>지정되지않음</t>
        </is>
      </c>
      <c r="W179" s="3" t="inlineStr">
        <is>
          <t>상업용</t>
        </is>
      </c>
      <c r="X179" s="3" t="inlineStr">
        <is>
          <t>평지</t>
        </is>
      </c>
      <c r="Y179" s="3" t="inlineStr">
        <is>
          <t>사다리형</t>
        </is>
      </c>
      <c r="Z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3</t>
        </is>
      </c>
      <c r="C180" s="3" t="inlineStr">
        <is>
          <t>4</t>
        </is>
      </c>
      <c r="D180" s="3" t="inlineStr">
        <is>
          <t>도시형생활주택</t>
        </is>
      </c>
      <c r="E180" s="3" t="inlineStr">
        <is>
          <t>전세</t>
        </is>
      </c>
      <c r="F180" s="4" t="n">
        <v>3900</v>
      </c>
      <c r="G180" s="4" t="n">
        <v>0</v>
      </c>
      <c r="H180" s="4" t="n">
        <v>26</v>
      </c>
      <c r="I180" s="4" t="n">
        <v>8</v>
      </c>
      <c r="J180" s="5" t="n">
        <v>487.5</v>
      </c>
      <c r="K180" s="4" t="n">
        <v>23</v>
      </c>
      <c r="L180" s="4" t="n">
        <v>7</v>
      </c>
      <c r="M180" s="5" t="n">
        <v>557.1</v>
      </c>
      <c r="N180" s="3" t="inlineStr">
        <is>
          <t>남리 원룸 전통시장 조치원역 도보가능합니다</t>
        </is>
      </c>
      <c r="O180" s="6">
        <f>HYPERLINK("https://fin.land.naver.com/articles/2649008339", "매물Link")</f>
        <v/>
      </c>
      <c r="P180" s="6">
        <f>HYPERLINK("https://map.naver.com/p/search/조치원읍 남리 62-6", "지도Link")</f>
        <v/>
      </c>
      <c r="Q180" s="6">
        <f>HYPERLINK("http://www.eum.go.kr/web/ar/lu/luLandDet.jsp?pnu=3611025027100620006&amp;isNoScr=script&amp;mode=search", "토지이음")</f>
        <v/>
      </c>
      <c r="R180" s="3" t="inlineStr">
        <is>
          <t>OK수</t>
        </is>
      </c>
      <c r="S180" s="4" t="n">
        <v>1</v>
      </c>
      <c r="T180" s="5" t="n">
        <v>396</v>
      </c>
      <c r="U180" s="4" t="n">
        <v>472</v>
      </c>
      <c r="V180" s="3" t="inlineStr">
        <is>
          <t>지정되지않음</t>
        </is>
      </c>
      <c r="W180" s="3" t="inlineStr">
        <is>
          <t>상업용</t>
        </is>
      </c>
      <c r="X180" s="3" t="inlineStr">
        <is>
          <t>평지</t>
        </is>
      </c>
      <c r="Y180" s="3" t="inlineStr">
        <is>
          <t>사다리형</t>
        </is>
      </c>
      <c r="Z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4</t>
        </is>
      </c>
      <c r="C181" s="3" t="inlineStr">
        <is>
          <t>4</t>
        </is>
      </c>
      <c r="D181" s="3" t="inlineStr">
        <is>
          <t>일반원룸</t>
        </is>
      </c>
      <c r="E181" s="3" t="inlineStr">
        <is>
          <t>전세</t>
        </is>
      </c>
      <c r="F181" s="4" t="n">
        <v>4000</v>
      </c>
      <c r="G181" s="4" t="n">
        <v>0</v>
      </c>
      <c r="H181" s="4" t="n">
        <v>26</v>
      </c>
      <c r="I181" s="4" t="n">
        <v>8</v>
      </c>
      <c r="J181" s="5" t="n">
        <v>500</v>
      </c>
      <c r="K181" s="4" t="n">
        <v>19</v>
      </c>
      <c r="L181" s="4" t="n">
        <v>6</v>
      </c>
      <c r="M181" s="5" t="n">
        <v>666.7</v>
      </c>
      <c r="N181" s="3" t="inlineStr">
        <is>
          <t>조치원역도보5분 근저당없는 전세 풀옵션 큰방</t>
        </is>
      </c>
      <c r="O181" s="6">
        <f>HYPERLINK("https://fin.land.naver.com/articles/2649101403", "매물Link")</f>
        <v/>
      </c>
      <c r="P181" s="6">
        <f>HYPERLINK("https://map.naver.com/p/search/조치원읍 남리 62-6", "지도Link")</f>
        <v/>
      </c>
      <c r="Q181" s="6">
        <f>HYPERLINK("http://www.eum.go.kr/web/ar/lu/luLandDet.jsp?pnu=3611025027100620006&amp;isNoScr=script&amp;mode=search", "토지이음")</f>
        <v/>
      </c>
      <c r="R181" s="3" t="inlineStr">
        <is>
          <t>용죽부자</t>
        </is>
      </c>
      <c r="S181" s="4" t="n">
        <v>1</v>
      </c>
      <c r="T181" s="5" t="n">
        <v>396</v>
      </c>
      <c r="U181" s="4" t="n">
        <v>472</v>
      </c>
      <c r="V181" s="3" t="inlineStr">
        <is>
          <t>지정되지않음</t>
        </is>
      </c>
      <c r="W181" s="3" t="inlineStr">
        <is>
          <t>상업용</t>
        </is>
      </c>
      <c r="X181" s="3" t="inlineStr">
        <is>
          <t>평지</t>
        </is>
      </c>
      <c r="Y181" s="3" t="inlineStr">
        <is>
          <t>사다리형</t>
        </is>
      </c>
      <c r="Z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4</t>
        </is>
      </c>
      <c r="C182" s="3" t="inlineStr">
        <is>
          <t>4</t>
        </is>
      </c>
      <c r="D182" s="3" t="inlineStr">
        <is>
          <t>일반원룸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39</v>
      </c>
      <c r="I182" s="4" t="n">
        <v>12</v>
      </c>
      <c r="J182" s="5" t="n">
        <v>333.3</v>
      </c>
      <c r="K182" s="4" t="n">
        <v>26</v>
      </c>
      <c r="L182" s="4" t="n">
        <v>8</v>
      </c>
      <c r="M182" s="5" t="n">
        <v>500</v>
      </c>
      <c r="N182" s="3" t="inlineStr">
        <is>
          <t>nan</t>
        </is>
      </c>
      <c r="O182" s="6">
        <f>HYPERLINK("https://fin.land.naver.com/articles/2648311440", "매물Link")</f>
        <v/>
      </c>
      <c r="P182" s="6">
        <f>HYPERLINK("https://map.naver.com/p/search/조치원읍 남리 62-6", "지도Link")</f>
        <v/>
      </c>
      <c r="Q182" s="6">
        <f>HYPERLINK("http://www.eum.go.kr/web/ar/lu/luLandDet.jsp?pnu=3611025027100620006&amp;isNoScr=script&amp;mode=search", "토지이음")</f>
        <v/>
      </c>
      <c r="R182" s="3" t="inlineStr">
        <is>
          <t>척척</t>
        </is>
      </c>
      <c r="S182" s="4" t="n">
        <v>1</v>
      </c>
      <c r="T182" s="5" t="n">
        <v>396</v>
      </c>
      <c r="U182" s="4" t="n">
        <v>472</v>
      </c>
      <c r="V182" s="3" t="inlineStr">
        <is>
          <t>지정되지않음</t>
        </is>
      </c>
      <c r="W182" s="3" t="inlineStr">
        <is>
          <t>상업용</t>
        </is>
      </c>
      <c r="X182" s="3" t="inlineStr">
        <is>
          <t>평지</t>
        </is>
      </c>
      <c r="Y182" s="3" t="inlineStr">
        <is>
          <t>사다리형</t>
        </is>
      </c>
      <c r="Z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4</t>
        </is>
      </c>
      <c r="C183" s="3" t="inlineStr">
        <is>
          <t>4</t>
        </is>
      </c>
      <c r="D183" s="3" t="inlineStr">
        <is>
          <t>빌라</t>
        </is>
      </c>
      <c r="E183" s="3" t="inlineStr">
        <is>
          <t>전세</t>
        </is>
      </c>
      <c r="F183" s="4" t="n">
        <v>4000</v>
      </c>
      <c r="G183" s="4" t="n">
        <v>0</v>
      </c>
      <c r="H183" s="4" t="n">
        <v>20</v>
      </c>
      <c r="I183" s="4" t="n">
        <v>6</v>
      </c>
      <c r="J183" s="5" t="n">
        <v>666.7</v>
      </c>
      <c r="K183" s="4" t="n">
        <v>19</v>
      </c>
      <c r="L183" s="4" t="n">
        <v>6</v>
      </c>
      <c r="M183" s="5" t="n">
        <v>666.7</v>
      </c>
      <c r="N183" s="3" t="inlineStr">
        <is>
          <t>LH가능.HUG.서울보증보험가능 .가성비갑.시장1분 역5분.</t>
        </is>
      </c>
      <c r="O183" s="6">
        <f>HYPERLINK("https://fin.land.naver.com/articles/2647397073", "매물Link")</f>
        <v/>
      </c>
      <c r="P183" s="6">
        <f>HYPERLINK("https://map.naver.com/p/search/조치원읍 남리 62-6", "지도Link")</f>
        <v/>
      </c>
      <c r="Q183" s="6">
        <f>HYPERLINK("http://www.eum.go.kr/web/ar/lu/luLandDet.jsp?pnu=3611025027100620006&amp;isNoScr=script&amp;mode=search", "토지이음")</f>
        <v/>
      </c>
      <c r="R183" s="3" t="inlineStr">
        <is>
          <t>마이룸</t>
        </is>
      </c>
      <c r="S183" s="4" t="n">
        <v>1</v>
      </c>
      <c r="T183" s="5" t="n">
        <v>396</v>
      </c>
      <c r="U183" s="4" t="n">
        <v>472</v>
      </c>
      <c r="V183" s="3" t="inlineStr">
        <is>
          <t>지정되지않음</t>
        </is>
      </c>
      <c r="W183" s="3" t="inlineStr">
        <is>
          <t>상업용</t>
        </is>
      </c>
      <c r="X183" s="3" t="inlineStr">
        <is>
          <t>평지</t>
        </is>
      </c>
      <c r="Y183" s="3" t="inlineStr">
        <is>
          <t>사다리형</t>
        </is>
      </c>
      <c r="Z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2</t>
        </is>
      </c>
      <c r="C184" s="3" t="inlineStr">
        <is>
          <t>2</t>
        </is>
      </c>
      <c r="D184" s="3" t="inlineStr">
        <is>
          <t>단독</t>
        </is>
      </c>
      <c r="E184" s="3" t="inlineStr">
        <is>
          <t>월세</t>
        </is>
      </c>
      <c r="F184" s="4" t="n">
        <v>1000</v>
      </c>
      <c r="G184" s="4" t="n">
        <v>55</v>
      </c>
      <c r="H184" s="4" t="n">
        <v>65</v>
      </c>
      <c r="I184" s="4" t="n">
        <v>20</v>
      </c>
      <c r="J184" s="5" t="n">
        <v>2.8</v>
      </c>
      <c r="K184" s="4" t="n">
        <v>65</v>
      </c>
      <c r="L184" s="4" t="n">
        <v>20</v>
      </c>
      <c r="M184" s="5" t="n">
        <v>2.8</v>
      </c>
      <c r="N184" s="3" t="inlineStr">
        <is>
          <t>시장 근처 깨끗한 2층 월세</t>
        </is>
      </c>
      <c r="O184" s="6">
        <f>HYPERLINK("https://fin.land.naver.com/articles/2648317283", "매물Link")</f>
        <v/>
      </c>
      <c r="P184" s="6">
        <f>HYPERLINK("https://map.naver.com/p/search/조치원읍 명리 14-2", "지도Link")</f>
        <v/>
      </c>
      <c r="Q184" s="6">
        <f>HYPERLINK("http://www.eum.go.kr/web/ar/lu/luLandDet.jsp?pnu=3611025026100140002&amp;isNoScr=script&amp;mode=search", "토지이음")</f>
        <v/>
      </c>
      <c r="R184" s="3" t="inlineStr">
        <is>
          <t>KB세종</t>
        </is>
      </c>
      <c r="S184" s="4" t="n">
        <v>1</v>
      </c>
      <c r="T184" s="5" t="n">
        <v>184.6</v>
      </c>
      <c r="U184" s="4" t="n">
        <v>145</v>
      </c>
      <c r="V184" s="3" t="inlineStr">
        <is>
          <t>지정되지않음</t>
        </is>
      </c>
      <c r="W184" s="3" t="inlineStr">
        <is>
          <t>단독</t>
        </is>
      </c>
      <c r="X184" s="3" t="inlineStr">
        <is>
          <t>평지</t>
        </is>
      </c>
      <c r="Y184" s="3" t="inlineStr">
        <is>
          <t>가로장방</t>
        </is>
      </c>
      <c r="Z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2</t>
        </is>
      </c>
      <c r="C185" s="3" t="inlineStr">
        <is>
          <t>0</t>
        </is>
      </c>
      <c r="D185" s="3" t="inlineStr">
        <is>
          <t>단독</t>
        </is>
      </c>
      <c r="E185" s="3" t="inlineStr">
        <is>
          <t>매매</t>
        </is>
      </c>
      <c r="F185" s="4" t="n">
        <v>45000</v>
      </c>
      <c r="G185" s="4" t="n">
        <v>0</v>
      </c>
      <c r="H185" s="4" t="n">
        <v>325</v>
      </c>
      <c r="I185" s="4" t="n">
        <v>98</v>
      </c>
      <c r="J185" s="5" t="n">
        <v>459.2</v>
      </c>
      <c r="K185" s="4" t="n">
        <v>218</v>
      </c>
      <c r="L185" s="4" t="n">
        <v>66</v>
      </c>
      <c r="M185" s="5" t="n">
        <v>681.8</v>
      </c>
      <c r="N185" s="3" t="inlineStr">
        <is>
          <t>교통과 생활이 편리한 위치,초등학교 인근,대지 넓은 단독주택</t>
        </is>
      </c>
      <c r="O185" s="6">
        <f>HYPERLINK("https://fin.land.naver.com/articles/2646474045", "매물Link")</f>
        <v/>
      </c>
      <c r="P185" s="6">
        <f>HYPERLINK("https://map.naver.com/p/search/조치원읍 명리 51", "지도Link")</f>
        <v/>
      </c>
      <c r="Q185" s="6">
        <f>HYPERLINK("http://www.eum.go.kr/web/ar/lu/luLandDet.jsp?pnu=3611025026100510000&amp;isNoScr=script&amp;mode=search", "토지이음")</f>
        <v/>
      </c>
      <c r="R185" s="3" t="inlineStr">
        <is>
          <t>유정희</t>
        </is>
      </c>
      <c r="S185" s="4" t="n">
        <v>1</v>
      </c>
      <c r="T185" s="5" t="n">
        <v>223.3</v>
      </c>
      <c r="U185" s="4" t="n">
        <v>318</v>
      </c>
      <c r="V185" s="3" t="inlineStr">
        <is>
          <t>지정되지않음</t>
        </is>
      </c>
      <c r="W185" s="3" t="inlineStr">
        <is>
          <t>단독</t>
        </is>
      </c>
      <c r="X185" s="3" t="inlineStr">
        <is>
          <t>평지</t>
        </is>
      </c>
      <c r="Y185" s="3" t="inlineStr">
        <is>
          <t>부정형</t>
        </is>
      </c>
      <c r="Z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2</t>
        </is>
      </c>
      <c r="C186" s="3" t="inlineStr">
        <is>
          <t>4</t>
        </is>
      </c>
      <c r="D186" s="3" t="inlineStr">
        <is>
          <t>다가구</t>
        </is>
      </c>
      <c r="E186" s="3" t="inlineStr">
        <is>
          <t>월세</t>
        </is>
      </c>
      <c r="F186" s="4" t="n">
        <v>300</v>
      </c>
      <c r="G186" s="4" t="n">
        <v>31</v>
      </c>
      <c r="H186" s="4" t="n">
        <v>26</v>
      </c>
      <c r="I186" s="4" t="n">
        <v>8</v>
      </c>
      <c r="J186" s="5" t="n">
        <v>3.9</v>
      </c>
      <c r="K186" s="4" t="n">
        <v>26</v>
      </c>
      <c r="L186" s="4" t="n">
        <v>8</v>
      </c>
      <c r="M186" s="5" t="n">
        <v>3.9</v>
      </c>
      <c r="N186" s="3" t="inlineStr">
        <is>
          <t>끌끔하고 위치좋은 원룸 2층</t>
        </is>
      </c>
      <c r="O186" s="6">
        <f>HYPERLINK("https://fin.land.naver.com/articles/2648560985", "매물Link")</f>
        <v/>
      </c>
      <c r="P186" s="6">
        <f>HYPERLINK("https://map.naver.com/p/search/조치원읍 명리 54-12", "지도Link")</f>
        <v/>
      </c>
      <c r="Q186" s="6">
        <f>HYPERLINK("http://www.eum.go.kr/web/ar/lu/luLandDet.jsp?pnu=3611025026100540012&amp;isNoScr=script&amp;mode=search", "토지이음")</f>
        <v/>
      </c>
      <c r="R186" s="3" t="inlineStr">
        <is>
          <t>세종베스트</t>
        </is>
      </c>
      <c r="S186" s="4" t="n">
        <v>1</v>
      </c>
      <c r="T186" s="5" t="n">
        <v>230.3</v>
      </c>
      <c r="U186" s="4" t="n">
        <v>520</v>
      </c>
      <c r="V186" s="3" t="inlineStr">
        <is>
          <t>지정되지않음</t>
        </is>
      </c>
      <c r="W186" s="3" t="inlineStr">
        <is>
          <t>주거기타</t>
        </is>
      </c>
      <c r="X186" s="3" t="inlineStr">
        <is>
          <t>평지</t>
        </is>
      </c>
      <c r="Y186" s="3" t="inlineStr">
        <is>
          <t>사다리형</t>
        </is>
      </c>
      <c r="Z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3</t>
        </is>
      </c>
      <c r="C187" s="3" t="inlineStr">
        <is>
          <t>0</t>
        </is>
      </c>
      <c r="D187" s="3" t="inlineStr">
        <is>
          <t>상가주택</t>
        </is>
      </c>
      <c r="E187" s="3" t="inlineStr">
        <is>
          <t>매매</t>
        </is>
      </c>
      <c r="F187" s="4" t="n">
        <v>95000</v>
      </c>
      <c r="G187" s="4" t="n">
        <v>0</v>
      </c>
      <c r="H187" s="4" t="n">
        <v>261</v>
      </c>
      <c r="I187" s="4" t="n">
        <v>79</v>
      </c>
      <c r="J187" s="5" t="n">
        <v>1202.5</v>
      </c>
      <c r="K187" s="4" t="n">
        <v>492</v>
      </c>
      <c r="L187" s="4" t="n">
        <v>149</v>
      </c>
      <c r="M187" s="5" t="n">
        <v>637.6</v>
      </c>
      <c r="N187" s="3" t="inlineStr">
        <is>
          <t>명리 코너 상가주택 1,2층 상가 3층주택</t>
        </is>
      </c>
      <c r="O187" s="6">
        <f>HYPERLINK("https://fin.land.naver.com/articles/2649283511", "매물Link")</f>
        <v/>
      </c>
      <c r="P187" s="6">
        <f>HYPERLINK("https://map.naver.com/p/search/조치원읍 명리 79", "지도Link")</f>
        <v/>
      </c>
      <c r="Q187" s="6">
        <f>HYPERLINK("http://www.eum.go.kr/web/ar/lu/luLandDet.jsp?pnu=3611025026100790000&amp;isNoScr=script&amp;mode=search", "토지이음")</f>
        <v/>
      </c>
      <c r="R187" s="3" t="inlineStr">
        <is>
          <t>OK수</t>
        </is>
      </c>
      <c r="S187" s="4" t="n">
        <v>1</v>
      </c>
      <c r="T187" s="5" t="n">
        <v>358.3</v>
      </c>
      <c r="U187" s="4" t="n">
        <v>153</v>
      </c>
      <c r="V187" s="3" t="inlineStr">
        <is>
          <t>지정되지않음</t>
        </is>
      </c>
      <c r="W187" s="3" t="inlineStr">
        <is>
          <t>상업용</t>
        </is>
      </c>
      <c r="X187" s="3" t="inlineStr">
        <is>
          <t>평지</t>
        </is>
      </c>
      <c r="Y187" s="3" t="inlineStr">
        <is>
          <t>가로장방</t>
        </is>
      </c>
      <c r="Z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4</t>
        </is>
      </c>
      <c r="C188" s="3" t="inlineStr">
        <is>
          <t>0</t>
        </is>
      </c>
      <c r="D188" s="3" t="inlineStr">
        <is>
          <t>다가구</t>
        </is>
      </c>
      <c r="E188" s="3" t="inlineStr">
        <is>
          <t>매매</t>
        </is>
      </c>
      <c r="F188" s="4" t="n">
        <v>82000</v>
      </c>
      <c r="G188" s="4" t="n">
        <v>0</v>
      </c>
      <c r="H188" s="4" t="n">
        <v>211</v>
      </c>
      <c r="I188" s="4" t="n">
        <v>64</v>
      </c>
      <c r="J188" s="5" t="n">
        <v>1281.2</v>
      </c>
      <c r="K188" s="4" t="n">
        <v>380</v>
      </c>
      <c r="L188" s="4" t="n">
        <v>115</v>
      </c>
      <c r="M188" s="5" t="n">
        <v>713</v>
      </c>
      <c r="N188" s="3" t="inlineStr">
        <is>
          <t>nan</t>
        </is>
      </c>
      <c r="O188" s="6">
        <f>HYPERLINK("https://fin.land.naver.com/articles/2645785068", "매물Link")</f>
        <v/>
      </c>
      <c r="P188" s="6">
        <f>HYPERLINK("https://map.naver.com/p/search/조치원읍 번암리 128-2", "지도Link")</f>
        <v/>
      </c>
      <c r="Q188" s="6">
        <f>HYPERLINK("http://www.eum.go.kr/web/ar/lu/luLandDet.jsp?pnu=3611025031101280002&amp;isNoScr=script&amp;mode=search", "토지이음")</f>
        <v/>
      </c>
      <c r="R188" s="3" t="inlineStr">
        <is>
          <t>척척</t>
        </is>
      </c>
      <c r="S188" s="4" t="n">
        <v>1</v>
      </c>
      <c r="T188" s="5" t="n">
        <v>309.1</v>
      </c>
      <c r="U188" s="4" t="n">
        <v>211</v>
      </c>
      <c r="V188" s="3" t="inlineStr">
        <is>
          <t>지정되지않음</t>
        </is>
      </c>
      <c r="W188" s="3" t="inlineStr">
        <is>
          <t>주상용</t>
        </is>
      </c>
      <c r="X188" s="3" t="inlineStr">
        <is>
          <t>평지</t>
        </is>
      </c>
      <c r="Y188" s="3" t="inlineStr">
        <is>
          <t>사다리형</t>
        </is>
      </c>
      <c r="Z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1</t>
        </is>
      </c>
      <c r="C189" s="3" t="inlineStr">
        <is>
          <t>4</t>
        </is>
      </c>
      <c r="D189" s="3" t="inlineStr">
        <is>
          <t>빌라</t>
        </is>
      </c>
      <c r="E189" s="3" t="inlineStr">
        <is>
          <t>매매</t>
        </is>
      </c>
      <c r="F189" s="4" t="n">
        <v>4500</v>
      </c>
      <c r="G189" s="4" t="n">
        <v>0</v>
      </c>
      <c r="H189" s="4" t="n">
        <v>21</v>
      </c>
      <c r="I189" s="4" t="n">
        <v>6</v>
      </c>
      <c r="J189" s="5" t="n">
        <v>750</v>
      </c>
      <c r="K189" s="4" t="n">
        <v>20</v>
      </c>
      <c r="L189" s="4" t="n">
        <v>6</v>
      </c>
      <c r="M189" s="5" t="n">
        <v>750</v>
      </c>
      <c r="N189" s="3" t="inlineStr">
        <is>
          <t>고려대 세종캠퍼스 인근 복층형 원룸 개별 매매</t>
        </is>
      </c>
      <c r="O189" s="6">
        <f>HYPERLINK("https://fin.land.naver.com/articles/2648580362", "매물Link")</f>
        <v/>
      </c>
      <c r="P189" s="6">
        <f>HYPERLINK("https://map.naver.com/p/search/조치원읍 봉산리 190-11", "지도Link")</f>
        <v/>
      </c>
      <c r="Q189" s="6">
        <f>HYPERLINK("http://www.eum.go.kr/web/ar/lu/luLandDet.jsp?pnu=3611025033101900011&amp;isNoScr=script&amp;mode=search", "토지이음")</f>
        <v/>
      </c>
      <c r="R189" s="3" t="inlineStr">
        <is>
          <t>고래</t>
        </is>
      </c>
      <c r="S189" s="4" t="n">
        <v>1</v>
      </c>
      <c r="T189" s="5" t="n">
        <v>168.4</v>
      </c>
      <c r="U189" s="4" t="n">
        <v>565</v>
      </c>
      <c r="V189" s="3" t="inlineStr">
        <is>
          <t>지정되지않음</t>
        </is>
      </c>
      <c r="W189" s="3" t="inlineStr">
        <is>
          <t>다세대</t>
        </is>
      </c>
      <c r="X189" s="3" t="inlineStr">
        <is>
          <t>평지</t>
        </is>
      </c>
      <c r="Y189" s="3" t="inlineStr">
        <is>
          <t>사다리형</t>
        </is>
      </c>
      <c r="Z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3</t>
        </is>
      </c>
      <c r="C190" s="3" t="inlineStr">
        <is>
          <t>0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65000</v>
      </c>
      <c r="G190" s="4" t="n">
        <v>0</v>
      </c>
      <c r="H190" s="4" t="n">
        <v>116</v>
      </c>
      <c r="I190" s="4" t="n">
        <v>35</v>
      </c>
      <c r="J190" s="5" t="n">
        <v>1857.1</v>
      </c>
      <c r="K190" s="4" t="n">
        <v>184</v>
      </c>
      <c r="L190" s="4" t="n">
        <v>56</v>
      </c>
      <c r="M190" s="5" t="n">
        <v>1160.7</v>
      </c>
      <c r="N190" s="3" t="inlineStr">
        <is>
          <t>상리 세종문화원 맞은편 2차선 접한 전면 넓은 상가 광고효과 좋음</t>
        </is>
      </c>
      <c r="O190" s="6">
        <f>HYPERLINK("https://fin.land.naver.com/articles/2645226309", "매물Link")</f>
        <v/>
      </c>
      <c r="P190" s="6">
        <f>HYPERLINK("https://map.naver.com/p/search/조치원읍 상리 132-1", "지도Link")</f>
        <v/>
      </c>
      <c r="Q190" s="6">
        <f>HYPERLINK("http://www.eum.go.kr/web/ar/lu/luLandDet.jsp?pnu=3611025022101320001&amp;isNoScr=script&amp;mode=search", "토지이음")</f>
        <v/>
      </c>
      <c r="R190" s="3" t="inlineStr">
        <is>
          <t>OK수</t>
        </is>
      </c>
      <c r="S190" s="4" t="n">
        <v>1</v>
      </c>
      <c r="T190" s="5" t="n">
        <v>640.7</v>
      </c>
      <c r="U190" s="4" t="n">
        <v>116</v>
      </c>
      <c r="V190" s="3" t="inlineStr">
        <is>
          <t>지정되지않음</t>
        </is>
      </c>
      <c r="W190" s="3" t="inlineStr">
        <is>
          <t>상업용</t>
        </is>
      </c>
      <c r="X190" s="3" t="inlineStr">
        <is>
          <t>평지</t>
        </is>
      </c>
      <c r="Y190" s="3" t="inlineStr">
        <is>
          <t>가로장방</t>
        </is>
      </c>
      <c r="Z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2</t>
        </is>
      </c>
      <c r="C191" s="3" t="inlineStr">
        <is>
          <t>2</t>
        </is>
      </c>
      <c r="D191" s="3" t="inlineStr">
        <is>
          <t>단독</t>
        </is>
      </c>
      <c r="E191" s="3" t="inlineStr">
        <is>
          <t>월세</t>
        </is>
      </c>
      <c r="F191" s="4" t="n">
        <v>200</v>
      </c>
      <c r="G191" s="4" t="n">
        <v>25</v>
      </c>
      <c r="H191" s="4" t="n">
        <v>19</v>
      </c>
      <c r="I191" s="4" t="n">
        <v>6</v>
      </c>
      <c r="J191" s="5" t="n">
        <v>4.2</v>
      </c>
      <c r="K191" s="4" t="n">
        <v>19</v>
      </c>
      <c r="L191" s="4" t="n">
        <v>6</v>
      </c>
      <c r="M191" s="5" t="n">
        <v>4.2</v>
      </c>
      <c r="N191" s="3" t="inlineStr">
        <is>
          <t>조치원읍 상리 단독주택 2층 월세</t>
        </is>
      </c>
      <c r="O191" s="6">
        <f>HYPERLINK("https://fin.land.naver.com/articles/2645256671", "매물Link")</f>
        <v/>
      </c>
      <c r="P191" s="6">
        <f>HYPERLINK("https://map.naver.com/p/search/조치원읍 상리 67-9", "지도Link")</f>
        <v/>
      </c>
      <c r="Q191" s="6">
        <f>HYPERLINK("http://www.eum.go.kr/web/ar/lu/luLandDet.jsp?pnu=3611025022100670009&amp;isNoScr=script&amp;mode=search", "토지이음")</f>
        <v/>
      </c>
      <c r="R191" s="3" t="inlineStr">
        <is>
          <t>동원</t>
        </is>
      </c>
      <c r="S191" s="4" t="n">
        <v>1</v>
      </c>
      <c r="T191" s="5" t="n">
        <v>154</v>
      </c>
      <c r="U191" s="4" t="n">
        <v>201</v>
      </c>
      <c r="V191" s="3" t="inlineStr">
        <is>
          <t>지정되지않음</t>
        </is>
      </c>
      <c r="W191" s="3" t="inlineStr">
        <is>
          <t>단독</t>
        </is>
      </c>
      <c r="X191" s="3" t="inlineStr">
        <is>
          <t>평지</t>
        </is>
      </c>
      <c r="Y191" s="3" t="inlineStr">
        <is>
          <t>사다리형</t>
        </is>
      </c>
      <c r="Z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0</t>
        </is>
      </c>
      <c r="C192" s="3" t="inlineStr">
        <is>
          <t>10</t>
        </is>
      </c>
      <c r="D192" s="3" t="inlineStr">
        <is>
          <t>도시형생활주택</t>
        </is>
      </c>
      <c r="E192" s="3" t="inlineStr">
        <is>
          <t>월세</t>
        </is>
      </c>
      <c r="F192" s="4" t="n">
        <v>4500</v>
      </c>
      <c r="G192" s="4" t="n">
        <v>12</v>
      </c>
      <c r="H192" s="4" t="n">
        <v>0</v>
      </c>
      <c r="I192" s="4" t="n">
        <v>0</v>
      </c>
      <c r="J192" s="5" t="n">
        <v>0</v>
      </c>
      <c r="K192" s="4" t="n">
        <v>18</v>
      </c>
      <c r="L192" s="4" t="n">
        <v>5</v>
      </c>
      <c r="M192" s="5" t="n">
        <v>2.4</v>
      </c>
      <c r="N192" s="3" t="inlineStr">
        <is>
          <t>L 즉시입주가능  O엘베 O정남향 O역10분내</t>
        </is>
      </c>
      <c r="O192" s="6">
        <f>HYPERLINK("https://fin.land.naver.com/articles/2648531034", "매물Link")</f>
        <v/>
      </c>
      <c r="P192" s="6">
        <f>HYPERLINK("https://map.naver.com/p/search/조치원읍 상리 79-3", "지도Link")</f>
        <v/>
      </c>
      <c r="Q192" s="6">
        <f>HYPERLINK("http://www.eum.go.kr/web/ar/lu/luLandDet.jsp?pnu=3611025022100790003&amp;isNoScr=script&amp;mode=search", "토지이음")</f>
        <v/>
      </c>
      <c r="R192" s="3" t="inlineStr">
        <is>
          <t>바다</t>
        </is>
      </c>
      <c r="S192" s="4" t="n">
        <v>1</v>
      </c>
      <c r="T192" s="5" t="n">
        <v>318.4</v>
      </c>
      <c r="U192" s="4" t="n">
        <v>465</v>
      </c>
      <c r="V192" s="3" t="inlineStr">
        <is>
          <t>지정되지않음</t>
        </is>
      </c>
      <c r="W192" s="3" t="inlineStr">
        <is>
          <t>주상기타</t>
        </is>
      </c>
      <c r="X192" s="3" t="inlineStr">
        <is>
          <t>평지</t>
        </is>
      </c>
      <c r="Y192" s="3" t="inlineStr">
        <is>
          <t>세로장방</t>
        </is>
      </c>
      <c r="Z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4</t>
        </is>
      </c>
      <c r="C193" s="3" t="inlineStr">
        <is>
          <t>10</t>
        </is>
      </c>
      <c r="D193" s="3" t="inlineStr">
        <is>
          <t>도시형생활주택</t>
        </is>
      </c>
      <c r="E193" s="3" t="inlineStr">
        <is>
          <t>전세</t>
        </is>
      </c>
      <c r="F193" s="4" t="n">
        <v>4200</v>
      </c>
      <c r="G193" s="4" t="n">
        <v>0</v>
      </c>
      <c r="H193" s="4" t="n">
        <v>26</v>
      </c>
      <c r="I193" s="4" t="n">
        <v>8</v>
      </c>
      <c r="J193" s="5" t="n">
        <v>525</v>
      </c>
      <c r="K193" s="4" t="n">
        <v>18</v>
      </c>
      <c r="L193" s="4" t="n">
        <v>5</v>
      </c>
      <c r="M193" s="5" t="n">
        <v>840</v>
      </c>
      <c r="N193" s="3" t="inlineStr">
        <is>
          <t>풀옵션 깔끔한 도시형생활주택 무융자조건</t>
        </is>
      </c>
      <c r="O193" s="6">
        <f>HYPERLINK("https://fin.land.naver.com/articles/2645162863", "매물Link")</f>
        <v/>
      </c>
      <c r="P193" s="6">
        <f>HYPERLINK("https://map.naver.com/p/search/조치원읍 상리 79-3", "지도Link")</f>
        <v/>
      </c>
      <c r="Q193" s="6">
        <f>HYPERLINK("http://www.eum.go.kr/web/ar/lu/luLandDet.jsp?pnu=3611025022100790003&amp;isNoScr=script&amp;mode=search", "토지이음")</f>
        <v/>
      </c>
      <c r="R193" s="3" t="inlineStr">
        <is>
          <t>용죽부자</t>
        </is>
      </c>
      <c r="S193" s="4" t="n">
        <v>1</v>
      </c>
      <c r="T193" s="5" t="n">
        <v>318.4</v>
      </c>
      <c r="U193" s="4" t="n">
        <v>465</v>
      </c>
      <c r="V193" s="3" t="inlineStr">
        <is>
          <t>지정되지않음</t>
        </is>
      </c>
      <c r="W193" s="3" t="inlineStr">
        <is>
          <t>주상기타</t>
        </is>
      </c>
      <c r="X193" s="3" t="inlineStr">
        <is>
          <t>평지</t>
        </is>
      </c>
      <c r="Y193" s="3" t="inlineStr">
        <is>
          <t>세로장방</t>
        </is>
      </c>
      <c r="Z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4</t>
        </is>
      </c>
      <c r="C194" s="3" t="inlineStr">
        <is>
          <t>10</t>
        </is>
      </c>
      <c r="D194" s="3" t="inlineStr">
        <is>
          <t>일반원룸</t>
        </is>
      </c>
      <c r="E194" s="3" t="inlineStr">
        <is>
          <t>전세</t>
        </is>
      </c>
      <c r="F194" s="4" t="n">
        <v>4800</v>
      </c>
      <c r="G194" s="4" t="n">
        <v>0</v>
      </c>
      <c r="H194" s="4" t="n">
        <v>26</v>
      </c>
      <c r="I194" s="4" t="n">
        <v>8</v>
      </c>
      <c r="J194" s="5" t="n">
        <v>600</v>
      </c>
      <c r="K194" s="4" t="n">
        <v>18</v>
      </c>
      <c r="L194" s="4" t="n">
        <v>5</v>
      </c>
      <c r="M194" s="5" t="n">
        <v>960</v>
      </c>
      <c r="N194" s="3" t="inlineStr">
        <is>
          <t>깨끗한원룸.넓은방.협의입주가능.보안철저.주차시설완비</t>
        </is>
      </c>
      <c r="O194" s="6">
        <f>HYPERLINK("https://fin.land.naver.com/articles/2644836713", "매물Link")</f>
        <v/>
      </c>
      <c r="P194" s="6">
        <f>HYPERLINK("https://map.naver.com/p/search/조치원읍 상리 79-3", "지도Link")</f>
        <v/>
      </c>
      <c r="Q194" s="6">
        <f>HYPERLINK("http://www.eum.go.kr/web/ar/lu/luLandDet.jsp?pnu=3611025022100790003&amp;isNoScr=script&amp;mode=search", "토지이음")</f>
        <v/>
      </c>
      <c r="R194" s="3" t="inlineStr">
        <is>
          <t>척척</t>
        </is>
      </c>
      <c r="S194" s="4" t="n">
        <v>1</v>
      </c>
      <c r="T194" s="5" t="n">
        <v>318.4</v>
      </c>
      <c r="U194" s="4" t="n">
        <v>465</v>
      </c>
      <c r="V194" s="3" t="inlineStr">
        <is>
          <t>지정되지않음</t>
        </is>
      </c>
      <c r="W194" s="3" t="inlineStr">
        <is>
          <t>주상기타</t>
        </is>
      </c>
      <c r="X194" s="3" t="inlineStr">
        <is>
          <t>평지</t>
        </is>
      </c>
      <c r="Y194" s="3" t="inlineStr">
        <is>
          <t>세로장방</t>
        </is>
      </c>
      <c r="Z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0</t>
        </is>
      </c>
      <c r="C195" s="3" t="inlineStr">
        <is>
          <t>10</t>
        </is>
      </c>
      <c r="D195" s="3" t="inlineStr">
        <is>
          <t>일반원룸</t>
        </is>
      </c>
      <c r="E195" s="3" t="inlineStr">
        <is>
          <t>월세</t>
        </is>
      </c>
      <c r="F195" s="4" t="n">
        <v>300</v>
      </c>
      <c r="G195" s="4" t="n">
        <v>36</v>
      </c>
      <c r="H195" s="4" t="n">
        <v>30</v>
      </c>
      <c r="I195" s="4" t="n">
        <v>9</v>
      </c>
      <c r="J195" s="5" t="n">
        <v>4</v>
      </c>
      <c r="K195" s="4" t="n">
        <v>20</v>
      </c>
      <c r="L195" s="4" t="n">
        <v>6</v>
      </c>
      <c r="M195" s="5" t="n">
        <v>6</v>
      </c>
      <c r="N195" s="3" t="inlineStr">
        <is>
          <t>깨끗한원룸.실사진.즉시입주가능.보안철저.주차시설완비</t>
        </is>
      </c>
      <c r="O195" s="6">
        <f>HYPERLINK("https://fin.land.naver.com/articles/2644842214", "매물Link")</f>
        <v/>
      </c>
      <c r="P195" s="6">
        <f>HYPERLINK("https://map.naver.com/p/search/조치원읍 상리 79-3", "지도Link")</f>
        <v/>
      </c>
      <c r="Q195" s="6">
        <f>HYPERLINK("http://www.eum.go.kr/web/ar/lu/luLandDet.jsp?pnu=3611025022100790003&amp;isNoScr=script&amp;mode=search", "토지이음")</f>
        <v/>
      </c>
      <c r="R195" s="3" t="inlineStr">
        <is>
          <t>척척</t>
        </is>
      </c>
      <c r="S195" s="4" t="n">
        <v>1</v>
      </c>
      <c r="T195" s="5" t="n">
        <v>318.4</v>
      </c>
      <c r="U195" s="4" t="n">
        <v>465</v>
      </c>
      <c r="V195" s="3" t="inlineStr">
        <is>
          <t>지정되지않음</t>
        </is>
      </c>
      <c r="W195" s="3" t="inlineStr">
        <is>
          <t>주상기타</t>
        </is>
      </c>
      <c r="X195" s="3" t="inlineStr">
        <is>
          <t>평지</t>
        </is>
      </c>
      <c r="Y195" s="3" t="inlineStr">
        <is>
          <t>세로장방</t>
        </is>
      </c>
      <c r="Z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3</t>
        </is>
      </c>
      <c r="C196" s="3" t="inlineStr">
        <is>
          <t>0</t>
        </is>
      </c>
      <c r="D196" s="3" t="inlineStr">
        <is>
          <t>다가구</t>
        </is>
      </c>
      <c r="E196" s="3" t="inlineStr">
        <is>
          <t>매매</t>
        </is>
      </c>
      <c r="F196" s="4" t="n">
        <v>52000</v>
      </c>
      <c r="G196" s="4" t="n">
        <v>0</v>
      </c>
      <c r="H196" s="4" t="n">
        <v>233</v>
      </c>
      <c r="I196" s="4" t="n">
        <v>70</v>
      </c>
      <c r="J196" s="5" t="n">
        <v>742.9</v>
      </c>
      <c r="K196" s="4" t="n">
        <v>312</v>
      </c>
      <c r="L196" s="4" t="n">
        <v>94</v>
      </c>
      <c r="M196" s="5" t="n">
        <v>553.2</v>
      </c>
      <c r="N196" s="3" t="inlineStr">
        <is>
          <t>nan</t>
        </is>
      </c>
      <c r="O196" s="6">
        <f>HYPERLINK("https://fin.land.naver.com/articles/2645784295", "매물Link")</f>
        <v/>
      </c>
      <c r="P196" s="6">
        <f>HYPERLINK("https://map.naver.com/p/search/조치원읍 서창리 133-28", "지도Link")</f>
        <v/>
      </c>
      <c r="Q196" s="6">
        <f>HYPERLINK("http://www.eum.go.kr/web/ar/lu/luLandDet.jsp?pnu=3611025034101330028&amp;isNoScr=script&amp;mode=search", "토지이음")</f>
        <v/>
      </c>
      <c r="R196" s="3" t="inlineStr">
        <is>
          <t>척척</t>
        </is>
      </c>
      <c r="S196" s="4" t="n">
        <v>1</v>
      </c>
      <c r="T196" s="5" t="n">
        <v>243.7</v>
      </c>
      <c r="U196" s="4" t="n">
        <v>233</v>
      </c>
      <c r="V196" s="3" t="inlineStr">
        <is>
          <t>지정되지않음</t>
        </is>
      </c>
      <c r="W196" s="3" t="inlineStr">
        <is>
          <t>단독</t>
        </is>
      </c>
      <c r="X196" s="3" t="inlineStr">
        <is>
          <t>평지</t>
        </is>
      </c>
      <c r="Y196" s="3" t="inlineStr">
        <is>
          <t>사다리형</t>
        </is>
      </c>
      <c r="Z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3</t>
        </is>
      </c>
      <c r="C197" s="3" t="inlineStr">
        <is>
          <t>0</t>
        </is>
      </c>
      <c r="D197" s="3" t="inlineStr">
        <is>
          <t>다가구</t>
        </is>
      </c>
      <c r="E197" s="3" t="inlineStr">
        <is>
          <t>매매</t>
        </is>
      </c>
      <c r="F197" s="4" t="n">
        <v>49000</v>
      </c>
      <c r="G197" s="4" t="n">
        <v>0</v>
      </c>
      <c r="H197" s="4" t="n">
        <v>654</v>
      </c>
      <c r="I197" s="4" t="n">
        <v>198</v>
      </c>
      <c r="J197" s="5" t="n">
        <v>247.5</v>
      </c>
      <c r="K197" s="4" t="n">
        <v>581</v>
      </c>
      <c r="L197" s="4" t="n">
        <v>176</v>
      </c>
      <c r="M197" s="5" t="n">
        <v>278.4</v>
      </c>
      <c r="N197" s="3" t="inlineStr">
        <is>
          <t>.급매. o수익률잘나옴 o관리잘되었어요</t>
        </is>
      </c>
      <c r="O197" s="6">
        <f>HYPERLINK("https://fin.land.naver.com/articles/2644111814", "매물Link")</f>
        <v/>
      </c>
      <c r="P197" s="6">
        <f>HYPERLINK("https://map.naver.com/p/search/조치원읍 서창리 203-10", "지도Link")</f>
        <v/>
      </c>
      <c r="Q197" s="6">
        <f>HYPERLINK("http://www.eum.go.kr/web/ar/lu/luLandDet.jsp?pnu=3611025034102030010&amp;isNoScr=script&amp;mode=search", "토지이음")</f>
        <v/>
      </c>
      <c r="R197" s="3" t="inlineStr">
        <is>
          <t>바다</t>
        </is>
      </c>
      <c r="S197" s="4" t="n">
        <v>2</v>
      </c>
      <c r="T197" s="5" t="n">
        <v>205.7</v>
      </c>
      <c r="U197" s="4" t="n">
        <v>415</v>
      </c>
      <c r="V197" s="3" t="inlineStr">
        <is>
          <t>자연녹지지역</t>
        </is>
      </c>
      <c r="W197" s="3" t="inlineStr">
        <is>
          <t>다세대</t>
        </is>
      </c>
      <c r="X197" s="3" t="inlineStr">
        <is>
          <t>평지</t>
        </is>
      </c>
      <c r="Y197" s="3" t="inlineStr">
        <is>
          <t>사다리형</t>
        </is>
      </c>
      <c r="Z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0</t>
        </is>
      </c>
      <c r="C198" s="3" t="inlineStr">
        <is>
          <t>5</t>
        </is>
      </c>
      <c r="D198" s="3" t="inlineStr">
        <is>
          <t>일반원룸</t>
        </is>
      </c>
      <c r="E198" s="3" t="inlineStr">
        <is>
          <t>전세</t>
        </is>
      </c>
      <c r="F198" s="4" t="n">
        <v>3000</v>
      </c>
      <c r="G198" s="4" t="n">
        <v>0</v>
      </c>
      <c r="H198" s="4" t="n">
        <v>30</v>
      </c>
      <c r="I198" s="4" t="n">
        <v>9</v>
      </c>
      <c r="J198" s="5" t="n">
        <v>333.3</v>
      </c>
      <c r="K198" s="4" t="n">
        <v>30</v>
      </c>
      <c r="L198" s="4" t="n">
        <v>9</v>
      </c>
      <c r="M198" s="5" t="n">
        <v>333.3</v>
      </c>
      <c r="N198" s="3" t="inlineStr">
        <is>
          <t>위치좋고 상태 좋은 저렴한 매물 안전전세</t>
        </is>
      </c>
      <c r="O198" s="6">
        <f>HYPERLINK("https://fin.land.naver.com/articles/2644989266", "매물Link")</f>
        <v/>
      </c>
      <c r="P198" s="6">
        <f>HYPERLINK("https://map.naver.com/p/search/조치원읍 서창리 203-6", "지도Link")</f>
        <v/>
      </c>
      <c r="Q198" s="6">
        <f>HYPERLINK("http://www.eum.go.kr/web/ar/lu/luLandDet.jsp?pnu=3611025034102030006&amp;isNoScr=script&amp;mode=search", "토지이음")</f>
        <v/>
      </c>
      <c r="R198" s="3" t="inlineStr">
        <is>
          <t>부자터</t>
        </is>
      </c>
      <c r="S198" s="4" t="n">
        <v>1</v>
      </c>
      <c r="T198" s="5" t="n">
        <v>344.8</v>
      </c>
      <c r="U198" s="4" t="n">
        <v>477</v>
      </c>
      <c r="V198" s="3" t="inlineStr">
        <is>
          <t>지정되지않음</t>
        </is>
      </c>
      <c r="W198" s="3" t="inlineStr">
        <is>
          <t>주상용</t>
        </is>
      </c>
      <c r="X198" s="3" t="inlineStr">
        <is>
          <t>평지</t>
        </is>
      </c>
      <c r="Y198" s="3" t="inlineStr">
        <is>
          <t>사다리형</t>
        </is>
      </c>
      <c r="Z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3</t>
        </is>
      </c>
      <c r="C199" s="3" t="inlineStr">
        <is>
          <t>4</t>
        </is>
      </c>
      <c r="D199" s="3" t="inlineStr">
        <is>
          <t>일반원룸</t>
        </is>
      </c>
      <c r="E199" s="3" t="inlineStr">
        <is>
          <t>월세</t>
        </is>
      </c>
      <c r="F199" s="4" t="n">
        <v>100</v>
      </c>
      <c r="G199" s="4" t="n">
        <v>30</v>
      </c>
      <c r="H199" s="4" t="n">
        <v>23</v>
      </c>
      <c r="I199" s="4" t="n">
        <v>7</v>
      </c>
      <c r="J199" s="5" t="n">
        <v>4.3</v>
      </c>
      <c r="K199" s="4" t="n">
        <v>23</v>
      </c>
      <c r="L199" s="4" t="n">
        <v>7</v>
      </c>
      <c r="M199" s="5" t="n">
        <v>4.3</v>
      </c>
      <c r="N199" s="3" t="inlineStr">
        <is>
          <t>원룸 월세</t>
        </is>
      </c>
      <c r="O199" s="6">
        <f>HYPERLINK("https://fin.land.naver.com/articles/2647836240", "매물Link")</f>
        <v/>
      </c>
      <c r="P199" s="6">
        <f>HYPERLINK("https://map.naver.com/p/search/조치원읍 서창리 290-1", "지도Link")</f>
        <v/>
      </c>
      <c r="Q199" s="6">
        <f>HYPERLINK("http://www.eum.go.kr/web/ar/lu/luLandDet.jsp?pnu=3611025034102900001&amp;isNoScr=script&amp;mode=search", "토지이음")</f>
        <v/>
      </c>
      <c r="R199" s="3" t="inlineStr">
        <is>
          <t>김준희</t>
        </is>
      </c>
      <c r="S199" s="4" t="n">
        <v>1</v>
      </c>
      <c r="T199" s="5" t="n">
        <v>321.6</v>
      </c>
      <c r="U199" s="4" t="n">
        <v>388.7</v>
      </c>
      <c r="V199" s="3" t="inlineStr">
        <is>
          <t>지정되지않음</t>
        </is>
      </c>
      <c r="W199" s="3" t="inlineStr">
        <is>
          <t>주상기타</t>
        </is>
      </c>
      <c r="X199" s="3" t="inlineStr">
        <is>
          <t>평지</t>
        </is>
      </c>
      <c r="Y199" s="3" t="inlineStr">
        <is>
          <t>사다리형</t>
        </is>
      </c>
      <c r="Z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3</t>
        </is>
      </c>
      <c r="C200" s="3" t="inlineStr">
        <is>
          <t>4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29</v>
      </c>
      <c r="H200" s="4" t="n">
        <v>39</v>
      </c>
      <c r="I200" s="4" t="n">
        <v>12</v>
      </c>
      <c r="J200" s="5" t="n">
        <v>2.4</v>
      </c>
      <c r="K200" s="4" t="n">
        <v>26</v>
      </c>
      <c r="L200" s="4" t="n">
        <v>8</v>
      </c>
      <c r="M200" s="5" t="n">
        <v>3.6</v>
      </c>
      <c r="N200" s="3" t="inlineStr">
        <is>
          <t>서창리.모든게옵션.10월초 협의입주가능</t>
        </is>
      </c>
      <c r="O200" s="6">
        <f>HYPERLINK("https://fin.land.naver.com/articles/2649226212", "매물Link")</f>
        <v/>
      </c>
      <c r="P200" s="6">
        <f>HYPERLINK("https://map.naver.com/p/search/조치원읍 서창리 290-5", "지도Link")</f>
        <v/>
      </c>
      <c r="Q200" s="6">
        <f>HYPERLINK("http://www.eum.go.kr/web/ar/lu/luLandDet.jsp?pnu=3611025034102900005&amp;isNoScr=script&amp;mode=search", "토지이음")</f>
        <v/>
      </c>
      <c r="R200" s="3" t="inlineStr">
        <is>
          <t>척척</t>
        </is>
      </c>
      <c r="S200" s="4" t="n">
        <v>1</v>
      </c>
      <c r="T200" s="5" t="n">
        <v>319.2</v>
      </c>
      <c r="U200" s="4" t="n">
        <v>237.8</v>
      </c>
      <c r="V200" s="3" t="inlineStr">
        <is>
          <t>지정되지않음</t>
        </is>
      </c>
      <c r="W200" s="3" t="inlineStr">
        <is>
          <t>주상나지</t>
        </is>
      </c>
      <c r="X200" s="3" t="inlineStr">
        <is>
          <t>평지</t>
        </is>
      </c>
      <c r="Y200" s="3" t="inlineStr">
        <is>
          <t>가로장방</t>
        </is>
      </c>
      <c r="Z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3</t>
        </is>
      </c>
      <c r="C201" s="3" t="inlineStr">
        <is>
          <t>4</t>
        </is>
      </c>
      <c r="D201" s="3" t="inlineStr">
        <is>
          <t>일반원룸</t>
        </is>
      </c>
      <c r="E201" s="3" t="inlineStr">
        <is>
          <t>전세</t>
        </is>
      </c>
      <c r="F201" s="4" t="n">
        <v>4000</v>
      </c>
      <c r="G201" s="4" t="n">
        <v>0</v>
      </c>
      <c r="H201" s="4" t="n">
        <v>0</v>
      </c>
      <c r="I201" s="4" t="n">
        <v>0</v>
      </c>
      <c r="J201" s="5" t="n">
        <v>0</v>
      </c>
      <c r="K201" s="4" t="n">
        <v>23</v>
      </c>
      <c r="L201" s="4" t="n">
        <v>7</v>
      </c>
      <c r="M201" s="5" t="n">
        <v>571.4</v>
      </c>
      <c r="N201" s="3" t="inlineStr">
        <is>
          <t>세종,오송,청주 출퇴근하기 좋은 위치의 분리형원룸</t>
        </is>
      </c>
      <c r="O201" s="6">
        <f>HYPERLINK("https://fin.land.naver.com/articles/2647378387", "매물Link")</f>
        <v/>
      </c>
      <c r="P201" s="6">
        <f>HYPERLINK("https://map.naver.com/p/search/조치원읍 서창리 292-2", "지도Link")</f>
        <v/>
      </c>
      <c r="Q201" s="6">
        <f>HYPERLINK("http://www.eum.go.kr/web/ar/lu/luLandDet.jsp?pnu=3611025034102920002&amp;isNoScr=script&amp;mode=search", "토지이음")</f>
        <v/>
      </c>
      <c r="R201" s="3" t="inlineStr">
        <is>
          <t>무지개</t>
        </is>
      </c>
      <c r="S201" s="4" t="n">
        <v>1</v>
      </c>
      <c r="T201" s="5" t="n">
        <v>324.7</v>
      </c>
      <c r="U201" s="4" t="n">
        <v>301.2</v>
      </c>
      <c r="V201" s="3" t="inlineStr">
        <is>
          <t>지정되지않음</t>
        </is>
      </c>
      <c r="W201" s="3" t="inlineStr">
        <is>
          <t>주상용</t>
        </is>
      </c>
      <c r="X201" s="3" t="inlineStr">
        <is>
          <t>평지</t>
        </is>
      </c>
      <c r="Y201" s="3" t="inlineStr">
        <is>
          <t>정방형</t>
        </is>
      </c>
      <c r="Z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3</t>
        </is>
      </c>
      <c r="C202" s="3" t="inlineStr">
        <is>
          <t>4</t>
        </is>
      </c>
      <c r="D202" s="3" t="inlineStr">
        <is>
          <t>일반원룸</t>
        </is>
      </c>
      <c r="E202" s="3" t="inlineStr">
        <is>
          <t>전세</t>
        </is>
      </c>
      <c r="F202" s="4" t="n">
        <v>4000</v>
      </c>
      <c r="G202" s="4" t="n">
        <v>0</v>
      </c>
      <c r="H202" s="4" t="n">
        <v>0</v>
      </c>
      <c r="I202" s="4" t="n">
        <v>0</v>
      </c>
      <c r="J202" s="5" t="n">
        <v>0</v>
      </c>
      <c r="K202" s="4" t="n">
        <v>23</v>
      </c>
      <c r="L202" s="4" t="n">
        <v>7</v>
      </c>
      <c r="M202" s="5" t="n">
        <v>571.4</v>
      </c>
      <c r="N202" s="3" t="inlineStr">
        <is>
          <t>L리모델링 O풀옵션 O역3분</t>
        </is>
      </c>
      <c r="O202" s="6">
        <f>HYPERLINK("https://fin.land.naver.com/articles/2645063733", "매물Link")</f>
        <v/>
      </c>
      <c r="P202" s="6">
        <f>HYPERLINK("https://map.naver.com/p/search/조치원읍 서창리 292-2", "지도Link")</f>
        <v/>
      </c>
      <c r="Q202" s="6">
        <f>HYPERLINK("http://www.eum.go.kr/web/ar/lu/luLandDet.jsp?pnu=3611025034102920002&amp;isNoScr=script&amp;mode=search", "토지이음")</f>
        <v/>
      </c>
      <c r="R202" s="3" t="inlineStr">
        <is>
          <t>바다</t>
        </is>
      </c>
      <c r="S202" s="4" t="n">
        <v>1</v>
      </c>
      <c r="T202" s="5" t="n">
        <v>324.7</v>
      </c>
      <c r="U202" s="4" t="n">
        <v>301.2</v>
      </c>
      <c r="V202" s="3" t="inlineStr">
        <is>
          <t>지정되지않음</t>
        </is>
      </c>
      <c r="W202" s="3" t="inlineStr">
        <is>
          <t>주상용</t>
        </is>
      </c>
      <c r="X202" s="3" t="inlineStr">
        <is>
          <t>평지</t>
        </is>
      </c>
      <c r="Y202" s="3" t="inlineStr">
        <is>
          <t>정방형</t>
        </is>
      </c>
      <c r="Z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3</t>
        </is>
      </c>
      <c r="C203" s="3" t="inlineStr">
        <is>
          <t>4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4000</v>
      </c>
      <c r="G203" s="4" t="n">
        <v>0</v>
      </c>
      <c r="H203" s="4" t="n">
        <v>23</v>
      </c>
      <c r="I203" s="4" t="n">
        <v>7</v>
      </c>
      <c r="J203" s="5" t="n">
        <v>571.4</v>
      </c>
      <c r="K203" s="4" t="n">
        <v>23</v>
      </c>
      <c r="L203" s="4" t="n">
        <v>7</v>
      </c>
      <c r="M203" s="5" t="n">
        <v>571.4</v>
      </c>
      <c r="N203" s="3" t="inlineStr">
        <is>
          <t>서창리 원룸 전세</t>
        </is>
      </c>
      <c r="O203" s="6">
        <f>HYPERLINK("https://fin.land.naver.com/articles/2646197839", "매물Link")</f>
        <v/>
      </c>
      <c r="P203" s="6">
        <f>HYPERLINK("https://map.naver.com/p/search/조치원읍 서창리 292-2", "지도Link")</f>
        <v/>
      </c>
      <c r="Q203" s="6">
        <f>HYPERLINK("http://www.eum.go.kr/web/ar/lu/luLandDet.jsp?pnu=3611025034102920002&amp;isNoScr=script&amp;mode=search", "토지이음")</f>
        <v/>
      </c>
      <c r="R203" s="3" t="inlineStr">
        <is>
          <t>김준희</t>
        </is>
      </c>
      <c r="S203" s="4" t="n">
        <v>1</v>
      </c>
      <c r="T203" s="5" t="n">
        <v>324.7</v>
      </c>
      <c r="U203" s="4" t="n">
        <v>301.2</v>
      </c>
      <c r="V203" s="3" t="inlineStr">
        <is>
          <t>지정되지않음</t>
        </is>
      </c>
      <c r="W203" s="3" t="inlineStr">
        <is>
          <t>주상용</t>
        </is>
      </c>
      <c r="X203" s="3" t="inlineStr">
        <is>
          <t>평지</t>
        </is>
      </c>
      <c r="Y203" s="3" t="inlineStr">
        <is>
          <t>정방형</t>
        </is>
      </c>
      <c r="Z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4</t>
        </is>
      </c>
      <c r="C204" s="3" t="inlineStr">
        <is>
          <t>0</t>
        </is>
      </c>
      <c r="D204" s="3" t="inlineStr">
        <is>
          <t>다가구</t>
        </is>
      </c>
      <c r="E204" s="3" t="inlineStr">
        <is>
          <t>매매</t>
        </is>
      </c>
      <c r="F204" s="4" t="n">
        <v>70000</v>
      </c>
      <c r="G204" s="4" t="n">
        <v>0</v>
      </c>
      <c r="H204" s="4" t="n">
        <v>317</v>
      </c>
      <c r="I204" s="4" t="n">
        <v>96</v>
      </c>
      <c r="J204" s="5" t="n">
        <v>729.2</v>
      </c>
      <c r="K204" s="4" t="n">
        <v>481</v>
      </c>
      <c r="L204" s="4" t="n">
        <v>146</v>
      </c>
      <c r="M204" s="5" t="n">
        <v>479.5</v>
      </c>
      <c r="N204" s="3" t="inlineStr">
        <is>
          <t>nan</t>
        </is>
      </c>
      <c r="O204" s="6">
        <f>HYPERLINK("https://fin.land.naver.com/articles/2645783949", "매물Link")</f>
        <v/>
      </c>
      <c r="P204" s="6">
        <f>HYPERLINK("https://map.naver.com/p/search/조치원읍 서창리 296-8", "지도Link")</f>
        <v/>
      </c>
      <c r="Q204" s="6">
        <f>HYPERLINK("http://www.eum.go.kr/web/ar/lu/luLandDet.jsp?pnu=3611025034102960008&amp;isNoScr=script&amp;mode=search", "토지이음")</f>
        <v/>
      </c>
      <c r="R204" s="3" t="inlineStr">
        <is>
          <t>척척</t>
        </is>
      </c>
      <c r="S204" s="4" t="n">
        <v>1</v>
      </c>
      <c r="T204" s="5" t="n">
        <v>321.1</v>
      </c>
      <c r="U204" s="4" t="n">
        <v>317.7</v>
      </c>
      <c r="V204" s="3" t="inlineStr">
        <is>
          <t>지정되지않음</t>
        </is>
      </c>
      <c r="W204" s="3" t="inlineStr">
        <is>
          <t>단독</t>
        </is>
      </c>
      <c r="X204" s="3" t="inlineStr">
        <is>
          <t>평지</t>
        </is>
      </c>
      <c r="Y204" s="3" t="inlineStr">
        <is>
          <t>세로장방</t>
        </is>
      </c>
      <c r="Z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4</t>
        </is>
      </c>
      <c r="C205" s="3" t="inlineStr">
        <is>
          <t>0</t>
        </is>
      </c>
      <c r="D205" s="3" t="inlineStr">
        <is>
          <t>다가구</t>
        </is>
      </c>
      <c r="E205" s="3" t="inlineStr">
        <is>
          <t>매매</t>
        </is>
      </c>
      <c r="F205" s="4" t="n">
        <v>70000</v>
      </c>
      <c r="G205" s="4" t="n">
        <v>0</v>
      </c>
      <c r="H205" s="4" t="n">
        <v>317</v>
      </c>
      <c r="I205" s="4" t="n">
        <v>96</v>
      </c>
      <c r="J205" s="5" t="n">
        <v>729.2</v>
      </c>
      <c r="K205" s="4" t="n">
        <v>481</v>
      </c>
      <c r="L205" s="4" t="n">
        <v>146</v>
      </c>
      <c r="M205" s="5" t="n">
        <v>479.5</v>
      </c>
      <c r="N205" s="3" t="inlineStr">
        <is>
          <t>다가구 매매 실투자금 약 5억</t>
        </is>
      </c>
      <c r="O205" s="6">
        <f>HYPERLINK("https://fin.land.naver.com/articles/2645163465", "매물Link")</f>
        <v/>
      </c>
      <c r="P205" s="6">
        <f>HYPERLINK("https://map.naver.com/p/search/조치원읍 서창리 296-8", "지도Link")</f>
        <v/>
      </c>
      <c r="Q205" s="6">
        <f>HYPERLINK("http://www.eum.go.kr/web/ar/lu/luLandDet.jsp?pnu=3611025034102960008&amp;isNoScr=script&amp;mode=search", "토지이음")</f>
        <v/>
      </c>
      <c r="R205" s="3" t="inlineStr">
        <is>
          <t>상희</t>
        </is>
      </c>
      <c r="S205" s="4" t="n">
        <v>1</v>
      </c>
      <c r="T205" s="5" t="n">
        <v>321.1</v>
      </c>
      <c r="U205" s="4" t="n">
        <v>317.7</v>
      </c>
      <c r="V205" s="3" t="inlineStr">
        <is>
          <t>지정되지않음</t>
        </is>
      </c>
      <c r="W205" s="3" t="inlineStr">
        <is>
          <t>단독</t>
        </is>
      </c>
      <c r="X205" s="3" t="inlineStr">
        <is>
          <t>평지</t>
        </is>
      </c>
      <c r="Y205" s="3" t="inlineStr">
        <is>
          <t>세로장방</t>
        </is>
      </c>
      <c r="Z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3</t>
        </is>
      </c>
      <c r="C206" s="3" t="inlineStr">
        <is>
          <t>0</t>
        </is>
      </c>
      <c r="D206" s="3" t="inlineStr">
        <is>
          <t>상가주택</t>
        </is>
      </c>
      <c r="E206" s="3" t="inlineStr">
        <is>
          <t>매매</t>
        </is>
      </c>
      <c r="F206" s="4" t="n">
        <v>76000</v>
      </c>
      <c r="G206" s="4" t="n">
        <v>0</v>
      </c>
      <c r="H206" s="4" t="n">
        <v>189</v>
      </c>
      <c r="I206" s="4" t="n">
        <v>57</v>
      </c>
      <c r="J206" s="5" t="n">
        <v>1333.3</v>
      </c>
      <c r="K206" s="4" t="n">
        <v>259</v>
      </c>
      <c r="L206" s="4" t="n">
        <v>78</v>
      </c>
      <c r="M206" s="5" t="n">
        <v>974.4</v>
      </c>
      <c r="N206" s="3" t="inlineStr">
        <is>
          <t>대학가 2억7천 투자 수익률7.5</t>
        </is>
      </c>
      <c r="O206" s="6">
        <f>HYPERLINK("https://fin.land.naver.com/articles/2648572698", "매물Link")</f>
        <v/>
      </c>
      <c r="P206" s="6">
        <f>HYPERLINK("https://map.naver.com/p/search/조치원읍 서창리 66-35", "지도Link")</f>
        <v/>
      </c>
      <c r="Q206" s="6">
        <f>HYPERLINK("http://www.eum.go.kr/web/ar/lu/luLandDet.jsp?pnu=3611025034100660035&amp;isNoScr=script&amp;mode=search", "토지이음")</f>
        <v/>
      </c>
      <c r="R206" s="3" t="inlineStr">
        <is>
          <t>고래</t>
        </is>
      </c>
      <c r="S206" s="4" t="n">
        <v>1</v>
      </c>
      <c r="T206" s="5" t="n">
        <v>401.7</v>
      </c>
      <c r="U206" s="4" t="n">
        <v>189</v>
      </c>
      <c r="V206" s="3" t="inlineStr">
        <is>
          <t>지정되지않음</t>
        </is>
      </c>
      <c r="W206" s="3" t="inlineStr">
        <is>
          <t>주상용</t>
        </is>
      </c>
      <c r="X206" s="3" t="inlineStr">
        <is>
          <t>평지</t>
        </is>
      </c>
      <c r="Y206" s="3" t="inlineStr">
        <is>
          <t>가로장방</t>
        </is>
      </c>
      <c r="Z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2</t>
        </is>
      </c>
      <c r="C207" s="3" t="inlineStr">
        <is>
          <t>0</t>
        </is>
      </c>
      <c r="D207" s="3" t="inlineStr">
        <is>
          <t>단독</t>
        </is>
      </c>
      <c r="E207" s="3" t="inlineStr">
        <is>
          <t>매매</t>
        </is>
      </c>
      <c r="F207" s="4" t="n">
        <v>48000</v>
      </c>
      <c r="G207" s="4" t="n">
        <v>0</v>
      </c>
      <c r="H207" s="4" t="n">
        <v>283</v>
      </c>
      <c r="I207" s="4" t="n">
        <v>86</v>
      </c>
      <c r="J207" s="5" t="n">
        <v>558.1</v>
      </c>
      <c r="K207" s="4" t="n">
        <v>95</v>
      </c>
      <c r="L207" s="4" t="n">
        <v>29</v>
      </c>
      <c r="M207" s="5" t="n">
        <v>1655.2</v>
      </c>
      <c r="N207" s="3" t="inlineStr">
        <is>
          <t>편의성과 안락함을 다 갖춘 단독주택</t>
        </is>
      </c>
      <c r="O207" s="6">
        <f>HYPERLINK("https://fin.land.naver.com/articles/2647877367", "매물Link")</f>
        <v/>
      </c>
      <c r="P207" s="6">
        <f>HYPERLINK("https://map.naver.com/p/search/조치원읍 신안리 146-2", "지도Link")</f>
        <v/>
      </c>
      <c r="Q207" s="6">
        <f>HYPERLINK("http://www.eum.go.kr/web/ar/lu/luLandDet.jsp?pnu=3611025032101460002&amp;isNoScr=script&amp;mode=search", "토지이음")</f>
        <v/>
      </c>
      <c r="R207" s="3" t="inlineStr">
        <is>
          <t>무지개</t>
        </is>
      </c>
      <c r="S207" s="4" t="n">
        <v>1</v>
      </c>
      <c r="T207" s="5" t="n">
        <v>188.1</v>
      </c>
      <c r="U207" s="4" t="n">
        <v>247</v>
      </c>
      <c r="V207" s="3" t="inlineStr">
        <is>
          <t>지정되지않음</t>
        </is>
      </c>
      <c r="W207" s="3" t="inlineStr">
        <is>
          <t>단독</t>
        </is>
      </c>
      <c r="X207" s="3" t="inlineStr">
        <is>
          <t>평지</t>
        </is>
      </c>
      <c r="Y207" s="3" t="inlineStr">
        <is>
          <t>사다리형</t>
        </is>
      </c>
      <c r="Z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3</t>
        </is>
      </c>
      <c r="C208" s="3" t="inlineStr">
        <is>
          <t>0</t>
        </is>
      </c>
      <c r="D208" s="3" t="inlineStr">
        <is>
          <t>다가구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208</v>
      </c>
      <c r="I208" s="4" t="n">
        <v>63</v>
      </c>
      <c r="J208" s="5" t="n">
        <v>793.7</v>
      </c>
      <c r="K208" s="4" t="n">
        <v>207</v>
      </c>
      <c r="L208" s="4" t="n">
        <v>63</v>
      </c>
      <c r="M208" s="5" t="n">
        <v>793.7</v>
      </c>
      <c r="N208" s="3" t="inlineStr">
        <is>
          <t>홍익대 조치원캠퍼스 인근 임대료 수익, 11호실</t>
        </is>
      </c>
      <c r="O208" s="6">
        <f>HYPERLINK("https://fin.land.naver.com/articles/2648906557", "매물Link")</f>
        <v/>
      </c>
      <c r="P208" s="6">
        <f>HYPERLINK("https://map.naver.com/p/search/조치원읍 신안리 168-5", "지도Link")</f>
        <v/>
      </c>
      <c r="Q208" s="6">
        <f>HYPERLINK("http://www.eum.go.kr/web/ar/lu/luLandDet.jsp?pnu=3611025032101680005&amp;isNoScr=script&amp;mode=search", "토지이음")</f>
        <v/>
      </c>
      <c r="R208" s="3" t="inlineStr">
        <is>
          <t>웰스플랜</t>
        </is>
      </c>
      <c r="S208" s="4" t="n">
        <v>1</v>
      </c>
      <c r="T208" s="5" t="n">
        <v>171.6</v>
      </c>
      <c r="U208" s="4" t="n">
        <v>208</v>
      </c>
      <c r="V208" s="3" t="inlineStr">
        <is>
          <t>지정되지않음</t>
        </is>
      </c>
      <c r="W208" s="3" t="inlineStr">
        <is>
          <t>단독</t>
        </is>
      </c>
      <c r="X208" s="3" t="inlineStr">
        <is>
          <t>평지</t>
        </is>
      </c>
      <c r="Y208" s="3" t="inlineStr">
        <is>
          <t>사다리형</t>
        </is>
      </c>
      <c r="Z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4</t>
        </is>
      </c>
      <c r="C209" s="3" t="inlineStr">
        <is>
          <t>4</t>
        </is>
      </c>
      <c r="D209" s="3" t="inlineStr">
        <is>
          <t>빌라</t>
        </is>
      </c>
      <c r="E209" s="3" t="inlineStr">
        <is>
          <t>매매</t>
        </is>
      </c>
      <c r="F209" s="4" t="n">
        <v>16500</v>
      </c>
      <c r="G209" s="4" t="n">
        <v>0</v>
      </c>
      <c r="H209" s="4" t="n">
        <v>93</v>
      </c>
      <c r="I209" s="4" t="n">
        <v>28</v>
      </c>
      <c r="J209" s="5" t="n">
        <v>589.3</v>
      </c>
      <c r="K209" s="4" t="n">
        <v>80</v>
      </c>
      <c r="L209" s="4" t="n">
        <v>24</v>
      </c>
      <c r="M209" s="5" t="n">
        <v>687.5</v>
      </c>
      <c r="N209" s="3" t="inlineStr">
        <is>
          <t>신안리 홍익대학교 연수원앞, 숲이 우거진 아름다운 집임.</t>
        </is>
      </c>
      <c r="O209" s="6">
        <f>HYPERLINK("https://fin.land.naver.com/articles/2649178224", "매물Link")</f>
        <v/>
      </c>
      <c r="P209" s="6">
        <f>HYPERLINK("https://map.naver.com/p/search/조치원읍 신안리 179-17", "지도Link")</f>
        <v/>
      </c>
      <c r="Q209" s="6">
        <f>HYPERLINK("http://www.eum.go.kr/web/ar/lu/luLandDet.jsp?pnu=3611025032101790017&amp;isNoScr=script&amp;mode=search", "토지이음")</f>
        <v/>
      </c>
      <c r="R209" s="3" t="inlineStr">
        <is>
          <t>꿈드림</t>
        </is>
      </c>
      <c r="S209" s="4" t="n">
        <v>2</v>
      </c>
      <c r="T209" s="5" t="n">
        <v>171.6</v>
      </c>
      <c r="U209" s="4" t="n">
        <v>336</v>
      </c>
      <c r="V209" s="3" t="inlineStr">
        <is>
          <t>지정되지않음</t>
        </is>
      </c>
      <c r="W209" s="3" t="inlineStr">
        <is>
          <t>다세대</t>
        </is>
      </c>
      <c r="X209" s="3" t="inlineStr">
        <is>
          <t>평지</t>
        </is>
      </c>
      <c r="Y209" s="3" t="inlineStr">
        <is>
          <t>사다리형</t>
        </is>
      </c>
      <c r="Z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1</t>
        </is>
      </c>
      <c r="C210" s="3" t="inlineStr">
        <is>
          <t>4</t>
        </is>
      </c>
      <c r="D210" s="3" t="inlineStr">
        <is>
          <t>빌라</t>
        </is>
      </c>
      <c r="E210" s="3" t="inlineStr">
        <is>
          <t>매매</t>
        </is>
      </c>
      <c r="F210" s="4" t="n">
        <v>16500</v>
      </c>
      <c r="G210" s="4" t="n">
        <v>0</v>
      </c>
      <c r="H210" s="4" t="n">
        <v>93</v>
      </c>
      <c r="I210" s="4" t="n">
        <v>28</v>
      </c>
      <c r="J210" s="5" t="n">
        <v>589.3</v>
      </c>
      <c r="K210" s="4" t="n">
        <v>93</v>
      </c>
      <c r="L210" s="4" t="n">
        <v>28</v>
      </c>
      <c r="M210" s="5" t="n">
        <v>589.3</v>
      </c>
      <c r="N210" s="3" t="inlineStr">
        <is>
          <t>신축빌라</t>
        </is>
      </c>
      <c r="O210" s="6">
        <f>HYPERLINK("https://fin.land.naver.com/articles/2648649444", "매물Link")</f>
        <v/>
      </c>
      <c r="P210" s="6">
        <f>HYPERLINK("https://map.naver.com/p/search/조치원읍 신안리 179-17", "지도Link")</f>
        <v/>
      </c>
      <c r="Q210" s="6">
        <f>HYPERLINK("http://www.eum.go.kr/web/ar/lu/luLandDet.jsp?pnu=3611025032101790017&amp;isNoScr=script&amp;mode=search", "토지이음")</f>
        <v/>
      </c>
      <c r="R210" s="3" t="inlineStr">
        <is>
          <t>운산</t>
        </is>
      </c>
      <c r="S210" s="4" t="n">
        <v>5</v>
      </c>
      <c r="T210" s="5" t="n">
        <v>171.6</v>
      </c>
      <c r="U210" s="4" t="n">
        <v>336</v>
      </c>
      <c r="V210" s="3" t="inlineStr">
        <is>
          <t>지정되지않음</t>
        </is>
      </c>
      <c r="W210" s="3" t="inlineStr">
        <is>
          <t>다세대</t>
        </is>
      </c>
      <c r="X210" s="3" t="inlineStr">
        <is>
          <t>평지</t>
        </is>
      </c>
      <c r="Y210" s="3" t="inlineStr">
        <is>
          <t>사다리형</t>
        </is>
      </c>
      <c r="Z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4</t>
        </is>
      </c>
      <c r="C211" s="3" t="inlineStr">
        <is>
          <t>4</t>
        </is>
      </c>
      <c r="D211" s="3" t="inlineStr">
        <is>
          <t>빌라</t>
        </is>
      </c>
      <c r="E211" s="3" t="inlineStr">
        <is>
          <t>매매</t>
        </is>
      </c>
      <c r="F211" s="4" t="n">
        <v>16500</v>
      </c>
      <c r="G211" s="4" t="n">
        <v>0</v>
      </c>
      <c r="H211" s="4" t="n">
        <v>93</v>
      </c>
      <c r="I211" s="4" t="n">
        <v>28</v>
      </c>
      <c r="J211" s="5" t="n">
        <v>589.3</v>
      </c>
      <c r="K211" s="4" t="n">
        <v>80</v>
      </c>
      <c r="L211" s="4" t="n">
        <v>24</v>
      </c>
      <c r="M211" s="5" t="n">
        <v>687.5</v>
      </c>
      <c r="N211" s="3" t="inlineStr">
        <is>
          <t>홍대 신축, 올리모델링,엘베,급매</t>
        </is>
      </c>
      <c r="O211" s="6">
        <f>HYPERLINK("https://fin.land.naver.com/articles/2646910242", "매물Link")</f>
        <v/>
      </c>
      <c r="P211" s="6">
        <f>HYPERLINK("https://map.naver.com/p/search/조치원읍 신안리 179-17", "지도Link")</f>
        <v/>
      </c>
      <c r="Q211" s="6">
        <f>HYPERLINK("http://www.eum.go.kr/web/ar/lu/luLandDet.jsp?pnu=3611025032101790017&amp;isNoScr=script&amp;mode=search", "토지이음")</f>
        <v/>
      </c>
      <c r="R211" s="3" t="inlineStr">
        <is>
          <t>다옴</t>
        </is>
      </c>
      <c r="S211" s="4" t="n">
        <v>1</v>
      </c>
      <c r="T211" s="5" t="n">
        <v>171.6</v>
      </c>
      <c r="U211" s="4" t="n">
        <v>336</v>
      </c>
      <c r="V211" s="3" t="inlineStr">
        <is>
          <t>지정되지않음</t>
        </is>
      </c>
      <c r="W211" s="3" t="inlineStr">
        <is>
          <t>다세대</t>
        </is>
      </c>
      <c r="X211" s="3" t="inlineStr">
        <is>
          <t>평지</t>
        </is>
      </c>
      <c r="Y211" s="3" t="inlineStr">
        <is>
          <t>사다리형</t>
        </is>
      </c>
      <c r="Z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4</t>
        </is>
      </c>
      <c r="C212" s="3" t="inlineStr">
        <is>
          <t>4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93</v>
      </c>
      <c r="I212" s="4" t="n">
        <v>28</v>
      </c>
      <c r="J212" s="5" t="n">
        <v>589.3</v>
      </c>
      <c r="K212" s="4" t="n">
        <v>80</v>
      </c>
      <c r="L212" s="4" t="n">
        <v>24</v>
      </c>
      <c r="M212" s="5" t="n">
        <v>687.5</v>
      </c>
      <c r="N212" s="3" t="inlineStr">
        <is>
          <t>신축,즉시입주가능, 홍대근접,엘리베이터 있음 주차장 여유, 조용한 환경</t>
        </is>
      </c>
      <c r="O212" s="6">
        <f>HYPERLINK("https://fin.land.naver.com/articles/2645450946", "매물Link")</f>
        <v/>
      </c>
      <c r="P212" s="6">
        <f>HYPERLINK("https://map.naver.com/p/search/조치원읍 신안리 179-17", "지도Link")</f>
        <v/>
      </c>
      <c r="Q212" s="6">
        <f>HYPERLINK("http://www.eum.go.kr/web/ar/lu/luLandDet.jsp?pnu=3611025032101790017&amp;isNoScr=script&amp;mode=search", "토지이음")</f>
        <v/>
      </c>
      <c r="R212" s="3" t="inlineStr">
        <is>
          <t>담뜰</t>
        </is>
      </c>
      <c r="S212" s="4" t="n">
        <v>1</v>
      </c>
      <c r="T212" s="5" t="n">
        <v>171.6</v>
      </c>
      <c r="U212" s="4" t="n">
        <v>336</v>
      </c>
      <c r="V212" s="3" t="inlineStr">
        <is>
          <t>지정되지않음</t>
        </is>
      </c>
      <c r="W212" s="3" t="inlineStr">
        <is>
          <t>다세대</t>
        </is>
      </c>
      <c r="X212" s="3" t="inlineStr">
        <is>
          <t>평지</t>
        </is>
      </c>
      <c r="Y212" s="3" t="inlineStr">
        <is>
          <t>사다리형</t>
        </is>
      </c>
      <c r="Z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4</t>
        </is>
      </c>
      <c r="C213" s="3" t="inlineStr">
        <is>
          <t>0</t>
        </is>
      </c>
      <c r="D213" s="3" t="inlineStr">
        <is>
          <t>다가구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383</v>
      </c>
      <c r="I213" s="4" t="n">
        <v>116</v>
      </c>
      <c r="J213" s="5" t="n">
        <v>142.2</v>
      </c>
      <c r="K213" s="4" t="n">
        <v>374</v>
      </c>
      <c r="L213" s="4" t="n">
        <v>113</v>
      </c>
      <c r="M213" s="5" t="n">
        <v>146</v>
      </c>
      <c r="N213" s="3" t="inlineStr">
        <is>
          <t>자연과 어우러진 전원형 빌라주거지 세종시와 청주. 오송방면 이동이편리함</t>
        </is>
      </c>
      <c r="O213" s="6">
        <f>HYPERLINK("https://fin.land.naver.com/articles/2649408871", "매물Link")</f>
        <v/>
      </c>
      <c r="P213" s="6">
        <f>HYPERLINK("https://map.naver.com/p/search/조치원읍 신안리 179-17", "지도Link")</f>
        <v/>
      </c>
      <c r="Q213" s="6">
        <f>HYPERLINK("http://www.eum.go.kr/web/ar/lu/luLandDet.jsp?pnu=3611025032101790017&amp;isNoScr=script&amp;mode=search", "토지이음")</f>
        <v/>
      </c>
      <c r="R213" s="3" t="inlineStr">
        <is>
          <t>재원</t>
        </is>
      </c>
      <c r="S213" s="4" t="n">
        <v>1</v>
      </c>
      <c r="T213" s="5" t="n">
        <v>171.6</v>
      </c>
      <c r="U213" s="4" t="n">
        <v>336</v>
      </c>
      <c r="V213" s="3" t="inlineStr">
        <is>
          <t>지정되지않음</t>
        </is>
      </c>
      <c r="W213" s="3" t="inlineStr">
        <is>
          <t>다세대</t>
        </is>
      </c>
      <c r="X213" s="3" t="inlineStr">
        <is>
          <t>평지</t>
        </is>
      </c>
      <c r="Y213" s="3" t="inlineStr">
        <is>
          <t>사다리형</t>
        </is>
      </c>
      <c r="Z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4</t>
        </is>
      </c>
      <c r="C214" s="3" t="inlineStr">
        <is>
          <t>4</t>
        </is>
      </c>
      <c r="D214" s="3" t="inlineStr">
        <is>
          <t>빌라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93</v>
      </c>
      <c r="I214" s="4" t="n">
        <v>28</v>
      </c>
      <c r="J214" s="5" t="n">
        <v>589.3</v>
      </c>
      <c r="K214" s="4" t="n">
        <v>80</v>
      </c>
      <c r="L214" s="4" t="n">
        <v>24</v>
      </c>
      <c r="M214" s="5" t="n">
        <v>687.5</v>
      </c>
      <c r="N214" s="3" t="inlineStr">
        <is>
          <t>올리모델링, 4층단독세대, 방3욕실2, 승강기, 적극협의</t>
        </is>
      </c>
      <c r="O214" s="6">
        <f>HYPERLINK("https://fin.land.naver.com/articles/2647198591", "매물Link")</f>
        <v/>
      </c>
      <c r="P214" s="6">
        <f>HYPERLINK("https://map.naver.com/p/search/조치원읍 신안리 179-17", "지도Link")</f>
        <v/>
      </c>
      <c r="Q214" s="6">
        <f>HYPERLINK("http://www.eum.go.kr/web/ar/lu/luLandDet.jsp?pnu=3611025032101790017&amp;isNoScr=script&amp;mode=search", "토지이음")</f>
        <v/>
      </c>
      <c r="R214" s="3" t="inlineStr">
        <is>
          <t>보배</t>
        </is>
      </c>
      <c r="S214" s="4" t="n">
        <v>2</v>
      </c>
      <c r="T214" s="5" t="n">
        <v>171.6</v>
      </c>
      <c r="U214" s="4" t="n">
        <v>336</v>
      </c>
      <c r="V214" s="3" t="inlineStr">
        <is>
          <t>지정되지않음</t>
        </is>
      </c>
      <c r="W214" s="3" t="inlineStr">
        <is>
          <t>다세대</t>
        </is>
      </c>
      <c r="X214" s="3" t="inlineStr">
        <is>
          <t>평지</t>
        </is>
      </c>
      <c r="Y214" s="3" t="inlineStr">
        <is>
          <t>사다리형</t>
        </is>
      </c>
      <c r="Z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4</t>
        </is>
      </c>
      <c r="C215" s="3" t="inlineStr">
        <is>
          <t>4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93</v>
      </c>
      <c r="I215" s="4" t="n">
        <v>28</v>
      </c>
      <c r="J215" s="5" t="n">
        <v>589.3</v>
      </c>
      <c r="K215" s="4" t="n">
        <v>80</v>
      </c>
      <c r="L215" s="4" t="n">
        <v>24</v>
      </c>
      <c r="M215" s="5" t="n">
        <v>687.5</v>
      </c>
      <c r="N215" s="3" t="inlineStr">
        <is>
          <t>조치원읍 신안리 신축 프리미엄 빌라 급매, 쓰리룸 엘리베이터 주차여유</t>
        </is>
      </c>
      <c r="O215" s="6">
        <f>HYPERLINK("https://fin.land.naver.com/articles/2647624029", "매물Link")</f>
        <v/>
      </c>
      <c r="P215" s="6">
        <f>HYPERLINK("https://map.naver.com/p/search/조치원읍 신안리 179-17", "지도Link")</f>
        <v/>
      </c>
      <c r="Q215" s="6">
        <f>HYPERLINK("http://www.eum.go.kr/web/ar/lu/luLandDet.jsp?pnu=3611025032101790017&amp;isNoScr=script&amp;mode=search", "토지이음")</f>
        <v/>
      </c>
      <c r="R215" s="3" t="inlineStr">
        <is>
          <t>빅토리</t>
        </is>
      </c>
      <c r="S215" s="4" t="n">
        <v>1</v>
      </c>
      <c r="T215" s="5" t="n">
        <v>171.6</v>
      </c>
      <c r="U215" s="4" t="n">
        <v>336</v>
      </c>
      <c r="V215" s="3" t="inlineStr">
        <is>
          <t>지정되지않음</t>
        </is>
      </c>
      <c r="W215" s="3" t="inlineStr">
        <is>
          <t>다세대</t>
        </is>
      </c>
      <c r="X215" s="3" t="inlineStr">
        <is>
          <t>평지</t>
        </is>
      </c>
      <c r="Y215" s="3" t="inlineStr">
        <is>
          <t>사다리형</t>
        </is>
      </c>
      <c r="Z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4</t>
        </is>
      </c>
      <c r="C216" s="3" t="inlineStr">
        <is>
          <t>4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93</v>
      </c>
      <c r="I216" s="4" t="n">
        <v>28</v>
      </c>
      <c r="J216" s="5" t="n">
        <v>589.3</v>
      </c>
      <c r="K216" s="4" t="n">
        <v>80</v>
      </c>
      <c r="L216" s="4" t="n">
        <v>24</v>
      </c>
      <c r="M216" s="5" t="n">
        <v>687.5</v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6">
        <f>HYPERLINK("http://www.eum.go.kr/web/ar/lu/luLandDet.jsp?pnu=3611025032101790017&amp;isNoScr=script&amp;mode=search", "토지이음")</f>
        <v/>
      </c>
      <c r="R216" s="3" t="inlineStr">
        <is>
          <t>하늘</t>
        </is>
      </c>
      <c r="S216" s="4" t="n">
        <v>1</v>
      </c>
      <c r="T216" s="5" t="n">
        <v>171.6</v>
      </c>
      <c r="U216" s="4" t="n">
        <v>336</v>
      </c>
      <c r="V216" s="3" t="inlineStr">
        <is>
          <t>지정되지않음</t>
        </is>
      </c>
      <c r="W216" s="3" t="inlineStr">
        <is>
          <t>다세대</t>
        </is>
      </c>
      <c r="X216" s="3" t="inlineStr">
        <is>
          <t>평지</t>
        </is>
      </c>
      <c r="Y216" s="3" t="inlineStr">
        <is>
          <t>사다리형</t>
        </is>
      </c>
      <c r="Z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4</t>
        </is>
      </c>
      <c r="C217" s="3" t="inlineStr">
        <is>
          <t>4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110</v>
      </c>
      <c r="I217" s="4" t="n">
        <v>33</v>
      </c>
      <c r="J217" s="5" t="n">
        <v>500</v>
      </c>
      <c r="K217" s="4" t="n">
        <v>93</v>
      </c>
      <c r="L217" s="4" t="n">
        <v>28</v>
      </c>
      <c r="M217" s="5" t="n">
        <v>589.3</v>
      </c>
      <c r="N217" s="3" t="inlineStr">
        <is>
          <t>엘리베이터 있는 올 리모델링 된 빌라</t>
        </is>
      </c>
      <c r="O217" s="6">
        <f>HYPERLINK("https://fin.land.naver.com/articles/2647616056", "매물Link")</f>
        <v/>
      </c>
      <c r="P217" s="6">
        <f>HYPERLINK("https://map.naver.com/p/search/조치원읍 신안리 179-17", "지도Link")</f>
        <v/>
      </c>
      <c r="Q217" s="6">
        <f>HYPERLINK("http://www.eum.go.kr/web/ar/lu/luLandDet.jsp?pnu=3611025032101790017&amp;isNoScr=script&amp;mode=search", "토지이음")</f>
        <v/>
      </c>
      <c r="R217" s="3" t="inlineStr">
        <is>
          <t>해들일번지</t>
        </is>
      </c>
      <c r="S217" s="4" t="n">
        <v>1</v>
      </c>
      <c r="T217" s="5" t="n">
        <v>171.6</v>
      </c>
      <c r="U217" s="4" t="n">
        <v>336</v>
      </c>
      <c r="V217" s="3" t="inlineStr">
        <is>
          <t>지정되지않음</t>
        </is>
      </c>
      <c r="W217" s="3" t="inlineStr">
        <is>
          <t>다세대</t>
        </is>
      </c>
      <c r="X217" s="3" t="inlineStr">
        <is>
          <t>평지</t>
        </is>
      </c>
      <c r="Y217" s="3" t="inlineStr">
        <is>
          <t>사다리형</t>
        </is>
      </c>
      <c r="Z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4</t>
        </is>
      </c>
      <c r="C218" s="3" t="inlineStr">
        <is>
          <t>4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93</v>
      </c>
      <c r="I218" s="4" t="n">
        <v>28</v>
      </c>
      <c r="J218" s="5" t="n">
        <v>589.3</v>
      </c>
      <c r="K218" s="4" t="n">
        <v>80</v>
      </c>
      <c r="L218" s="4" t="n">
        <v>24</v>
      </c>
      <c r="M218" s="5" t="n">
        <v>687.5</v>
      </c>
      <c r="N218" s="3" t="inlineStr">
        <is>
          <t>홍익대바로인근 신축빌라 올리모델링 전원주택형 예쁜빌라 교통입지편리한곳</t>
        </is>
      </c>
      <c r="O218" s="6">
        <f>HYPERLINK("https://fin.land.naver.com/articles/2646835563", "매물Link")</f>
        <v/>
      </c>
      <c r="P218" s="6">
        <f>HYPERLINK("https://map.naver.com/p/search/조치원읍 신안리 179-17", "지도Link")</f>
        <v/>
      </c>
      <c r="Q218" s="6">
        <f>HYPERLINK("http://www.eum.go.kr/web/ar/lu/luLandDet.jsp?pnu=3611025032101790017&amp;isNoScr=script&amp;mode=search", "토지이음")</f>
        <v/>
      </c>
      <c r="R218" s="3" t="inlineStr">
        <is>
          <t>오송휴먼캐슬</t>
        </is>
      </c>
      <c r="S218" s="4" t="n">
        <v>2</v>
      </c>
      <c r="T218" s="5" t="n">
        <v>171.6</v>
      </c>
      <c r="U218" s="4" t="n">
        <v>336</v>
      </c>
      <c r="V218" s="3" t="inlineStr">
        <is>
          <t>지정되지않음</t>
        </is>
      </c>
      <c r="W218" s="3" t="inlineStr">
        <is>
          <t>다세대</t>
        </is>
      </c>
      <c r="X218" s="3" t="inlineStr">
        <is>
          <t>평지</t>
        </is>
      </c>
      <c r="Y218" s="3" t="inlineStr">
        <is>
          <t>사다리형</t>
        </is>
      </c>
      <c r="Z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1</t>
        </is>
      </c>
      <c r="C219" s="3" t="inlineStr">
        <is>
          <t>4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93</v>
      </c>
      <c r="I219" s="4" t="n">
        <v>28</v>
      </c>
      <c r="J219" s="5" t="n">
        <v>589.3</v>
      </c>
      <c r="K219" s="4" t="n">
        <v>80</v>
      </c>
      <c r="L219" s="4" t="n">
        <v>24</v>
      </c>
      <c r="M219" s="5" t="n">
        <v>687.5</v>
      </c>
      <c r="N219" s="3" t="inlineStr">
        <is>
          <t>전원형 주거지신축빌라, 올리모델링, 급매 1억6500만원, 역세권예정</t>
        </is>
      </c>
      <c r="O219" s="6">
        <f>HYPERLINK("https://fin.land.naver.com/articles/2644847919", "매물Link")</f>
        <v/>
      </c>
      <c r="P219" s="6">
        <f>HYPERLINK("https://map.naver.com/p/search/조치원읍 신안리 179-17", "지도Link")</f>
        <v/>
      </c>
      <c r="Q219" s="6">
        <f>HYPERLINK("http://www.eum.go.kr/web/ar/lu/luLandDet.jsp?pnu=3611025032101790017&amp;isNoScr=script&amp;mode=search", "토지이음")</f>
        <v/>
      </c>
      <c r="R219" s="3" t="inlineStr">
        <is>
          <t>대한</t>
        </is>
      </c>
      <c r="S219" s="4" t="n">
        <v>1</v>
      </c>
      <c r="T219" s="5" t="n">
        <v>171.6</v>
      </c>
      <c r="U219" s="4" t="n">
        <v>336</v>
      </c>
      <c r="V219" s="3" t="inlineStr">
        <is>
          <t>지정되지않음</t>
        </is>
      </c>
      <c r="W219" s="3" t="inlineStr">
        <is>
          <t>다세대</t>
        </is>
      </c>
      <c r="X219" s="3" t="inlineStr">
        <is>
          <t>평지</t>
        </is>
      </c>
      <c r="Y219" s="3" t="inlineStr">
        <is>
          <t>사다리형</t>
        </is>
      </c>
      <c r="Z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1</t>
        </is>
      </c>
      <c r="C220" s="3" t="inlineStr">
        <is>
          <t>0</t>
        </is>
      </c>
      <c r="D220" s="3" t="inlineStr">
        <is>
          <t>전원주택</t>
        </is>
      </c>
      <c r="E220" s="3" t="inlineStr">
        <is>
          <t>매매</t>
        </is>
      </c>
      <c r="F220" s="4" t="n">
        <v>28000</v>
      </c>
      <c r="G220" s="4" t="n">
        <v>0</v>
      </c>
      <c r="H220" s="4" t="n">
        <v>360</v>
      </c>
      <c r="I220" s="4" t="n">
        <v>109</v>
      </c>
      <c r="J220" s="5" t="n">
        <v>256.9</v>
      </c>
      <c r="K220" s="4" t="n">
        <v>61</v>
      </c>
      <c r="L220" s="4" t="n">
        <v>18</v>
      </c>
      <c r="M220" s="5" t="n">
        <v>1555.6</v>
      </c>
      <c r="N220" s="3" t="inlineStr">
        <is>
          <t>세종시 홍익대 주변 농가주택 급매</t>
        </is>
      </c>
      <c r="O220" s="6">
        <f>HYPERLINK("https://fin.land.naver.com/articles/2646577453", "매물Link")</f>
        <v/>
      </c>
      <c r="P220" s="6">
        <f>HYPERLINK("https://map.naver.com/p/search/조치원읍 신안리 179-2", "지도Link")</f>
        <v/>
      </c>
      <c r="Q220" s="6">
        <f>HYPERLINK("http://www.eum.go.kr/web/ar/lu/luLandDet.jsp?pnu=3611025032101790002&amp;isNoScr=script&amp;mode=search", "토지이음")</f>
        <v/>
      </c>
      <c r="R220" s="3" t="inlineStr">
        <is>
          <t>강우림</t>
        </is>
      </c>
      <c r="S220" s="4" t="n">
        <v>1</v>
      </c>
      <c r="T220" s="5" t="n">
        <v>175</v>
      </c>
      <c r="U220" s="4" t="n">
        <v>360</v>
      </c>
      <c r="V220" s="3" t="inlineStr">
        <is>
          <t>지정되지않음</t>
        </is>
      </c>
      <c r="W220" s="3" t="inlineStr">
        <is>
          <t>단독</t>
        </is>
      </c>
      <c r="X220" s="3" t="inlineStr">
        <is>
          <t>평지</t>
        </is>
      </c>
      <c r="Y220" s="3" t="inlineStr">
        <is>
          <t>정방형</t>
        </is>
      </c>
      <c r="Z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2</t>
        </is>
      </c>
      <c r="C221" s="3" t="inlineStr">
        <is>
          <t>3</t>
        </is>
      </c>
      <c r="D221" s="3" t="inlineStr">
        <is>
          <t>다가구</t>
        </is>
      </c>
      <c r="E221" s="3" t="inlineStr">
        <is>
          <t>전세</t>
        </is>
      </c>
      <c r="F221" s="4" t="n">
        <v>3000</v>
      </c>
      <c r="G221" s="4" t="n">
        <v>0</v>
      </c>
      <c r="H221" s="4" t="n">
        <v>36</v>
      </c>
      <c r="I221" s="4" t="n">
        <v>11</v>
      </c>
      <c r="J221" s="5" t="n">
        <v>272.7</v>
      </c>
      <c r="K221" s="4" t="n">
        <v>36</v>
      </c>
      <c r="L221" s="4" t="n">
        <v>11</v>
      </c>
      <c r="M221" s="5" t="n">
        <v>272.7</v>
      </c>
      <c r="N221" s="3" t="inlineStr">
        <is>
          <t>리모델링된 깨끗한 원룸</t>
        </is>
      </c>
      <c r="O221" s="6">
        <f>HYPERLINK("https://fin.land.naver.com/articles/2645458074", "매물Link")</f>
        <v/>
      </c>
      <c r="P221" s="6">
        <f>HYPERLINK("https://map.naver.com/p/search/조치원읍 신안리 193-10", "지도Link")</f>
        <v/>
      </c>
      <c r="Q221" s="6">
        <f>HYPERLINK("http://www.eum.go.kr/web/ar/lu/luLandDet.jsp?pnu=3611025032101930010&amp;isNoScr=script&amp;mode=search", "토지이음")</f>
        <v/>
      </c>
      <c r="R221" s="3" t="inlineStr">
        <is>
          <t>세종베스트</t>
        </is>
      </c>
      <c r="S221" s="4" t="n">
        <v>1</v>
      </c>
      <c r="T221" s="5" t="n">
        <v>167.4</v>
      </c>
      <c r="U221" s="4" t="n">
        <v>195</v>
      </c>
      <c r="V221" s="3" t="inlineStr">
        <is>
          <t>지정되지않음</t>
        </is>
      </c>
      <c r="W221" s="3" t="inlineStr">
        <is>
          <t>다세대</t>
        </is>
      </c>
      <c r="X221" s="3" t="inlineStr">
        <is>
          <t>평지</t>
        </is>
      </c>
      <c r="Y221" s="3" t="inlineStr">
        <is>
          <t>부정형</t>
        </is>
      </c>
      <c r="Z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2</t>
        </is>
      </c>
      <c r="C222" s="3" t="inlineStr">
        <is>
          <t>0</t>
        </is>
      </c>
      <c r="D222" s="3" t="inlineStr">
        <is>
          <t>다가구</t>
        </is>
      </c>
      <c r="E222" s="3" t="inlineStr">
        <is>
          <t>매매</t>
        </is>
      </c>
      <c r="F222" s="4" t="n">
        <v>70000</v>
      </c>
      <c r="G222" s="4" t="n">
        <v>0</v>
      </c>
      <c r="H222" s="4" t="n">
        <v>595</v>
      </c>
      <c r="I222" s="4" t="n">
        <v>180</v>
      </c>
      <c r="J222" s="5" t="n">
        <v>388.9</v>
      </c>
      <c r="K222" s="4" t="n">
        <v>346</v>
      </c>
      <c r="L222" s="4" t="n">
        <v>105</v>
      </c>
      <c r="M222" s="5" t="n">
        <v>666.7</v>
      </c>
      <c r="N222" s="3" t="inlineStr">
        <is>
          <t>서창역인근,주인세대전세끼고,수익형다가구매매,인근대학교,연수원</t>
        </is>
      </c>
      <c r="O222" s="6">
        <f>HYPERLINK("https://fin.land.naver.com/articles/2647021016", "매물Link")</f>
        <v/>
      </c>
      <c r="P222" s="6">
        <f>HYPERLINK("https://map.naver.com/p/search/조치원읍 신안리 197-3", "지도Link")</f>
        <v/>
      </c>
      <c r="Q222" s="6">
        <f>HYPERLINK("http://www.eum.go.kr/web/ar/lu/luLandDet.jsp?pnu=3611025032101970003&amp;isNoScr=script&amp;mode=search", "토지이음")</f>
        <v/>
      </c>
      <c r="R222" s="3" t="inlineStr">
        <is>
          <t>에이팩시티지정</t>
        </is>
      </c>
      <c r="S222" s="4" t="n">
        <v>1</v>
      </c>
      <c r="T222" s="5" t="n">
        <v>171.6</v>
      </c>
      <c r="U222" s="4" t="n">
        <v>595</v>
      </c>
      <c r="V222" s="3" t="inlineStr">
        <is>
          <t>지정되지않음</t>
        </is>
      </c>
      <c r="W222" s="3" t="inlineStr">
        <is>
          <t>다세대</t>
        </is>
      </c>
      <c r="X222" s="3" t="inlineStr">
        <is>
          <t>평지</t>
        </is>
      </c>
      <c r="Y222" s="3" t="inlineStr">
        <is>
          <t>사다리형</t>
        </is>
      </c>
      <c r="Z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3</t>
        </is>
      </c>
      <c r="C223" s="3" t="inlineStr">
        <is>
          <t>0</t>
        </is>
      </c>
      <c r="D223" s="3" t="inlineStr">
        <is>
          <t>단독</t>
        </is>
      </c>
      <c r="E223" s="3" t="inlineStr">
        <is>
          <t>매매</t>
        </is>
      </c>
      <c r="F223" s="4" t="n">
        <v>93000</v>
      </c>
      <c r="G223" s="4" t="n">
        <v>0</v>
      </c>
      <c r="H223" s="4" t="n">
        <v>241</v>
      </c>
      <c r="I223" s="4" t="n">
        <v>73</v>
      </c>
      <c r="J223" s="5" t="n">
        <v>1274</v>
      </c>
      <c r="K223" s="4" t="n">
        <v>299</v>
      </c>
      <c r="L223" s="4" t="n">
        <v>90</v>
      </c>
      <c r="M223" s="5" t="n">
        <v>1033.3</v>
      </c>
      <c r="N223" s="3" t="inlineStr">
        <is>
          <t>홍익대초인접 연세잘나오고 수익좋아요 공실없는 수익형다가구</t>
        </is>
      </c>
      <c r="O223" s="6">
        <f>HYPERLINK("https://fin.land.naver.com/articles/2646673124", "매물Link")</f>
        <v/>
      </c>
      <c r="P223" s="6">
        <f>HYPERLINK("https://map.naver.com/p/search/조치원읍 신안리 329-3", "지도Link")</f>
        <v/>
      </c>
      <c r="Q223" s="6">
        <f>HYPERLINK("http://www.eum.go.kr/web/ar/lu/luLandDet.jsp?pnu=3611025032103290003&amp;isNoScr=script&amp;mode=search", "토지이음")</f>
        <v/>
      </c>
      <c r="R223" s="3" t="inlineStr">
        <is>
          <t>세종새빛</t>
        </is>
      </c>
      <c r="S223" s="4" t="n">
        <v>1</v>
      </c>
      <c r="T223" s="5" t="n">
        <v>193.5</v>
      </c>
      <c r="U223" s="4" t="n">
        <v>241</v>
      </c>
      <c r="V223" s="3" t="inlineStr">
        <is>
          <t>지정되지않음</t>
        </is>
      </c>
      <c r="W223" s="3" t="inlineStr">
        <is>
          <t>다세대</t>
        </is>
      </c>
      <c r="X223" s="3" t="inlineStr">
        <is>
          <t>완경사</t>
        </is>
      </c>
      <c r="Y223" s="3" t="inlineStr">
        <is>
          <t>부정형</t>
        </is>
      </c>
      <c r="Z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3</t>
        </is>
      </c>
      <c r="C224" s="3" t="inlineStr">
        <is>
          <t>0</t>
        </is>
      </c>
      <c r="D224" s="3" t="inlineStr">
        <is>
          <t>단독</t>
        </is>
      </c>
      <c r="E224" s="3" t="inlineStr">
        <is>
          <t>매매</t>
        </is>
      </c>
      <c r="F224" s="4" t="n">
        <v>60000</v>
      </c>
      <c r="G224" s="4" t="n">
        <v>0</v>
      </c>
      <c r="H224" s="4" t="n">
        <v>271</v>
      </c>
      <c r="I224" s="4" t="n">
        <v>82</v>
      </c>
      <c r="J224" s="5" t="n">
        <v>731.7</v>
      </c>
      <c r="K224" s="4" t="n">
        <v>428</v>
      </c>
      <c r="L224" s="4" t="n">
        <v>129</v>
      </c>
      <c r="M224" s="5" t="n">
        <v>465.1</v>
      </c>
      <c r="N224" s="3" t="inlineStr">
        <is>
          <t>홍익대학생들의  입소문으로만 임대계약완료, 공실걱정 없음</t>
        </is>
      </c>
      <c r="O224" s="6">
        <f>HYPERLINK("https://fin.land.naver.com/articles/2647256496", "매물Link")</f>
        <v/>
      </c>
      <c r="P224" s="6">
        <f>HYPERLINK("https://map.naver.com/p/search/조치원읍 신안리 341-1", "지도Link")</f>
        <v/>
      </c>
      <c r="Q224" s="6">
        <f>HYPERLINK("http://www.eum.go.kr/web/ar/lu/luLandDet.jsp?pnu=3611025032103410001&amp;isNoScr=script&amp;mode=search", "토지이음")</f>
        <v/>
      </c>
      <c r="R224" s="3" t="inlineStr">
        <is>
          <t>세종공감</t>
        </is>
      </c>
      <c r="S224" s="4" t="n">
        <v>1</v>
      </c>
      <c r="T224" s="5" t="n">
        <v>227</v>
      </c>
      <c r="U224" s="4" t="n">
        <v>271</v>
      </c>
      <c r="V224" s="3" t="inlineStr">
        <is>
          <t>지정되지않음</t>
        </is>
      </c>
      <c r="W224" s="3" t="inlineStr">
        <is>
          <t>단독</t>
        </is>
      </c>
      <c r="X224" s="3" t="inlineStr">
        <is>
          <t>평지</t>
        </is>
      </c>
      <c r="Y224" s="3" t="inlineStr">
        <is>
          <t>사다리형</t>
        </is>
      </c>
      <c r="Z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4</t>
        </is>
      </c>
      <c r="C225" s="3" t="inlineStr">
        <is>
          <t>0</t>
        </is>
      </c>
      <c r="D225" s="3" t="inlineStr">
        <is>
          <t>단독</t>
        </is>
      </c>
      <c r="E225" s="3" t="inlineStr">
        <is>
          <t>매매</t>
        </is>
      </c>
      <c r="F225" s="4" t="n">
        <v>230000</v>
      </c>
      <c r="G225" s="4" t="n">
        <v>0</v>
      </c>
      <c r="H225" s="4" t="n">
        <v>304</v>
      </c>
      <c r="I225" s="4" t="n">
        <v>92</v>
      </c>
      <c r="J225" s="5" t="n">
        <v>2500</v>
      </c>
      <c r="K225" s="4" t="n">
        <v>331</v>
      </c>
      <c r="L225" s="4" t="n">
        <v>100</v>
      </c>
      <c r="M225" s="5" t="n">
        <v>2300</v>
      </c>
      <c r="N225" s="3" t="inlineStr">
        <is>
          <t>고객만족1위, 앞상가 동시매매,세종시 홍익대, 고려대  인근, 투자 최상</t>
        </is>
      </c>
      <c r="O225" s="6">
        <f>HYPERLINK("https://fin.land.naver.com/articles/2646541554", "매물Link")</f>
        <v/>
      </c>
      <c r="P225" s="6">
        <f>HYPERLINK("https://map.naver.com/p/search/조치원읍 신안리 343-5", "지도Link")</f>
        <v/>
      </c>
      <c r="Q225" s="6">
        <f>HYPERLINK("http://www.eum.go.kr/web/ar/lu/luLandDet.jsp?pnu=3611025032103430005&amp;isNoScr=script&amp;mode=search", "토지이음")</f>
        <v/>
      </c>
      <c r="R225" s="3" t="inlineStr">
        <is>
          <t>생생</t>
        </is>
      </c>
      <c r="S225" s="4" t="n">
        <v>1</v>
      </c>
      <c r="T225" s="5" t="n">
        <v>299.6</v>
      </c>
      <c r="U225" s="4" t="n">
        <v>304</v>
      </c>
      <c r="V225" s="3" t="inlineStr">
        <is>
          <t>지정되지않음</t>
        </is>
      </c>
      <c r="W225" s="3" t="inlineStr">
        <is>
          <t>주상용</t>
        </is>
      </c>
      <c r="X225" s="3" t="inlineStr">
        <is>
          <t>평지</t>
        </is>
      </c>
      <c r="Y225" s="3" t="inlineStr">
        <is>
          <t>사다리형</t>
        </is>
      </c>
      <c r="Z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3</t>
        </is>
      </c>
      <c r="C226" s="3" t="inlineStr">
        <is>
          <t>0</t>
        </is>
      </c>
      <c r="D226" s="3" t="inlineStr">
        <is>
          <t>다가구</t>
        </is>
      </c>
      <c r="E226" s="3" t="inlineStr">
        <is>
          <t>매매</t>
        </is>
      </c>
      <c r="F226" s="4" t="n">
        <v>72500</v>
      </c>
      <c r="G226" s="4" t="n">
        <v>0</v>
      </c>
      <c r="H226" s="4" t="n">
        <v>156</v>
      </c>
      <c r="I226" s="4" t="n">
        <v>47</v>
      </c>
      <c r="J226" s="5" t="n">
        <v>1542.6</v>
      </c>
      <c r="K226" s="4" t="n">
        <v>264</v>
      </c>
      <c r="L226" s="4" t="n">
        <v>80</v>
      </c>
      <c r="M226" s="5" t="n">
        <v>906.2</v>
      </c>
      <c r="N226" s="3" t="inlineStr">
        <is>
          <t>고객만족1위, 홍익대부근세종캠, 고려대근방세종캠, 조치원역 부근</t>
        </is>
      </c>
      <c r="O226" s="6">
        <f>HYPERLINK("https://fin.land.naver.com/articles/2645913527", "매물Link")</f>
        <v/>
      </c>
      <c r="P226" s="6">
        <f>HYPERLINK("https://map.naver.com/p/search/조치원읍 신안리 353-19", "지도Link")</f>
        <v/>
      </c>
      <c r="Q226" s="6">
        <f>HYPERLINK("http://www.eum.go.kr/web/ar/lu/luLandDet.jsp?pnu=3611025032103530019&amp;isNoScr=script&amp;mode=search", "토지이음")</f>
        <v/>
      </c>
      <c r="R226" s="3" t="inlineStr">
        <is>
          <t>생생</t>
        </is>
      </c>
      <c r="S226" s="4" t="n">
        <v>1</v>
      </c>
      <c r="T226" s="5" t="n">
        <v>210.3</v>
      </c>
      <c r="U226" s="4" t="n">
        <v>156</v>
      </c>
      <c r="V226" s="3" t="inlineStr">
        <is>
          <t>지정되지않음</t>
        </is>
      </c>
      <c r="W226" s="3" t="inlineStr">
        <is>
          <t>단독</t>
        </is>
      </c>
      <c r="X226" s="3" t="inlineStr">
        <is>
          <t>평지</t>
        </is>
      </c>
      <c r="Y226" s="3" t="inlineStr">
        <is>
          <t>사다리형</t>
        </is>
      </c>
      <c r="Z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3</t>
        </is>
      </c>
      <c r="C227" s="3" t="inlineStr">
        <is>
          <t>0</t>
        </is>
      </c>
      <c r="D227" s="3" t="inlineStr">
        <is>
          <t>다가구</t>
        </is>
      </c>
      <c r="E227" s="3" t="inlineStr">
        <is>
          <t>매매</t>
        </is>
      </c>
      <c r="F227" s="4" t="n">
        <v>62000</v>
      </c>
      <c r="G227" s="4" t="n">
        <v>0</v>
      </c>
      <c r="H227" s="4" t="n">
        <v>158</v>
      </c>
      <c r="I227" s="4" t="n">
        <v>48</v>
      </c>
      <c r="J227" s="5" t="n">
        <v>1291.7</v>
      </c>
      <c r="K227" s="4" t="n">
        <v>264</v>
      </c>
      <c r="L227" s="4" t="n">
        <v>80</v>
      </c>
      <c r="M227" s="5" t="n">
        <v>775</v>
      </c>
      <c r="N227" s="3" t="inlineStr">
        <is>
          <t>nan</t>
        </is>
      </c>
      <c r="O227" s="6">
        <f>HYPERLINK("https://fin.land.naver.com/articles/2644120409", "매물Link")</f>
        <v/>
      </c>
      <c r="P227" s="6">
        <f>HYPERLINK("https://map.naver.com/p/search/조치원읍 신안리 353-19", "지도Link")</f>
        <v/>
      </c>
      <c r="Q227" s="6">
        <f>HYPERLINK("http://www.eum.go.kr/web/ar/lu/luLandDet.jsp?pnu=3611025032103530019&amp;isNoScr=script&amp;mode=search", "토지이음")</f>
        <v/>
      </c>
      <c r="R227" s="3" t="inlineStr">
        <is>
          <t>바다</t>
        </is>
      </c>
      <c r="S227" s="4" t="n">
        <v>1</v>
      </c>
      <c r="T227" s="5" t="n">
        <v>210.3</v>
      </c>
      <c r="U227" s="4" t="n">
        <v>156</v>
      </c>
      <c r="V227" s="3" t="inlineStr">
        <is>
          <t>지정되지않음</t>
        </is>
      </c>
      <c r="W227" s="3" t="inlineStr">
        <is>
          <t>단독</t>
        </is>
      </c>
      <c r="X227" s="3" t="inlineStr">
        <is>
          <t>평지</t>
        </is>
      </c>
      <c r="Y227" s="3" t="inlineStr">
        <is>
          <t>사다리형</t>
        </is>
      </c>
      <c r="Z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4</t>
        </is>
      </c>
      <c r="C228" s="3" t="inlineStr">
        <is>
          <t>0</t>
        </is>
      </c>
      <c r="D228" s="3" t="inlineStr">
        <is>
          <t>다가구</t>
        </is>
      </c>
      <c r="E228" s="3" t="inlineStr">
        <is>
          <t>매매</t>
        </is>
      </c>
      <c r="F228" s="4" t="n">
        <v>90000</v>
      </c>
      <c r="G228" s="4" t="n">
        <v>0</v>
      </c>
      <c r="H228" s="4" t="n">
        <v>347</v>
      </c>
      <c r="I228" s="4" t="n">
        <v>105</v>
      </c>
      <c r="J228" s="5" t="n">
        <v>857.1</v>
      </c>
      <c r="K228" s="4" t="n">
        <v>615</v>
      </c>
      <c r="L228" s="4" t="n">
        <v>186</v>
      </c>
      <c r="M228" s="5" t="n">
        <v>483.9</v>
      </c>
      <c r="N228" s="3" t="inlineStr">
        <is>
          <t>대학생들에게 인기 있고 관리가 잘된 원룸입니다.</t>
        </is>
      </c>
      <c r="O228" s="6">
        <f>HYPERLINK("https://fin.land.naver.com/articles/2647249221", "매물Link")</f>
        <v/>
      </c>
      <c r="P228" s="6">
        <f>HYPERLINK("https://map.naver.com/p/search/조치원읍 신안리 354-40", "지도Link")</f>
        <v/>
      </c>
      <c r="Q228" s="6">
        <f>HYPERLINK("http://www.eum.go.kr/web/ar/lu/luLandDet.jsp?pnu=3611025032103540040&amp;isNoScr=script&amp;mode=search", "토지이음")</f>
        <v/>
      </c>
      <c r="R228" s="3" t="inlineStr">
        <is>
          <t>세종공감</t>
        </is>
      </c>
      <c r="S228" s="4" t="n">
        <v>1</v>
      </c>
      <c r="T228" s="5" t="n">
        <v>204</v>
      </c>
      <c r="U228" s="4" t="n">
        <v>273</v>
      </c>
      <c r="V228" s="3" t="inlineStr">
        <is>
          <t>지정되지않음</t>
        </is>
      </c>
      <c r="W228" s="3" t="inlineStr">
        <is>
          <t>다세대</t>
        </is>
      </c>
      <c r="X228" s="3" t="inlineStr">
        <is>
          <t>평지</t>
        </is>
      </c>
      <c r="Y228" s="3" t="inlineStr">
        <is>
          <t>부정형</t>
        </is>
      </c>
      <c r="Z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3</t>
        </is>
      </c>
      <c r="C229" s="3" t="inlineStr">
        <is>
          <t>0</t>
        </is>
      </c>
      <c r="D229" s="3" t="inlineStr">
        <is>
          <t>다가구</t>
        </is>
      </c>
      <c r="E229" s="3" t="inlineStr">
        <is>
          <t>매매</t>
        </is>
      </c>
      <c r="F229" s="4" t="n">
        <v>80000</v>
      </c>
      <c r="G229" s="4" t="n">
        <v>0</v>
      </c>
      <c r="H229" s="4" t="n">
        <v>537</v>
      </c>
      <c r="I229" s="4" t="n">
        <v>162</v>
      </c>
      <c r="J229" s="5" t="n">
        <v>493.8</v>
      </c>
      <c r="K229" s="4" t="n">
        <v>521</v>
      </c>
      <c r="L229" s="4" t="n">
        <v>158</v>
      </c>
      <c r="M229" s="5" t="n">
        <v>506.3</v>
      </c>
      <c r="N229" s="3" t="inlineStr">
        <is>
          <t>nan</t>
        </is>
      </c>
      <c r="O229" s="6">
        <f>HYPERLINK("https://fin.land.naver.com/articles/2645782172", "매물Link")</f>
        <v/>
      </c>
      <c r="P229" s="6">
        <f>HYPERLINK("https://map.naver.com/p/search/조치원읍 신안리 373-1", "지도Link")</f>
        <v/>
      </c>
      <c r="Q229" s="6">
        <f>HYPERLINK("http://www.eum.go.kr/web/ar/lu/luLandDet.jsp?pnu=3611025032103730001&amp;isNoScr=script&amp;mode=search", "토지이음")</f>
        <v/>
      </c>
      <c r="R229" s="3" t="inlineStr">
        <is>
          <t>척척</t>
        </is>
      </c>
      <c r="S229" s="4" t="n">
        <v>1</v>
      </c>
      <c r="T229" s="5" t="n">
        <v>197.1</v>
      </c>
      <c r="U229" s="4" t="n">
        <v>588</v>
      </c>
      <c r="V229" s="3" t="inlineStr">
        <is>
          <t>지정되지않음</t>
        </is>
      </c>
      <c r="W229" s="3" t="inlineStr">
        <is>
          <t>단독</t>
        </is>
      </c>
      <c r="X229" s="3" t="inlineStr">
        <is>
          <t>평지</t>
        </is>
      </c>
      <c r="Y229" s="3" t="inlineStr">
        <is>
          <t>자루형</t>
        </is>
      </c>
      <c r="Z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3</t>
        </is>
      </c>
      <c r="C230" s="3" t="inlineStr">
        <is>
          <t>0</t>
        </is>
      </c>
      <c r="D230" s="3" t="inlineStr">
        <is>
          <t>다가구</t>
        </is>
      </c>
      <c r="E230" s="3" t="inlineStr">
        <is>
          <t>매매</t>
        </is>
      </c>
      <c r="F230" s="4" t="n">
        <v>45000</v>
      </c>
      <c r="G230" s="4" t="n">
        <v>0</v>
      </c>
      <c r="H230" s="4" t="n">
        <v>188</v>
      </c>
      <c r="I230" s="4" t="n">
        <v>57</v>
      </c>
      <c r="J230" s="5" t="n">
        <v>789.5</v>
      </c>
      <c r="K230" s="4" t="n">
        <v>326</v>
      </c>
      <c r="L230" s="4" t="n">
        <v>99</v>
      </c>
      <c r="M230" s="5" t="n">
        <v>454.5</v>
      </c>
      <c r="N230" s="3" t="inlineStr">
        <is>
          <t>리모델링 원룸 매매</t>
        </is>
      </c>
      <c r="O230" s="6">
        <f>HYPERLINK("https://fin.land.naver.com/articles/2648567043", "매물Link")</f>
        <v/>
      </c>
      <c r="P230" s="6">
        <f>HYPERLINK("https://map.naver.com/p/search/조치원읍 신안리 383-13", "지도Link")</f>
        <v/>
      </c>
      <c r="Q230" s="6">
        <f>HYPERLINK("http://www.eum.go.kr/web/ar/lu/luLandDet.jsp?pnu=3611025032103830013&amp;isNoScr=script&amp;mode=search", "토지이음")</f>
        <v/>
      </c>
      <c r="R230" s="3" t="inlineStr">
        <is>
          <t>고래</t>
        </is>
      </c>
      <c r="S230" s="4" t="n">
        <v>1</v>
      </c>
      <c r="T230" s="5" t="n">
        <v>208.6</v>
      </c>
      <c r="U230" s="4" t="n">
        <v>188</v>
      </c>
      <c r="V230" s="3" t="inlineStr">
        <is>
          <t>지정되지않음</t>
        </is>
      </c>
      <c r="W230" s="3" t="inlineStr">
        <is>
          <t>다세대</t>
        </is>
      </c>
      <c r="X230" s="3" t="inlineStr">
        <is>
          <t>평지</t>
        </is>
      </c>
      <c r="Y230" s="3" t="inlineStr">
        <is>
          <t>사다리형</t>
        </is>
      </c>
      <c r="Z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2</t>
        </is>
      </c>
      <c r="C231" s="3" t="inlineStr">
        <is>
          <t>0</t>
        </is>
      </c>
      <c r="D231" s="3" t="inlineStr">
        <is>
          <t>단독</t>
        </is>
      </c>
      <c r="E231" s="3" t="inlineStr">
        <is>
          <t>매매</t>
        </is>
      </c>
      <c r="F231" s="4" t="n">
        <v>45000</v>
      </c>
      <c r="G231" s="4" t="n">
        <v>0</v>
      </c>
      <c r="H231" s="4" t="n">
        <v>314</v>
      </c>
      <c r="I231" s="4" t="n">
        <v>95</v>
      </c>
      <c r="J231" s="5" t="n">
        <v>473.7</v>
      </c>
      <c r="K231" s="4" t="n">
        <v>224</v>
      </c>
      <c r="L231" s="4" t="n">
        <v>68</v>
      </c>
      <c r="M231" s="5" t="n">
        <v>661.8</v>
      </c>
      <c r="N231" s="3" t="inlineStr">
        <is>
          <t>남향, 고려대홍익대 인근 대지 넓은 2층 단독주택</t>
        </is>
      </c>
      <c r="O231" s="6">
        <f>HYPERLINK("https://fin.land.naver.com/articles/2647246878", "매물Link")</f>
        <v/>
      </c>
      <c r="P231" s="6">
        <f>HYPERLINK("https://map.naver.com/p/search/조치원읍 신안리 383-8", "지도Link")</f>
        <v/>
      </c>
      <c r="Q231" s="6">
        <f>HYPERLINK("http://www.eum.go.kr/web/ar/lu/luLandDet.jsp?pnu=3611025032103830008&amp;isNoScr=script&amp;mode=search", "토지이음")</f>
        <v/>
      </c>
      <c r="R231" s="3" t="inlineStr">
        <is>
          <t>세종공감</t>
        </is>
      </c>
      <c r="S231" s="4" t="n">
        <v>1</v>
      </c>
      <c r="T231" s="5" t="n">
        <v>200.1</v>
      </c>
      <c r="U231" s="4" t="n">
        <v>302</v>
      </c>
      <c r="V231" s="3" t="inlineStr">
        <is>
          <t>지정되지않음</t>
        </is>
      </c>
      <c r="W231" s="3" t="inlineStr">
        <is>
          <t>단독</t>
        </is>
      </c>
      <c r="X231" s="3" t="inlineStr">
        <is>
          <t>평지</t>
        </is>
      </c>
      <c r="Y231" s="3" t="inlineStr">
        <is>
          <t>사다리형</t>
        </is>
      </c>
      <c r="Z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2</t>
        </is>
      </c>
      <c r="C232" s="3" t="inlineStr">
        <is>
          <t>0</t>
        </is>
      </c>
      <c r="D232" s="3" t="inlineStr">
        <is>
          <t>단독</t>
        </is>
      </c>
      <c r="E232" s="3" t="inlineStr">
        <is>
          <t>매매</t>
        </is>
      </c>
      <c r="F232" s="4" t="n">
        <v>35000</v>
      </c>
      <c r="G232" s="4" t="n">
        <v>0</v>
      </c>
      <c r="H232" s="4" t="n">
        <v>230</v>
      </c>
      <c r="I232" s="4" t="n">
        <v>70</v>
      </c>
      <c r="J232" s="5" t="n">
        <v>500</v>
      </c>
      <c r="K232" s="4" t="n">
        <v>156</v>
      </c>
      <c r="L232" s="4" t="n">
        <v>47</v>
      </c>
      <c r="M232" s="5" t="n">
        <v>744.7</v>
      </c>
      <c r="N232" s="3" t="inlineStr">
        <is>
          <t>세종시 홍익대 고려대 홍익대정책연구원 인근</t>
        </is>
      </c>
      <c r="O232" s="6">
        <f>HYPERLINK("https://fin.land.naver.com/articles/2647867345", "매물Link")</f>
        <v/>
      </c>
      <c r="P232" s="6">
        <f>HYPERLINK("https://map.naver.com/p/search/조치원읍 신안리 384-2", "지도Link")</f>
        <v/>
      </c>
      <c r="Q232" s="6">
        <f>HYPERLINK("http://www.eum.go.kr/web/ar/lu/luLandDet.jsp?pnu=3611025032103840002&amp;isNoScr=script&amp;mode=search", "토지이음")</f>
        <v/>
      </c>
      <c r="R232" s="3" t="inlineStr">
        <is>
          <t>서울(단지내)</t>
        </is>
      </c>
      <c r="S232" s="4" t="n">
        <v>1</v>
      </c>
      <c r="T232" s="5" t="n">
        <v>206.8</v>
      </c>
      <c r="U232" s="4" t="n">
        <v>252</v>
      </c>
      <c r="V232" s="3" t="inlineStr">
        <is>
          <t>지정되지않음</t>
        </is>
      </c>
      <c r="W232" s="3" t="inlineStr">
        <is>
          <t>단독</t>
        </is>
      </c>
      <c r="X232" s="3" t="inlineStr">
        <is>
          <t>평지</t>
        </is>
      </c>
      <c r="Y232" s="3" t="inlineStr">
        <is>
          <t>사다리형</t>
        </is>
      </c>
      <c r="Z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3</t>
        </is>
      </c>
      <c r="C233" s="3" t="inlineStr">
        <is>
          <t>0</t>
        </is>
      </c>
      <c r="D233" s="3" t="inlineStr">
        <is>
          <t>다가구</t>
        </is>
      </c>
      <c r="E233" s="3" t="inlineStr">
        <is>
          <t>매매</t>
        </is>
      </c>
      <c r="F233" s="4" t="n">
        <v>60000</v>
      </c>
      <c r="G233" s="4" t="n">
        <v>0</v>
      </c>
      <c r="H233" s="4" t="n">
        <v>322</v>
      </c>
      <c r="I233" s="4" t="n">
        <v>97</v>
      </c>
      <c r="J233" s="5" t="n">
        <v>618.6</v>
      </c>
      <c r="K233" s="4" t="n">
        <v>493</v>
      </c>
      <c r="L233" s="4" t="n">
        <v>149</v>
      </c>
      <c r="M233" s="5" t="n">
        <v>402.7</v>
      </c>
      <c r="N233" s="3" t="inlineStr">
        <is>
          <t>홍익대학교, 고려대학교 후문쪽 위치, 공실없음</t>
        </is>
      </c>
      <c r="O233" s="6">
        <f>HYPERLINK("https://fin.land.naver.com/articles/2647247647", "매물Link")</f>
        <v/>
      </c>
      <c r="P233" s="6">
        <f>HYPERLINK("https://map.naver.com/p/search/조치원읍 신안리 385-12", "지도Link")</f>
        <v/>
      </c>
      <c r="Q233" s="6">
        <f>HYPERLINK("http://www.eum.go.kr/web/ar/lu/luLandDet.jsp?pnu=3611025032103850012&amp;isNoScr=script&amp;mode=search", "토지이음")</f>
        <v/>
      </c>
      <c r="R233" s="3" t="inlineStr">
        <is>
          <t>세종공감</t>
        </is>
      </c>
      <c r="S233" s="4" t="n">
        <v>1</v>
      </c>
      <c r="T233" s="5" t="n">
        <v>192.9</v>
      </c>
      <c r="U233" s="4" t="n">
        <v>322</v>
      </c>
      <c r="V233" s="3" t="inlineStr">
        <is>
          <t>지정되지않음</t>
        </is>
      </c>
      <c r="W233" s="3" t="inlineStr">
        <is>
          <t>단독</t>
        </is>
      </c>
      <c r="X233" s="3" t="inlineStr">
        <is>
          <t>평지</t>
        </is>
      </c>
      <c r="Y233" s="3" t="inlineStr">
        <is>
          <t>부정형</t>
        </is>
      </c>
      <c r="Z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3</t>
        </is>
      </c>
      <c r="C234" s="3" t="inlineStr">
        <is>
          <t>0</t>
        </is>
      </c>
      <c r="D234" s="3" t="inlineStr">
        <is>
          <t>다가구</t>
        </is>
      </c>
      <c r="E234" s="3" t="inlineStr">
        <is>
          <t>매매</t>
        </is>
      </c>
      <c r="F234" s="4" t="n">
        <v>60000</v>
      </c>
      <c r="G234" s="4" t="n">
        <v>0</v>
      </c>
      <c r="H234" s="4" t="n">
        <v>322</v>
      </c>
      <c r="I234" s="4" t="n">
        <v>97</v>
      </c>
      <c r="J234" s="5" t="n">
        <v>618.6</v>
      </c>
      <c r="K234" s="4" t="n">
        <v>493</v>
      </c>
      <c r="L234" s="4" t="n">
        <v>149</v>
      </c>
      <c r="M234" s="5" t="n">
        <v>402.7</v>
      </c>
      <c r="N234" s="3" t="inlineStr">
        <is>
          <t>nan</t>
        </is>
      </c>
      <c r="O234" s="6">
        <f>HYPERLINK("https://fin.land.naver.com/articles/2645783015", "매물Link")</f>
        <v/>
      </c>
      <c r="P234" s="6">
        <f>HYPERLINK("https://map.naver.com/p/search/조치원읍 신안리 385-12", "지도Link")</f>
        <v/>
      </c>
      <c r="Q234" s="6">
        <f>HYPERLINK("http://www.eum.go.kr/web/ar/lu/luLandDet.jsp?pnu=3611025032103850012&amp;isNoScr=script&amp;mode=search", "토지이음")</f>
        <v/>
      </c>
      <c r="R234" s="3" t="inlineStr">
        <is>
          <t>척척</t>
        </is>
      </c>
      <c r="S234" s="4" t="n">
        <v>1</v>
      </c>
      <c r="T234" s="5" t="n">
        <v>192.9</v>
      </c>
      <c r="U234" s="4" t="n">
        <v>322</v>
      </c>
      <c r="V234" s="3" t="inlineStr">
        <is>
          <t>지정되지않음</t>
        </is>
      </c>
      <c r="W234" s="3" t="inlineStr">
        <is>
          <t>단독</t>
        </is>
      </c>
      <c r="X234" s="3" t="inlineStr">
        <is>
          <t>평지</t>
        </is>
      </c>
      <c r="Y234" s="3" t="inlineStr">
        <is>
          <t>부정형</t>
        </is>
      </c>
      <c r="Z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3</t>
        </is>
      </c>
      <c r="C235" s="3" t="inlineStr">
        <is>
          <t>0</t>
        </is>
      </c>
      <c r="D235" s="3" t="inlineStr">
        <is>
          <t>다가구</t>
        </is>
      </c>
      <c r="E235" s="3" t="inlineStr">
        <is>
          <t>매매</t>
        </is>
      </c>
      <c r="F235" s="4" t="n">
        <v>60000</v>
      </c>
      <c r="G235" s="4" t="n">
        <v>0</v>
      </c>
      <c r="H235" s="4" t="n">
        <v>322</v>
      </c>
      <c r="I235" s="4" t="n">
        <v>97</v>
      </c>
      <c r="J235" s="5" t="n">
        <v>618.6</v>
      </c>
      <c r="K235" s="4" t="n">
        <v>493</v>
      </c>
      <c r="L235" s="4" t="n">
        <v>149</v>
      </c>
      <c r="M235" s="5" t="n">
        <v>402.7</v>
      </c>
      <c r="N235" s="3" t="inlineStr">
        <is>
          <t>홍익대학교 원룸 다가구매매.수익률잘나옴.</t>
        </is>
      </c>
      <c r="O235" s="6">
        <f>HYPERLINK("https://fin.land.naver.com/articles/2644111033", "매물Link")</f>
        <v/>
      </c>
      <c r="P235" s="6">
        <f>HYPERLINK("https://map.naver.com/p/search/조치원읍 신안리 385-12", "지도Link")</f>
        <v/>
      </c>
      <c r="Q235" s="6">
        <f>HYPERLINK("http://www.eum.go.kr/web/ar/lu/luLandDet.jsp?pnu=3611025032103850012&amp;isNoScr=script&amp;mode=search", "토지이음")</f>
        <v/>
      </c>
      <c r="R235" s="3" t="inlineStr">
        <is>
          <t>바다</t>
        </is>
      </c>
      <c r="S235" s="4" t="n">
        <v>1</v>
      </c>
      <c r="T235" s="5" t="n">
        <v>192.9</v>
      </c>
      <c r="U235" s="4" t="n">
        <v>322</v>
      </c>
      <c r="V235" s="3" t="inlineStr">
        <is>
          <t>지정되지않음</t>
        </is>
      </c>
      <c r="W235" s="3" t="inlineStr">
        <is>
          <t>단독</t>
        </is>
      </c>
      <c r="X235" s="3" t="inlineStr">
        <is>
          <t>평지</t>
        </is>
      </c>
      <c r="Y235" s="3" t="inlineStr">
        <is>
          <t>부정형</t>
        </is>
      </c>
      <c r="Z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2</t>
        </is>
      </c>
      <c r="C236" s="3" t="inlineStr">
        <is>
          <t>3</t>
        </is>
      </c>
      <c r="D236" s="3" t="inlineStr">
        <is>
          <t>다가구</t>
        </is>
      </c>
      <c r="E236" s="3" t="inlineStr">
        <is>
          <t>월세</t>
        </is>
      </c>
      <c r="F236" s="4" t="n">
        <v>100</v>
      </c>
      <c r="G236" s="4" t="n">
        <v>26</v>
      </c>
      <c r="H236" s="4" t="n">
        <v>26</v>
      </c>
      <c r="I236" s="4" t="n">
        <v>8</v>
      </c>
      <c r="J236" s="5" t="n">
        <v>3.2</v>
      </c>
      <c r="K236" s="4" t="n">
        <v>26</v>
      </c>
      <c r="L236" s="4" t="n">
        <v>8</v>
      </c>
      <c r="M236" s="5" t="n">
        <v>3.2</v>
      </c>
      <c r="N236" s="3" t="inlineStr">
        <is>
          <t>보증금과 월세가 저렴하고 넓은 방, 고려대, 홍익대 인근임</t>
        </is>
      </c>
      <c r="O236" s="6">
        <f>HYPERLINK("https://fin.land.naver.com/articles/2648513014", "매물Link")</f>
        <v/>
      </c>
      <c r="P236" s="6">
        <f>HYPERLINK("https://map.naver.com/p/search/조치원읍 신안리 386", "지도Link")</f>
        <v/>
      </c>
      <c r="Q236" s="6">
        <f>HYPERLINK("http://www.eum.go.kr/web/ar/lu/luLandDet.jsp?pnu=3611025032103860000&amp;isNoScr=script&amp;mode=search", "토지이음")</f>
        <v/>
      </c>
      <c r="R236" s="3" t="inlineStr">
        <is>
          <t>세종베스트</t>
        </is>
      </c>
      <c r="S236" s="4" t="n">
        <v>1</v>
      </c>
      <c r="T236" s="5" t="n">
        <v>192.9</v>
      </c>
      <c r="U236" s="4" t="n">
        <v>295</v>
      </c>
      <c r="V236" s="3" t="inlineStr">
        <is>
          <t>지정되지않음</t>
        </is>
      </c>
      <c r="W236" s="3" t="inlineStr">
        <is>
          <t>다세대</t>
        </is>
      </c>
      <c r="X236" s="3" t="inlineStr">
        <is>
          <t>평지</t>
        </is>
      </c>
      <c r="Y236" s="3" t="inlineStr">
        <is>
          <t>부정형</t>
        </is>
      </c>
      <c r="Z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4</t>
        </is>
      </c>
      <c r="C237" s="3" t="inlineStr">
        <is>
          <t>0</t>
        </is>
      </c>
      <c r="D237" s="3" t="inlineStr">
        <is>
          <t>다가구</t>
        </is>
      </c>
      <c r="E237" s="3" t="inlineStr">
        <is>
          <t>매매</t>
        </is>
      </c>
      <c r="F237" s="4" t="n">
        <v>110000</v>
      </c>
      <c r="G237" s="4" t="n">
        <v>0</v>
      </c>
      <c r="H237" s="4" t="n">
        <v>351</v>
      </c>
      <c r="I237" s="4" t="n">
        <v>106</v>
      </c>
      <c r="J237" s="5" t="n">
        <v>1037.7</v>
      </c>
      <c r="K237" s="4" t="n">
        <v>594</v>
      </c>
      <c r="L237" s="4" t="n">
        <v>180</v>
      </c>
      <c r="M237" s="5" t="n">
        <v>611.1</v>
      </c>
      <c r="N237" s="3" t="inlineStr">
        <is>
          <t>고대와 홍대사이의 인기있는 원룸으로 공실없음</t>
        </is>
      </c>
      <c r="O237" s="6">
        <f>HYPERLINK("https://fin.land.naver.com/articles/2647249766", "매물Link")</f>
        <v/>
      </c>
      <c r="P237" s="6">
        <f>HYPERLINK("https://map.naver.com/p/search/조치원읍 신안리 387-5", "지도Link")</f>
        <v/>
      </c>
      <c r="Q237" s="6">
        <f>HYPERLINK("http://www.eum.go.kr/web/ar/lu/luLandDet.jsp?pnu=3611025032103870005&amp;isNoScr=script&amp;mode=search", "토지이음")</f>
        <v/>
      </c>
      <c r="R237" s="3" t="inlineStr">
        <is>
          <t>세종공감</t>
        </is>
      </c>
      <c r="S237" s="4" t="n">
        <v>1</v>
      </c>
      <c r="T237" s="5" t="n">
        <v>182.9</v>
      </c>
      <c r="U237" s="4" t="n">
        <v>351</v>
      </c>
      <c r="V237" s="3" t="inlineStr">
        <is>
          <t>지정되지않음</t>
        </is>
      </c>
      <c r="W237" s="3" t="inlineStr">
        <is>
          <t>다세대</t>
        </is>
      </c>
      <c r="X237" s="3" t="inlineStr">
        <is>
          <t>평지</t>
        </is>
      </c>
      <c r="Y237" s="3" t="inlineStr">
        <is>
          <t>사다리형</t>
        </is>
      </c>
      <c r="Z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4</t>
        </is>
      </c>
      <c r="C238" s="3" t="inlineStr">
        <is>
          <t>0</t>
        </is>
      </c>
      <c r="D238" s="3" t="inlineStr">
        <is>
          <t>단독</t>
        </is>
      </c>
      <c r="E238" s="3" t="inlineStr">
        <is>
          <t>매매</t>
        </is>
      </c>
      <c r="F238" s="4" t="n">
        <v>107000</v>
      </c>
      <c r="G238" s="4" t="n">
        <v>0</v>
      </c>
      <c r="H238" s="4" t="n">
        <v>351</v>
      </c>
      <c r="I238" s="4" t="n">
        <v>106</v>
      </c>
      <c r="J238" s="5" t="n">
        <v>1009.4</v>
      </c>
      <c r="K238" s="4" t="n">
        <v>594</v>
      </c>
      <c r="L238" s="4" t="n">
        <v>180</v>
      </c>
      <c r="M238" s="5" t="n">
        <v>594.4</v>
      </c>
      <c r="N238" s="3" t="inlineStr">
        <is>
          <t>고대홍대 매년 공실X 수익율 좋은 다가구</t>
        </is>
      </c>
      <c r="O238" s="6">
        <f>HYPERLINK("https://fin.land.naver.com/articles/2645237870", "매물Link")</f>
        <v/>
      </c>
      <c r="P238" s="6">
        <f>HYPERLINK("https://map.naver.com/p/search/조치원읍 신안리 387-5", "지도Link")</f>
        <v/>
      </c>
      <c r="Q238" s="6">
        <f>HYPERLINK("http://www.eum.go.kr/web/ar/lu/luLandDet.jsp?pnu=3611025032103870005&amp;isNoScr=script&amp;mode=search", "토지이음")</f>
        <v/>
      </c>
      <c r="R238" s="3" t="inlineStr">
        <is>
          <t>무지개</t>
        </is>
      </c>
      <c r="S238" s="4" t="n">
        <v>1</v>
      </c>
      <c r="T238" s="5" t="n">
        <v>182.9</v>
      </c>
      <c r="U238" s="4" t="n">
        <v>351</v>
      </c>
      <c r="V238" s="3" t="inlineStr">
        <is>
          <t>지정되지않음</t>
        </is>
      </c>
      <c r="W238" s="3" t="inlineStr">
        <is>
          <t>다세대</t>
        </is>
      </c>
      <c r="X238" s="3" t="inlineStr">
        <is>
          <t>평지</t>
        </is>
      </c>
      <c r="Y238" s="3" t="inlineStr">
        <is>
          <t>사다리형</t>
        </is>
      </c>
      <c r="Z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0</t>
        </is>
      </c>
      <c r="C239" s="3" t="inlineStr">
        <is>
          <t>5</t>
        </is>
      </c>
      <c r="D239" s="3" t="inlineStr">
        <is>
          <t>일반원룸</t>
        </is>
      </c>
      <c r="E239" s="3" t="inlineStr">
        <is>
          <t>월세</t>
        </is>
      </c>
      <c r="F239" s="4" t="n">
        <v>100</v>
      </c>
      <c r="G239" s="4" t="n">
        <v>20</v>
      </c>
      <c r="H239" s="4" t="n">
        <v>15</v>
      </c>
      <c r="I239" s="4" t="n">
        <v>5</v>
      </c>
      <c r="J239" s="5" t="n">
        <v>4</v>
      </c>
      <c r="K239" s="4" t="n">
        <v>15</v>
      </c>
      <c r="L239" s="4" t="n">
        <v>5</v>
      </c>
      <c r="M239" s="5" t="n">
        <v>4</v>
      </c>
      <c r="N239" s="3" t="inlineStr">
        <is>
          <t>한달28만원에 공과금 모두 포함, 추가금 없음</t>
        </is>
      </c>
      <c r="O239" s="6">
        <f>HYPERLINK("https://fin.land.naver.com/articles/2648554234", "매물Link")</f>
        <v/>
      </c>
      <c r="P239" s="6">
        <f>HYPERLINK("https://map.naver.com/p/search/조치원읍 신안리 389-8", "지도Link")</f>
        <v/>
      </c>
      <c r="Q239" s="6">
        <f>HYPERLINK("http://www.eum.go.kr/web/ar/lu/luLandDet.jsp?pnu=3611025032103890008&amp;isNoScr=script&amp;mode=search", "토지이음")</f>
        <v/>
      </c>
      <c r="R239" s="3" t="inlineStr">
        <is>
          <t>부자터</t>
        </is>
      </c>
      <c r="S239" s="4" t="n">
        <v>1</v>
      </c>
      <c r="T239" s="5" t="n">
        <v>363.6</v>
      </c>
      <c r="U239" s="4" t="n">
        <v>294</v>
      </c>
      <c r="V239" s="3" t="inlineStr">
        <is>
          <t>지정되지않음</t>
        </is>
      </c>
      <c r="W239" s="3" t="inlineStr">
        <is>
          <t>주상용</t>
        </is>
      </c>
      <c r="X239" s="3" t="inlineStr">
        <is>
          <t>평지</t>
        </is>
      </c>
      <c r="Y239" s="3" t="inlineStr">
        <is>
          <t>사다리형</t>
        </is>
      </c>
      <c r="Z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1</t>
        </is>
      </c>
      <c r="C240" s="3" t="inlineStr">
        <is>
          <t>5</t>
        </is>
      </c>
      <c r="D240" s="3" t="inlineStr">
        <is>
          <t>일반원룸</t>
        </is>
      </c>
      <c r="E240" s="3" t="inlineStr">
        <is>
          <t>전세</t>
        </is>
      </c>
      <c r="F240" s="4" t="n">
        <v>4500</v>
      </c>
      <c r="G240" s="4" t="n">
        <v>0</v>
      </c>
      <c r="H240" s="4" t="n">
        <v>25</v>
      </c>
      <c r="I240" s="4" t="n">
        <v>8</v>
      </c>
      <c r="J240" s="5" t="n">
        <v>562.5</v>
      </c>
      <c r="K240" s="4" t="n">
        <v>25</v>
      </c>
      <c r="L240" s="4" t="n">
        <v>8</v>
      </c>
      <c r="M240" s="5" t="n">
        <v>562.5</v>
      </c>
      <c r="N240" s="3" t="inlineStr">
        <is>
          <t>공과금 모두 포함하여 1달 15만원 추가비용없음</t>
        </is>
      </c>
      <c r="O240" s="6">
        <f>HYPERLINK("https://fin.land.naver.com/articles/2647185496", "매물Link")</f>
        <v/>
      </c>
      <c r="P240" s="6">
        <f>HYPERLINK("https://map.naver.com/p/search/조치원읍 신안리 389-8", "지도Link")</f>
        <v/>
      </c>
      <c r="Q240" s="6">
        <f>HYPERLINK("http://www.eum.go.kr/web/ar/lu/luLandDet.jsp?pnu=3611025032103890008&amp;isNoScr=script&amp;mode=search", "토지이음")</f>
        <v/>
      </c>
      <c r="R240" s="3" t="inlineStr">
        <is>
          <t>부자터</t>
        </is>
      </c>
      <c r="S240" s="4" t="n">
        <v>1</v>
      </c>
      <c r="T240" s="5" t="n">
        <v>363.6</v>
      </c>
      <c r="U240" s="4" t="n">
        <v>294</v>
      </c>
      <c r="V240" s="3" t="inlineStr">
        <is>
          <t>지정되지않음</t>
        </is>
      </c>
      <c r="W240" s="3" t="inlineStr">
        <is>
          <t>주상용</t>
        </is>
      </c>
      <c r="X240" s="3" t="inlineStr">
        <is>
          <t>평지</t>
        </is>
      </c>
      <c r="Y240" s="3" t="inlineStr">
        <is>
          <t>사다리형</t>
        </is>
      </c>
      <c r="Z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1</t>
        </is>
      </c>
      <c r="C241" s="3" t="inlineStr">
        <is>
          <t>3</t>
        </is>
      </c>
      <c r="D241" s="3" t="inlineStr">
        <is>
          <t>일반원룸</t>
        </is>
      </c>
      <c r="E241" s="3" t="inlineStr">
        <is>
          <t>월세</t>
        </is>
      </c>
      <c r="F241" s="4" t="n">
        <v>30</v>
      </c>
      <c r="G241" s="4" t="n">
        <v>38</v>
      </c>
      <c r="H241" s="4" t="n">
        <v>0</v>
      </c>
      <c r="I241" s="4" t="n">
        <v>0</v>
      </c>
      <c r="J241" s="5" t="n">
        <v>0</v>
      </c>
      <c r="K241" s="4" t="n">
        <v>13</v>
      </c>
      <c r="L241" s="4" t="n">
        <v>4</v>
      </c>
      <c r="M241" s="5" t="n">
        <v>9.5</v>
      </c>
      <c r="N241" s="3" t="inlineStr">
        <is>
          <t>출퇴근용으로 거주하기 좋은 저렴한 원룸단기가능모든공과금포함</t>
        </is>
      </c>
      <c r="O241" s="6">
        <f>HYPERLINK("https://fin.land.naver.com/articles/2647381579", "매물Link")</f>
        <v/>
      </c>
      <c r="P241" s="6">
        <f>HYPERLINK("https://map.naver.com/p/search/조치원읍 신안리 393-12", "지도Link")</f>
        <v/>
      </c>
      <c r="Q241" s="6">
        <f>HYPERLINK("http://www.eum.go.kr/web/ar/lu/luLandDet.jsp?pnu=3611025032103930012&amp;isNoScr=script&amp;mode=search", "토지이음")</f>
        <v/>
      </c>
      <c r="R241" s="3" t="inlineStr">
        <is>
          <t>무지개</t>
        </is>
      </c>
      <c r="S241" s="4" t="n">
        <v>1</v>
      </c>
      <c r="T241" s="5" t="n">
        <v>202.2</v>
      </c>
      <c r="U241" s="4" t="n">
        <v>319</v>
      </c>
      <c r="V241" s="3" t="inlineStr">
        <is>
          <t>지정되지않음</t>
        </is>
      </c>
      <c r="W241" s="3" t="inlineStr">
        <is>
          <t>다세대</t>
        </is>
      </c>
      <c r="X241" s="3" t="inlineStr">
        <is>
          <t>평지</t>
        </is>
      </c>
      <c r="Y241" s="3" t="inlineStr">
        <is>
          <t>가로장방</t>
        </is>
      </c>
      <c r="Z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3</t>
        </is>
      </c>
      <c r="C242" s="3" t="inlineStr">
        <is>
          <t>0</t>
        </is>
      </c>
      <c r="D242" s="3" t="inlineStr">
        <is>
          <t>단독</t>
        </is>
      </c>
      <c r="E242" s="3" t="inlineStr">
        <is>
          <t>매매</t>
        </is>
      </c>
      <c r="F242" s="4" t="n">
        <v>90000</v>
      </c>
      <c r="G242" s="4" t="n">
        <v>0</v>
      </c>
      <c r="H242" s="4" t="n">
        <v>311</v>
      </c>
      <c r="I242" s="4" t="n">
        <v>94</v>
      </c>
      <c r="J242" s="5" t="n">
        <v>957.4</v>
      </c>
      <c r="K242" s="4" t="n">
        <v>328</v>
      </c>
      <c r="L242" s="4" t="n">
        <v>99</v>
      </c>
      <c r="M242" s="5" t="n">
        <v>909.1</v>
      </c>
      <c r="N242" s="3" t="inlineStr">
        <is>
          <t>수익률 10 년수익 5,145만원 원룸 통매매</t>
        </is>
      </c>
      <c r="O242" s="6">
        <f>HYPERLINK("https://fin.land.naver.com/articles/2648570400", "매물Link")</f>
        <v/>
      </c>
      <c r="P242" s="6">
        <f>HYPERLINK("https://map.naver.com/p/search/조치원읍 신안리 394-35", "지도Link")</f>
        <v/>
      </c>
      <c r="Q242" s="6">
        <f>HYPERLINK("http://www.eum.go.kr/web/ar/lu/luLandDet.jsp?pnu=3611025032103940035&amp;isNoScr=script&amp;mode=search", "토지이음")</f>
        <v/>
      </c>
      <c r="R242" s="3" t="inlineStr">
        <is>
          <t>고래</t>
        </is>
      </c>
      <c r="S242" s="4" t="n">
        <v>1</v>
      </c>
      <c r="T242" s="5" t="n">
        <v>235.1</v>
      </c>
      <c r="U242" s="4" t="n">
        <v>311</v>
      </c>
      <c r="V242" s="3" t="inlineStr">
        <is>
          <t>지정되지않음</t>
        </is>
      </c>
      <c r="W242" s="3" t="inlineStr">
        <is>
          <t>다세대</t>
        </is>
      </c>
      <c r="X242" s="3" t="inlineStr">
        <is>
          <t>평지</t>
        </is>
      </c>
      <c r="Y242" s="3" t="inlineStr">
        <is>
          <t>사다리형</t>
        </is>
      </c>
      <c r="Z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3</t>
        </is>
      </c>
      <c r="C243" s="3" t="inlineStr">
        <is>
          <t>0</t>
        </is>
      </c>
      <c r="D243" s="3" t="inlineStr">
        <is>
          <t>다가구</t>
        </is>
      </c>
      <c r="E243" s="3" t="inlineStr">
        <is>
          <t>매매</t>
        </is>
      </c>
      <c r="F243" s="4" t="n">
        <v>100000</v>
      </c>
      <c r="G243" s="4" t="n">
        <v>0</v>
      </c>
      <c r="H243" s="4" t="n">
        <v>289</v>
      </c>
      <c r="I243" s="4" t="n">
        <v>87</v>
      </c>
      <c r="J243" s="5" t="n">
        <v>1149.4</v>
      </c>
      <c r="K243" s="4" t="n">
        <v>329</v>
      </c>
      <c r="L243" s="4" t="n">
        <v>100</v>
      </c>
      <c r="M243" s="5" t="n">
        <v>1000</v>
      </c>
      <c r="N243" s="3" t="inlineStr">
        <is>
          <t>수익률8프로대,총세대수18가구,연세계약,공실없음</t>
        </is>
      </c>
      <c r="O243" s="6">
        <f>HYPERLINK("https://fin.land.naver.com/articles/2644625360", "매물Link")</f>
        <v/>
      </c>
      <c r="P243" s="6">
        <f>HYPERLINK("https://map.naver.com/p/search/조치원읍 신안리 394-38", "지도Link")</f>
        <v/>
      </c>
      <c r="Q243" s="6">
        <f>HYPERLINK("http://www.eum.go.kr/web/ar/lu/luLandDet.jsp?pnu=3611025032103940038&amp;isNoScr=script&amp;mode=search", "토지이음")</f>
        <v/>
      </c>
      <c r="R243" s="3" t="inlineStr">
        <is>
          <t>오송올래</t>
        </is>
      </c>
      <c r="S243" s="4" t="n">
        <v>1</v>
      </c>
      <c r="T243" s="5" t="n">
        <v>227.9</v>
      </c>
      <c r="U243" s="4" t="n">
        <v>289</v>
      </c>
      <c r="V243" s="3" t="inlineStr">
        <is>
          <t>지정되지않음</t>
        </is>
      </c>
      <c r="W243" s="3" t="inlineStr">
        <is>
          <t>단독</t>
        </is>
      </c>
      <c r="X243" s="3" t="inlineStr">
        <is>
          <t>평지</t>
        </is>
      </c>
      <c r="Y243" s="3" t="inlineStr">
        <is>
          <t>자루형</t>
        </is>
      </c>
      <c r="Z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3</t>
        </is>
      </c>
      <c r="C244" s="3" t="inlineStr">
        <is>
          <t>0</t>
        </is>
      </c>
      <c r="D244" s="3" t="inlineStr">
        <is>
          <t>다가구</t>
        </is>
      </c>
      <c r="E244" s="3" t="inlineStr">
        <is>
          <t>매매</t>
        </is>
      </c>
      <c r="F244" s="4" t="n">
        <v>49000</v>
      </c>
      <c r="G244" s="4" t="n">
        <v>0</v>
      </c>
      <c r="H244" s="4" t="n">
        <v>268</v>
      </c>
      <c r="I244" s="4" t="n">
        <v>81</v>
      </c>
      <c r="J244" s="5" t="n">
        <v>604.9</v>
      </c>
      <c r="K244" s="4" t="n">
        <v>397</v>
      </c>
      <c r="L244" s="4" t="n">
        <v>120</v>
      </c>
      <c r="M244" s="5" t="n">
        <v>408.3</v>
      </c>
      <c r="N244" s="3" t="inlineStr">
        <is>
          <t>후문앞. 공실없는 원룸건물. 관리잘됨</t>
        </is>
      </c>
      <c r="O244" s="6">
        <f>HYPERLINK("https://fin.land.naver.com/articles/2644110570", "매물Link")</f>
        <v/>
      </c>
      <c r="P244" s="6">
        <f>HYPERLINK("https://map.naver.com/p/search/조치원읍 신안리 445-9", "지도Link")</f>
        <v/>
      </c>
      <c r="Q244" s="6">
        <f>HYPERLINK("http://www.eum.go.kr/web/ar/lu/luLandDet.jsp?pnu=3611025032104450009&amp;isNoScr=script&amp;mode=search", "토지이음")</f>
        <v/>
      </c>
      <c r="R244" s="3" t="inlineStr">
        <is>
          <t>바다</t>
        </is>
      </c>
      <c r="S244" s="4" t="n">
        <v>1</v>
      </c>
      <c r="T244" s="5" t="n">
        <v>217</v>
      </c>
      <c r="U244" s="4" t="n">
        <v>268</v>
      </c>
      <c r="V244" s="3" t="inlineStr">
        <is>
          <t>지정되지않음</t>
        </is>
      </c>
      <c r="W244" s="3" t="inlineStr">
        <is>
          <t>다세대</t>
        </is>
      </c>
      <c r="X244" s="3" t="inlineStr">
        <is>
          <t>평지</t>
        </is>
      </c>
      <c r="Y244" s="3" t="inlineStr">
        <is>
          <t>사다리형</t>
        </is>
      </c>
      <c r="Z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3</t>
        </is>
      </c>
      <c r="C245" s="3" t="inlineStr">
        <is>
          <t>0</t>
        </is>
      </c>
      <c r="D245" s="3" t="inlineStr">
        <is>
          <t>다가구</t>
        </is>
      </c>
      <c r="E245" s="3" t="inlineStr">
        <is>
          <t>매매</t>
        </is>
      </c>
      <c r="F245" s="4" t="n">
        <v>49000</v>
      </c>
      <c r="G245" s="4" t="n">
        <v>0</v>
      </c>
      <c r="H245" s="4" t="n">
        <v>268</v>
      </c>
      <c r="I245" s="4" t="n">
        <v>81</v>
      </c>
      <c r="J245" s="5" t="n">
        <v>604.9</v>
      </c>
      <c r="K245" s="4" t="n">
        <v>397</v>
      </c>
      <c r="L245" s="4" t="n">
        <v>120</v>
      </c>
      <c r="M245" s="5" t="n">
        <v>408.3</v>
      </c>
      <c r="N245" s="3" t="inlineStr">
        <is>
          <t>홍대 후문 1분 거리로 선호하는 위치,수익률 좋고 투자 비용 낮음</t>
        </is>
      </c>
      <c r="O245" s="6">
        <f>HYPERLINK("https://fin.land.naver.com/articles/2643931071", "매물Link")</f>
        <v/>
      </c>
      <c r="P245" s="6">
        <f>HYPERLINK("https://map.naver.com/p/search/조치원읍 신안리 445-9", "지도Link")</f>
        <v/>
      </c>
      <c r="Q245" s="6">
        <f>HYPERLINK("http://www.eum.go.kr/web/ar/lu/luLandDet.jsp?pnu=3611025032104450009&amp;isNoScr=script&amp;mode=search", "토지이음")</f>
        <v/>
      </c>
      <c r="R245" s="3" t="inlineStr">
        <is>
          <t>유정희</t>
        </is>
      </c>
      <c r="S245" s="4" t="n">
        <v>1</v>
      </c>
      <c r="T245" s="5" t="n">
        <v>217</v>
      </c>
      <c r="U245" s="4" t="n">
        <v>268</v>
      </c>
      <c r="V245" s="3" t="inlineStr">
        <is>
          <t>지정되지않음</t>
        </is>
      </c>
      <c r="W245" s="3" t="inlineStr">
        <is>
          <t>다세대</t>
        </is>
      </c>
      <c r="X245" s="3" t="inlineStr">
        <is>
          <t>평지</t>
        </is>
      </c>
      <c r="Y245" s="3" t="inlineStr">
        <is>
          <t>사다리형</t>
        </is>
      </c>
      <c r="Z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4</t>
        </is>
      </c>
      <c r="C246" s="3" t="inlineStr">
        <is>
          <t>4</t>
        </is>
      </c>
      <c r="D246" s="3" t="inlineStr">
        <is>
          <t>빌라</t>
        </is>
      </c>
      <c r="E246" s="3" t="inlineStr">
        <is>
          <t>전세</t>
        </is>
      </c>
      <c r="F246" s="4" t="n">
        <v>3500</v>
      </c>
      <c r="G246" s="4" t="n">
        <v>0</v>
      </c>
      <c r="H246" s="4" t="n">
        <v>61</v>
      </c>
      <c r="I246" s="4" t="n">
        <v>18</v>
      </c>
      <c r="J246" s="5" t="n">
        <v>194.4</v>
      </c>
      <c r="K246" s="4" t="n">
        <v>55</v>
      </c>
      <c r="L246" s="4" t="n">
        <v>17</v>
      </c>
      <c r="M246" s="5" t="n">
        <v>205.9</v>
      </c>
      <c r="N246" s="3" t="inlineStr">
        <is>
          <t>일부리모델링 됨. 이사협의 가능. 도배.장판 새로.깨끗한 호실.</t>
        </is>
      </c>
      <c r="O246" s="6">
        <f>HYPERLINK("https://fin.land.naver.com/articles/2648775732", "매물Link")</f>
        <v/>
      </c>
      <c r="P246" s="6">
        <f>HYPERLINK("https://map.naver.com/p/search/조치원읍 신흥리 17-2", "지도Link")</f>
        <v/>
      </c>
      <c r="Q246" s="6">
        <f>HYPERLINK("http://www.eum.go.kr/web/ar/lu/luLandDet.jsp?pnu=3611025029100170002&amp;isNoScr=script&amp;mode=search", "토지이음")</f>
        <v/>
      </c>
      <c r="R246" s="3" t="inlineStr">
        <is>
          <t>굿모닝</t>
        </is>
      </c>
      <c r="S246" s="4" t="n">
        <v>1</v>
      </c>
      <c r="T246" s="5" t="n">
        <v>162.7</v>
      </c>
      <c r="U246" s="4" t="n">
        <v>451</v>
      </c>
      <c r="V246" s="3" t="inlineStr">
        <is>
          <t>지정되지않음</t>
        </is>
      </c>
      <c r="W246" s="3" t="inlineStr">
        <is>
          <t>다세대</t>
        </is>
      </c>
      <c r="X246" s="3" t="inlineStr">
        <is>
          <t>완경사</t>
        </is>
      </c>
      <c r="Y246" s="3" t="inlineStr">
        <is>
          <t>가로장방</t>
        </is>
      </c>
      <c r="Z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1</t>
        </is>
      </c>
      <c r="C247" s="3" t="inlineStr">
        <is>
          <t>0</t>
        </is>
      </c>
      <c r="D247" s="3" t="inlineStr">
        <is>
          <t>단독</t>
        </is>
      </c>
      <c r="E247" s="3" t="inlineStr">
        <is>
          <t>매매</t>
        </is>
      </c>
      <c r="F247" s="4" t="n">
        <v>36000</v>
      </c>
      <c r="G247" s="4" t="n">
        <v>0</v>
      </c>
      <c r="H247" s="4" t="n">
        <v>284</v>
      </c>
      <c r="I247" s="4" t="n">
        <v>86</v>
      </c>
      <c r="J247" s="5" t="n">
        <v>418.6</v>
      </c>
      <c r="K247" s="4" t="n">
        <v>73</v>
      </c>
      <c r="L247" s="4" t="n">
        <v>22</v>
      </c>
      <c r="M247" s="5" t="n">
        <v>1636.4</v>
      </c>
      <c r="N247" s="3" t="inlineStr">
        <is>
          <t>신흥리 위치 좋은 곳 단독주택</t>
        </is>
      </c>
      <c r="O247" s="6">
        <f>HYPERLINK("https://fin.land.naver.com/articles/2647576467", "매물Link")</f>
        <v/>
      </c>
      <c r="P247" s="6">
        <f>HYPERLINK("https://map.naver.com/p/search/조치원읍 신흥리 26-1", "지도Link")</f>
        <v/>
      </c>
      <c r="Q247" s="6">
        <f>HYPERLINK("http://www.eum.go.kr/web/ar/lu/luLandDet.jsp?pnu=3611025029100260001&amp;isNoScr=script&amp;mode=search", "토지이음")</f>
        <v/>
      </c>
      <c r="R247" s="3" t="inlineStr">
        <is>
          <t>KB세종</t>
        </is>
      </c>
      <c r="S247" s="4" t="n">
        <v>1</v>
      </c>
      <c r="T247" s="5" t="n">
        <v>185.6</v>
      </c>
      <c r="U247" s="4" t="n">
        <v>284</v>
      </c>
      <c r="V247" s="3" t="inlineStr">
        <is>
          <t>지정되지않음</t>
        </is>
      </c>
      <c r="W247" s="3" t="inlineStr">
        <is>
          <t>단독</t>
        </is>
      </c>
      <c r="X247" s="3" t="inlineStr">
        <is>
          <t>평지</t>
        </is>
      </c>
      <c r="Y247" s="3" t="inlineStr">
        <is>
          <t>사다리형</t>
        </is>
      </c>
      <c r="Z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1</t>
        </is>
      </c>
      <c r="C248" s="3" t="inlineStr">
        <is>
          <t>0</t>
        </is>
      </c>
      <c r="D248" s="3" t="inlineStr">
        <is>
          <t>단독</t>
        </is>
      </c>
      <c r="E248" s="3" t="inlineStr">
        <is>
          <t>매매</t>
        </is>
      </c>
      <c r="F248" s="4" t="n">
        <v>110000</v>
      </c>
      <c r="G248" s="4" t="n">
        <v>0</v>
      </c>
      <c r="H248" s="4" t="n">
        <v>345</v>
      </c>
      <c r="I248" s="4" t="n">
        <v>104</v>
      </c>
      <c r="J248" s="5" t="n">
        <v>1057.7</v>
      </c>
      <c r="K248" s="4" t="n">
        <v>70</v>
      </c>
      <c r="L248" s="4" t="n">
        <v>21</v>
      </c>
      <c r="M248" s="5" t="n">
        <v>5238.1</v>
      </c>
      <c r="N248" s="3" t="inlineStr">
        <is>
          <t>토지 가치가 돋보이는 주택입니다</t>
        </is>
      </c>
      <c r="O248" s="6">
        <f>HYPERLINK("https://fin.land.naver.com/articles/2647355842", "매물Link")</f>
        <v/>
      </c>
      <c r="P248" s="6">
        <f>HYPERLINK("https://map.naver.com/p/search/조치원읍 신흥리 63-10", "지도Link")</f>
        <v/>
      </c>
      <c r="Q248" s="6">
        <f>HYPERLINK("http://www.eum.go.kr/web/ar/lu/luLandDet.jsp?pnu=3611025029100630010&amp;isNoScr=script&amp;mode=search", "토지이음")</f>
        <v/>
      </c>
      <c r="R248" s="3" t="inlineStr">
        <is>
          <t>캠퍼스</t>
        </is>
      </c>
      <c r="S248" s="4" t="n">
        <v>1</v>
      </c>
      <c r="T248" s="5" t="n">
        <v>257.8</v>
      </c>
      <c r="U248" s="4" t="n">
        <v>345</v>
      </c>
      <c r="V248" s="3" t="inlineStr">
        <is>
          <t>지정되지않음</t>
        </is>
      </c>
      <c r="W248" s="3" t="inlineStr">
        <is>
          <t>단독</t>
        </is>
      </c>
      <c r="X248" s="3" t="inlineStr">
        <is>
          <t>평지</t>
        </is>
      </c>
      <c r="Y248" s="3" t="inlineStr">
        <is>
          <t>사다리형</t>
        </is>
      </c>
      <c r="Z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3</t>
        </is>
      </c>
      <c r="C249" s="3" t="inlineStr">
        <is>
          <t>0</t>
        </is>
      </c>
      <c r="D249" s="3" t="inlineStr">
        <is>
          <t>상가주택</t>
        </is>
      </c>
      <c r="E249" s="3" t="inlineStr">
        <is>
          <t>매매</t>
        </is>
      </c>
      <c r="F249" s="4" t="n">
        <v>26000</v>
      </c>
      <c r="G249" s="4" t="n">
        <v>0</v>
      </c>
      <c r="H249" s="4" t="n">
        <v>42</v>
      </c>
      <c r="I249" s="4" t="n">
        <v>13</v>
      </c>
      <c r="J249" s="5" t="n">
        <v>2000</v>
      </c>
      <c r="K249" s="4" t="n">
        <v>139</v>
      </c>
      <c r="L249" s="4" t="n">
        <v>42</v>
      </c>
      <c r="M249" s="5" t="n">
        <v>619</v>
      </c>
      <c r="N249" s="3" t="inlineStr">
        <is>
          <t>소형 상가주택매매,장사하시면서 거주하시기 좋아요.</t>
        </is>
      </c>
      <c r="O249" s="6">
        <f>HYPERLINK("https://fin.land.naver.com/articles/2647881780", "매물Link")</f>
        <v/>
      </c>
      <c r="P249" s="6">
        <f>HYPERLINK("https://map.naver.com/p/search/조치원읍 원리 15-9", "지도Link")</f>
        <v/>
      </c>
      <c r="Q249" s="6">
        <f>HYPERLINK("http://www.eum.go.kr/web/ar/lu/luLandDet.jsp?pnu=3611025021100150009&amp;isNoScr=script&amp;mode=search", "토지이음")</f>
        <v/>
      </c>
      <c r="R249" s="3" t="inlineStr">
        <is>
          <t>이음 사무소</t>
        </is>
      </c>
      <c r="S249" s="4" t="n">
        <v>1</v>
      </c>
      <c r="T249" s="5" t="n">
        <v>641.3</v>
      </c>
      <c r="U249" s="4" t="n">
        <v>67.8</v>
      </c>
      <c r="V249" s="3" t="inlineStr">
        <is>
          <t>지정되지않음</t>
        </is>
      </c>
      <c r="W249" s="3" t="inlineStr">
        <is>
          <t>상업용</t>
        </is>
      </c>
      <c r="X249" s="3" t="inlineStr">
        <is>
          <t>평지</t>
        </is>
      </c>
      <c r="Y249" s="3" t="inlineStr">
        <is>
          <t>정방형</t>
        </is>
      </c>
      <c r="Z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3</t>
        </is>
      </c>
      <c r="C250" s="3" t="inlineStr">
        <is>
          <t>0</t>
        </is>
      </c>
      <c r="D250" s="3" t="inlineStr">
        <is>
          <t>상가주택</t>
        </is>
      </c>
      <c r="E250" s="3" t="inlineStr">
        <is>
          <t>매매</t>
        </is>
      </c>
      <c r="F250" s="4" t="n">
        <v>26000</v>
      </c>
      <c r="G250" s="4" t="n">
        <v>0</v>
      </c>
      <c r="H250" s="4" t="n">
        <v>67</v>
      </c>
      <c r="I250" s="4" t="n">
        <v>20</v>
      </c>
      <c r="J250" s="5" t="n">
        <v>1300</v>
      </c>
      <c r="K250" s="4" t="n">
        <v>139</v>
      </c>
      <c r="L250" s="4" t="n">
        <v>42</v>
      </c>
      <c r="M250" s="5" t="n">
        <v>619</v>
      </c>
      <c r="N250" s="3" t="inlineStr">
        <is>
          <t>원리 서독안경원 골목 먹자골목내 자기상가하면서 거주하실분 추천</t>
        </is>
      </c>
      <c r="O250" s="6">
        <f>HYPERLINK("https://fin.land.naver.com/articles/2646830435", "매물Link")</f>
        <v/>
      </c>
      <c r="P250" s="6">
        <f>HYPERLINK("https://map.naver.com/p/search/조치원읍 원리 15-9", "지도Link")</f>
        <v/>
      </c>
      <c r="Q250" s="6">
        <f>HYPERLINK("http://www.eum.go.kr/web/ar/lu/luLandDet.jsp?pnu=3611025021100150009&amp;isNoScr=script&amp;mode=search", "토지이음")</f>
        <v/>
      </c>
      <c r="R250" s="3" t="inlineStr">
        <is>
          <t>OK수</t>
        </is>
      </c>
      <c r="S250" s="4" t="n">
        <v>1</v>
      </c>
      <c r="T250" s="5" t="n">
        <v>641.3</v>
      </c>
      <c r="U250" s="4" t="n">
        <v>67.8</v>
      </c>
      <c r="V250" s="3" t="inlineStr">
        <is>
          <t>지정되지않음</t>
        </is>
      </c>
      <c r="W250" s="3" t="inlineStr">
        <is>
          <t>상업용</t>
        </is>
      </c>
      <c r="X250" s="3" t="inlineStr">
        <is>
          <t>평지</t>
        </is>
      </c>
      <c r="Y250" s="3" t="inlineStr">
        <is>
          <t>정방형</t>
        </is>
      </c>
      <c r="Z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3</t>
        </is>
      </c>
      <c r="C251" s="3" t="inlineStr">
        <is>
          <t>0</t>
        </is>
      </c>
      <c r="D251" s="3" t="inlineStr">
        <is>
          <t>상가주택</t>
        </is>
      </c>
      <c r="E251" s="3" t="inlineStr">
        <is>
          <t>매매</t>
        </is>
      </c>
      <c r="F251" s="4" t="n">
        <v>120000</v>
      </c>
      <c r="G251" s="4" t="n">
        <v>0</v>
      </c>
      <c r="H251" s="4" t="n">
        <v>149</v>
      </c>
      <c r="I251" s="4" t="n">
        <v>45</v>
      </c>
      <c r="J251" s="5" t="n">
        <v>2666.7</v>
      </c>
      <c r="K251" s="4" t="n">
        <v>360</v>
      </c>
      <c r="L251" s="4" t="n">
        <v>109</v>
      </c>
      <c r="M251" s="5" t="n">
        <v>1100.9</v>
      </c>
      <c r="N251" s="3" t="inlineStr">
        <is>
          <t>조치원역 회전교차로 인근 최상위치</t>
        </is>
      </c>
      <c r="O251" s="6">
        <f>HYPERLINK("https://fin.land.naver.com/articles/2645226980", "매물Link")</f>
        <v/>
      </c>
      <c r="P251" s="6">
        <f>HYPERLINK("https://map.naver.com/p/search/조치원읍 원리 9-29", "지도Link")</f>
        <v/>
      </c>
      <c r="Q251" s="6">
        <f>HYPERLINK("http://www.eum.go.kr/web/ar/lu/luLandDet.jsp?pnu=3611025021100090029&amp;isNoScr=script&amp;mode=search", "토지이음")</f>
        <v/>
      </c>
      <c r="R251" s="3" t="inlineStr">
        <is>
          <t>OK수</t>
        </is>
      </c>
      <c r="S251" s="4" t="n">
        <v>1</v>
      </c>
      <c r="T251" s="5" t="n">
        <v>1102.1</v>
      </c>
      <c r="U251" s="4" t="n">
        <v>134.9</v>
      </c>
      <c r="V251" s="3" t="inlineStr">
        <is>
          <t>지정되지않음</t>
        </is>
      </c>
      <c r="W251" s="3" t="inlineStr">
        <is>
          <t>상업용</t>
        </is>
      </c>
      <c r="X251" s="3" t="inlineStr">
        <is>
          <t>평지</t>
        </is>
      </c>
      <c r="Y251" s="3" t="inlineStr">
        <is>
          <t>세로장방</t>
        </is>
      </c>
      <c r="Z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3</t>
        </is>
      </c>
      <c r="C252" s="3" t="inlineStr">
        <is>
          <t>4</t>
        </is>
      </c>
      <c r="D252" s="3" t="inlineStr">
        <is>
          <t>다가구</t>
        </is>
      </c>
      <c r="E252" s="3" t="inlineStr">
        <is>
          <t>전세</t>
        </is>
      </c>
      <c r="F252" s="4" t="n">
        <v>3000</v>
      </c>
      <c r="G252" s="4" t="n">
        <v>0</v>
      </c>
      <c r="H252" s="4" t="n">
        <v>30</v>
      </c>
      <c r="I252" s="4" t="n">
        <v>9</v>
      </c>
      <c r="J252" s="5" t="n">
        <v>333.3</v>
      </c>
      <c r="K252" s="4" t="n">
        <v>22</v>
      </c>
      <c r="L252" s="4" t="n">
        <v>7</v>
      </c>
      <c r="M252" s="5" t="n">
        <v>428.6</v>
      </c>
      <c r="N252" s="3" t="inlineStr">
        <is>
          <t>공실이라 즉시입주 가능한 분리형 원룸</t>
        </is>
      </c>
      <c r="O252" s="6">
        <f>HYPERLINK("https://fin.land.naver.com/articles/2648997531", "매물Link")</f>
        <v/>
      </c>
      <c r="P252" s="6">
        <f>HYPERLINK("https://map.naver.com/p/search/조치원읍 죽림리 206-2", "지도Link")</f>
        <v/>
      </c>
      <c r="Q252" s="6">
        <f>HYPERLINK("http://www.eum.go.kr/web/ar/lu/luLandDet.jsp?pnu=3611025030102060002&amp;isNoScr=script&amp;mode=search", "토지이음")</f>
        <v/>
      </c>
      <c r="R252" s="3" t="inlineStr">
        <is>
          <t>KB세종</t>
        </is>
      </c>
      <c r="S252" s="4" t="n">
        <v>1</v>
      </c>
      <c r="T252" s="5" t="n">
        <v>208.5</v>
      </c>
      <c r="U252" s="4" t="n">
        <v>190</v>
      </c>
      <c r="V252" s="3" t="inlineStr">
        <is>
          <t>지정되지않음</t>
        </is>
      </c>
      <c r="W252" s="3" t="inlineStr">
        <is>
          <t>단독</t>
        </is>
      </c>
      <c r="X252" s="3" t="inlineStr">
        <is>
          <t>평지</t>
        </is>
      </c>
      <c r="Y252" s="3" t="inlineStr">
        <is>
          <t>사다리형</t>
        </is>
      </c>
      <c r="Z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4</t>
        </is>
      </c>
      <c r="C253" s="3" t="inlineStr">
        <is>
          <t>0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160000</v>
      </c>
      <c r="G253" s="4" t="n">
        <v>0</v>
      </c>
      <c r="H253" s="4" t="n">
        <v>502</v>
      </c>
      <c r="I253" s="4" t="n">
        <v>152</v>
      </c>
      <c r="J253" s="5" t="n">
        <v>1052.6</v>
      </c>
      <c r="K253" s="4" t="n">
        <v>693</v>
      </c>
      <c r="L253" s="4" t="n">
        <v>210</v>
      </c>
      <c r="M253" s="5" t="n">
        <v>761.9</v>
      </c>
      <c r="N253" s="3" t="inlineStr">
        <is>
          <t>o몽땅o수익률9프로</t>
        </is>
      </c>
      <c r="O253" s="6">
        <f>HYPERLINK("https://fin.land.naver.com/articles/2644377680", "매물Link")</f>
        <v/>
      </c>
      <c r="P253" s="6">
        <f>HYPERLINK("https://map.naver.com/p/search/조치원읍 죽림리 338-2", "지도Link")</f>
        <v/>
      </c>
      <c r="Q253" s="6">
        <f>HYPERLINK("http://www.eum.go.kr/web/ar/lu/luLandDet.jsp?pnu=3611025030103380002&amp;isNoScr=script&amp;mode=search", "토지이음")</f>
        <v/>
      </c>
      <c r="R253" s="3" t="inlineStr">
        <is>
          <t>세종몽땅</t>
        </is>
      </c>
      <c r="S253" s="4" t="n">
        <v>1</v>
      </c>
      <c r="T253" s="5" t="n">
        <v>273.3</v>
      </c>
      <c r="U253" s="4" t="n">
        <v>502</v>
      </c>
      <c r="V253" s="3" t="inlineStr">
        <is>
          <t>지정되지않음</t>
        </is>
      </c>
      <c r="W253" s="3" t="inlineStr">
        <is>
          <t>단독</t>
        </is>
      </c>
      <c r="X253" s="3" t="inlineStr">
        <is>
          <t>평지</t>
        </is>
      </c>
      <c r="Y253" s="3" t="inlineStr">
        <is>
          <t>세로장방</t>
        </is>
      </c>
      <c r="Z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4</t>
        </is>
      </c>
      <c r="C254" s="3" t="inlineStr">
        <is>
          <t>0</t>
        </is>
      </c>
      <c r="D254" s="3" t="inlineStr">
        <is>
          <t>다가구</t>
        </is>
      </c>
      <c r="E254" s="3" t="inlineStr">
        <is>
          <t>매매</t>
        </is>
      </c>
      <c r="F254" s="4" t="n">
        <v>130000</v>
      </c>
      <c r="G254" s="4" t="n">
        <v>0</v>
      </c>
      <c r="H254" s="4" t="n">
        <v>502</v>
      </c>
      <c r="I254" s="4" t="n">
        <v>152</v>
      </c>
      <c r="J254" s="5" t="n">
        <v>855.3</v>
      </c>
      <c r="K254" s="4" t="n">
        <v>693</v>
      </c>
      <c r="L254" s="4" t="n">
        <v>210</v>
      </c>
      <c r="M254" s="5" t="n">
        <v>619</v>
      </c>
      <c r="N254" s="3" t="inlineStr">
        <is>
          <t>nan</t>
        </is>
      </c>
      <c r="O254" s="6">
        <f>HYPERLINK("https://fin.land.naver.com/articles/2645781590", "매물Link")</f>
        <v/>
      </c>
      <c r="P254" s="6">
        <f>HYPERLINK("https://map.naver.com/p/search/조치원읍 죽림리 338-2", "지도Link")</f>
        <v/>
      </c>
      <c r="Q254" s="6">
        <f>HYPERLINK("http://www.eum.go.kr/web/ar/lu/luLandDet.jsp?pnu=3611025030103380002&amp;isNoScr=script&amp;mode=search", "토지이음")</f>
        <v/>
      </c>
      <c r="R254" s="3" t="inlineStr">
        <is>
          <t>척척</t>
        </is>
      </c>
      <c r="S254" s="4" t="n">
        <v>1</v>
      </c>
      <c r="T254" s="5" t="n">
        <v>273.3</v>
      </c>
      <c r="U254" s="4" t="n">
        <v>502</v>
      </c>
      <c r="V254" s="3" t="inlineStr">
        <is>
          <t>지정되지않음</t>
        </is>
      </c>
      <c r="W254" s="3" t="inlineStr">
        <is>
          <t>단독</t>
        </is>
      </c>
      <c r="X254" s="3" t="inlineStr">
        <is>
          <t>평지</t>
        </is>
      </c>
      <c r="Y254" s="3" t="inlineStr">
        <is>
          <t>세로장방</t>
        </is>
      </c>
      <c r="Z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1</t>
        </is>
      </c>
      <c r="C255" s="3" t="inlineStr">
        <is>
          <t>0</t>
        </is>
      </c>
      <c r="D255" s="3" t="inlineStr">
        <is>
          <t>단독</t>
        </is>
      </c>
      <c r="E255" s="3" t="inlineStr">
        <is>
          <t>매매</t>
        </is>
      </c>
      <c r="F255" s="4" t="n">
        <v>6500</v>
      </c>
      <c r="G255" s="4" t="n">
        <v>0</v>
      </c>
      <c r="H255" s="4" t="n">
        <v>142</v>
      </c>
      <c r="I255" s="4" t="n">
        <v>43</v>
      </c>
      <c r="J255" s="5" t="n">
        <v>151.2</v>
      </c>
      <c r="K255" s="4" t="n">
        <v>43</v>
      </c>
      <c r="L255" s="4" t="n">
        <v>13</v>
      </c>
      <c r="M255" s="5" t="n">
        <v>500</v>
      </c>
      <c r="N255" s="3" t="inlineStr">
        <is>
          <t>nan</t>
        </is>
      </c>
      <c r="O255" s="6">
        <f>HYPERLINK("https://fin.land.naver.com/articles/2647881030", "매물Link")</f>
        <v/>
      </c>
      <c r="P255" s="6">
        <f>HYPERLINK("https://map.naver.com/p/search/조치원읍 침산리 130-20", "지도Link")</f>
        <v/>
      </c>
      <c r="Q255" s="6">
        <f>HYPERLINK("http://www.eum.go.kr/web/ar/lu/luLandDet.jsp?pnu=3611025028101300020&amp;isNoScr=script&amp;mode=search", "토지이음")</f>
        <v/>
      </c>
      <c r="R255" s="3" t="inlineStr">
        <is>
          <t>새둥지</t>
        </is>
      </c>
      <c r="S255" s="4" t="n">
        <v>1</v>
      </c>
      <c r="T255" s="5" t="n">
        <v>173</v>
      </c>
      <c r="U255" s="4" t="n">
        <v>142</v>
      </c>
      <c r="V255" s="3" t="inlineStr">
        <is>
          <t>지정되지않음</t>
        </is>
      </c>
      <c r="W255" s="3" t="inlineStr">
        <is>
          <t>단독</t>
        </is>
      </c>
      <c r="X255" s="3" t="inlineStr">
        <is>
          <t>평지</t>
        </is>
      </c>
      <c r="Y255" s="3" t="inlineStr">
        <is>
          <t>정방형</t>
        </is>
      </c>
      <c r="Z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1</t>
        </is>
      </c>
      <c r="C256" s="3" t="inlineStr">
        <is>
          <t>0</t>
        </is>
      </c>
      <c r="D256" s="3" t="inlineStr">
        <is>
          <t>단독</t>
        </is>
      </c>
      <c r="E256" s="3" t="inlineStr">
        <is>
          <t>매매</t>
        </is>
      </c>
      <c r="F256" s="4" t="n">
        <v>8300</v>
      </c>
      <c r="G256" s="4" t="n">
        <v>0</v>
      </c>
      <c r="H256" s="4" t="n">
        <v>84</v>
      </c>
      <c r="I256" s="4" t="n">
        <v>25</v>
      </c>
      <c r="J256" s="5" t="n">
        <v>332</v>
      </c>
      <c r="K256" s="4" t="n">
        <v>31</v>
      </c>
      <c r="L256" s="4" t="n">
        <v>9</v>
      </c>
      <c r="M256" s="5" t="n">
        <v>922.2</v>
      </c>
      <c r="N256" s="3" t="inlineStr">
        <is>
          <t>급매</t>
        </is>
      </c>
      <c r="O256" s="6">
        <f>HYPERLINK("https://fin.land.naver.com/articles/2643972920", "매물Link")</f>
        <v/>
      </c>
      <c r="P256" s="6">
        <f>HYPERLINK("https://map.naver.com/p/search/조치원읍 침산리 131-7", "지도Link")</f>
        <v/>
      </c>
      <c r="Q256" s="6">
        <f>HYPERLINK("http://www.eum.go.kr/web/ar/lu/luLandDet.jsp?pnu=3611025028101310007&amp;isNoScr=script&amp;mode=search", "토지이음")</f>
        <v/>
      </c>
      <c r="R256" s="3" t="inlineStr">
        <is>
          <t>진황금</t>
        </is>
      </c>
      <c r="S256" s="4" t="n">
        <v>1</v>
      </c>
      <c r="T256" s="5" t="n">
        <v>242.5</v>
      </c>
      <c r="U256" s="4" t="n">
        <v>55</v>
      </c>
      <c r="V256" s="3" t="inlineStr">
        <is>
          <t>지정되지않음</t>
        </is>
      </c>
      <c r="W256" s="3" t="inlineStr">
        <is>
          <t>주상기타</t>
        </is>
      </c>
      <c r="X256" s="3" t="inlineStr">
        <is>
          <t>평지</t>
        </is>
      </c>
      <c r="Y256" s="3" t="inlineStr">
        <is>
          <t>사다리형</t>
        </is>
      </c>
      <c r="Z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4</t>
        </is>
      </c>
      <c r="C257" s="3" t="inlineStr">
        <is>
          <t>4</t>
        </is>
      </c>
      <c r="D257" s="3" t="inlineStr">
        <is>
          <t>일반원룸</t>
        </is>
      </c>
      <c r="E257" s="3" t="inlineStr">
        <is>
          <t>월세</t>
        </is>
      </c>
      <c r="F257" s="4" t="n">
        <v>200</v>
      </c>
      <c r="G257" s="4" t="n">
        <v>23</v>
      </c>
      <c r="H257" s="4" t="n">
        <v>33</v>
      </c>
      <c r="I257" s="4" t="n">
        <v>10</v>
      </c>
      <c r="J257" s="5" t="n">
        <v>2.3</v>
      </c>
      <c r="K257" s="4" t="n">
        <v>16</v>
      </c>
      <c r="L257" s="4" t="n">
        <v>5</v>
      </c>
      <c r="M257" s="5" t="n">
        <v>4.6</v>
      </c>
      <c r="N257" s="3" t="inlineStr">
        <is>
          <t>뉴리모델링O조치원역부근O모두새것O햇살가득</t>
        </is>
      </c>
      <c r="O257" s="6">
        <f>HYPERLINK("https://fin.land.naver.com/articles/2646886305", "매물Link")</f>
        <v/>
      </c>
      <c r="P257" s="6">
        <f>HYPERLINK("https://map.naver.com/p/search/조치원읍 침산리 132-2", "지도Link")</f>
        <v/>
      </c>
      <c r="Q257" s="6">
        <f>HYPERLINK("http://www.eum.go.kr/web/ar/lu/luLandDet.jsp?pnu=3611025028101320002&amp;isNoScr=script&amp;mode=search", "토지이음")</f>
        <v/>
      </c>
      <c r="R257" s="3" t="inlineStr">
        <is>
          <t>척척</t>
        </is>
      </c>
      <c r="S257" s="4" t="n">
        <v>1</v>
      </c>
      <c r="T257" s="5" t="n">
        <v>303.2</v>
      </c>
      <c r="U257" s="4" t="n">
        <v>209</v>
      </c>
      <c r="V257" s="3" t="inlineStr">
        <is>
          <t>지정되지않음</t>
        </is>
      </c>
      <c r="W257" s="3" t="inlineStr">
        <is>
          <t>주상용</t>
        </is>
      </c>
      <c r="X257" s="3" t="inlineStr">
        <is>
          <t>평지</t>
        </is>
      </c>
      <c r="Y257" s="3" t="inlineStr">
        <is>
          <t>사다리형</t>
        </is>
      </c>
      <c r="Z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2</t>
        </is>
      </c>
      <c r="C258" s="3" t="inlineStr">
        <is>
          <t>0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52000</v>
      </c>
      <c r="G258" s="4" t="n">
        <v>0</v>
      </c>
      <c r="H258" s="4" t="n">
        <v>129</v>
      </c>
      <c r="I258" s="4" t="n">
        <v>39</v>
      </c>
      <c r="J258" s="5" t="n">
        <v>1333.3</v>
      </c>
      <c r="K258" s="4" t="n">
        <v>144</v>
      </c>
      <c r="L258" s="4" t="n">
        <v>44</v>
      </c>
      <c r="M258" s="5" t="n">
        <v>1181.8</v>
      </c>
      <c r="N258" s="3" t="inlineStr">
        <is>
          <t>조치원역 서쪽 4차선 도로접함 1층 상가 2층 주택이용하실분 추천</t>
        </is>
      </c>
      <c r="O258" s="6">
        <f>HYPERLINK("https://fin.land.naver.com/articles/2646832247", "매물Link")</f>
        <v/>
      </c>
      <c r="P258" s="6">
        <f>HYPERLINK("https://map.naver.com/p/search/조치원읍 침산리 144-9", "지도Link")</f>
        <v/>
      </c>
      <c r="Q258" s="6">
        <f>HYPERLINK("http://www.eum.go.kr/web/ar/lu/luLandDet.jsp?pnu=3611025028101440009&amp;isNoScr=script&amp;mode=search", "토지이음")</f>
        <v/>
      </c>
      <c r="R258" s="3" t="inlineStr">
        <is>
          <t>OK수</t>
        </is>
      </c>
      <c r="S258" s="4" t="n">
        <v>1</v>
      </c>
      <c r="T258" s="5" t="n">
        <v>404.6</v>
      </c>
      <c r="U258" s="4" t="n">
        <v>129</v>
      </c>
      <c r="V258" s="3" t="inlineStr">
        <is>
          <t>지정되지않음</t>
        </is>
      </c>
      <c r="W258" s="3" t="inlineStr">
        <is>
          <t>주상용</t>
        </is>
      </c>
      <c r="X258" s="3" t="inlineStr">
        <is>
          <t>평지</t>
        </is>
      </c>
      <c r="Y258" s="3" t="inlineStr">
        <is>
          <t>부정형</t>
        </is>
      </c>
      <c r="Z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3</t>
        </is>
      </c>
      <c r="C259" s="3" t="inlineStr">
        <is>
          <t>3</t>
        </is>
      </c>
      <c r="D259" s="3" t="inlineStr">
        <is>
          <t>빌라</t>
        </is>
      </c>
      <c r="E259" s="3" t="inlineStr">
        <is>
          <t>매매</t>
        </is>
      </c>
      <c r="F259" s="4" t="n">
        <v>7000</v>
      </c>
      <c r="G259" s="4" t="n">
        <v>0</v>
      </c>
      <c r="H259" s="4" t="n">
        <v>40</v>
      </c>
      <c r="I259" s="4" t="n">
        <v>12</v>
      </c>
      <c r="J259" s="5" t="n">
        <v>583.3</v>
      </c>
      <c r="K259" s="4" t="n">
        <v>35</v>
      </c>
      <c r="L259" s="4" t="n">
        <v>11</v>
      </c>
      <c r="M259" s="5" t="n">
        <v>636.4</v>
      </c>
      <c r="N259" s="3" t="inlineStr">
        <is>
          <t>nan</t>
        </is>
      </c>
      <c r="O259" s="6">
        <f>HYPERLINK("https://fin.land.naver.com/articles/2643973914", "매물Link")</f>
        <v/>
      </c>
      <c r="P259" s="6">
        <f>HYPERLINK("https://map.naver.com/p/search/조치원읍 침산리 148", "지도Link")</f>
        <v/>
      </c>
      <c r="Q259" s="6">
        <f>HYPERLINK("http://www.eum.go.kr/web/ar/lu/luLandDet.jsp?pnu=3611025028101480000&amp;isNoScr=script&amp;mode=search", "토지이음")</f>
        <v/>
      </c>
      <c r="R259" s="3" t="inlineStr">
        <is>
          <t>진황금</t>
        </is>
      </c>
      <c r="S259" s="4" t="n">
        <v>1</v>
      </c>
      <c r="T259" s="5" t="n">
        <v>161.4</v>
      </c>
      <c r="U259" s="4" t="n">
        <v>432</v>
      </c>
      <c r="V259" s="3" t="inlineStr">
        <is>
          <t>지정되지않음</t>
        </is>
      </c>
      <c r="W259" s="3" t="inlineStr">
        <is>
          <t>다세대</t>
        </is>
      </c>
      <c r="X259" s="3" t="inlineStr">
        <is>
          <t>완경사</t>
        </is>
      </c>
      <c r="Y259" s="3" t="inlineStr">
        <is>
          <t>가로장방</t>
        </is>
      </c>
      <c r="Z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3</t>
        </is>
      </c>
      <c r="C260" s="3" t="inlineStr">
        <is>
          <t>3</t>
        </is>
      </c>
      <c r="D260" s="3" t="inlineStr">
        <is>
          <t>빌라</t>
        </is>
      </c>
      <c r="E260" s="3" t="inlineStr">
        <is>
          <t>전세</t>
        </is>
      </c>
      <c r="F260" s="4" t="n">
        <v>6800</v>
      </c>
      <c r="G260" s="4" t="n">
        <v>0</v>
      </c>
      <c r="H260" s="4" t="n">
        <v>76</v>
      </c>
      <c r="I260" s="4" t="n">
        <v>23</v>
      </c>
      <c r="J260" s="5" t="n">
        <v>295.7</v>
      </c>
      <c r="K260" s="4" t="n">
        <v>76</v>
      </c>
      <c r="L260" s="4" t="n">
        <v>23</v>
      </c>
      <c r="M260" s="5" t="n">
        <v>295.7</v>
      </c>
      <c r="N260" s="3" t="inlineStr">
        <is>
          <t>공실,귀한 전세,보증보험가능,방이 큰 빌라</t>
        </is>
      </c>
      <c r="O260" s="6">
        <f>HYPERLINK("https://fin.land.naver.com/articles/2645805671", "매물Link")</f>
        <v/>
      </c>
      <c r="P260" s="6">
        <f>HYPERLINK("https://map.naver.com/p/search/조치원읍 침산리 148-3", "지도Link")</f>
        <v/>
      </c>
      <c r="Q260" s="6">
        <f>HYPERLINK("http://www.eum.go.kr/web/ar/lu/luLandDet.jsp?pnu=3611025028101480003&amp;isNoScr=script&amp;mode=search", "토지이음")</f>
        <v/>
      </c>
      <c r="R260" s="3" t="inlineStr">
        <is>
          <t>이천하이닉스사무소</t>
        </is>
      </c>
      <c r="S260" s="4" t="n">
        <v>1</v>
      </c>
      <c r="T260" s="5" t="n">
        <v>210.4</v>
      </c>
      <c r="U260" s="4" t="n">
        <v>645</v>
      </c>
      <c r="V260" s="3" t="inlineStr">
        <is>
          <t>지정되지않음</t>
        </is>
      </c>
      <c r="W260" s="3" t="inlineStr">
        <is>
          <t>다세대</t>
        </is>
      </c>
      <c r="X260" s="3" t="inlineStr">
        <is>
          <t>평지</t>
        </is>
      </c>
      <c r="Y260" s="3" t="inlineStr">
        <is>
          <t>세로장방</t>
        </is>
      </c>
      <c r="Z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3</t>
        </is>
      </c>
      <c r="C261" s="3" t="inlineStr">
        <is>
          <t>3</t>
        </is>
      </c>
      <c r="D261" s="3" t="inlineStr">
        <is>
          <t>빌라</t>
        </is>
      </c>
      <c r="E261" s="3" t="inlineStr">
        <is>
          <t>매매</t>
        </is>
      </c>
      <c r="F261" s="4" t="n">
        <v>7000</v>
      </c>
      <c r="G261" s="4" t="n">
        <v>0</v>
      </c>
      <c r="H261" s="4" t="n">
        <v>76</v>
      </c>
      <c r="I261" s="4" t="n">
        <v>23</v>
      </c>
      <c r="J261" s="5" t="n">
        <v>304.3</v>
      </c>
      <c r="K261" s="4" t="n">
        <v>76</v>
      </c>
      <c r="L261" s="4" t="n">
        <v>23</v>
      </c>
      <c r="M261" s="5" t="n">
        <v>304.3</v>
      </c>
      <c r="N261" s="3" t="inlineStr">
        <is>
          <t>공실,역세권 빌라,막히지 않은 조망,방이 큰 빌라</t>
        </is>
      </c>
      <c r="O261" s="6">
        <f>HYPERLINK("https://fin.land.naver.com/articles/2647281789", "매물Link")</f>
        <v/>
      </c>
      <c r="P261" s="6">
        <f>HYPERLINK("https://map.naver.com/p/search/조치원읍 침산리 148-3", "지도Link")</f>
        <v/>
      </c>
      <c r="Q261" s="6">
        <f>HYPERLINK("http://www.eum.go.kr/web/ar/lu/luLandDet.jsp?pnu=3611025028101480003&amp;isNoScr=script&amp;mode=search", "토지이음")</f>
        <v/>
      </c>
      <c r="R261" s="3" t="inlineStr">
        <is>
          <t>이천하이닉스사무소</t>
        </is>
      </c>
      <c r="S261" s="4" t="n">
        <v>1</v>
      </c>
      <c r="T261" s="5" t="n">
        <v>210.4</v>
      </c>
      <c r="U261" s="4" t="n">
        <v>645</v>
      </c>
      <c r="V261" s="3" t="inlineStr">
        <is>
          <t>지정되지않음</t>
        </is>
      </c>
      <c r="W261" s="3" t="inlineStr">
        <is>
          <t>다세대</t>
        </is>
      </c>
      <c r="X261" s="3" t="inlineStr">
        <is>
          <t>평지</t>
        </is>
      </c>
      <c r="Y261" s="3" t="inlineStr">
        <is>
          <t>세로장방</t>
        </is>
      </c>
      <c r="Z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4</t>
        </is>
      </c>
      <c r="C262" s="3" t="inlineStr">
        <is>
          <t>5</t>
        </is>
      </c>
      <c r="D262" s="3" t="inlineStr">
        <is>
          <t>다가구</t>
        </is>
      </c>
      <c r="E262" s="3" t="inlineStr">
        <is>
          <t>월세</t>
        </is>
      </c>
      <c r="F262" s="4" t="n">
        <v>300</v>
      </c>
      <c r="G262" s="4" t="n">
        <v>50</v>
      </c>
      <c r="H262" s="4" t="n">
        <v>130</v>
      </c>
      <c r="I262" s="4" t="n">
        <v>39</v>
      </c>
      <c r="J262" s="5" t="n">
        <v>1.3</v>
      </c>
      <c r="K262" s="4" t="n">
        <v>30</v>
      </c>
      <c r="L262" s="4" t="n">
        <v>9</v>
      </c>
      <c r="M262" s="5" t="n">
        <v>5.6</v>
      </c>
      <c r="N262" s="3" t="inlineStr">
        <is>
          <t>투룸 방2 월세</t>
        </is>
      </c>
      <c r="O262" s="6">
        <f>HYPERLINK("https://fin.land.naver.com/articles/2647861513", "매물Link")</f>
        <v/>
      </c>
      <c r="P262" s="6">
        <f>HYPERLINK("https://map.naver.com/p/search/조치원읍 침산리 251-6", "지도Link")</f>
        <v/>
      </c>
      <c r="Q262" s="6">
        <f>HYPERLINK("http://www.eum.go.kr/web/ar/lu/luLandDet.jsp?pnu=3611025028102510006&amp;isNoScr=script&amp;mode=search", "토지이음")</f>
        <v/>
      </c>
      <c r="R262" s="3" t="inlineStr">
        <is>
          <t>김준희</t>
        </is>
      </c>
      <c r="S262" s="4" t="n">
        <v>1</v>
      </c>
      <c r="T262" s="5" t="n">
        <v>526</v>
      </c>
      <c r="U262" s="4" t="n">
        <v>277.7</v>
      </c>
      <c r="V262" s="3" t="inlineStr">
        <is>
          <t>지정되지않음</t>
        </is>
      </c>
      <c r="W262" s="3" t="inlineStr">
        <is>
          <t>주상용</t>
        </is>
      </c>
      <c r="X262" s="3" t="inlineStr">
        <is>
          <t>평지</t>
        </is>
      </c>
      <c r="Y262" s="3" t="inlineStr">
        <is>
          <t>가로장방</t>
        </is>
      </c>
      <c r="Z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4</t>
        </is>
      </c>
      <c r="C263" s="3" t="inlineStr">
        <is>
          <t>5</t>
        </is>
      </c>
      <c r="D263" s="3" t="inlineStr">
        <is>
          <t>다가구</t>
        </is>
      </c>
      <c r="E263" s="3" t="inlineStr">
        <is>
          <t>월세</t>
        </is>
      </c>
      <c r="F263" s="4" t="n">
        <v>300</v>
      </c>
      <c r="G263" s="4" t="n">
        <v>55</v>
      </c>
      <c r="H263" s="4" t="n">
        <v>39</v>
      </c>
      <c r="I263" s="4" t="n">
        <v>12</v>
      </c>
      <c r="J263" s="5" t="n">
        <v>4.6</v>
      </c>
      <c r="K263" s="4" t="n">
        <v>39</v>
      </c>
      <c r="L263" s="4" t="n">
        <v>12</v>
      </c>
      <c r="M263" s="5" t="n">
        <v>4.6</v>
      </c>
      <c r="N263" s="3" t="inlineStr">
        <is>
          <t>침산리 투룸 월세 고려대 인접 상권 인프라 완벽한 화성타운</t>
        </is>
      </c>
      <c r="O263" s="6">
        <f>HYPERLINK("https://fin.land.naver.com/articles/2647479834", "매물Link")</f>
        <v/>
      </c>
      <c r="P263" s="6">
        <f>HYPERLINK("https://map.naver.com/p/search/조치원읍 침산리 251-6", "지도Link")</f>
        <v/>
      </c>
      <c r="Q263" s="6">
        <f>HYPERLINK("http://www.eum.go.kr/web/ar/lu/luLandDet.jsp?pnu=3611025028102510006&amp;isNoScr=script&amp;mode=search", "토지이음")</f>
        <v/>
      </c>
      <c r="R263" s="3" t="inlineStr">
        <is>
          <t>번암주공</t>
        </is>
      </c>
      <c r="S263" s="4" t="n">
        <v>1</v>
      </c>
      <c r="T263" s="5" t="n">
        <v>526</v>
      </c>
      <c r="U263" s="4" t="n">
        <v>277.7</v>
      </c>
      <c r="V263" s="3" t="inlineStr">
        <is>
          <t>지정되지않음</t>
        </is>
      </c>
      <c r="W263" s="3" t="inlineStr">
        <is>
          <t>주상용</t>
        </is>
      </c>
      <c r="X263" s="3" t="inlineStr">
        <is>
          <t>평지</t>
        </is>
      </c>
      <c r="Y263" s="3" t="inlineStr">
        <is>
          <t>가로장방</t>
        </is>
      </c>
      <c r="Z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4</t>
        </is>
      </c>
      <c r="C264" s="3" t="inlineStr">
        <is>
          <t>5</t>
        </is>
      </c>
      <c r="D264" s="3" t="inlineStr">
        <is>
          <t>일반원룸</t>
        </is>
      </c>
      <c r="E264" s="3" t="inlineStr">
        <is>
          <t>월세</t>
        </is>
      </c>
      <c r="F264" s="4" t="n">
        <v>300</v>
      </c>
      <c r="G264" s="4" t="n">
        <v>45</v>
      </c>
      <c r="H264" s="4" t="n">
        <v>0</v>
      </c>
      <c r="I264" s="4" t="n">
        <v>0</v>
      </c>
      <c r="J264" s="5" t="n">
        <v>0</v>
      </c>
      <c r="K264" s="4" t="n">
        <v>26</v>
      </c>
      <c r="L264" s="4" t="n">
        <v>8</v>
      </c>
      <c r="M264" s="5" t="n">
        <v>5.6</v>
      </c>
      <c r="N264" s="3" t="inlineStr">
        <is>
          <t>큰방2개 2룸</t>
        </is>
      </c>
      <c r="O264" s="6">
        <f>HYPERLINK("https://fin.land.naver.com/articles/2648309224", "매물Link")</f>
        <v/>
      </c>
      <c r="P264" s="6">
        <f>HYPERLINK("https://map.naver.com/p/search/조치원읍 침산리 251-6", "지도Link")</f>
        <v/>
      </c>
      <c r="Q264" s="6">
        <f>HYPERLINK("http://www.eum.go.kr/web/ar/lu/luLandDet.jsp?pnu=3611025028102510006&amp;isNoScr=script&amp;mode=search", "토지이음")</f>
        <v/>
      </c>
      <c r="R264" s="3" t="inlineStr">
        <is>
          <t>척척</t>
        </is>
      </c>
      <c r="S264" s="4" t="n">
        <v>1</v>
      </c>
      <c r="T264" s="5" t="n">
        <v>526</v>
      </c>
      <c r="U264" s="4" t="n">
        <v>277.7</v>
      </c>
      <c r="V264" s="3" t="inlineStr">
        <is>
          <t>지정되지않음</t>
        </is>
      </c>
      <c r="W264" s="3" t="inlineStr">
        <is>
          <t>주상용</t>
        </is>
      </c>
      <c r="X264" s="3" t="inlineStr">
        <is>
          <t>평지</t>
        </is>
      </c>
      <c r="Y264" s="3" t="inlineStr">
        <is>
          <t>가로장방</t>
        </is>
      </c>
      <c r="Z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4</t>
        </is>
      </c>
      <c r="C265" s="3" t="inlineStr">
        <is>
          <t>5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300</v>
      </c>
      <c r="G265" s="4" t="n">
        <v>55</v>
      </c>
      <c r="H265" s="4" t="n">
        <v>130</v>
      </c>
      <c r="I265" s="4" t="n">
        <v>39</v>
      </c>
      <c r="J265" s="5" t="n">
        <v>1.4</v>
      </c>
      <c r="K265" s="4" t="n">
        <v>39</v>
      </c>
      <c r="L265" s="4" t="n">
        <v>12</v>
      </c>
      <c r="M265" s="5" t="n">
        <v>4.6</v>
      </c>
      <c r="N265" s="3" t="inlineStr">
        <is>
          <t>nan</t>
        </is>
      </c>
      <c r="O265" s="6">
        <f>HYPERLINK("https://fin.land.naver.com/articles/2647831340", "매물Link")</f>
        <v/>
      </c>
      <c r="P265" s="6">
        <f>HYPERLINK("https://map.naver.com/p/search/조치원읍 침산리 251-6", "지도Link")</f>
        <v/>
      </c>
      <c r="Q265" s="6">
        <f>HYPERLINK("http://www.eum.go.kr/web/ar/lu/luLandDet.jsp?pnu=3611025028102510006&amp;isNoScr=script&amp;mode=search", "토지이음")</f>
        <v/>
      </c>
      <c r="R265" s="3" t="inlineStr">
        <is>
          <t>한뜰금빛</t>
        </is>
      </c>
      <c r="S265" s="4" t="n">
        <v>1</v>
      </c>
      <c r="T265" s="5" t="n">
        <v>526</v>
      </c>
      <c r="U265" s="4" t="n">
        <v>277.7</v>
      </c>
      <c r="V265" s="3" t="inlineStr">
        <is>
          <t>지정되지않음</t>
        </is>
      </c>
      <c r="W265" s="3" t="inlineStr">
        <is>
          <t>주상용</t>
        </is>
      </c>
      <c r="X265" s="3" t="inlineStr">
        <is>
          <t>평지</t>
        </is>
      </c>
      <c r="Y265" s="3" t="inlineStr">
        <is>
          <t>가로장방</t>
        </is>
      </c>
      <c r="Z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3</t>
        </is>
      </c>
      <c r="C266" s="3" t="inlineStr">
        <is>
          <t>4</t>
        </is>
      </c>
      <c r="D266" s="3" t="inlineStr">
        <is>
          <t>일반원룸</t>
        </is>
      </c>
      <c r="E266" s="3" t="inlineStr">
        <is>
          <t>월세</t>
        </is>
      </c>
      <c r="F266" s="4" t="n">
        <v>200</v>
      </c>
      <c r="G266" s="4" t="n">
        <v>45</v>
      </c>
      <c r="H266" s="4" t="n">
        <v>46</v>
      </c>
      <c r="I266" s="4" t="n">
        <v>14</v>
      </c>
      <c r="J266" s="5" t="n">
        <v>3.2</v>
      </c>
      <c r="K266" s="4" t="n">
        <v>39</v>
      </c>
      <c r="L266" s="4" t="n">
        <v>12</v>
      </c>
      <c r="M266" s="5" t="n">
        <v>3.8</v>
      </c>
      <c r="N266" s="3" t="inlineStr">
        <is>
          <t>원룸 2개구조. 2인숙소 강추.</t>
        </is>
      </c>
      <c r="O266" s="6">
        <f>HYPERLINK("https://fin.land.naver.com/articles/2649229081", "매물Link")</f>
        <v/>
      </c>
      <c r="P266" s="6">
        <f>HYPERLINK("https://map.naver.com/p/search/조치원읍 침산리 255-4", "지도Link")</f>
        <v/>
      </c>
      <c r="Q266" s="6">
        <f>HYPERLINK("http://www.eum.go.kr/web/ar/lu/luLandDet.jsp?pnu=3611025028102550004&amp;isNoScr=script&amp;mode=search", "토지이음")</f>
        <v/>
      </c>
      <c r="R266" s="3" t="inlineStr">
        <is>
          <t>척척</t>
        </is>
      </c>
      <c r="S266" s="4" t="n">
        <v>1</v>
      </c>
      <c r="T266" s="5" t="n">
        <v>289.8</v>
      </c>
      <c r="U266" s="4" t="n">
        <v>216.9</v>
      </c>
      <c r="V266" s="3" t="inlineStr">
        <is>
          <t>지정되지않음</t>
        </is>
      </c>
      <c r="W266" s="3" t="inlineStr">
        <is>
          <t>주거기타</t>
        </is>
      </c>
      <c r="X266" s="3" t="inlineStr">
        <is>
          <t>평지</t>
        </is>
      </c>
      <c r="Y266" s="3" t="inlineStr">
        <is>
          <t>정방형</t>
        </is>
      </c>
      <c r="Z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3</t>
        </is>
      </c>
      <c r="C267" s="3" t="inlineStr">
        <is>
          <t>4</t>
        </is>
      </c>
      <c r="D267" s="3" t="inlineStr">
        <is>
          <t>일반원룸</t>
        </is>
      </c>
      <c r="E267" s="3" t="inlineStr">
        <is>
          <t>월세</t>
        </is>
      </c>
      <c r="F267" s="4" t="n">
        <v>200</v>
      </c>
      <c r="G267" s="4" t="n">
        <v>45</v>
      </c>
      <c r="H267" s="4" t="n">
        <v>0</v>
      </c>
      <c r="I267" s="4" t="n">
        <v>0</v>
      </c>
      <c r="J267" s="5" t="n">
        <v>0</v>
      </c>
      <c r="K267" s="4" t="n">
        <v>33</v>
      </c>
      <c r="L267" s="4" t="n">
        <v>10</v>
      </c>
      <c r="M267" s="5" t="n">
        <v>4.5</v>
      </c>
      <c r="N267" s="3" t="inlineStr">
        <is>
          <t>화장실2개 에어컨 2개    2룸</t>
        </is>
      </c>
      <c r="O267" s="6">
        <f>HYPERLINK("https://fin.land.naver.com/articles/2649435819", "매물Link")</f>
        <v/>
      </c>
      <c r="P267" s="6">
        <f>HYPERLINK("https://map.naver.com/p/search/조치원읍 침산리 255-4", "지도Link")</f>
        <v/>
      </c>
      <c r="Q267" s="6">
        <f>HYPERLINK("http://www.eum.go.kr/web/ar/lu/luLandDet.jsp?pnu=3611025028102550004&amp;isNoScr=script&amp;mode=search", "토지이음")</f>
        <v/>
      </c>
      <c r="R267" s="3" t="inlineStr">
        <is>
          <t>척척</t>
        </is>
      </c>
      <c r="S267" s="4" t="n">
        <v>1</v>
      </c>
      <c r="T267" s="5" t="n">
        <v>289.8</v>
      </c>
      <c r="U267" s="4" t="n">
        <v>216.9</v>
      </c>
      <c r="V267" s="3" t="inlineStr">
        <is>
          <t>지정되지않음</t>
        </is>
      </c>
      <c r="W267" s="3" t="inlineStr">
        <is>
          <t>주거기타</t>
        </is>
      </c>
      <c r="X267" s="3" t="inlineStr">
        <is>
          <t>평지</t>
        </is>
      </c>
      <c r="Y267" s="3" t="inlineStr">
        <is>
          <t>정방형</t>
        </is>
      </c>
      <c r="Z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4</t>
        </is>
      </c>
      <c r="C268" s="3" t="inlineStr">
        <is>
          <t>4</t>
        </is>
      </c>
      <c r="D268" s="3" t="inlineStr">
        <is>
          <t>다가구</t>
        </is>
      </c>
      <c r="E268" s="3" t="inlineStr">
        <is>
          <t>월세</t>
        </is>
      </c>
      <c r="F268" s="4" t="n">
        <v>500</v>
      </c>
      <c r="G268" s="4" t="n">
        <v>55</v>
      </c>
      <c r="H268" s="4" t="n">
        <v>46</v>
      </c>
      <c r="I268" s="4" t="n">
        <v>14</v>
      </c>
      <c r="J268" s="5" t="n">
        <v>3.9</v>
      </c>
      <c r="K268" s="4" t="n">
        <v>39</v>
      </c>
      <c r="L268" s="4" t="n">
        <v>12</v>
      </c>
      <c r="M268" s="5" t="n">
        <v>4.6</v>
      </c>
      <c r="N268" s="3" t="inlineStr">
        <is>
          <t>2개.귀한투룸.상권좋고. 즉시입주가능</t>
        </is>
      </c>
      <c r="O268" s="6">
        <f>HYPERLINK("https://fin.land.naver.com/articles/2646624768", "매물Link")</f>
        <v/>
      </c>
      <c r="P268" s="6">
        <f>HYPERLINK("https://map.naver.com/p/search/조치원읍 침산리 258-1", "지도Link")</f>
        <v/>
      </c>
      <c r="Q268" s="6">
        <f>HYPERLINK("http://www.eum.go.kr/web/ar/lu/luLandDet.jsp?pnu=3611025028102580001&amp;isNoScr=script&amp;mode=search", "토지이음")</f>
        <v/>
      </c>
      <c r="R268" s="3" t="inlineStr">
        <is>
          <t>척척</t>
        </is>
      </c>
      <c r="S268" s="4" t="n">
        <v>1</v>
      </c>
      <c r="T268" s="5" t="n">
        <v>346.8</v>
      </c>
      <c r="U268" s="4" t="n">
        <v>237.5</v>
      </c>
      <c r="V268" s="3" t="inlineStr">
        <is>
          <t>지정되지않음</t>
        </is>
      </c>
      <c r="W268" s="3" t="inlineStr">
        <is>
          <t>주상기타</t>
        </is>
      </c>
      <c r="X268" s="3" t="inlineStr">
        <is>
          <t>평지</t>
        </is>
      </c>
      <c r="Y268" s="3" t="inlineStr">
        <is>
          <t>가로장방</t>
        </is>
      </c>
      <c r="Z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2</t>
        </is>
      </c>
      <c r="C269" s="3" t="inlineStr">
        <is>
          <t>4</t>
        </is>
      </c>
      <c r="D269" s="3" t="inlineStr">
        <is>
          <t>일반원룸</t>
        </is>
      </c>
      <c r="E269" s="3" t="inlineStr">
        <is>
          <t>월세</t>
        </is>
      </c>
      <c r="F269" s="4" t="n">
        <v>200</v>
      </c>
      <c r="G269" s="4" t="n">
        <v>28</v>
      </c>
      <c r="H269" s="4" t="n">
        <v>0</v>
      </c>
      <c r="I269" s="4" t="n">
        <v>0</v>
      </c>
      <c r="J269" s="5" t="n">
        <v>0</v>
      </c>
      <c r="K269" s="4" t="n">
        <v>23</v>
      </c>
      <c r="L269" s="4" t="n">
        <v>7</v>
      </c>
      <c r="M269" s="5" t="n">
        <v>4</v>
      </c>
      <c r="N269" s="3" t="inlineStr">
        <is>
          <t>nan</t>
        </is>
      </c>
      <c r="O269" s="6">
        <f>HYPERLINK("https://fin.land.naver.com/articles/2648302133", "매물Link")</f>
        <v/>
      </c>
      <c r="P269" s="6">
        <f>HYPERLINK("https://map.naver.com/p/search/조치원읍 침산리 265-11", "지도Link")</f>
        <v/>
      </c>
      <c r="Q269" s="6">
        <f>HYPERLINK("http://www.eum.go.kr/web/ar/lu/luLandDet.jsp?pnu=3611025028102650011&amp;isNoScr=script&amp;mode=search", "토지이음")</f>
        <v/>
      </c>
      <c r="R269" s="3" t="inlineStr">
        <is>
          <t>척척</t>
        </is>
      </c>
      <c r="S269" s="4" t="n">
        <v>1</v>
      </c>
      <c r="T269" s="5" t="n">
        <v>415.5</v>
      </c>
      <c r="U269" s="4" t="n">
        <v>190.7</v>
      </c>
      <c r="V269" s="3" t="inlineStr">
        <is>
          <t>지정되지않음</t>
        </is>
      </c>
      <c r="W269" s="3" t="inlineStr">
        <is>
          <t>주상기타</t>
        </is>
      </c>
      <c r="X269" s="3" t="inlineStr">
        <is>
          <t>평지</t>
        </is>
      </c>
      <c r="Y269" s="3" t="inlineStr">
        <is>
          <t>세로장방</t>
        </is>
      </c>
      <c r="Z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4</t>
        </is>
      </c>
      <c r="C270" s="3" t="inlineStr">
        <is>
          <t>4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40</v>
      </c>
      <c r="H270" s="4" t="n">
        <v>30</v>
      </c>
      <c r="I270" s="4" t="n">
        <v>9</v>
      </c>
      <c r="J270" s="5" t="n">
        <v>4.4</v>
      </c>
      <c r="K270" s="4" t="n">
        <v>30</v>
      </c>
      <c r="L270" s="4" t="n">
        <v>9</v>
      </c>
      <c r="M270" s="5" t="n">
        <v>4.4</v>
      </c>
      <c r="N270" s="3" t="inlineStr">
        <is>
          <t>투베이 분리형 이사협의</t>
        </is>
      </c>
      <c r="O270" s="6">
        <f>HYPERLINK("https://fin.land.naver.com/articles/2648493335", "매물Link")</f>
        <v/>
      </c>
      <c r="P270" s="6">
        <f>HYPERLINK("https://map.naver.com/p/search/조치원읍 침산리 265-9", "지도Link")</f>
        <v/>
      </c>
      <c r="Q270" s="6">
        <f>HYPERLINK("http://www.eum.go.kr/web/ar/lu/luLandDet.jsp?pnu=3611025028102650009&amp;isNoScr=script&amp;mode=search", "토지이음")</f>
        <v/>
      </c>
      <c r="R270" s="3" t="inlineStr">
        <is>
          <t>김준희</t>
        </is>
      </c>
      <c r="S270" s="4" t="n">
        <v>1</v>
      </c>
      <c r="T270" s="5" t="n">
        <v>419.8</v>
      </c>
      <c r="U270" s="4" t="n">
        <v>274.8</v>
      </c>
      <c r="V270" s="3" t="inlineStr">
        <is>
          <t>지정되지않음</t>
        </is>
      </c>
      <c r="W270" s="3" t="inlineStr">
        <is>
          <t>주상기타</t>
        </is>
      </c>
      <c r="X270" s="3" t="inlineStr">
        <is>
          <t>평지</t>
        </is>
      </c>
      <c r="Y270" s="3" t="inlineStr">
        <is>
          <t>정방형</t>
        </is>
      </c>
      <c r="Z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4</t>
        </is>
      </c>
      <c r="C271" s="3" t="inlineStr">
        <is>
          <t>0</t>
        </is>
      </c>
      <c r="D271" s="3" t="inlineStr">
        <is>
          <t>다가구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259</v>
      </c>
      <c r="I271" s="4" t="n">
        <v>78</v>
      </c>
      <c r="J271" s="5" t="n">
        <v>1282.1</v>
      </c>
      <c r="K271" s="4" t="n">
        <v>473</v>
      </c>
      <c r="L271" s="4" t="n">
        <v>143</v>
      </c>
      <c r="M271" s="5" t="n">
        <v>699.3</v>
      </c>
      <c r="N271" s="3" t="inlineStr">
        <is>
          <t>nan</t>
        </is>
      </c>
      <c r="O271" s="6">
        <f>HYPERLINK("https://fin.land.naver.com/articles/2649229764", "매물Link")</f>
        <v/>
      </c>
      <c r="P271" s="6">
        <f>HYPERLINK("https://map.naver.com/p/search/조치원읍 침산리 266-12", "지도Link")</f>
        <v/>
      </c>
      <c r="Q271" s="6">
        <f>HYPERLINK("http://www.eum.go.kr/web/ar/lu/luLandDet.jsp?pnu=3611025028102660012&amp;isNoScr=script&amp;mode=search", "토지이음")</f>
        <v/>
      </c>
      <c r="R271" s="3" t="inlineStr">
        <is>
          <t>김준희</t>
        </is>
      </c>
      <c r="S271" s="4" t="n">
        <v>1</v>
      </c>
      <c r="T271" s="5" t="n">
        <v>318.2</v>
      </c>
      <c r="U271" s="4" t="n">
        <v>259.5</v>
      </c>
      <c r="V271" s="3" t="inlineStr">
        <is>
          <t>지정되지않음</t>
        </is>
      </c>
      <c r="W271" s="3" t="inlineStr">
        <is>
          <t>다세대</t>
        </is>
      </c>
      <c r="X271" s="3" t="inlineStr">
        <is>
          <t>평지</t>
        </is>
      </c>
      <c r="Y271" s="3" t="inlineStr">
        <is>
          <t>세로장방</t>
        </is>
      </c>
      <c r="Z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2</t>
        </is>
      </c>
      <c r="C272" s="3" t="inlineStr">
        <is>
          <t>4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100</v>
      </c>
      <c r="G272" s="4" t="n">
        <v>30</v>
      </c>
      <c r="H272" s="4" t="n">
        <v>23</v>
      </c>
      <c r="I272" s="4" t="n">
        <v>7</v>
      </c>
      <c r="J272" s="5" t="n">
        <v>4.3</v>
      </c>
      <c r="K272" s="4" t="n">
        <v>23</v>
      </c>
      <c r="L272" s="4" t="n">
        <v>7</v>
      </c>
      <c r="M272" s="5" t="n">
        <v>4.3</v>
      </c>
      <c r="N272" s="3" t="inlineStr">
        <is>
          <t>침산리 원룸 월세 보100 월30 관리비10</t>
        </is>
      </c>
      <c r="O272" s="6">
        <f>HYPERLINK("https://fin.land.naver.com/articles/2647838658", "매물Link")</f>
        <v/>
      </c>
      <c r="P272" s="6">
        <f>HYPERLINK("https://map.naver.com/p/search/조치원읍 침산리 267-11", "지도Link")</f>
        <v/>
      </c>
      <c r="Q272" s="6">
        <f>HYPERLINK("http://www.eum.go.kr/web/ar/lu/luLandDet.jsp?pnu=3611025028102670011&amp;isNoScr=script&amp;mode=search", "토지이음")</f>
        <v/>
      </c>
      <c r="R272" s="3" t="inlineStr">
        <is>
          <t>김준희</t>
        </is>
      </c>
      <c r="S272" s="4" t="n">
        <v>1</v>
      </c>
      <c r="T272" s="5" t="n">
        <v>286.8</v>
      </c>
      <c r="U272" s="4" t="n">
        <v>254.5</v>
      </c>
      <c r="V272" s="3" t="inlineStr">
        <is>
          <t>지정되지않음</t>
        </is>
      </c>
      <c r="W272" s="3" t="inlineStr">
        <is>
          <t>다세대</t>
        </is>
      </c>
      <c r="X272" s="3" t="inlineStr">
        <is>
          <t>평지</t>
        </is>
      </c>
      <c r="Y272" s="3" t="inlineStr">
        <is>
          <t>세로장방</t>
        </is>
      </c>
      <c r="Z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2</t>
        </is>
      </c>
      <c r="C273" s="3" t="inlineStr">
        <is>
          <t>4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200</v>
      </c>
      <c r="G273" s="4" t="n">
        <v>30</v>
      </c>
      <c r="H273" s="4" t="n">
        <v>0</v>
      </c>
      <c r="I273" s="4" t="n">
        <v>0</v>
      </c>
      <c r="J273" s="5" t="n">
        <v>0</v>
      </c>
      <c r="K273" s="4" t="n">
        <v>23</v>
      </c>
      <c r="L273" s="4" t="n">
        <v>7</v>
      </c>
      <c r="M273" s="5" t="n">
        <v>4.3</v>
      </c>
      <c r="N273" s="3" t="inlineStr">
        <is>
          <t>욱일앞 생활편의 시설 좋은 위치</t>
        </is>
      </c>
      <c r="O273" s="6">
        <f>HYPERLINK("https://fin.land.naver.com/articles/2648305935", "매물Link")</f>
        <v/>
      </c>
      <c r="P273" s="6">
        <f>HYPERLINK("https://map.naver.com/p/search/조치원읍 침산리 267-11", "지도Link")</f>
        <v/>
      </c>
      <c r="Q273" s="6">
        <f>HYPERLINK("http://www.eum.go.kr/web/ar/lu/luLandDet.jsp?pnu=3611025028102670011&amp;isNoScr=script&amp;mode=search", "토지이음")</f>
        <v/>
      </c>
      <c r="R273" s="3" t="inlineStr">
        <is>
          <t>척척</t>
        </is>
      </c>
      <c r="S273" s="4" t="n">
        <v>1</v>
      </c>
      <c r="T273" s="5" t="n">
        <v>286.8</v>
      </c>
      <c r="U273" s="4" t="n">
        <v>254.5</v>
      </c>
      <c r="V273" s="3" t="inlineStr">
        <is>
          <t>지정되지않음</t>
        </is>
      </c>
      <c r="W273" s="3" t="inlineStr">
        <is>
          <t>다세대</t>
        </is>
      </c>
      <c r="X273" s="3" t="inlineStr">
        <is>
          <t>평지</t>
        </is>
      </c>
      <c r="Y273" s="3" t="inlineStr">
        <is>
          <t>세로장방</t>
        </is>
      </c>
      <c r="Z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3</t>
        </is>
      </c>
      <c r="C274" s="3" t="inlineStr">
        <is>
          <t>4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200</v>
      </c>
      <c r="G274" s="4" t="n">
        <v>32</v>
      </c>
      <c r="H274" s="4" t="n">
        <v>0</v>
      </c>
      <c r="I274" s="4" t="n">
        <v>0</v>
      </c>
      <c r="J274" s="5" t="n">
        <v>0</v>
      </c>
      <c r="K274" s="4" t="n">
        <v>25</v>
      </c>
      <c r="L274" s="4" t="n">
        <v>8</v>
      </c>
      <c r="M274" s="5" t="n">
        <v>4</v>
      </c>
      <c r="N274" s="3" t="inlineStr">
        <is>
          <t>넓고 깔끔한 풀옵션 완비방  엘베는기본  주방분리  짐만 가져오세요</t>
        </is>
      </c>
      <c r="O274" s="6">
        <f>HYPERLINK("https://fin.land.naver.com/articles/2648333716", "매물Link")</f>
        <v/>
      </c>
      <c r="P274" s="6">
        <f>HYPERLINK("https://map.naver.com/p/search/조치원읍 침산리 267-7", "지도Link")</f>
        <v/>
      </c>
      <c r="Q274" s="6">
        <f>HYPERLINK("http://www.eum.go.kr/web/ar/lu/luLandDet.jsp?pnu=3611025028102670007&amp;isNoScr=script&amp;mode=search", "토지이음")</f>
        <v/>
      </c>
      <c r="R274" s="3" t="inlineStr">
        <is>
          <t>연서으뜸</t>
        </is>
      </c>
      <c r="S274" s="4" t="n">
        <v>1</v>
      </c>
      <c r="T274" s="5" t="n">
        <v>428.4</v>
      </c>
      <c r="U274" s="4" t="n">
        <v>337.6</v>
      </c>
      <c r="V274" s="3" t="inlineStr">
        <is>
          <t>지정되지않음</t>
        </is>
      </c>
      <c r="W274" s="3" t="inlineStr">
        <is>
          <t>주상기타</t>
        </is>
      </c>
      <c r="X274" s="3" t="inlineStr">
        <is>
          <t>평지</t>
        </is>
      </c>
      <c r="Y274" s="3" t="inlineStr">
        <is>
          <t>정방형</t>
        </is>
      </c>
      <c r="Z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4</t>
        </is>
      </c>
      <c r="C275" s="3" t="inlineStr">
        <is>
          <t>0</t>
        </is>
      </c>
      <c r="D275" s="3" t="inlineStr">
        <is>
          <t>다가구</t>
        </is>
      </c>
      <c r="E275" s="3" t="inlineStr">
        <is>
          <t>매매</t>
        </is>
      </c>
      <c r="F275" s="4" t="n">
        <v>93000</v>
      </c>
      <c r="G275" s="4" t="n">
        <v>0</v>
      </c>
      <c r="H275" s="4" t="n">
        <v>227</v>
      </c>
      <c r="I275" s="4" t="n">
        <v>69</v>
      </c>
      <c r="J275" s="5" t="n">
        <v>1347.8</v>
      </c>
      <c r="K275" s="4" t="n">
        <v>370</v>
      </c>
      <c r="L275" s="4" t="n">
        <v>112</v>
      </c>
      <c r="M275" s="5" t="n">
        <v>830.4</v>
      </c>
      <c r="N275" s="3" t="inlineStr">
        <is>
          <t>관리잘됨. 공실 걱정 없는 곳. 역5분</t>
        </is>
      </c>
      <c r="O275" s="6">
        <f>HYPERLINK("https://fin.land.naver.com/articles/2644120482", "매물Link")</f>
        <v/>
      </c>
      <c r="P275" s="6">
        <f>HYPERLINK("https://map.naver.com/p/search/조치원읍 침산리 277-15", "지도Link")</f>
        <v/>
      </c>
      <c r="Q275" s="6">
        <f>HYPERLINK("http://www.eum.go.kr/web/ar/lu/luLandDet.jsp?pnu=3611025028102770015&amp;isNoScr=script&amp;mode=search", "토지이음")</f>
        <v/>
      </c>
      <c r="R275" s="3" t="inlineStr">
        <is>
          <t>바다</t>
        </is>
      </c>
      <c r="S275" s="4" t="n">
        <v>1</v>
      </c>
      <c r="T275" s="5" t="n">
        <v>283.1</v>
      </c>
      <c r="U275" s="4" t="n">
        <v>227.9</v>
      </c>
      <c r="V275" s="3" t="inlineStr">
        <is>
          <t>지정되지않음</t>
        </is>
      </c>
      <c r="W275" s="3" t="inlineStr">
        <is>
          <t>단독</t>
        </is>
      </c>
      <c r="X275" s="3" t="inlineStr">
        <is>
          <t>평지</t>
        </is>
      </c>
      <c r="Y275" s="3" t="inlineStr">
        <is>
          <t>세로장방</t>
        </is>
      </c>
      <c r="Z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2</t>
        </is>
      </c>
      <c r="C276" s="3" t="inlineStr">
        <is>
          <t>4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31</v>
      </c>
      <c r="H276" s="4" t="n">
        <v>28</v>
      </c>
      <c r="I276" s="4" t="n">
        <v>8</v>
      </c>
      <c r="J276" s="5" t="n">
        <v>3.9</v>
      </c>
      <c r="K276" s="4" t="n">
        <v>25</v>
      </c>
      <c r="L276" s="4" t="n">
        <v>8</v>
      </c>
      <c r="M276" s="5" t="n">
        <v>3.9</v>
      </c>
      <c r="N276" s="3" t="inlineStr">
        <is>
          <t>분리형원룸.즉시입주가능.</t>
        </is>
      </c>
      <c r="O276" s="6">
        <f>HYPERLINK("https://fin.land.naver.com/articles/2646875981", "매물Link")</f>
        <v/>
      </c>
      <c r="P276" s="6">
        <f>HYPERLINK("https://map.naver.com/p/search/조치원읍 침산리 277-15", "지도Link")</f>
        <v/>
      </c>
      <c r="Q276" s="6">
        <f>HYPERLINK("http://www.eum.go.kr/web/ar/lu/luLandDet.jsp?pnu=3611025028102770015&amp;isNoScr=script&amp;mode=search", "토지이음")</f>
        <v/>
      </c>
      <c r="R276" s="3" t="inlineStr">
        <is>
          <t>이음</t>
        </is>
      </c>
      <c r="S276" s="4" t="n">
        <v>1</v>
      </c>
      <c r="T276" s="5" t="n">
        <v>283.1</v>
      </c>
      <c r="U276" s="4" t="n">
        <v>227.9</v>
      </c>
      <c r="V276" s="3" t="inlineStr">
        <is>
          <t>지정되지않음</t>
        </is>
      </c>
      <c r="W276" s="3" t="inlineStr">
        <is>
          <t>단독</t>
        </is>
      </c>
      <c r="X276" s="3" t="inlineStr">
        <is>
          <t>평지</t>
        </is>
      </c>
      <c r="Y276" s="3" t="inlineStr">
        <is>
          <t>세로장방</t>
        </is>
      </c>
      <c r="Z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4</t>
        </is>
      </c>
      <c r="C277" s="3" t="inlineStr">
        <is>
          <t>0</t>
        </is>
      </c>
      <c r="D277" s="3" t="inlineStr">
        <is>
          <t>다가구</t>
        </is>
      </c>
      <c r="E277" s="3" t="inlineStr">
        <is>
          <t>매매</t>
        </is>
      </c>
      <c r="F277" s="4" t="n">
        <v>110000</v>
      </c>
      <c r="G277" s="4" t="n">
        <v>0</v>
      </c>
      <c r="H277" s="4" t="n">
        <v>257</v>
      </c>
      <c r="I277" s="4" t="n">
        <v>78</v>
      </c>
      <c r="J277" s="5" t="n">
        <v>1410.3</v>
      </c>
      <c r="K277" s="4" t="n">
        <v>459</v>
      </c>
      <c r="L277" s="4" t="n">
        <v>139</v>
      </c>
      <c r="M277" s="5" t="n">
        <v>791.4</v>
      </c>
      <c r="N277" s="3" t="inlineStr">
        <is>
          <t>nan</t>
        </is>
      </c>
      <c r="O277" s="6">
        <f>HYPERLINK("https://fin.land.naver.com/articles/2645776356", "매물Link")</f>
        <v/>
      </c>
      <c r="P277" s="6">
        <f>HYPERLINK("https://map.naver.com/p/search/조치원읍 침산리 278-11", "지도Link")</f>
        <v/>
      </c>
      <c r="Q277" s="6">
        <f>HYPERLINK("http://www.eum.go.kr/web/ar/lu/luLandDet.jsp?pnu=3611025028102780011&amp;isNoScr=script&amp;mode=search", "토지이음")</f>
        <v/>
      </c>
      <c r="R277" s="3" t="inlineStr">
        <is>
          <t>척척</t>
        </is>
      </c>
      <c r="S277" s="4" t="n">
        <v>1</v>
      </c>
      <c r="T277" s="5" t="n">
        <v>296.4</v>
      </c>
      <c r="U277" s="4" t="n">
        <v>257.9</v>
      </c>
      <c r="V277" s="3" t="inlineStr">
        <is>
          <t>지정되지않음</t>
        </is>
      </c>
      <c r="W277" s="3" t="inlineStr">
        <is>
          <t>단독</t>
        </is>
      </c>
      <c r="X277" s="3" t="inlineStr">
        <is>
          <t>평지</t>
        </is>
      </c>
      <c r="Y277" s="3" t="inlineStr">
        <is>
          <t>정방형</t>
        </is>
      </c>
      <c r="Z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3</t>
        </is>
      </c>
      <c r="C278" s="3" t="inlineStr">
        <is>
          <t>4</t>
        </is>
      </c>
      <c r="D278" s="3" t="inlineStr">
        <is>
          <t>단독</t>
        </is>
      </c>
      <c r="E278" s="3" t="inlineStr">
        <is>
          <t>월세</t>
        </is>
      </c>
      <c r="F278" s="4" t="n">
        <v>300</v>
      </c>
      <c r="G278" s="4" t="n">
        <v>28</v>
      </c>
      <c r="H278" s="4" t="n">
        <v>29</v>
      </c>
      <c r="I278" s="4" t="n">
        <v>9</v>
      </c>
      <c r="J278" s="5" t="n">
        <v>3.1</v>
      </c>
      <c r="K278" s="4" t="n">
        <v>23</v>
      </c>
      <c r="L278" s="4" t="n">
        <v>7</v>
      </c>
      <c r="M278" s="5" t="n">
        <v>4</v>
      </c>
      <c r="N278" s="3" t="inlineStr">
        <is>
          <t>1.3룸 l원룸보다 저렴한가격에 l가져가세요l인프라좋아요</t>
        </is>
      </c>
      <c r="O278" s="6">
        <f>HYPERLINK("https://fin.land.naver.com/articles/2649080674", "매물Link")</f>
        <v/>
      </c>
      <c r="P278" s="6">
        <f>HYPERLINK("https://map.naver.com/p/search/조치원읍 침산리 279-16", "지도Link")</f>
        <v/>
      </c>
      <c r="Q278" s="6">
        <f>HYPERLINK("http://www.eum.go.kr/web/ar/lu/luLandDet.jsp?pnu=3611025028102790016&amp;isNoScr=script&amp;mode=search", "토지이음")</f>
        <v/>
      </c>
      <c r="R278" s="3" t="inlineStr">
        <is>
          <t>마이룸</t>
        </is>
      </c>
      <c r="S278" s="4" t="n">
        <v>1</v>
      </c>
      <c r="T278" s="5" t="n">
        <v>299.6</v>
      </c>
      <c r="U278" s="4" t="n">
        <v>315</v>
      </c>
      <c r="V278" s="3" t="inlineStr">
        <is>
          <t>지정되지않음</t>
        </is>
      </c>
      <c r="W278" s="3" t="inlineStr">
        <is>
          <t>단독</t>
        </is>
      </c>
      <c r="X278" s="3" t="inlineStr">
        <is>
          <t>평지</t>
        </is>
      </c>
      <c r="Y278" s="3" t="inlineStr">
        <is>
          <t>정방형</t>
        </is>
      </c>
      <c r="Z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2</t>
        </is>
      </c>
      <c r="C279" s="3" t="inlineStr">
        <is>
          <t>4</t>
        </is>
      </c>
      <c r="D279" s="3" t="inlineStr">
        <is>
          <t>다가구</t>
        </is>
      </c>
      <c r="E279" s="3" t="inlineStr">
        <is>
          <t>월세</t>
        </is>
      </c>
      <c r="F279" s="4" t="n">
        <v>200</v>
      </c>
      <c r="G279" s="4" t="n">
        <v>23</v>
      </c>
      <c r="H279" s="4" t="n">
        <v>20</v>
      </c>
      <c r="I279" s="4" t="n">
        <v>6</v>
      </c>
      <c r="J279" s="5" t="n">
        <v>3.8</v>
      </c>
      <c r="K279" s="4" t="n">
        <v>18</v>
      </c>
      <c r="L279" s="4" t="n">
        <v>5</v>
      </c>
      <c r="M279" s="5" t="n">
        <v>4.6</v>
      </c>
      <c r="N279" s="3" t="inlineStr">
        <is>
          <t>시원하고 따뜻한집전기가스30절감 깔끔한집</t>
        </is>
      </c>
      <c r="O279" s="6">
        <f>HYPERLINK("https://fin.land.naver.com/articles/2649080565", "매물Link")</f>
        <v/>
      </c>
      <c r="P279" s="6">
        <f>HYPERLINK("https://map.naver.com/p/search/조치원읍 침산리 279-16", "지도Link")</f>
        <v/>
      </c>
      <c r="Q279" s="6">
        <f>HYPERLINK("http://www.eum.go.kr/web/ar/lu/luLandDet.jsp?pnu=3611025028102790016&amp;isNoScr=script&amp;mode=search", "토지이음")</f>
        <v/>
      </c>
      <c r="R279" s="3" t="inlineStr">
        <is>
          <t>마이룸</t>
        </is>
      </c>
      <c r="S279" s="4" t="n">
        <v>1</v>
      </c>
      <c r="T279" s="5" t="n">
        <v>299.6</v>
      </c>
      <c r="U279" s="4" t="n">
        <v>315</v>
      </c>
      <c r="V279" s="3" t="inlineStr">
        <is>
          <t>지정되지않음</t>
        </is>
      </c>
      <c r="W279" s="3" t="inlineStr">
        <is>
          <t>단독</t>
        </is>
      </c>
      <c r="X279" s="3" t="inlineStr">
        <is>
          <t>평지</t>
        </is>
      </c>
      <c r="Y279" s="3" t="inlineStr">
        <is>
          <t>정방형</t>
        </is>
      </c>
      <c r="Z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4</t>
        </is>
      </c>
      <c r="C280" s="3" t="inlineStr">
        <is>
          <t>0</t>
        </is>
      </c>
      <c r="D280" s="3" t="inlineStr">
        <is>
          <t>다가구</t>
        </is>
      </c>
      <c r="E280" s="3" t="inlineStr">
        <is>
          <t>매매</t>
        </is>
      </c>
      <c r="F280" s="4" t="n">
        <v>98000</v>
      </c>
      <c r="G280" s="4" t="n">
        <v>0</v>
      </c>
      <c r="H280" s="4" t="n">
        <v>309</v>
      </c>
      <c r="I280" s="4" t="n">
        <v>93</v>
      </c>
      <c r="J280" s="5" t="n">
        <v>1053.8</v>
      </c>
      <c r="K280" s="4" t="n">
        <v>504</v>
      </c>
      <c r="L280" s="4" t="n">
        <v>152</v>
      </c>
      <c r="M280" s="5" t="n">
        <v>644.7</v>
      </c>
      <c r="N280" s="3" t="inlineStr">
        <is>
          <t>nan</t>
        </is>
      </c>
      <c r="O280" s="6">
        <f>HYPERLINK("https://fin.land.naver.com/articles/2645775884", "매물Link")</f>
        <v/>
      </c>
      <c r="P280" s="6">
        <f>HYPERLINK("https://map.naver.com/p/search/조치원읍 침산리 280-5", "지도Link")</f>
        <v/>
      </c>
      <c r="Q280" s="6">
        <f>HYPERLINK("http://www.eum.go.kr/web/ar/lu/luLandDet.jsp?pnu=3611025028102800005&amp;isNoScr=script&amp;mode=search", "토지이음")</f>
        <v/>
      </c>
      <c r="R280" s="3" t="inlineStr">
        <is>
          <t>척척</t>
        </is>
      </c>
      <c r="S280" s="4" t="n">
        <v>1</v>
      </c>
      <c r="T280" s="5" t="n">
        <v>288.8</v>
      </c>
      <c r="U280" s="4" t="n">
        <v>309.4</v>
      </c>
      <c r="V280" s="3" t="inlineStr">
        <is>
          <t>지정되지않음</t>
        </is>
      </c>
      <c r="W280" s="3" t="inlineStr">
        <is>
          <t>단독</t>
        </is>
      </c>
      <c r="X280" s="3" t="inlineStr">
        <is>
          <t>평지</t>
        </is>
      </c>
      <c r="Y280" s="3" t="inlineStr">
        <is>
          <t>정방형</t>
        </is>
      </c>
      <c r="Z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4</t>
        </is>
      </c>
      <c r="C281" s="3" t="inlineStr">
        <is>
          <t>4</t>
        </is>
      </c>
      <c r="D281" s="3" t="inlineStr">
        <is>
          <t>다가구</t>
        </is>
      </c>
      <c r="E281" s="3" t="inlineStr">
        <is>
          <t>전세</t>
        </is>
      </c>
      <c r="F281" s="4" t="n">
        <v>9000</v>
      </c>
      <c r="G281" s="4" t="n">
        <v>0</v>
      </c>
      <c r="H281" s="4" t="n">
        <v>80</v>
      </c>
      <c r="I281" s="4" t="n">
        <v>24</v>
      </c>
      <c r="J281" s="5" t="n">
        <v>375</v>
      </c>
      <c r="K281" s="4" t="n">
        <v>80</v>
      </c>
      <c r="L281" s="4" t="n">
        <v>24</v>
      </c>
      <c r="M281" s="5" t="n">
        <v>375</v>
      </c>
      <c r="N281" s="3" t="inlineStr">
        <is>
          <t>다가구주택 주인세대 임대, 방3 욕실</t>
        </is>
      </c>
      <c r="O281" s="6">
        <f>HYPERLINK("https://fin.land.naver.com/articles/2645040430", "매물Link")</f>
        <v/>
      </c>
      <c r="P281" s="6">
        <f>HYPERLINK("https://map.naver.com/p/search/조치원읍 침산리 280-5", "지도Link")</f>
        <v/>
      </c>
      <c r="Q281" s="6">
        <f>HYPERLINK("http://www.eum.go.kr/web/ar/lu/luLandDet.jsp?pnu=3611025028102800005&amp;isNoScr=script&amp;mode=search", "토지이음")</f>
        <v/>
      </c>
      <c r="R281" s="3" t="inlineStr">
        <is>
          <t>세종베스트</t>
        </is>
      </c>
      <c r="S281" s="4" t="n">
        <v>1</v>
      </c>
      <c r="T281" s="5" t="n">
        <v>288.8</v>
      </c>
      <c r="U281" s="4" t="n">
        <v>309.4</v>
      </c>
      <c r="V281" s="3" t="inlineStr">
        <is>
          <t>지정되지않음</t>
        </is>
      </c>
      <c r="W281" s="3" t="inlineStr">
        <is>
          <t>단독</t>
        </is>
      </c>
      <c r="X281" s="3" t="inlineStr">
        <is>
          <t>평지</t>
        </is>
      </c>
      <c r="Y281" s="3" t="inlineStr">
        <is>
          <t>정방형</t>
        </is>
      </c>
      <c r="Z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4</t>
        </is>
      </c>
      <c r="C282" s="3" t="inlineStr">
        <is>
          <t>4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32</v>
      </c>
      <c r="H282" s="4" t="n">
        <v>0</v>
      </c>
      <c r="I282" s="4" t="n">
        <v>0</v>
      </c>
      <c r="J282" s="5" t="n">
        <v>0</v>
      </c>
      <c r="K282" s="4" t="n">
        <v>23</v>
      </c>
      <c r="L282" s="4" t="n">
        <v>7</v>
      </c>
      <c r="M282" s="5" t="n">
        <v>4.6</v>
      </c>
      <c r="N282" s="3" t="inlineStr">
        <is>
          <t>인기좋은  풀옵션완비방   깔끔한 주거공간  넓은 수납공간  주차편함</t>
        </is>
      </c>
      <c r="O282" s="6">
        <f>HYPERLINK("https://fin.land.naver.com/articles/2647723114", "매물Link")</f>
        <v/>
      </c>
      <c r="P282" s="6">
        <f>HYPERLINK("https://map.naver.com/p/search/조치원읍 침산리 283-12", "지도Link")</f>
        <v/>
      </c>
      <c r="Q282" s="6">
        <f>HYPERLINK("http://www.eum.go.kr/web/ar/lu/luLandDet.jsp?pnu=3611025028102830012&amp;isNoScr=script&amp;mode=search", "토지이음")</f>
        <v/>
      </c>
      <c r="R282" s="3" t="inlineStr">
        <is>
          <t>연서으뜸</t>
        </is>
      </c>
      <c r="S282" s="4" t="n">
        <v>1</v>
      </c>
      <c r="T282" s="5" t="n">
        <v>283.1</v>
      </c>
      <c r="U282" s="4" t="n">
        <v>263.5</v>
      </c>
      <c r="V282" s="3" t="inlineStr">
        <is>
          <t>지정되지않음</t>
        </is>
      </c>
      <c r="W282" s="3" t="inlineStr">
        <is>
          <t>주거기타</t>
        </is>
      </c>
      <c r="X282" s="3" t="inlineStr">
        <is>
          <t>평지</t>
        </is>
      </c>
      <c r="Y282" s="3" t="inlineStr">
        <is>
          <t>세로장방</t>
        </is>
      </c>
      <c r="Z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2</t>
        </is>
      </c>
      <c r="C283" s="3" t="inlineStr">
        <is>
          <t>4</t>
        </is>
      </c>
      <c r="D283" s="3" t="inlineStr">
        <is>
          <t>일반원룸</t>
        </is>
      </c>
      <c r="E283" s="3" t="inlineStr">
        <is>
          <t>전세</t>
        </is>
      </c>
      <c r="F283" s="4" t="n">
        <v>3500</v>
      </c>
      <c r="G283" s="4" t="n">
        <v>0</v>
      </c>
      <c r="H283" s="4" t="n">
        <v>0</v>
      </c>
      <c r="I283" s="4" t="n">
        <v>0</v>
      </c>
      <c r="J283" s="5" t="n">
        <v>0</v>
      </c>
      <c r="K283" s="4" t="n">
        <v>25</v>
      </c>
      <c r="L283" s="4" t="n">
        <v>8</v>
      </c>
      <c r="M283" s="5" t="n">
        <v>437.5</v>
      </c>
      <c r="N283" s="3" t="inlineStr">
        <is>
          <t>넓고 깔끔한  풀옵션 완비방  주방분리  짐만 가져오세요  바로입주</t>
        </is>
      </c>
      <c r="O283" s="6">
        <f>HYPERLINK("https://fin.land.naver.com/articles/2648568156", "매물Link")</f>
        <v/>
      </c>
      <c r="P283" s="6">
        <f>HYPERLINK("https://map.naver.com/p/search/조치원읍 침산리 283-16", "지도Link")</f>
        <v/>
      </c>
      <c r="Q283" s="6">
        <f>HYPERLINK("http://www.eum.go.kr/web/ar/lu/luLandDet.jsp?pnu=3611025028102830016&amp;isNoScr=script&amp;mode=search", "토지이음")</f>
        <v/>
      </c>
      <c r="R283" s="3" t="inlineStr">
        <is>
          <t>연서으뜸</t>
        </is>
      </c>
      <c r="S283" s="4" t="n">
        <v>1</v>
      </c>
      <c r="T283" s="5" t="n">
        <v>283.1</v>
      </c>
      <c r="U283" s="4" t="n">
        <v>281</v>
      </c>
      <c r="V283" s="3" t="inlineStr">
        <is>
          <t>지정되지않음</t>
        </is>
      </c>
      <c r="W283" s="3" t="inlineStr">
        <is>
          <t>주거기타</t>
        </is>
      </c>
      <c r="X283" s="3" t="inlineStr">
        <is>
          <t>평지</t>
        </is>
      </c>
      <c r="Y283" s="3" t="inlineStr">
        <is>
          <t>세로장방</t>
        </is>
      </c>
      <c r="Z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4</t>
        </is>
      </c>
      <c r="C284" s="3" t="inlineStr">
        <is>
          <t>0</t>
        </is>
      </c>
      <c r="D284" s="3" t="inlineStr">
        <is>
          <t>다가구</t>
        </is>
      </c>
      <c r="E284" s="3" t="inlineStr">
        <is>
          <t>매매</t>
        </is>
      </c>
      <c r="F284" s="4" t="n">
        <v>98000</v>
      </c>
      <c r="G284" s="4" t="n">
        <v>0</v>
      </c>
      <c r="H284" s="4" t="n">
        <v>281</v>
      </c>
      <c r="I284" s="4" t="n">
        <v>85</v>
      </c>
      <c r="J284" s="5" t="n">
        <v>1152.9</v>
      </c>
      <c r="K284" s="4" t="n">
        <v>440</v>
      </c>
      <c r="L284" s="4" t="n">
        <v>133</v>
      </c>
      <c r="M284" s="5" t="n">
        <v>736.8</v>
      </c>
      <c r="N284" s="3" t="inlineStr">
        <is>
          <t>nan</t>
        </is>
      </c>
      <c r="O284" s="6">
        <f>HYPERLINK("https://fin.land.naver.com/articles/2645775408", "매물Link")</f>
        <v/>
      </c>
      <c r="P284" s="6">
        <f>HYPERLINK("https://map.naver.com/p/search/조치원읍 침산리 283-16", "지도Link")</f>
        <v/>
      </c>
      <c r="Q284" s="6">
        <f>HYPERLINK("http://www.eum.go.kr/web/ar/lu/luLandDet.jsp?pnu=3611025028102830016&amp;isNoScr=script&amp;mode=search", "토지이음")</f>
        <v/>
      </c>
      <c r="R284" s="3" t="inlineStr">
        <is>
          <t>척척</t>
        </is>
      </c>
      <c r="S284" s="4" t="n">
        <v>1</v>
      </c>
      <c r="T284" s="5" t="n">
        <v>283.1</v>
      </c>
      <c r="U284" s="4" t="n">
        <v>281</v>
      </c>
      <c r="V284" s="3" t="inlineStr">
        <is>
          <t>지정되지않음</t>
        </is>
      </c>
      <c r="W284" s="3" t="inlineStr">
        <is>
          <t>주거기타</t>
        </is>
      </c>
      <c r="X284" s="3" t="inlineStr">
        <is>
          <t>평지</t>
        </is>
      </c>
      <c r="Y284" s="3" t="inlineStr">
        <is>
          <t>세로장방</t>
        </is>
      </c>
      <c r="Z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2</t>
        </is>
      </c>
      <c r="C285" s="3" t="inlineStr">
        <is>
          <t>0</t>
        </is>
      </c>
      <c r="D285" s="3" t="inlineStr">
        <is>
          <t>단독</t>
        </is>
      </c>
      <c r="E285" s="3" t="inlineStr">
        <is>
          <t>매매</t>
        </is>
      </c>
      <c r="F285" s="4" t="n">
        <v>127000</v>
      </c>
      <c r="G285" s="4" t="n">
        <v>0</v>
      </c>
      <c r="H285" s="4" t="n">
        <v>331</v>
      </c>
      <c r="I285" s="4" t="n">
        <v>100</v>
      </c>
      <c r="J285" s="5" t="n">
        <v>1270</v>
      </c>
      <c r="K285" s="4" t="n">
        <v>164</v>
      </c>
      <c r="L285" s="4" t="n">
        <v>50</v>
      </c>
      <c r="M285" s="5" t="n">
        <v>2540</v>
      </c>
      <c r="N285" s="3" t="inlineStr">
        <is>
          <t>공원사유지 무상이용가능, 입지 좋은 한솔동 단독주택 매매</t>
        </is>
      </c>
      <c r="O285" s="6">
        <f>HYPERLINK("https://fin.land.naver.com/articles/2649007409", "매물Link")</f>
        <v/>
      </c>
      <c r="P285" s="6">
        <f>HYPERLINK("https://map.naver.com/p/search/한솔동 1118", "지도Link")</f>
        <v/>
      </c>
      <c r="Q285" s="6">
        <f>HYPERLINK("http://www.eum.go.kr/web/ar/lu/luLandDet.jsp?pnu=3611010600111180000&amp;isNoScr=script&amp;mode=search", "토지이음")</f>
        <v/>
      </c>
      <c r="R285" s="3" t="inlineStr">
        <is>
          <t>명진</t>
        </is>
      </c>
      <c r="S285" s="4" t="n">
        <v>1</v>
      </c>
      <c r="T285" s="5" t="n">
        <v>373.6</v>
      </c>
      <c r="U285" s="4" t="n">
        <v>331.3</v>
      </c>
      <c r="V285" s="3" t="inlineStr">
        <is>
          <t>지정되지않음</t>
        </is>
      </c>
      <c r="W285" s="3" t="inlineStr">
        <is>
          <t>단독</t>
        </is>
      </c>
      <c r="X285" s="3" t="inlineStr">
        <is>
          <t>평지</t>
        </is>
      </c>
      <c r="Y285" s="3" t="inlineStr">
        <is>
          <t>정방형</t>
        </is>
      </c>
      <c r="Z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2</t>
        </is>
      </c>
      <c r="C286" s="3" t="inlineStr">
        <is>
          <t>0</t>
        </is>
      </c>
      <c r="D286" s="3" t="inlineStr">
        <is>
          <t>단독</t>
        </is>
      </c>
      <c r="E286" s="3" t="inlineStr">
        <is>
          <t>매매</t>
        </is>
      </c>
      <c r="F286" s="4" t="n">
        <v>127000</v>
      </c>
      <c r="G286" s="4" t="n">
        <v>0</v>
      </c>
      <c r="H286" s="4" t="n">
        <v>331</v>
      </c>
      <c r="I286" s="4" t="n">
        <v>100</v>
      </c>
      <c r="J286" s="5" t="n">
        <v>1270</v>
      </c>
      <c r="K286" s="4" t="n">
        <v>164</v>
      </c>
      <c r="L286" s="4" t="n">
        <v>50</v>
      </c>
      <c r="M286" s="5" t="n">
        <v>2540</v>
      </c>
      <c r="N286" s="3" t="inlineStr">
        <is>
          <t>마당연결 공원전유사용 옆시유지 무상이용 2층 테라스 데크 실수요최적</t>
        </is>
      </c>
      <c r="O286" s="6">
        <f>HYPERLINK("https://fin.land.naver.com/articles/2649262816", "매물Link")</f>
        <v/>
      </c>
      <c r="P286" s="6">
        <f>HYPERLINK("https://map.naver.com/p/search/한솔동 1118", "지도Link")</f>
        <v/>
      </c>
      <c r="Q286" s="6">
        <f>HYPERLINK("http://www.eum.go.kr/web/ar/lu/luLandDet.jsp?pnu=3611010600111180000&amp;isNoScr=script&amp;mode=search", "토지이음")</f>
        <v/>
      </c>
      <c r="R286" s="3" t="inlineStr">
        <is>
          <t>삼성래미안</t>
        </is>
      </c>
      <c r="S286" s="4" t="n">
        <v>3</v>
      </c>
      <c r="T286" s="5" t="n">
        <v>373.6</v>
      </c>
      <c r="U286" s="4" t="n">
        <v>331.3</v>
      </c>
      <c r="V286" s="3" t="inlineStr">
        <is>
          <t>지정되지않음</t>
        </is>
      </c>
      <c r="W286" s="3" t="inlineStr">
        <is>
          <t>단독</t>
        </is>
      </c>
      <c r="X286" s="3" t="inlineStr">
        <is>
          <t>평지</t>
        </is>
      </c>
      <c r="Y286" s="3" t="inlineStr">
        <is>
          <t>정방형</t>
        </is>
      </c>
      <c r="Z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2</t>
        </is>
      </c>
      <c r="C287" s="3" t="inlineStr">
        <is>
          <t>0</t>
        </is>
      </c>
      <c r="D287" s="3" t="inlineStr">
        <is>
          <t>단독</t>
        </is>
      </c>
      <c r="E287" s="3" t="inlineStr">
        <is>
          <t>매매</t>
        </is>
      </c>
      <c r="F287" s="4" t="n">
        <v>127000</v>
      </c>
      <c r="G287" s="4" t="n">
        <v>0</v>
      </c>
      <c r="H287" s="4" t="n">
        <v>331</v>
      </c>
      <c r="I287" s="4" t="n">
        <v>100</v>
      </c>
      <c r="J287" s="5" t="n">
        <v>1270</v>
      </c>
      <c r="K287" s="4" t="n">
        <v>164</v>
      </c>
      <c r="L287" s="4" t="n">
        <v>50</v>
      </c>
      <c r="M287" s="5" t="n">
        <v>2540</v>
      </c>
      <c r="N287" s="3" t="inlineStr">
        <is>
          <t>세종시 상권이용편리한 단독주택  앞뒤뻥</t>
        </is>
      </c>
      <c r="O287" s="6">
        <f>HYPERLINK("https://fin.land.naver.com/articles/2646211687", "매물Link")</f>
        <v/>
      </c>
      <c r="P287" s="6">
        <f>HYPERLINK("https://map.naver.com/p/search/한솔동 1118", "지도Link")</f>
        <v/>
      </c>
      <c r="Q287" s="6">
        <f>HYPERLINK("http://www.eum.go.kr/web/ar/lu/luLandDet.jsp?pnu=3611010600111180000&amp;isNoScr=script&amp;mode=search", "토지이음")</f>
        <v/>
      </c>
      <c r="R287" s="3" t="inlineStr">
        <is>
          <t>세종믿음</t>
        </is>
      </c>
      <c r="S287" s="4" t="n">
        <v>1</v>
      </c>
      <c r="T287" s="5" t="n">
        <v>373.6</v>
      </c>
      <c r="U287" s="4" t="n">
        <v>331.3</v>
      </c>
      <c r="V287" s="3" t="inlineStr">
        <is>
          <t>지정되지않음</t>
        </is>
      </c>
      <c r="W287" s="3" t="inlineStr">
        <is>
          <t>단독</t>
        </is>
      </c>
      <c r="X287" s="3" t="inlineStr">
        <is>
          <t>평지</t>
        </is>
      </c>
      <c r="Y287" s="3" t="inlineStr">
        <is>
          <t>정방형</t>
        </is>
      </c>
      <c r="Z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2</t>
        </is>
      </c>
      <c r="C288" s="3" t="inlineStr">
        <is>
          <t>0</t>
        </is>
      </c>
      <c r="D288" s="3" t="inlineStr">
        <is>
          <t>단독</t>
        </is>
      </c>
      <c r="E288" s="3" t="inlineStr">
        <is>
          <t>매매</t>
        </is>
      </c>
      <c r="F288" s="4" t="n">
        <v>127000</v>
      </c>
      <c r="G288" s="4" t="n">
        <v>0</v>
      </c>
      <c r="H288" s="4" t="n">
        <v>331</v>
      </c>
      <c r="I288" s="4" t="n">
        <v>100</v>
      </c>
      <c r="J288" s="5" t="n">
        <v>1270</v>
      </c>
      <c r="K288" s="4" t="n">
        <v>164</v>
      </c>
      <c r="L288" s="4" t="n">
        <v>50</v>
      </c>
      <c r="M288" s="5" t="n">
        <v>2540</v>
      </c>
      <c r="N288" s="3" t="inlineStr">
        <is>
          <t>착한매우급매 마당넓은공원 내집처럼사용 옆시유지땅 무상사용 꼭 해 달래요</t>
        </is>
      </c>
      <c r="O288" s="6">
        <f>HYPERLINK("https://fin.land.naver.com/articles/2646097576", "매물Link")</f>
        <v/>
      </c>
      <c r="P288" s="6">
        <f>HYPERLINK("https://map.naver.com/p/search/한솔동 1118", "지도Link")</f>
        <v/>
      </c>
      <c r="Q288" s="6">
        <f>HYPERLINK("http://www.eum.go.kr/web/ar/lu/luLandDet.jsp?pnu=3611010600111180000&amp;isNoScr=script&amp;mode=search", "토지이음")</f>
        <v/>
      </c>
      <c r="R288" s="3" t="inlineStr">
        <is>
          <t>세종골드삼성</t>
        </is>
      </c>
      <c r="S288" s="4" t="n">
        <v>1</v>
      </c>
      <c r="T288" s="5" t="n">
        <v>373.6</v>
      </c>
      <c r="U288" s="4" t="n">
        <v>331.3</v>
      </c>
      <c r="V288" s="3" t="inlineStr">
        <is>
          <t>지정되지않음</t>
        </is>
      </c>
      <c r="W288" s="3" t="inlineStr">
        <is>
          <t>단독</t>
        </is>
      </c>
      <c r="X288" s="3" t="inlineStr">
        <is>
          <t>평지</t>
        </is>
      </c>
      <c r="Y288" s="3" t="inlineStr">
        <is>
          <t>정방형</t>
        </is>
      </c>
      <c r="Z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2</t>
        </is>
      </c>
      <c r="C289" s="3" t="inlineStr">
        <is>
          <t>0</t>
        </is>
      </c>
      <c r="D289" s="3" t="inlineStr">
        <is>
          <t>단독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331</v>
      </c>
      <c r="I289" s="4" t="n">
        <v>100</v>
      </c>
      <c r="J289" s="5" t="n">
        <v>1270</v>
      </c>
      <c r="K289" s="4" t="n">
        <v>164</v>
      </c>
      <c r="L289" s="4" t="n">
        <v>50</v>
      </c>
      <c r="M289" s="5" t="n">
        <v>2540</v>
      </c>
      <c r="N289" s="3" t="inlineStr">
        <is>
          <t>전용49.8p, 방3개 화장실2개, 사유지땅 사용가능</t>
        </is>
      </c>
      <c r="O289" s="6">
        <f>HYPERLINK("https://fin.land.naver.com/articles/2648834239", "매물Link")</f>
        <v/>
      </c>
      <c r="P289" s="6">
        <f>HYPERLINK("https://map.naver.com/p/search/한솔동 1118", "지도Link")</f>
        <v/>
      </c>
      <c r="Q289" s="6">
        <f>HYPERLINK("http://www.eum.go.kr/web/ar/lu/luLandDet.jsp?pnu=3611010600111180000&amp;isNoScr=script&amp;mode=search", "토지이음")</f>
        <v/>
      </c>
      <c r="R289" s="3" t="inlineStr">
        <is>
          <t>세종무지개</t>
        </is>
      </c>
      <c r="S289" s="4" t="n">
        <v>1</v>
      </c>
      <c r="T289" s="5" t="n">
        <v>373.6</v>
      </c>
      <c r="U289" s="4" t="n">
        <v>331.3</v>
      </c>
      <c r="V289" s="3" t="inlineStr">
        <is>
          <t>지정되지않음</t>
        </is>
      </c>
      <c r="W289" s="3" t="inlineStr">
        <is>
          <t>단독</t>
        </is>
      </c>
      <c r="X289" s="3" t="inlineStr">
        <is>
          <t>평지</t>
        </is>
      </c>
      <c r="Y289" s="3" t="inlineStr">
        <is>
          <t>정방형</t>
        </is>
      </c>
      <c r="Z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1</t>
        </is>
      </c>
      <c r="C290" s="3" t="inlineStr">
        <is>
          <t>0</t>
        </is>
      </c>
      <c r="D290" s="3" t="inlineStr">
        <is>
          <t>단독</t>
        </is>
      </c>
      <c r="E290" s="3" t="inlineStr">
        <is>
          <t>매매</t>
        </is>
      </c>
      <c r="F290" s="4" t="n">
        <v>85000</v>
      </c>
      <c r="G290" s="4" t="n">
        <v>0</v>
      </c>
      <c r="H290" s="4" t="n">
        <v>394</v>
      </c>
      <c r="I290" s="4" t="n">
        <v>119</v>
      </c>
      <c r="J290" s="5" t="n">
        <v>714.3</v>
      </c>
      <c r="K290" s="4" t="n">
        <v>99</v>
      </c>
      <c r="L290" s="4" t="n">
        <v>30</v>
      </c>
      <c r="M290" s="5" t="n">
        <v>2833.3</v>
      </c>
      <c r="N290" s="3" t="inlineStr">
        <is>
          <t>정원이 잘 가꾸어진 주택. 초,중, 고 도보권</t>
        </is>
      </c>
      <c r="O290" s="6">
        <f>HYPERLINK("https://fin.land.naver.com/articles/2649457945", "매물Link")</f>
        <v/>
      </c>
      <c r="P290" s="6">
        <f>HYPERLINK("https://map.naver.com/p/search/한솔동 1219", "지도Link")</f>
        <v/>
      </c>
      <c r="Q290" s="6">
        <f>HYPERLINK("http://www.eum.go.kr/web/ar/lu/luLandDet.jsp?pnu=3611010600112190000&amp;isNoScr=script&amp;mode=search", "토지이음")</f>
        <v/>
      </c>
      <c r="R290" s="3" t="inlineStr">
        <is>
          <t>세종삼촌</t>
        </is>
      </c>
      <c r="S290" s="4" t="n">
        <v>1</v>
      </c>
      <c r="T290" s="5" t="n">
        <v>373.6</v>
      </c>
      <c r="U290" s="4" t="n">
        <v>394.7</v>
      </c>
      <c r="V290" s="3" t="inlineStr">
        <is>
          <t>지정되지않음</t>
        </is>
      </c>
      <c r="W290" s="3" t="inlineStr">
        <is>
          <t>단독</t>
        </is>
      </c>
      <c r="X290" s="3" t="inlineStr">
        <is>
          <t>평지</t>
        </is>
      </c>
      <c r="Y290" s="3" t="inlineStr">
        <is>
          <t>세로장방</t>
        </is>
      </c>
      <c r="Z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1</t>
        </is>
      </c>
      <c r="C291" s="3" t="inlineStr">
        <is>
          <t>0</t>
        </is>
      </c>
      <c r="D291" s="3" t="inlineStr">
        <is>
          <t>단독</t>
        </is>
      </c>
      <c r="E291" s="3" t="inlineStr">
        <is>
          <t>매매</t>
        </is>
      </c>
      <c r="F291" s="4" t="n">
        <v>85000</v>
      </c>
      <c r="G291" s="4" t="n">
        <v>0</v>
      </c>
      <c r="H291" s="4" t="n">
        <v>394</v>
      </c>
      <c r="I291" s="4" t="n">
        <v>119</v>
      </c>
      <c r="J291" s="5" t="n">
        <v>714.3</v>
      </c>
      <c r="K291" s="4" t="n">
        <v>99</v>
      </c>
      <c r="L291" s="4" t="n">
        <v>30</v>
      </c>
      <c r="M291" s="5" t="n">
        <v>2833.3</v>
      </c>
      <c r="N291" s="3" t="inlineStr">
        <is>
          <t>급매 추가조율협의가능 단층 철근콘크리트 가성비 주택</t>
        </is>
      </c>
      <c r="O291" s="6">
        <f>HYPERLINK("https://fin.land.naver.com/articles/2649375331", "매물Link")</f>
        <v/>
      </c>
      <c r="P291" s="6">
        <f>HYPERLINK("https://map.naver.com/p/search/한솔동 1219", "지도Link")</f>
        <v/>
      </c>
      <c r="Q291" s="6">
        <f>HYPERLINK("http://www.eum.go.kr/web/ar/lu/luLandDet.jsp?pnu=3611010600112190000&amp;isNoScr=script&amp;mode=search", "토지이음")</f>
        <v/>
      </c>
      <c r="R291" s="3" t="inlineStr">
        <is>
          <t>세종스타</t>
        </is>
      </c>
      <c r="S291" s="4" t="n">
        <v>1</v>
      </c>
      <c r="T291" s="5" t="n">
        <v>373.6</v>
      </c>
      <c r="U291" s="4" t="n">
        <v>394.7</v>
      </c>
      <c r="V291" s="3" t="inlineStr">
        <is>
          <t>지정되지않음</t>
        </is>
      </c>
      <c r="W291" s="3" t="inlineStr">
        <is>
          <t>단독</t>
        </is>
      </c>
      <c r="X291" s="3" t="inlineStr">
        <is>
          <t>평지</t>
        </is>
      </c>
      <c r="Y291" s="3" t="inlineStr">
        <is>
          <t>세로장방</t>
        </is>
      </c>
      <c r="Z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2</t>
        </is>
      </c>
      <c r="C292" s="3" t="inlineStr">
        <is>
          <t>0</t>
        </is>
      </c>
      <c r="D292" s="3" t="inlineStr">
        <is>
          <t>단독</t>
        </is>
      </c>
      <c r="E292" s="3" t="inlineStr">
        <is>
          <t>매매</t>
        </is>
      </c>
      <c r="F292" s="4" t="n">
        <v>95000</v>
      </c>
      <c r="G292" s="4" t="n">
        <v>0</v>
      </c>
      <c r="H292" s="4" t="n">
        <v>293</v>
      </c>
      <c r="I292" s="4" t="n">
        <v>89</v>
      </c>
      <c r="J292" s="5" t="n">
        <v>1067.4</v>
      </c>
      <c r="K292" s="4" t="n">
        <v>182</v>
      </c>
      <c r="L292" s="4" t="n">
        <v>55</v>
      </c>
      <c r="M292" s="5" t="n">
        <v>1727.3</v>
      </c>
      <c r="N292" s="3" t="inlineStr">
        <is>
          <t>막힘없이 좋아요 좋은 위치 brt 가까운 위치 입니다 방3, 화장실 2</t>
        </is>
      </c>
      <c r="O292" s="6">
        <f>HYPERLINK("https://fin.land.naver.com/articles/2645901594", "매물Link")</f>
        <v/>
      </c>
      <c r="P292" s="6">
        <f>HYPERLINK("https://map.naver.com/p/search/한솔동 867", "지도Link")</f>
        <v/>
      </c>
      <c r="Q292" s="6">
        <f>HYPERLINK("http://www.eum.go.kr/web/ar/lu/luLandDet.jsp?pnu=3611010600108670000&amp;isNoScr=script&amp;mode=search", "토지이음")</f>
        <v/>
      </c>
      <c r="R292" s="3" t="inlineStr">
        <is>
          <t>은성</t>
        </is>
      </c>
      <c r="S292" s="4" t="n">
        <v>1</v>
      </c>
      <c r="T292" s="5" t="n">
        <v>427.1</v>
      </c>
      <c r="U292" s="4" t="n">
        <v>293.3</v>
      </c>
      <c r="V292" s="3" t="inlineStr">
        <is>
          <t>지정되지않음</t>
        </is>
      </c>
      <c r="W292" s="3" t="inlineStr">
        <is>
          <t>단독</t>
        </is>
      </c>
      <c r="X292" s="3" t="inlineStr">
        <is>
          <t>평지</t>
        </is>
      </c>
      <c r="Y292" s="3" t="inlineStr">
        <is>
          <t>가로장방</t>
        </is>
      </c>
      <c r="Z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3</t>
        </is>
      </c>
      <c r="C293" s="3" t="inlineStr">
        <is>
          <t>0</t>
        </is>
      </c>
      <c r="D293" s="3" t="inlineStr">
        <is>
          <t>단독</t>
        </is>
      </c>
      <c r="E293" s="3" t="inlineStr">
        <is>
          <t>매매</t>
        </is>
      </c>
      <c r="F293" s="4" t="n">
        <v>120000</v>
      </c>
      <c r="G293" s="4" t="n">
        <v>0</v>
      </c>
      <c r="H293" s="4" t="n">
        <v>269</v>
      </c>
      <c r="I293" s="4" t="n">
        <v>81</v>
      </c>
      <c r="J293" s="5" t="n">
        <v>1481.5</v>
      </c>
      <c r="K293" s="4" t="n">
        <v>201</v>
      </c>
      <c r="L293" s="4" t="n">
        <v>61</v>
      </c>
      <c r="M293" s="5" t="n">
        <v>1967.2</v>
      </c>
      <c r="N293" s="3" t="inlineStr">
        <is>
          <t>공원옆 코너각지 남향 가격조절가 태양열 전기차충전기 정원에카페사용공간있음</t>
        </is>
      </c>
      <c r="O293" s="6">
        <f>HYPERLINK("https://fin.land.naver.com/articles/2649425303", "매물Link")</f>
        <v/>
      </c>
      <c r="P293" s="6">
        <f>HYPERLINK("https://map.naver.com/p/search/한솔동 899", "지도Link")</f>
        <v/>
      </c>
      <c r="Q293" s="6">
        <f>HYPERLINK("http://www.eum.go.kr/web/ar/lu/luLandDet.jsp?pnu=3611010600108990000&amp;isNoScr=script&amp;mode=search", "토지이음")</f>
        <v/>
      </c>
      <c r="R293" s="3" t="inlineStr">
        <is>
          <t>세종시해냄</t>
        </is>
      </c>
      <c r="S293" s="4" t="n">
        <v>1</v>
      </c>
      <c r="T293" s="5" t="n">
        <v>418.8</v>
      </c>
      <c r="U293" s="4" t="n">
        <v>269.1</v>
      </c>
      <c r="V293" s="3" t="inlineStr">
        <is>
          <t>지정되지않음</t>
        </is>
      </c>
      <c r="W293" s="3" t="inlineStr">
        <is>
          <t>단독</t>
        </is>
      </c>
      <c r="X293" s="3" t="inlineStr">
        <is>
          <t>평지</t>
        </is>
      </c>
      <c r="Y293" s="3" t="inlineStr">
        <is>
          <t>사다리형</t>
        </is>
      </c>
      <c r="Z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3</t>
        </is>
      </c>
      <c r="C294" s="3" t="inlineStr">
        <is>
          <t>0</t>
        </is>
      </c>
      <c r="D294" s="3" t="inlineStr">
        <is>
          <t>단독</t>
        </is>
      </c>
      <c r="E294" s="3" t="inlineStr">
        <is>
          <t>매매</t>
        </is>
      </c>
      <c r="F294" s="4" t="n">
        <v>120000</v>
      </c>
      <c r="G294" s="4" t="n">
        <v>0</v>
      </c>
      <c r="H294" s="4" t="n">
        <v>269</v>
      </c>
      <c r="I294" s="4" t="n">
        <v>81</v>
      </c>
      <c r="J294" s="5" t="n">
        <v>1481.5</v>
      </c>
      <c r="K294" s="4" t="n">
        <v>201</v>
      </c>
      <c r="L294" s="4" t="n">
        <v>61</v>
      </c>
      <c r="M294" s="5" t="n">
        <v>1967.2</v>
      </c>
      <c r="N294" s="3" t="inlineStr">
        <is>
          <t>태양광, 풀에어컨, 주차2대, 한솔동 입지 좋은 주택 매매</t>
        </is>
      </c>
      <c r="O294" s="6">
        <f>HYPERLINK("https://fin.land.naver.com/articles/2644084278", "매물Link")</f>
        <v/>
      </c>
      <c r="P294" s="6">
        <f>HYPERLINK("https://map.naver.com/p/search/한솔동 899", "지도Link")</f>
        <v/>
      </c>
      <c r="Q294" s="6">
        <f>HYPERLINK("http://www.eum.go.kr/web/ar/lu/luLandDet.jsp?pnu=3611010600108990000&amp;isNoScr=script&amp;mode=search", "토지이음")</f>
        <v/>
      </c>
      <c r="R294" s="3" t="inlineStr">
        <is>
          <t>세종무지개</t>
        </is>
      </c>
      <c r="S294" s="4" t="n">
        <v>1</v>
      </c>
      <c r="T294" s="5" t="n">
        <v>418.8</v>
      </c>
      <c r="U294" s="4" t="n">
        <v>269.1</v>
      </c>
      <c r="V294" s="3" t="inlineStr">
        <is>
          <t>지정되지않음</t>
        </is>
      </c>
      <c r="W294" s="3" t="inlineStr">
        <is>
          <t>단독</t>
        </is>
      </c>
      <c r="X294" s="3" t="inlineStr">
        <is>
          <t>평지</t>
        </is>
      </c>
      <c r="Y294" s="3" t="inlineStr">
        <is>
          <t>사다리형</t>
        </is>
      </c>
      <c r="Z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3</t>
        </is>
      </c>
      <c r="C295" s="3" t="inlineStr">
        <is>
          <t>0</t>
        </is>
      </c>
      <c r="D295" s="3" t="inlineStr">
        <is>
          <t>단독</t>
        </is>
      </c>
      <c r="E295" s="3" t="inlineStr">
        <is>
          <t>매매</t>
        </is>
      </c>
      <c r="F295" s="4" t="n">
        <v>120000</v>
      </c>
      <c r="G295" s="4" t="n">
        <v>0</v>
      </c>
      <c r="H295" s="4" t="n">
        <v>269</v>
      </c>
      <c r="I295" s="4" t="n">
        <v>81</v>
      </c>
      <c r="J295" s="5" t="n">
        <v>1481.5</v>
      </c>
      <c r="K295" s="4" t="n">
        <v>201</v>
      </c>
      <c r="L295" s="4" t="n">
        <v>61</v>
      </c>
      <c r="M295" s="5" t="n">
        <v>1967.2</v>
      </c>
      <c r="N295" s="3" t="inlineStr">
        <is>
          <t>입지 좋고 공간활용도가 높은 한솔동 단독주택 매매</t>
        </is>
      </c>
      <c r="O295" s="6">
        <f>HYPERLINK("https://fin.land.naver.com/articles/2644395820", "매물Link")</f>
        <v/>
      </c>
      <c r="P295" s="6">
        <f>HYPERLINK("https://map.naver.com/p/search/한솔동 899", "지도Link")</f>
        <v/>
      </c>
      <c r="Q295" s="6">
        <f>HYPERLINK("http://www.eum.go.kr/web/ar/lu/luLandDet.jsp?pnu=3611010600108990000&amp;isNoScr=script&amp;mode=search", "토지이음")</f>
        <v/>
      </c>
      <c r="R295" s="3" t="inlineStr">
        <is>
          <t>명진</t>
        </is>
      </c>
      <c r="S295" s="4" t="n">
        <v>1</v>
      </c>
      <c r="T295" s="5" t="n">
        <v>418.8</v>
      </c>
      <c r="U295" s="4" t="n">
        <v>269.1</v>
      </c>
      <c r="V295" s="3" t="inlineStr">
        <is>
          <t>지정되지않음</t>
        </is>
      </c>
      <c r="W295" s="3" t="inlineStr">
        <is>
          <t>단독</t>
        </is>
      </c>
      <c r="X295" s="3" t="inlineStr">
        <is>
          <t>평지</t>
        </is>
      </c>
      <c r="Y295" s="3" t="inlineStr">
        <is>
          <t>사다리형</t>
        </is>
      </c>
      <c r="Z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3</t>
        </is>
      </c>
      <c r="C296" s="3" t="inlineStr">
        <is>
          <t>0</t>
        </is>
      </c>
      <c r="D296" s="3" t="inlineStr">
        <is>
          <t>단독</t>
        </is>
      </c>
      <c r="E296" s="3" t="inlineStr">
        <is>
          <t>매매</t>
        </is>
      </c>
      <c r="F296" s="4" t="n">
        <v>120000</v>
      </c>
      <c r="G296" s="4" t="n">
        <v>0</v>
      </c>
      <c r="H296" s="4" t="n">
        <v>269</v>
      </c>
      <c r="I296" s="4" t="n">
        <v>81</v>
      </c>
      <c r="J296" s="5" t="n">
        <v>1481.5</v>
      </c>
      <c r="K296" s="4" t="n">
        <v>201</v>
      </c>
      <c r="L296" s="4" t="n">
        <v>61</v>
      </c>
      <c r="M296" s="5" t="n">
        <v>1967.2</v>
      </c>
      <c r="N296" s="3" t="inlineStr">
        <is>
          <t>입지 좋고 튼튼하게 지어서 실거주로 거주하기 좋은집</t>
        </is>
      </c>
      <c r="O296" s="6">
        <f>HYPERLINK("https://fin.land.naver.com/articles/2646538585", "매물Link")</f>
        <v/>
      </c>
      <c r="P296" s="6">
        <f>HYPERLINK("https://map.naver.com/p/search/한솔동 899", "지도Link")</f>
        <v/>
      </c>
      <c r="Q296" s="6">
        <f>HYPERLINK("http://www.eum.go.kr/web/ar/lu/luLandDet.jsp?pnu=3611010600108990000&amp;isNoScr=script&amp;mode=search", "토지이음")</f>
        <v/>
      </c>
      <c r="R296" s="3" t="inlineStr">
        <is>
          <t>현대탑</t>
        </is>
      </c>
      <c r="S296" s="4" t="n">
        <v>1</v>
      </c>
      <c r="T296" s="5" t="n">
        <v>418.8</v>
      </c>
      <c r="U296" s="4" t="n">
        <v>269.1</v>
      </c>
      <c r="V296" s="3" t="inlineStr">
        <is>
          <t>지정되지않음</t>
        </is>
      </c>
      <c r="W296" s="3" t="inlineStr">
        <is>
          <t>단독</t>
        </is>
      </c>
      <c r="X296" s="3" t="inlineStr">
        <is>
          <t>평지</t>
        </is>
      </c>
      <c r="Y296" s="3" t="inlineStr">
        <is>
          <t>사다리형</t>
        </is>
      </c>
      <c r="Z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2</t>
        </is>
      </c>
      <c r="C297" s="3" t="inlineStr">
        <is>
          <t>0</t>
        </is>
      </c>
      <c r="D297" s="3" t="inlineStr">
        <is>
          <t>단독</t>
        </is>
      </c>
      <c r="E297" s="3" t="inlineStr">
        <is>
          <t>매매</t>
        </is>
      </c>
      <c r="F297" s="4" t="n">
        <v>130000</v>
      </c>
      <c r="G297" s="4" t="n">
        <v>0</v>
      </c>
      <c r="H297" s="4" t="n">
        <v>393</v>
      </c>
      <c r="I297" s="4" t="n">
        <v>119</v>
      </c>
      <c r="J297" s="5" t="n">
        <v>1092.4</v>
      </c>
      <c r="K297" s="4" t="n">
        <v>196</v>
      </c>
      <c r="L297" s="4" t="n">
        <v>59</v>
      </c>
      <c r="M297" s="5" t="n">
        <v>2203.4</v>
      </c>
      <c r="N297" s="3" t="inlineStr">
        <is>
          <t>급매 1년차 최신축 현대식 세련된 내부인테리어 방3개 욕실3개</t>
        </is>
      </c>
      <c r="O297" s="6">
        <f>HYPERLINK("https://fin.land.naver.com/articles/2647126217", "매물Link")</f>
        <v/>
      </c>
      <c r="P297" s="6">
        <f>HYPERLINK("https://map.naver.com/p/search/한솔동 997", "지도Link")</f>
        <v/>
      </c>
      <c r="Q297" s="6">
        <f>HYPERLINK("http://www.eum.go.kr/web/ar/lu/luLandDet.jsp?pnu=3611010600109970000&amp;isNoScr=script&amp;mode=search", "토지이음")</f>
        <v/>
      </c>
      <c r="R297" s="3" t="inlineStr">
        <is>
          <t>세종스타</t>
        </is>
      </c>
      <c r="S297" s="4" t="n">
        <v>1</v>
      </c>
      <c r="T297" s="5" t="n">
        <v>302.8</v>
      </c>
      <c r="U297" s="4" t="n">
        <v>393</v>
      </c>
      <c r="V297" s="3" t="inlineStr">
        <is>
          <t>지정되지않음</t>
        </is>
      </c>
      <c r="W297" s="3" t="inlineStr">
        <is>
          <t>주거나지</t>
        </is>
      </c>
      <c r="X297" s="3" t="inlineStr">
        <is>
          <t>평지</t>
        </is>
      </c>
      <c r="Y297" s="3" t="inlineStr">
        <is>
          <t>정방형</t>
        </is>
      </c>
      <c r="Z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2</t>
        </is>
      </c>
      <c r="C298" s="3" t="inlineStr">
        <is>
          <t>0</t>
        </is>
      </c>
      <c r="D298" s="3" t="inlineStr">
        <is>
          <t>전원주택</t>
        </is>
      </c>
      <c r="E298" s="3" t="inlineStr">
        <is>
          <t>월세</t>
        </is>
      </c>
      <c r="F298" s="4" t="n">
        <v>13000</v>
      </c>
      <c r="G298" s="4" t="n">
        <v>60</v>
      </c>
      <c r="H298" s="4" t="n">
        <v>34</v>
      </c>
      <c r="I298" s="4" t="n">
        <v>10</v>
      </c>
      <c r="J298" s="5" t="n">
        <v>6</v>
      </c>
      <c r="K298" s="4" t="n">
        <v>933</v>
      </c>
      <c r="L298" s="4" t="n">
        <v>282</v>
      </c>
      <c r="M298" s="5" t="n">
        <v>0.2</v>
      </c>
      <c r="N298" s="3" t="inlineStr">
        <is>
          <t>해밀동 라포르테 단독주택 월세</t>
        </is>
      </c>
      <c r="O298" s="6">
        <f>HYPERLINK("https://fin.land.naver.com/articles/2649244700", "매물Link")</f>
        <v/>
      </c>
      <c r="P298" s="6">
        <f>HYPERLINK("https://map.naver.com/p/search/해밀동 665", "지도Link")</f>
        <v/>
      </c>
      <c r="Q298" s="6">
        <f>HYPERLINK("http://www.eum.go.kr/web/ar/lu/luLandDet.jsp?pnu=3611011600106650000&amp;isNoScr=script&amp;mode=search", "토지이음")</f>
        <v/>
      </c>
      <c r="R298" s="3" t="inlineStr">
        <is>
          <t>태양</t>
        </is>
      </c>
      <c r="S298" s="4" t="n">
        <v>1</v>
      </c>
      <c r="T298" s="5" t="n">
        <v>215.1</v>
      </c>
      <c r="U298" s="4" t="n">
        <v>34519</v>
      </c>
      <c r="V298" s="3" t="inlineStr">
        <is>
          <t>지정되지않음</t>
        </is>
      </c>
      <c r="W298" s="3" t="inlineStr">
        <is>
          <t>연립</t>
        </is>
      </c>
      <c r="X298" s="3" t="inlineStr">
        <is>
          <t>평지</t>
        </is>
      </c>
      <c r="Y298" s="3" t="inlineStr">
        <is>
          <t>부정형</t>
        </is>
      </c>
      <c r="Z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2</t>
        </is>
      </c>
      <c r="C299" s="3" t="inlineStr">
        <is>
          <t>2</t>
        </is>
      </c>
      <c r="D299" s="3" t="inlineStr">
        <is>
          <t>단독</t>
        </is>
      </c>
      <c r="E299" s="3" t="inlineStr">
        <is>
          <t>전세</t>
        </is>
      </c>
      <c r="F299" s="4" t="n">
        <v>100000</v>
      </c>
      <c r="G299" s="4" t="n">
        <v>0</v>
      </c>
      <c r="H299" s="4" t="n">
        <v>558</v>
      </c>
      <c r="I299" s="4" t="n">
        <v>169</v>
      </c>
      <c r="J299" s="5" t="n">
        <v>591.7</v>
      </c>
      <c r="K299" s="4" t="n">
        <v>222</v>
      </c>
      <c r="L299" s="4" t="n">
        <v>67</v>
      </c>
      <c r="M299" s="5" t="n">
        <v>1492.5</v>
      </c>
      <c r="N299" s="3" t="inlineStr">
        <is>
          <t>해밀동 고급 타운하우스 시그니매종 전세 010 3819 3805</t>
        </is>
      </c>
      <c r="O299" s="6">
        <f>HYPERLINK("https://fin.land.naver.com/articles/2646491942", "매물Link")</f>
        <v/>
      </c>
      <c r="P299" s="6">
        <f>HYPERLINK("https://map.naver.com/p/search/해밀동 692", "지도Link")</f>
        <v/>
      </c>
      <c r="Q299" s="6">
        <f>HYPERLINK("http://www.eum.go.kr/web/ar/lu/luLandDet.jsp?pnu=3611011600106920000&amp;isNoScr=script&amp;mode=search", "토지이음")</f>
        <v/>
      </c>
      <c r="R299" s="3" t="inlineStr">
        <is>
          <t>국제</t>
        </is>
      </c>
      <c r="S299" s="4" t="n">
        <v>1</v>
      </c>
      <c r="T299" s="5" t="n">
        <v>243.4</v>
      </c>
      <c r="U299" s="4" t="n">
        <v>6242.7</v>
      </c>
      <c r="V299" s="3" t="inlineStr">
        <is>
          <t>지정되지않음</t>
        </is>
      </c>
      <c r="W299" s="3" t="inlineStr">
        <is>
          <t>주거나지</t>
        </is>
      </c>
      <c r="X299" s="3" t="inlineStr">
        <is>
          <t>평지</t>
        </is>
      </c>
      <c r="Y299" s="3" t="inlineStr">
        <is>
          <t>사다리형</t>
        </is>
      </c>
      <c r="Z299" s="3" t="inlineStr">
        <is>
          <t>중로각지</t>
        </is>
      </c>
    </row>
  </sheetData>
  <autoFilter ref="A1:Z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2026-09-14T01:09:57Z</dcterms:created>
  <dcterms:modified xsi:type="dcterms:W3CDTF">2026-09-14T01:10:02Z</dcterms:modified>
</cp:coreProperties>
</file>