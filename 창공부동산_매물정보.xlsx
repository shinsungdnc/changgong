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'공장창고매물'!$A$1:$AD$275</definedName>
    <definedName name="_xlnm._FilterDatabase" localSheetId="1" hidden="1">'주택매물'!$A$1:$AA$301</definedName>
    <definedName name="_xlnm._FilterDatabase" localSheetId="2" hidden="1">'토지매물'!$A$1:$V$1669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HYPERLINK("https://www.eum.go.kr/web/mp/mpMapDet.jsp?pnu=4311331022102530000&amp;isNoScr=script&amp;mode=search",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HYPERLINK("https://www.eum.go.kr/web/mp/mpMapDet.jsp?pnu=4311331022102530000&amp;isNoScr=script&amp;mode=search",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HYPERLINK("https://www.eum.go.kr/web/mp/mpMapDet.jsp?pnu=4311331022102530000&amp;isNoScr=script&amp;mode=search",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HYPERLINK("https://www.eum.go.kr/web/mp/mpMapDet.jsp?pnu=4311331022102720001&amp;isNoScr=script&amp;mode=search",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HYPERLINK("https://www.eum.go.kr/web/mp/mpMapDet.jsp?pnu=4311331022102720001&amp;isNoScr=script&amp;mode=search",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HYPERLINK("https://www.eum.go.kr/web/mp/mpMapDet.jsp?pnu=4311331022102720001&amp;isNoScr=script&amp;mode=search",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HYPERLINK("https://www.eum.go.kr/web/mp/mpMapDet.jsp?pnu=4311331022100310001&amp;isNoScr=script&amp;mode=search",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HYPERLINK("https://www.eum.go.kr/web/mp/mpMapDet.jsp?pnu=4311331026101100037&amp;isNoScr=script&amp;mode=search",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HYPERLINK("https://www.eum.go.kr/web/mp/mpMapDet.jsp?pnu=4311331026101100004&amp;isNoScr=script&amp;mode=search",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HYPERLINK("https://fin.land.naver.com/articles/2644945797", "매물Link")</f>
        <v/>
      </c>
      <c r="R11" s="6">
        <f>HYPERLINK("https://map.naver.com/p/search/강내면 다락리 110-9", "지도Link")</f>
        <v/>
      </c>
      <c r="S11" s="6">
        <f>HYPERLINK("https://www.eum.go.kr/web/mp/mpMapDet.jsp?pnu=4311331026101100009&amp;isNoScr=script&amp;mode=search",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HYPERLINK("https://www.eum.go.kr/web/mp/mpMapDet.jsp?pnu=4311331026101100009&amp;isNoScr=script&amp;mode=search",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HYPERLINK("https://www.eum.go.kr/web/mp/mpMapDet.jsp?pnu=4311331026101100009&amp;isNoScr=script&amp;mode=search",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HYPERLINK("https://www.eum.go.kr/web/mp/mpMapDet.jsp?pnu=4311331026101100009&amp;isNoScr=script&amp;mode=search",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HYPERLINK("https://www.eum.go.kr/web/mp/mpMapDet.jsp?pnu=4311331026101100009&amp;isNoScr=script&amp;mode=search",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HYPERLINK("https://www.eum.go.kr/web/mp/mpMapDet.jsp?pnu=4311331026101100009&amp;isNoScr=script&amp;mode=search",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HYPERLINK("https://www.eum.go.kr/web/mp/mpMapDet.jsp?pnu=4311331026101100009&amp;isNoScr=script&amp;mode=search",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HYPERLINK("https://www.eum.go.kr/web/mp/mpMapDet.jsp?pnu=4311331026101100009&amp;isNoScr=script&amp;mode=search",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HYPERLINK("https://www.eum.go.kr/web/mp/mpMapDet.jsp?pnu=4311331026101100009&amp;isNoScr=script&amp;mode=search",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HYPERLINK("https://www.eum.go.kr/web/mp/mpMapDet.jsp?pnu=4311331026101450013&amp;isNoScr=script&amp;mode=search",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HYPERLINK("https://www.eum.go.kr/web/mp/mpMapDet.jsp?pnu=4311331026101450013&amp;isNoScr=script&amp;mode=search",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HYPERLINK("https://www.eum.go.kr/web/mp/mpMapDet.jsp?pnu=4311331024101530000&amp;isNoScr=script&amp;mode=search",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HYPERLINK("https://www.eum.go.kr/web/mp/mpMapDet.jsp?pnu=4311331024101540000&amp;isNoScr=script&amp;mode=search",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HYPERLINK("https://www.eum.go.kr/web/mp/mpMapDet.jsp?pnu=4311331024101540000&amp;isNoScr=script&amp;mode=search",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HYPERLINK("https://www.eum.go.kr/web/mp/mpMapDet.jsp?pnu=4311331028103590000&amp;isNoScr=script&amp;mode=search",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HYPERLINK("https://www.eum.go.kr/web/mp/mpMapDet.jsp?pnu=4311331028103590000&amp;isNoScr=script&amp;mode=search",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HYPERLINK("https://www.eum.go.kr/web/mp/mpMapDet.jsp?pnu=4311331028103590000&amp;isNoScr=script&amp;mode=search",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HYPERLINK("https://www.eum.go.kr/web/mp/mpMapDet.jsp?pnu=4311331028103590000&amp;isNoScr=script&amp;mode=search",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HYPERLINK("https://www.eum.go.kr/web/mp/mpMapDet.jsp?pnu=4311331028103590000&amp;isNoScr=script&amp;mode=search",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HYPERLINK("https://www.eum.go.kr/web/mp/mpMapDet.jsp?pnu=4311331025101090000&amp;isNoScr=script&amp;mode=search",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HYPERLINK("https://www.eum.go.kr/web/mp/mpMapDet.jsp?pnu=4311331025101090000&amp;isNoScr=script&amp;mode=search",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HYPERLINK("https://www.eum.go.kr/web/mp/mpMapDet.jsp?pnu=4311331025101090000&amp;isNoScr=script&amp;mode=search",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HYPERLINK("https://www.eum.go.kr/web/mp/mpMapDet.jsp?pnu=4311331025101160002&amp;isNoScr=script&amp;mode=search",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HYPERLINK("https://www.eum.go.kr/web/mp/mpMapDet.jsp?pnu=4311331025101350006&amp;isNoScr=script&amp;mode=search",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HYPERLINK("https://www.eum.go.kr/web/mp/mpMapDet.jsp?pnu=4311331025102260001&amp;isNoScr=script&amp;mode=search",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14546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HYPERLINK("https://www.eum.go.kr/web/mp/mpMapDet.jsp?pnu=4311331025102260001&amp;isNoScr=script&amp;mode=search", "토지이음")</f>
        <v/>
      </c>
      <c r="T36" s="3" t="inlineStr">
        <is>
          <t>세종로또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HYPERLINK("https://www.eum.go.kr/web/mp/mpMapDet.jsp?pnu=4311331025102260001&amp;isNoScr=script&amp;mode=search",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HYPERLINK("https://www.eum.go.kr/web/mp/mpMapDet.jsp?pnu=4311331025102260001&amp;isNoScr=script&amp;mode=search",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HYPERLINK("https://www.eum.go.kr/web/mp/mpMapDet.jsp?pnu=4311331025102260001&amp;isNoScr=script&amp;mode=search",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HYPERLINK("https://www.eum.go.kr/web/mp/mpMapDet.jsp?pnu=4311331025102260001&amp;isNoScr=script&amp;mode=search",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HYPERLINK("https://www.eum.go.kr/web/mp/mpMapDet.jsp?pnu=4311331025100940000&amp;isNoScr=script&amp;mode=search",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HYPERLINK("https://www.eum.go.kr/web/mp/mpMapDet.jsp?pnu=4311331025100940000&amp;isNoScr=script&amp;mode=search",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HYPERLINK("https://www.eum.go.kr/web/mp/mpMapDet.jsp?pnu=4311331032101540001&amp;isNoScr=script&amp;mode=search",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HYPERLINK("https://www.eum.go.kr/web/mp/mpMapDet.jsp?pnu=4311331032100230000&amp;isNoScr=script&amp;mode=search",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HYPERLINK("https://www.eum.go.kr/web/mp/mpMapDet.jsp?pnu=4311331032100230000&amp;isNoScr=script&amp;mode=search",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HYPERLINK("https://www.eum.go.kr/web/mp/mpMapDet.jsp?pnu=4311331032100230000&amp;isNoScr=script&amp;mode=search",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HYPERLINK("https://www.eum.go.kr/web/mp/mpMapDet.jsp?pnu=4311331021101920001&amp;isNoScr=script&amp;mode=search",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HYPERLINK("https://www.eum.go.kr/web/mp/mpMapDet.jsp?pnu=4311331021101920001&amp;isNoScr=script&amp;mode=search",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HYPERLINK("https://www.eum.go.kr/web/mp/mpMapDet.jsp?pnu=4311331021100540003&amp;isNoScr=script&amp;mode=search",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HYPERLINK("https://www.eum.go.kr/web/mp/mpMapDet.jsp?pnu=4311331021100540003&amp;isNoScr=script&amp;mode=search",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HYPERLINK("https://www.eum.go.kr/web/mp/mpMapDet.jsp?pnu=4311331021100540003&amp;isNoScr=script&amp;mode=search",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HYPERLINK("https://www.eum.go.kr/web/mp/mpMapDet.jsp?pnu=4311331021100730009&amp;isNoScr=script&amp;mode=search",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HYPERLINK("https://www.eum.go.kr/web/mp/mpMapDet.jsp?pnu=4311331034101810000&amp;isNoScr=script&amp;mode=search",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HYPERLINK("https://www.eum.go.kr/web/mp/mpMapDet.jsp?pnu=4311331023101070002&amp;isNoScr=script&amp;mode=search",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HYPERLINK("https://www.eum.go.kr/web/mp/mpMapDet.jsp?pnu=4311331023101860000&amp;isNoScr=script&amp;mode=search",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HYPERLINK("https://www.eum.go.kr/web/mp/mpMapDet.jsp?pnu=4311331023102340001&amp;isNoScr=script&amp;mode=search",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HYPERLINK("https://www.eum.go.kr/web/mp/mpMapDet.jsp?pnu=4311331023102470000&amp;isNoScr=script&amp;mode=search",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HYPERLINK("https://www.eum.go.kr/web/mp/mpMapDet.jsp?pnu=4311331031102950005&amp;isNoScr=script&amp;mode=search",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HYPERLINK("https://www.eum.go.kr/web/mp/mpMapDet.jsp?pnu=4311331031103300009&amp;isNoScr=script&amp;mode=search",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HYPERLINK("https://www.eum.go.kr/web/mp/mpMapDet.jsp?pnu=4311331031103300009&amp;isNoScr=script&amp;mode=search",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HYPERLINK("https://www.eum.go.kr/web/mp/mpMapDet.jsp?pnu=4311331031103300009&amp;isNoScr=script&amp;mode=search",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HYPERLINK("https://www.eum.go.kr/web/mp/mpMapDet.jsp?pnu=4311331031103300009&amp;isNoScr=script&amp;mode=search",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HYPERLINK("https://www.eum.go.kr/web/mp/mpMapDet.jsp?pnu=4311331027101170011&amp;isNoScr=script&amp;mode=search",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HYPERLINK("https://www.eum.go.kr/web/mp/mpMapDet.jsp?pnu=4311331027101420002&amp;isNoScr=script&amp;mode=search",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HYPERLINK("https://www.eum.go.kr/web/mp/mpMapDet.jsp?pnu=4311331027101440001&amp;isNoScr=script&amp;mode=search",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HYPERLINK("https://www.eum.go.kr/web/mp/mpMapDet.jsp?pnu=4311331027101440001&amp;isNoScr=script&amp;mode=search",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HYPERLINK("https://www.eum.go.kr/web/mp/mpMapDet.jsp?pnu=4311331027101440001&amp;isNoScr=script&amp;mode=search",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HYPERLINK("https://www.eum.go.kr/web/mp/mpMapDet.jsp?pnu=4311331027101440001&amp;isNoScr=script&amp;mode=search",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HYPERLINK("https://www.eum.go.kr/web/mp/mpMapDet.jsp?pnu=4311331027101440001&amp;isNoScr=script&amp;mode=search",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HYPERLINK("https://www.eum.go.kr/web/mp/mpMapDet.jsp?pnu=4311331027101470001&amp;isNoScr=script&amp;mode=search",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HYPERLINK("https://www.eum.go.kr/web/mp/mpMapDet.jsp?pnu=4311331027101470003&amp;isNoScr=script&amp;mode=search",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HYPERLINK("https://www.eum.go.kr/web/mp/mpMapDet.jsp?pnu=4311331027102300000&amp;isNoScr=script&amp;mode=search",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HYPERLINK("https://www.eum.go.kr/web/mp/mpMapDet.jsp?pnu=4311331027102300000&amp;isNoScr=script&amp;mode=search",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HYPERLINK("https://www.eum.go.kr/web/mp/mpMapDet.jsp?pnu=4311331027102300000&amp;isNoScr=script&amp;mode=search",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HYPERLINK("https://www.eum.go.kr/web/mp/mpMapDet.jsp?pnu=4311331027102300000&amp;isNoScr=script&amp;mode=search",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HYPERLINK("https://www.eum.go.kr/web/mp/mpMapDet.jsp?pnu=4311331027102300000&amp;isNoScr=script&amp;mode=search",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HYPERLINK("https://www.eum.go.kr/web/mp/mpMapDet.jsp?pnu=4311331027102300000&amp;isNoScr=script&amp;mode=search",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HYPERLINK("https://fin.land.naver.com/articles/2644709431", "매물Link")</f>
        <v/>
      </c>
      <c r="R78" s="6">
        <f>HYPERLINK("https://map.naver.com/p/search/강내면 태성리 233", "지도Link")</f>
        <v/>
      </c>
      <c r="S78" s="6">
        <f>HYPERLINK("https://www.eum.go.kr/web/mp/mpMapDet.jsp?pnu=4311331027102330000&amp;isNoScr=script&amp;mode=search",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HYPERLINK("https://www.eum.go.kr/web/mp/mpMapDet.jsp?pnu=4311331027102330000&amp;isNoScr=script&amp;mode=search",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HYPERLINK("https://www.eum.go.kr/web/mp/mpMapDet.jsp?pnu=4311331027102330000&amp;isNoScr=script&amp;mode=search",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HYPERLINK("https://www.eum.go.kr/web/mp/mpMapDet.jsp?pnu=4311331027102330000&amp;isNoScr=script&amp;mode=search",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HYPERLINK("https://www.eum.go.kr/web/mp/mpMapDet.jsp?pnu=4311331027102330000&amp;isNoScr=script&amp;mode=search",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HYPERLINK("https://www.eum.go.kr/web/mp/mpMapDet.jsp?pnu=4311331027102330000&amp;isNoScr=script&amp;mode=search",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HYPERLINK("https://www.eum.go.kr/web/mp/mpMapDet.jsp?pnu=4311331027102330000&amp;isNoScr=script&amp;mode=search",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HYPERLINK("https://fin.land.naver.com/articles/2648089900", "매물Link")</f>
        <v/>
      </c>
      <c r="R85" s="6">
        <f>HYPERLINK("https://map.naver.com/p/search/강내면 태성리 233", "지도Link")</f>
        <v/>
      </c>
      <c r="S85" s="6">
        <f>HYPERLINK("https://www.eum.go.kr/web/mp/mpMapDet.jsp?pnu=4311331027102330000&amp;isNoScr=script&amp;mode=search",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HYPERLINK("https://www.eum.go.kr/web/mp/mpMapDet.jsp?pnu=4311331027102330000&amp;isNoScr=script&amp;mode=search",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HYPERLINK("https://www.eum.go.kr/web/mp/mpMapDet.jsp?pnu=4311331027102570016&amp;isNoScr=script&amp;mode=search",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HYPERLINK("https://www.eum.go.kr/web/mp/mpMapDet.jsp?pnu=4311331027102570016&amp;isNoScr=script&amp;mode=search",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HYPERLINK("https://www.eum.go.kr/web/mp/mpMapDet.jsp?pnu=4311331027102570016&amp;isNoScr=script&amp;mode=search",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B1</t>
        </is>
      </c>
      <c r="P90" s="3" t="inlineStr">
        <is>
          <t>2차선 대로변 접함, 민원발생 소지 없음, 청주ic, 서청주ic</t>
        </is>
      </c>
      <c r="Q90" s="6">
        <f>HYPERLINK("https://fin.land.naver.com/articles/2644782284", "매물Link")</f>
        <v/>
      </c>
      <c r="R90" s="6">
        <f>HYPERLINK("https://map.naver.com/p/search/강내면 태성리 257-16", "지도Link")</f>
        <v/>
      </c>
      <c r="S90" s="6">
        <f>HYPERLINK("https://www.eum.go.kr/web/mp/mpMapDet.jsp?pnu=4311331027102570016&amp;isNoScr=script&amp;mode=search", "토지이음")</f>
        <v/>
      </c>
      <c r="T90" s="3" t="inlineStr">
        <is>
          <t>제이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HYPERLINK("https://www.eum.go.kr/web/mp/mpMapDet.jsp?pnu=4311331027102570016&amp;isNoScr=script&amp;mode=search",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HYPERLINK("https://www.eum.go.kr/web/mp/mpMapDet.jsp?pnu=4311331027102570016&amp;isNoScr=script&amp;mode=search",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HYPERLINK("https://www.eum.go.kr/web/mp/mpMapDet.jsp?pnu=4311331027102620000&amp;isNoScr=script&amp;mode=search",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HYPERLINK("https://www.eum.go.kr/web/mp/mpMapDet.jsp?pnu=4311331027103100004&amp;isNoScr=script&amp;mode=search",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HYPERLINK("https://www.eum.go.kr/web/mp/mpMapDet.jsp?pnu=4311331027103100004&amp;isNoScr=script&amp;mode=search",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HYPERLINK("https://www.eum.go.kr/web/mp/mpMapDet.jsp?pnu=4311331027103100004&amp;isNoScr=script&amp;mode=search",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HYPERLINK("https://www.eum.go.kr/web/mp/mpMapDet.jsp?pnu=4311331027103350003&amp;isNoScr=script&amp;mode=search",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HYPERLINK("https://www.eum.go.kr/web/mp/mpMapDet.jsp?pnu=4311331027103350003&amp;isNoScr=script&amp;mode=search",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HYPERLINK("https://fin.land.naver.com/articles/2645311734", "매물Link")</f>
        <v/>
      </c>
      <c r="R99" s="6">
        <f>HYPERLINK("https://map.naver.com/p/search/강내면 태성리 335-3", "지도Link")</f>
        <v/>
      </c>
      <c r="S99" s="6">
        <f>HYPERLINK("https://www.eum.go.kr/web/mp/mpMapDet.jsp?pnu=4311331027103350003&amp;isNoScr=script&amp;mode=search",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HYPERLINK("https://www.eum.go.kr/web/mp/mpMapDet.jsp?pnu=4311331027103350004&amp;isNoScr=script&amp;mode=search",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HYPERLINK("https://www.eum.go.kr/web/mp/mpMapDet.jsp?pnu=4311331027103510000&amp;isNoScr=script&amp;mode=search",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HYPERLINK("https://www.eum.go.kr/web/mp/mpMapDet.jsp?pnu=4311331027103510000&amp;isNoScr=script&amp;mode=search",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HYPERLINK("https://fin.land.naver.com/articles/2645311318", "매물Link")</f>
        <v/>
      </c>
      <c r="R103" s="6">
        <f>HYPERLINK("https://map.naver.com/p/search/강내면 태성리 351", "지도Link")</f>
        <v/>
      </c>
      <c r="S103" s="6">
        <f>HYPERLINK("https://www.eum.go.kr/web/mp/mpMapDet.jsp?pnu=4311331027103510000&amp;isNoScr=script&amp;mode=search",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HYPERLINK("https://www.eum.go.kr/web/mp/mpMapDet.jsp?pnu=4311331027103510000&amp;isNoScr=script&amp;mode=search",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HYPERLINK("https://www.eum.go.kr/web/mp/mpMapDet.jsp?pnu=4311331027103510000&amp;isNoScr=script&amp;mode=search",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HYPERLINK("https://www.eum.go.kr/web/mp/mpMapDet.jsp?pnu=4311331027103510000&amp;isNoScr=script&amp;mode=search",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HYPERLINK("https://www.eum.go.kr/web/mp/mpMapDet.jsp?pnu=4311331027103510000&amp;isNoScr=script&amp;mode=search",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HYPERLINK("https://fin.land.naver.com/articles/2646803335", "매물Link")</f>
        <v/>
      </c>
      <c r="R108" s="6">
        <f>HYPERLINK("https://map.naver.com/p/search/강내면 태성리 351", "지도Link")</f>
        <v/>
      </c>
      <c r="S108" s="6">
        <f>HYPERLINK("https://www.eum.go.kr/web/mp/mpMapDet.jsp?pnu=4311331027103510000&amp;isNoScr=script&amp;mode=search",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HYPERLINK("https://www.eum.go.kr/web/mp/mpMapDet.jsp?pnu=4311331027103920000&amp;isNoScr=script&amp;mode=search",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230</v>
      </c>
      <c r="H110" s="4" t="n">
        <v>1434</v>
      </c>
      <c r="I110" s="4" t="n">
        <v>434</v>
      </c>
      <c r="J110" s="5" t="n">
        <v>0.5</v>
      </c>
      <c r="K110" s="4" t="n">
        <v>300</v>
      </c>
      <c r="L110" s="4" t="n">
        <v>91</v>
      </c>
      <c r="M110" s="5" t="n">
        <v>2.5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도로변에 접하고 있어 진출입 용이, 오송 및 세종 부근</t>
        </is>
      </c>
      <c r="Q110" s="6">
        <f>HYPERLINK("https://fin.land.naver.com/articles/2646727890", "매물Link")</f>
        <v/>
      </c>
      <c r="R110" s="6">
        <f>HYPERLINK("https://map.naver.com/p/search/강내면 태성리 392", "지도Link")</f>
        <v/>
      </c>
      <c r="S110" s="6">
        <f>HYPERLINK("https://www.eum.go.kr/web/mp/mpMapDet.jsp?pnu=4311331027103920000&amp;isNoScr=script&amp;mode=search", "토지이음")</f>
        <v/>
      </c>
      <c r="T110" s="3" t="inlineStr">
        <is>
          <t>제이</t>
        </is>
      </c>
      <c r="U110" s="4" t="n">
        <v>2</v>
      </c>
      <c r="V110" s="5" t="n">
        <v>61.1</v>
      </c>
      <c r="W110" s="4" t="n">
        <v>1434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HYPERLINK("https://fin.land.naver.com/articles/2645486598", "매물Link")</f>
        <v/>
      </c>
      <c r="R111" s="6">
        <f>HYPERLINK("https://map.naver.com/p/search/강내면 태성리 46-1", "지도Link")</f>
        <v/>
      </c>
      <c r="S111" s="6">
        <f>HYPERLINK("https://www.eum.go.kr/web/mp/mpMapDet.jsp?pnu=4311331027100460001&amp;isNoScr=script&amp;mode=search",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HYPERLINK("https://www.eum.go.kr/web/mp/mpMapDet.jsp?pnu=4311331027100460001&amp;isNoScr=script&amp;mode=search",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HYPERLINK("https://www.eum.go.kr/web/mp/mpMapDet.jsp?pnu=4311331027100460001&amp;isNoScr=script&amp;mode=search",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HYPERLINK("https://www.eum.go.kr/web/mp/mpMapDet.jsp?pnu=4311331035102250011&amp;isNoScr=script&amp;mode=search",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HYPERLINK("https://www.eum.go.kr/web/mp/mpMapDet.jsp?pnu=4311331029101540000&amp;isNoScr=script&amp;mode=search",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HYPERLINK("https://fin.land.naver.com/articles/2644706347", "매물Link")</f>
        <v/>
      </c>
      <c r="R116" s="6">
        <f>HYPERLINK("https://map.naver.com/p/search/강내면 황탄리 154", "지도Link")</f>
        <v/>
      </c>
      <c r="S116" s="6">
        <f>HYPERLINK("https://www.eum.go.kr/web/mp/mpMapDet.jsp?pnu=4311331029101540000&amp;isNoScr=script&amp;mode=search",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HYPERLINK("https://www.eum.go.kr/web/mp/mpMapDet.jsp?pnu=4311331029101540000&amp;isNoScr=script&amp;mode=search",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HYPERLINK("https://www.eum.go.kr/web/mp/mpMapDet.jsp?pnu=4311331029102720007&amp;isNoScr=script&amp;mode=search",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HYPERLINK("https://www.eum.go.kr/web/mp/mpMapDet.jsp?pnu=4311331029102720007&amp;isNoScr=script&amp;mode=search",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HYPERLINK("https://www.eum.go.kr/web/mp/mpMapDet.jsp?pnu=4311331029100520007&amp;isNoScr=script&amp;mode=search",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HYPERLINK("https://www.eum.go.kr/web/mp/mpMapDet.jsp?pnu=4311331029100550007&amp;isNoScr=script&amp;mode=search",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HYPERLINK("https://www.eum.go.kr/web/mp/mpMapDet.jsp?pnu=4311331029100700010&amp;isNoScr=script&amp;mode=search",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HYPERLINK("https://www.eum.go.kr/web/mp/mpMapDet.jsp?pnu=4311331029100700010&amp;isNoScr=script&amp;mode=search",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HYPERLINK("https://www.eum.go.kr/web/mp/mpMapDet.jsp?pnu=4311331029100700010&amp;isNoScr=script&amp;mode=search",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HYPERLINK("https://www.eum.go.kr/web/mp/mpMapDet.jsp?pnu=4311331029100710010&amp;isNoScr=script&amp;mode=search",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HYPERLINK("https://www.eum.go.kr/web/mp/mpMapDet.jsp?pnu=3611033024104020000&amp;isNoScr=script&amp;mode=search",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HYPERLINK("https://www.eum.go.kr/web/mp/mpMapDet.jsp?pnu=3611033024104020000&amp;isNoScr=script&amp;mode=search",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HYPERLINK("https://www.eum.go.kr/web/mp/mpMapDet.jsp?pnu=3611033024104020000&amp;isNoScr=script&amp;mode=search",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HYPERLINK("https://www.eum.go.kr/web/mp/mpMapDet.jsp?pnu=3611033028102220001&amp;isNoScr=script&amp;mode=search",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HYPERLINK("https://www.eum.go.kr/web/mp/mpMapDet.jsp?pnu=3611033028102770002&amp;isNoScr=script&amp;mode=search",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HYPERLINK("https://www.eum.go.kr/web/mp/mpMapDet.jsp?pnu=3611033028102770002&amp;isNoScr=script&amp;mode=search",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30-2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4328</v>
      </c>
      <c r="I132" s="4" t="n">
        <v>1309</v>
      </c>
      <c r="J132" s="5" t="n">
        <v>160.4</v>
      </c>
      <c r="K132" s="4" t="n">
        <v>104</v>
      </c>
      <c r="L132" s="4" t="n">
        <v>31</v>
      </c>
      <c r="M132" s="5" t="n">
        <v>6774.2</v>
      </c>
      <c r="N132" s="3" t="inlineStr">
        <is>
          <t>1</t>
        </is>
      </c>
      <c r="O132" s="3" t="inlineStr">
        <is>
          <t>-</t>
        </is>
      </c>
      <c r="P132" s="3" t="inlineStr">
        <is>
          <t>부강산업단지 인접한 공장,창고 용지 입니다</t>
        </is>
      </c>
      <c r="Q132" s="6">
        <f>HYPERLINK("https://fin.land.naver.com/articles/2646821987", "매물Link")</f>
        <v/>
      </c>
      <c r="R132" s="6">
        <f>HYPERLINK("https://map.naver.com/p/search/부강면 금호리 30-2", "지도Link")</f>
        <v/>
      </c>
      <c r="S132" s="6">
        <f>HYPERLINK("https://www.eum.go.kr/web/mp/mpMapDet.jsp?pnu=3611033028100300002&amp;isNoScr=script&amp;mode=search", "토지이음")</f>
        <v/>
      </c>
      <c r="T132" s="3" t="inlineStr">
        <is>
          <t>더행복</t>
        </is>
      </c>
      <c r="U132" s="4" t="n">
        <v>1</v>
      </c>
      <c r="V132" s="5" t="n">
        <v>80.7</v>
      </c>
      <c r="W132" s="4" t="n">
        <v>4328</v>
      </c>
      <c r="X132" s="3" t="inlineStr">
        <is>
          <t>주4동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자원순환관련시설</t>
        </is>
      </c>
      <c r="AB132" s="3" t="inlineStr">
        <is>
          <t>5.65m</t>
        </is>
      </c>
      <c r="AC132" s="3" t="inlineStr">
        <is>
          <t>2020-06</t>
        </is>
      </c>
      <c r="AD132" s="3" t="inlineStr">
        <is>
          <t>세로한면(가)</t>
        </is>
      </c>
    </row>
    <row r="133">
      <c r="A133" s="3" t="inlineStr">
        <is>
          <t>부강면 금호리 389-1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66000</v>
      </c>
      <c r="G133" s="4" t="n">
        <v>0</v>
      </c>
      <c r="H133" s="4" t="n">
        <v>662</v>
      </c>
      <c r="I133" s="4" t="n">
        <v>200</v>
      </c>
      <c r="J133" s="5" t="n">
        <v>330</v>
      </c>
      <c r="K133" s="4" t="n">
        <v>193</v>
      </c>
      <c r="L133" s="4" t="n">
        <v>58</v>
      </c>
      <c r="M133" s="5" t="n">
        <v>1137.9</v>
      </c>
      <c r="N133" s="3" t="inlineStr">
        <is>
          <t>1</t>
        </is>
      </c>
      <c r="O133" s="3" t="inlineStr">
        <is>
          <t>-</t>
        </is>
      </c>
      <c r="P133" s="3" t="inlineStr">
        <is>
          <t>앞면도로접함 주차공간 많음,일반산업단지와IC근교,일반음식점,물류창고최적</t>
        </is>
      </c>
      <c r="Q133" s="6">
        <f>HYPERLINK("https://fin.land.naver.com/articles/2644730312", "매물Link")</f>
        <v/>
      </c>
      <c r="R133" s="6">
        <f>HYPERLINK("https://map.naver.com/p/search/부강면 금호리 389-1", "지도Link")</f>
        <v/>
      </c>
      <c r="S133" s="6">
        <f>HYPERLINK("https://www.eum.go.kr/web/mp/mpMapDet.jsp?pnu=3611033028103890001&amp;isNoScr=script&amp;mode=search", "토지이음")</f>
        <v/>
      </c>
      <c r="T133" s="3" t="inlineStr">
        <is>
          <t>원내</t>
        </is>
      </c>
      <c r="U133" s="4" t="n">
        <v>1</v>
      </c>
      <c r="V133" s="5" t="n">
        <v>79.90000000000001</v>
      </c>
      <c r="W133" s="4" t="n">
        <v>662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제2종근생</t>
        </is>
      </c>
      <c r="AB133" s="3" t="inlineStr">
        <is>
          <t>4.7m</t>
        </is>
      </c>
      <c r="AC133" s="3" t="inlineStr">
        <is>
          <t>2014-12</t>
        </is>
      </c>
      <c r="AD133" s="3" t="inlineStr">
        <is>
          <t>세로한면(가)</t>
        </is>
      </c>
    </row>
    <row r="134">
      <c r="A134" s="3" t="inlineStr">
        <is>
          <t>부강면 금호리 413-1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12000</v>
      </c>
      <c r="G134" s="4" t="n">
        <v>3700</v>
      </c>
      <c r="H134" s="4" t="n">
        <v>13866</v>
      </c>
      <c r="I134" s="4" t="n">
        <v>4194</v>
      </c>
      <c r="J134" s="5" t="n">
        <v>0.9</v>
      </c>
      <c r="K134" s="4" t="n">
        <v>6367</v>
      </c>
      <c r="L134" s="4" t="n">
        <v>1926</v>
      </c>
      <c r="M134" s="5" t="n">
        <v>1.9</v>
      </c>
      <c r="N134" s="3" t="inlineStr">
        <is>
          <t>1</t>
        </is>
      </c>
      <c r="O134" s="3" t="inlineStr">
        <is>
          <t>B1</t>
        </is>
      </c>
      <c r="P134" s="3" t="inlineStr">
        <is>
          <t>세종시 외곽 금강변 층고높은 대형창고 공장임대</t>
        </is>
      </c>
      <c r="Q134" s="6">
        <f>HYPERLINK("https://fin.land.naver.com/articles/2646844566", "매물Link")</f>
        <v/>
      </c>
      <c r="R134" s="6">
        <f>HYPERLINK("https://map.naver.com/p/search/부강면 금호리 413-1", "지도Link")</f>
        <v/>
      </c>
      <c r="S134" s="6">
        <f>HYPERLINK("https://www.eum.go.kr/web/mp/mpMapDet.jsp?pnu=3611033028104130001&amp;isNoScr=script&amp;mode=search", "토지이음")</f>
        <v/>
      </c>
      <c r="T134" s="3" t="inlineStr">
        <is>
          <t>기업전문주식회사</t>
        </is>
      </c>
      <c r="U134" s="4" t="n">
        <v>1</v>
      </c>
      <c r="V134" s="5" t="n">
        <v>84.90000000000001</v>
      </c>
      <c r="W134" s="4" t="n">
        <v>13866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10.0m</t>
        </is>
      </c>
      <c r="AC134" s="3" t="inlineStr">
        <is>
          <t>1997-09</t>
        </is>
      </c>
      <c r="AD134" s="3" t="inlineStr">
        <is>
          <t>소로한면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층고 높고 마당 넓음, 부강산업단지 인근, 즉시입주 가능</t>
        </is>
      </c>
      <c r="Q135" s="6">
        <f>HYPERLINK("https://fin.land.naver.com/articles/2645318268", "매물Link")</f>
        <v/>
      </c>
      <c r="R135" s="6">
        <f>HYPERLINK("https://map.naver.com/p/search/부강면 금호리 456", "지도Link")</f>
        <v/>
      </c>
      <c r="S135" s="6">
        <f>HYPERLINK("https://www.eum.go.kr/web/mp/mpMapDet.jsp?pnu=3611033028104560000&amp;isNoScr=script&amp;mode=search", "토지이음")</f>
        <v/>
      </c>
      <c r="T135" s="3" t="inlineStr">
        <is>
          <t>제이</t>
        </is>
      </c>
      <c r="U135" s="4" t="n">
        <v>4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HYPERLINK("https://www.eum.go.kr/web/mp/mpMapDet.jsp?pnu=3611033028104560000&amp;isNoScr=script&amp;mode=search",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HYPERLINK("https://www.eum.go.kr/web/mp/mpMapDet.jsp?pnu=3611033028104560000&amp;isNoScr=script&amp;mode=search",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HYPERLINK("https://www.eum.go.kr/web/mp/mpMapDet.jsp?pnu=3611033028106830001&amp;isNoScr=script&amp;mode=search",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 완료, 단독건물, 1층소매점,2층공장 겸 사무실</t>
        </is>
      </c>
      <c r="Q139" s="6">
        <f>HYPERLINK("https://fin.land.naver.com/articles/2650587618", "매물Link")</f>
        <v/>
      </c>
      <c r="R139" s="6">
        <f>HYPERLINK("https://map.naver.com/p/search/부강면 금호리 689", "지도Link")</f>
        <v/>
      </c>
      <c r="S139" s="6">
        <f>HYPERLINK("https://www.eum.go.kr/web/mp/mpMapDet.jsp?pnu=3611033028106890000&amp;isNoScr=script&amp;mode=search",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HYPERLINK("https://fin.land.naver.com/articles/2644664007", "매물Link")</f>
        <v/>
      </c>
      <c r="R140" s="6">
        <f>HYPERLINK("https://map.naver.com/p/search/부강면 금호리 689", "지도Link")</f>
        <v/>
      </c>
      <c r="S140" s="6">
        <f>HYPERLINK("https://www.eum.go.kr/web/mp/mpMapDet.jsp?pnu=3611033028106890000&amp;isNoScr=script&amp;mode=search",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HYPERLINK("https://fin.land.naver.com/articles/2644683566", "매물Link")</f>
        <v/>
      </c>
      <c r="R141" s="6">
        <f>HYPERLINK("https://map.naver.com/p/search/부강면 금호리 689", "지도Link")</f>
        <v/>
      </c>
      <c r="S141" s="6">
        <f>HYPERLINK("https://www.eum.go.kr/web/mp/mpMapDet.jsp?pnu=3611033028106890000&amp;isNoScr=script&amp;mode=search",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부강일반산업단지 인근 리모델링완료된 단독 공장 매매</t>
        </is>
      </c>
      <c r="Q142" s="6">
        <f>HYPERLINK("https://fin.land.naver.com/articles/2646311764", "매물Link")</f>
        <v/>
      </c>
      <c r="R142" s="6">
        <f>HYPERLINK("https://map.naver.com/p/search/부강면 금호리 689", "지도Link")</f>
        <v/>
      </c>
      <c r="S142" s="6">
        <f>HYPERLINK("https://www.eum.go.kr/web/mp/mpMapDet.jsp?pnu=3611033028106890000&amp;isNoScr=script&amp;mode=search", "토지이음")</f>
        <v/>
      </c>
      <c r="T142" s="3" t="inlineStr">
        <is>
          <t>드림옥션사무소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9566</v>
      </c>
      <c r="I143" s="4" t="n">
        <v>2894</v>
      </c>
      <c r="J143" s="5" t="n">
        <v>197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제조업,재활용업 다용도 공장 가능,민원 없고 대형차량 진출입이 편리</t>
        </is>
      </c>
      <c r="Q143" s="6">
        <f>HYPERLINK("https://fin.land.naver.com/articles/2650503889", "매물Link")</f>
        <v/>
      </c>
      <c r="R143" s="6">
        <f>HYPERLINK("https://map.naver.com/p/search/부강면 노호리 155-1", "지도Link")</f>
        <v/>
      </c>
      <c r="S143" s="6">
        <f>HYPERLINK("https://www.eum.go.kr/web/mp/mpMapDet.jsp?pnu=3611033027101550001&amp;isNoScr=script&amp;mode=search", "토지이음")</f>
        <v/>
      </c>
      <c r="T143" s="3" t="inlineStr">
        <is>
          <t>금화랜드</t>
        </is>
      </c>
      <c r="U143" s="4" t="n">
        <v>3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HYPERLINK("https://www.eum.go.kr/web/mp/mpMapDet.jsp?pnu=3611033027101550001&amp;isNoScr=script&amp;mode=search",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남청주ic, 신탄진ic 접근성 우수 호이스트설치 전력700kw</t>
        </is>
      </c>
      <c r="Q145" s="6">
        <f>HYPERLINK("https://fin.land.naver.com/articles/2650204516", "매물Link")</f>
        <v/>
      </c>
      <c r="R145" s="6">
        <f>HYPERLINK("https://map.naver.com/p/search/부강면 노호리 155-1", "지도Link")</f>
        <v/>
      </c>
      <c r="S145" s="6">
        <f>HYPERLINK("https://www.eum.go.kr/web/mp/mpMapDet.jsp?pnu=3611033027101550001&amp;isNoScr=script&amp;mode=search",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HYPERLINK("https://fin.land.naver.com/articles/2650625680", "매물Link")</f>
        <v/>
      </c>
      <c r="R146" s="6">
        <f>HYPERLINK("https://map.naver.com/p/search/부강면 노호리 155-1", "지도Link")</f>
        <v/>
      </c>
      <c r="S146" s="6">
        <f>HYPERLINK("https://www.eum.go.kr/web/mp/mpMapDet.jsp?pnu=3611033027101550001&amp;isNoScr=script&amp;mode=search",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HYPERLINK("https://www.eum.go.kr/web/mp/mpMapDet.jsp?pnu=3611033027101550001&amp;isNoScr=script&amp;mode=search",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HYPERLINK("https://www.eum.go.kr/web/mp/mpMapDet.jsp?pnu=3611033027101550001&amp;isNoScr=script&amp;mode=search",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8600</v>
      </c>
      <c r="I149" s="4" t="n">
        <v>2602</v>
      </c>
      <c r="J149" s="5" t="n">
        <v>0.6</v>
      </c>
      <c r="K149" s="4" t="n">
        <v>1793</v>
      </c>
      <c r="L149" s="4" t="n">
        <v>542</v>
      </c>
      <c r="M149" s="5" t="n">
        <v>2.8</v>
      </c>
      <c r="N149" s="3" t="inlineStr">
        <is>
          <t>2</t>
        </is>
      </c>
      <c r="O149" s="3" t="inlineStr">
        <is>
          <t>-</t>
        </is>
      </c>
      <c r="P149" s="3" t="inlineStr">
        <is>
          <t>계획관리지역 넓은 야드 층고 높은 공장임대 보1억5천 월1500 매매가능</t>
        </is>
      </c>
      <c r="Q149" s="6">
        <f>HYPERLINK("https://fin.land.naver.com/articles/2648078347", "매물Link")</f>
        <v/>
      </c>
      <c r="R149" s="6">
        <f>HYPERLINK("https://map.naver.com/p/search/부강면 노호리 155-1", "지도Link")</f>
        <v/>
      </c>
      <c r="S149" s="6">
        <f>HYPERLINK("https://www.eum.go.kr/web/mp/mpMapDet.jsp?pnu=3611033027101550001&amp;isNoScr=script&amp;mode=search", "토지이음")</f>
        <v/>
      </c>
      <c r="T149" s="3" t="inlineStr">
        <is>
          <t>불당대원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HYPERLINK("https://www.eum.go.kr/web/mp/mpMapDet.jsp?pnu=3611033027101550001&amp;isNoScr=script&amp;mode=search",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HYPERLINK("https://www.eum.go.kr/web/mp/mpMapDet.jsp?pnu=3611033027100760000&amp;isNoScr=script&amp;mode=search",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HYPERLINK("https://www.eum.go.kr/web/mp/mpMapDet.jsp?pnu=3611033026103500009&amp;isNoScr=script&amp;mode=search",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HYPERLINK("https://www.eum.go.kr/web/mp/mpMapDet.jsp?pnu=3611033025101280003&amp;isNoScr=script&amp;mode=search",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1</t>
        </is>
      </c>
      <c r="O154" s="3" t="inlineStr">
        <is>
          <t>B1</t>
        </is>
      </c>
      <c r="P154" s="3" t="inlineStr">
        <is>
          <t>남청주IC 인근 창고, 대형차 진출입 용이</t>
        </is>
      </c>
      <c r="Q154" s="6">
        <f>HYPERLINK("https://fin.land.naver.com/articles/2649744370", "매물Link")</f>
        <v/>
      </c>
      <c r="R154" s="6">
        <f>HYPERLINK("https://map.naver.com/p/search/부강면 문곡리 140", "지도Link")</f>
        <v/>
      </c>
      <c r="S154" s="6">
        <f>HYPERLINK("https://www.eum.go.kr/web/mp/mpMapDet.jsp?pnu=3611033025101400000&amp;isNoScr=script&amp;mode=search", "토지이음")</f>
        <v/>
      </c>
      <c r="T154" s="3" t="inlineStr">
        <is>
          <t>라이프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HYPERLINK("https://www.eum.go.kr/web/mp/mpMapDet.jsp?pnu=3611033025101400000&amp;isNoScr=script&amp;mode=search",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HYPERLINK("https://www.eum.go.kr/web/mp/mpMapDet.jsp?pnu=3611033025101400000&amp;isNoScr=script&amp;mode=search",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HYPERLINK("https://www.eum.go.kr/web/mp/mpMapDet.jsp?pnu=3611033025101540002&amp;isNoScr=script&amp;mode=search",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HYPERLINK("https://www.eum.go.kr/web/mp/mpMapDet.jsp?pnu=3611033025104630027&amp;isNoScr=script&amp;mode=search",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HYPERLINK("https://www.eum.go.kr/web/mp/mpMapDet.jsp?pnu=3611033025104630027&amp;isNoScr=script&amp;mode=search",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5514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인근에 있어 진출입이 용이하고 창고시설, 물류센터추천</t>
        </is>
      </c>
      <c r="Q160" s="6">
        <f>HYPERLINK("https://fin.land.naver.com/articles/2647740658", "매물Link")</f>
        <v/>
      </c>
      <c r="R160" s="6">
        <f>HYPERLINK("https://map.naver.com/p/search/부강면 문곡리 463-32", "지도Link")</f>
        <v/>
      </c>
      <c r="S160" s="6">
        <f>HYPERLINK("https://www.eum.go.kr/web/mp/mpMapDet.jsp?pnu=3611033025104630032&amp;isNoScr=script&amp;mode=search", "토지이음")</f>
        <v/>
      </c>
      <c r="T160" s="3" t="inlineStr">
        <is>
          <t>금화랜드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HYPERLINK("https://fin.land.naver.com/articles/2650178094", "매물Link")</f>
        <v/>
      </c>
      <c r="R161" s="6">
        <f>HYPERLINK("https://map.naver.com/p/search/부강면 문곡리 680", "지도Link")</f>
        <v/>
      </c>
      <c r="S161" s="6">
        <f>HYPERLINK("https://www.eum.go.kr/web/mp/mpMapDet.jsp?pnu=3611033025106800000&amp;isNoScr=script&amp;mode=search",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HYPERLINK("https://www.eum.go.kr/web/mp/mpMapDet.jsp?pnu=3611033025106800000&amp;isNoScr=script&amp;mode=search",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HYPERLINK("https://www.eum.go.kr/web/mp/mpMapDet.jsp?pnu=3611033025106800000&amp;isNoScr=script&amp;mode=search",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HYPERLINK("https://www.eum.go.kr/web/mp/mpMapDet.jsp?pnu=3611033025107290000&amp;isNoScr=script&amp;mode=search",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HYPERLINK("https://www.eum.go.kr/web/mp/mpMapDet.jsp?pnu=3611033025107290000&amp;isNoScr=script&amp;mode=search",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교통편리한 부강면 저렴한 소형창고 임대</t>
        </is>
      </c>
      <c r="Q166" s="6">
        <f>HYPERLINK("https://fin.land.naver.com/articles/2647101871", "매물Link")</f>
        <v/>
      </c>
      <c r="R166" s="6">
        <f>HYPERLINK("https://map.naver.com/p/search/부강면 문곡리 729", "지도Link")</f>
        <v/>
      </c>
      <c r="S166" s="6">
        <f>HYPERLINK("https://www.eum.go.kr/web/mp/mpMapDet.jsp?pnu=3611033025107290000&amp;isNoScr=script&amp;mode=search", "토지이음")</f>
        <v/>
      </c>
      <c r="T166" s="3" t="inlineStr">
        <is>
          <t>세종행복한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HYPERLINK("https://fin.land.naver.com/articles/2649933957", "매물Link")</f>
        <v/>
      </c>
      <c r="R167" s="6">
        <f>HYPERLINK("https://map.naver.com/p/search/부강면 문곡리 729", "지도Link")</f>
        <v/>
      </c>
      <c r="S167" s="6">
        <f>HYPERLINK("https://www.eum.go.kr/web/mp/mpMapDet.jsp?pnu=3611033025107290000&amp;isNoScr=script&amp;mode=search",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HYPERLINK("https://fin.land.naver.com/articles/2649562576", "매물Link")</f>
        <v/>
      </c>
      <c r="R168" s="6">
        <f>HYPERLINK("https://map.naver.com/p/search/부강면 문곡리 729", "지도Link")</f>
        <v/>
      </c>
      <c r="S168" s="6">
        <f>HYPERLINK("https://www.eum.go.kr/web/mp/mpMapDet.jsp?pnu=3611033025107290000&amp;isNoScr=script&amp;mode=search",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HYPERLINK("https://www.eum.go.kr/web/mp/mpMapDet.jsp?pnu=3611033025107290002&amp;isNoScr=script&amp;mode=search",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HYPERLINK("https://www.eum.go.kr/web/mp/mpMapDet.jsp?pnu=3611033025107690001&amp;isNoScr=script&amp;mode=search",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HYPERLINK("https://www.eum.go.kr/web/mp/mpMapDet.jsp?pnu=3611033025109030000&amp;isNoScr=script&amp;mode=search",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HYPERLINK("https://www.eum.go.kr/web/mp/mpMapDet.jsp?pnu=3611033025109040004&amp;isNoScr=script&amp;mode=search",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HYPERLINK("https://www.eum.go.kr/web/mp/mpMapDet.jsp?pnu=3611033025109040004&amp;isNoScr=script&amp;mode=search",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HYPERLINK("https://www.eum.go.kr/web/mp/mpMapDet.jsp?pnu=3611033025109040004&amp;isNoScr=script&amp;mode=search",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HYPERLINK("https://www.eum.go.kr/web/mp/mpMapDet.jsp?pnu=3611033025109040004&amp;isNoScr=script&amp;mode=search",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사진ok, 제2종근린생활시설  제조업가능한  창고매매 .</t>
        </is>
      </c>
      <c r="Q176" s="6">
        <f>HYPERLINK("https://fin.land.naver.com/articles/2649470959", "매물Link")</f>
        <v/>
      </c>
      <c r="R176" s="6">
        <f>HYPERLINK("https://map.naver.com/p/search/부강면 부강리 377-11", "지도Link")</f>
        <v/>
      </c>
      <c r="S176" s="6">
        <f>HYPERLINK("https://www.eum.go.kr/web/mp/mpMapDet.jsp?pnu=3611033021103770011&amp;isNoScr=script&amp;mode=search", "토지이음")</f>
        <v/>
      </c>
      <c r="T176" s="3" t="inlineStr">
        <is>
          <t>비전</t>
        </is>
      </c>
      <c r="U176" s="4" t="n">
        <v>1</v>
      </c>
      <c r="V176" s="5" t="n">
        <v>142.6</v>
      </c>
      <c r="W176" s="4" t="n">
        <v>549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4.8m</t>
        </is>
      </c>
      <c r="AC176" s="3" t="inlineStr">
        <is>
          <t>2020-07</t>
        </is>
      </c>
      <c r="AD176" s="3" t="inlineStr">
        <is>
          <t>중로각지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HYPERLINK("https://www.eum.go.kr/web/mp/mpMapDet.jsp?pnu=3611033021103770011&amp;isNoScr=script&amp;mode=search",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산수리 105-1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500</v>
      </c>
      <c r="H178" s="4" t="n">
        <v>5826</v>
      </c>
      <c r="I178" s="4" t="n">
        <v>1762</v>
      </c>
      <c r="J178" s="5" t="n">
        <v>0.3</v>
      </c>
      <c r="K178" s="4" t="n">
        <v>793</v>
      </c>
      <c r="L178" s="4" t="n">
        <v>240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좋은 위치 마당넓어 대형차 진출입 가능</t>
        </is>
      </c>
      <c r="Q178" s="6">
        <f>HYPERLINK("https://fin.land.naver.com/articles/2649683295", "매물Link")</f>
        <v/>
      </c>
      <c r="R178" s="6">
        <f>HYPERLINK("https://map.naver.com/p/search/부강면 산수리 105-1", "지도Link")</f>
        <v/>
      </c>
      <c r="S178" s="6">
        <f>HYPERLINK("https://www.eum.go.kr/web/mp/mpMapDet.jsp?pnu=3611033023101050001&amp;isNoScr=script&amp;mode=search",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77.90000000000001</v>
      </c>
      <c r="W178" s="4" t="n">
        <v>2209</v>
      </c>
      <c r="X178" s="3" t="inlineStr">
        <is>
          <t>6동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창고시설</t>
        </is>
      </c>
      <c r="AB178" s="3" t="inlineStr">
        <is>
          <t>8.3m</t>
        </is>
      </c>
      <c r="AC178" s="3" t="inlineStr">
        <is>
          <t>2007-10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21410</v>
      </c>
      <c r="I179" s="4" t="n">
        <v>6477</v>
      </c>
      <c r="J179" s="5" t="n">
        <v>0.1</v>
      </c>
      <c r="K179" s="4" t="n">
        <v>733</v>
      </c>
      <c r="L179" s="4" t="n">
        <v>222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남청주IC인근 임대료 저렴한 넓은 창고임대 진출입 용이 전력높음</t>
        </is>
      </c>
      <c r="Q179" s="6">
        <f>HYPERLINK("https://fin.land.naver.com/articles/2649682702", "매물Link")</f>
        <v/>
      </c>
      <c r="R179" s="6">
        <f>HYPERLINK("https://map.naver.com/p/search/부강면 산수리 105-3", "지도Link")</f>
        <v/>
      </c>
      <c r="S179" s="6">
        <f>HYPERLINK("https://www.eum.go.kr/web/mp/mpMapDet.jsp?pnu=3611033023101050003&amp;isNoScr=script&amp;mode=search",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10000</v>
      </c>
      <c r="G180" s="4" t="n">
        <v>850</v>
      </c>
      <c r="H180" s="4" t="n">
        <v>21410</v>
      </c>
      <c r="I180" s="4" t="n">
        <v>6477</v>
      </c>
      <c r="J180" s="5" t="n">
        <v>0.1</v>
      </c>
      <c r="K180" s="4" t="n">
        <v>760</v>
      </c>
      <c r="L180" s="4" t="n">
        <v>230</v>
      </c>
      <c r="M180" s="5" t="n">
        <v>3.7</v>
      </c>
      <c r="N180" s="3" t="inlineStr">
        <is>
          <t>1</t>
        </is>
      </c>
      <c r="O180" s="3" t="inlineStr">
        <is>
          <t>-</t>
        </is>
      </c>
      <c r="P180" s="3" t="inlineStr">
        <is>
          <t>귀한 냉동창고와 냉장저온작업실을 구비한 창고 사무실 공간 완비</t>
        </is>
      </c>
      <c r="Q180" s="6">
        <f>HYPERLINK("https://fin.land.naver.com/articles/2648959391", "매물Link")</f>
        <v/>
      </c>
      <c r="R180" s="6">
        <f>HYPERLINK("https://map.naver.com/p/search/부강면 산수리 105-3", "지도Link")</f>
        <v/>
      </c>
      <c r="S180" s="6">
        <f>HYPERLINK("https://www.eum.go.kr/web/mp/mpMapDet.jsp?pnu=3611033023101050003&amp;isNoScr=script&amp;mode=search",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HYPERLINK("https://www.eum.go.kr/web/mp/mpMapDet.jsp?pnu=3611033023101050003&amp;isNoScr=script&amp;mode=search",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HYPERLINK("https://www.eum.go.kr/web/mp/mpMapDet.jsp?pnu=3611033023101050003&amp;isNoScr=script&amp;mode=search",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행산리 150-1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700</v>
      </c>
      <c r="H183" s="4" t="n">
        <v>6446</v>
      </c>
      <c r="I183" s="4" t="n">
        <v>1950</v>
      </c>
      <c r="J183" s="5" t="n">
        <v>0.4</v>
      </c>
      <c r="K183" s="4" t="n">
        <v>983</v>
      </c>
      <c r="L183" s="4" t="n">
        <v>297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세종 청주 접근성 우수 2차선도로변 호이스트 3기 완비된 공장 임대</t>
        </is>
      </c>
      <c r="Q183" s="6">
        <f>HYPERLINK("https://fin.land.naver.com/articles/2649493657", "매물Link")</f>
        <v/>
      </c>
      <c r="R183" s="6">
        <f>HYPERLINK("https://map.naver.com/p/search/부강면 행산리 150-1", "지도Link")</f>
        <v/>
      </c>
      <c r="S183" s="6">
        <f>HYPERLINK("https://www.eum.go.kr/web/mp/mpMapDet.jsp?pnu=3611033022101500001&amp;isNoScr=script&amp;mode=search", "토지이음")</f>
        <v/>
      </c>
      <c r="T183" s="3" t="inlineStr">
        <is>
          <t>청담</t>
        </is>
      </c>
      <c r="U183" s="4" t="n">
        <v>1</v>
      </c>
      <c r="V183" s="5" t="n">
        <v>75.40000000000001</v>
      </c>
      <c r="W183" s="4" t="n">
        <v>5589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11.54m</t>
        </is>
      </c>
      <c r="AC183" s="3" t="inlineStr">
        <is>
          <t>2019-04</t>
        </is>
      </c>
      <c r="AD183" s="3" t="inlineStr">
        <is>
          <t>소로한면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HYPERLINK("https://www.eum.go.kr/web/mp/mpMapDet.jsp?pnu=3611033022101500001&amp;isNoScr=script&amp;mode=search",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2741</v>
      </c>
      <c r="I185" s="4" t="n">
        <v>829</v>
      </c>
      <c r="J185" s="5" t="n">
        <v>0.2</v>
      </c>
      <c r="K185" s="4" t="n">
        <v>192</v>
      </c>
      <c r="L185" s="4" t="n">
        <v>58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접근성 좋고 청주세종간도로인근 2차선도로변</t>
        </is>
      </c>
      <c r="Q185" s="6">
        <f>HYPERLINK("https://fin.land.naver.com/articles/2646670161", "매물Link")</f>
        <v/>
      </c>
      <c r="R185" s="6">
        <f>HYPERLINK("https://map.naver.com/p/search/부강면 행산리 154-1", "지도Link")</f>
        <v/>
      </c>
      <c r="S185" s="6">
        <f>HYPERLINK("https://www.eum.go.kr/web/mp/mpMapDet.jsp?pnu=3611033022101540001&amp;isNoScr=script&amp;mode=search",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59.9</v>
      </c>
      <c r="W185" s="4" t="n">
        <v>2741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경량철골구조</t>
        </is>
      </c>
      <c r="AA185" s="3" t="inlineStr">
        <is>
          <t>제1종근생</t>
        </is>
      </c>
      <c r="AB185" s="3" t="inlineStr">
        <is>
          <t>8.1m</t>
        </is>
      </c>
      <c r="AC185" s="3" t="inlineStr">
        <is>
          <t>2022-07</t>
        </is>
      </c>
      <c r="AD185" s="3" t="inlineStr">
        <is>
          <t>소로한면</t>
        </is>
      </c>
    </row>
    <row r="186">
      <c r="A186" s="3" t="inlineStr">
        <is>
          <t>부강면 행산리 335-1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550</v>
      </c>
      <c r="H186" s="4" t="n">
        <v>20331</v>
      </c>
      <c r="I186" s="4" t="n">
        <v>6150</v>
      </c>
      <c r="J186" s="5" t="n">
        <v>0.1</v>
      </c>
      <c r="K186" s="4" t="n">
        <v>810</v>
      </c>
      <c r="L186" s="4" t="n">
        <v>245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승압걱정 필요없는 5톤크레인 설치된 공장</t>
        </is>
      </c>
      <c r="Q186" s="6">
        <f>HYPERLINK("https://fin.land.naver.com/articles/2650483631", "매물Link")</f>
        <v/>
      </c>
      <c r="R186" s="6">
        <f>HYPERLINK("https://map.naver.com/p/search/부강면 행산리 335-1", "지도Link")</f>
        <v/>
      </c>
      <c r="S186" s="6">
        <f>HYPERLINK("https://www.eum.go.kr/web/mp/mpMapDet.jsp?pnu=3611033022103350001&amp;isNoScr=script&amp;mode=search", "토지이음")</f>
        <v/>
      </c>
      <c r="T186" s="3" t="inlineStr">
        <is>
          <t>창고의여왕</t>
        </is>
      </c>
      <c r="U186" s="4" t="n">
        <v>2</v>
      </c>
      <c r="V186" s="5" t="n">
        <v>55.8</v>
      </c>
      <c r="W186" s="4" t="n">
        <v>20331</v>
      </c>
      <c r="X186" s="3" t="inlineStr">
        <is>
          <t>4동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10.6m</t>
        </is>
      </c>
      <c r="AC186" s="3" t="inlineStr">
        <is>
          <t>2004-05</t>
        </is>
      </c>
      <c r="AD186" s="3" t="inlineStr">
        <is>
          <t>세로한면(가)</t>
        </is>
      </c>
    </row>
    <row r="187">
      <c r="A187" s="3" t="inlineStr">
        <is>
          <t>부강면 행산리 371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120000</v>
      </c>
      <c r="G187" s="4" t="n">
        <v>0</v>
      </c>
      <c r="H187" s="4" t="n">
        <v>815</v>
      </c>
      <c r="I187" s="4" t="n">
        <v>247</v>
      </c>
      <c r="J187" s="5" t="n">
        <v>485.8</v>
      </c>
      <c r="K187" s="4" t="n">
        <v>436</v>
      </c>
      <c r="L187" s="4" t="n">
        <v>132</v>
      </c>
      <c r="M187" s="5" t="n">
        <v>909.1</v>
      </c>
      <c r="N187" s="3" t="inlineStr">
        <is>
          <t>2</t>
        </is>
      </c>
      <c r="O187" s="3" t="inlineStr">
        <is>
          <t>-</t>
        </is>
      </c>
      <c r="P187" s="3" t="inlineStr">
        <is>
          <t>성업중인공장.진입도로확장예정.매도후재임대가능.남청주IC인근.중부물류터미널</t>
        </is>
      </c>
      <c r="Q187" s="6">
        <f>HYPERLINK("https://fin.land.naver.com/articles/2650318649", "매물Link")</f>
        <v/>
      </c>
      <c r="R187" s="6">
        <f>HYPERLINK("https://map.naver.com/p/search/부강면 행산리 371", "지도Link")</f>
        <v/>
      </c>
      <c r="S187" s="6">
        <f>HYPERLINK("https://www.eum.go.kr/web/mp/mpMapDet.jsp?pnu=3611033022103710000&amp;isNoScr=script&amp;mode=search", "토지이음")</f>
        <v/>
      </c>
      <c r="T187" s="3" t="inlineStr">
        <is>
          <t>돈방석</t>
        </is>
      </c>
      <c r="U187" s="4" t="n">
        <v>2</v>
      </c>
      <c r="V187" s="5" t="n">
        <v>41.2</v>
      </c>
      <c r="W187" s="4" t="n">
        <v>815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동물및식물관련시설</t>
        </is>
      </c>
      <c r="AB187" s="3" t="inlineStr">
        <is>
          <t>8.2m</t>
        </is>
      </c>
      <c r="AC187" s="3" t="inlineStr">
        <is>
          <t>2022-06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HYPERLINK("https://www.eum.go.kr/web/mp/mpMapDet.jsp?pnu=3611033022103710000&amp;isNoScr=script&amp;mode=search",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연동면 내판리 167-3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25000</v>
      </c>
      <c r="G189" s="4" t="n">
        <v>2500</v>
      </c>
      <c r="H189" s="4" t="n">
        <v>9768</v>
      </c>
      <c r="I189" s="4" t="n">
        <v>2955</v>
      </c>
      <c r="J189" s="5" t="n">
        <v>0.8</v>
      </c>
      <c r="K189" s="4" t="n">
        <v>4329</v>
      </c>
      <c r="L189" s="4" t="n">
        <v>1310</v>
      </c>
      <c r="M189" s="5" t="n">
        <v>1.9</v>
      </c>
      <c r="N189" s="3" t="inlineStr">
        <is>
          <t>2</t>
        </is>
      </c>
      <c r="O189" s="3" t="inlineStr">
        <is>
          <t>-</t>
        </is>
      </c>
      <c r="P189" s="3" t="inlineStr">
        <is>
          <t>천평 임대,층고5m 깔끔한 공장,현재 공실로 즉시입주 가능</t>
        </is>
      </c>
      <c r="Q189" s="6">
        <f>HYPERLINK("https://fin.land.naver.com/articles/2644615200", "매물Link")</f>
        <v/>
      </c>
      <c r="R189" s="6">
        <f>HYPERLINK("https://map.naver.com/p/search/연동면 내판리 167-3", "지도Link")</f>
        <v/>
      </c>
      <c r="S189" s="6">
        <f>HYPERLINK("https://www.eum.go.kr/web/mp/mpMapDet.jsp?pnu=3611032021101670003&amp;isNoScr=script&amp;mode=search", "토지이음")</f>
        <v/>
      </c>
      <c r="T189" s="3" t="inlineStr">
        <is>
          <t>금화랜드</t>
        </is>
      </c>
      <c r="U189" s="4" t="n">
        <v>1</v>
      </c>
      <c r="V189" s="5" t="n">
        <v>79.09999999999999</v>
      </c>
      <c r="W189" s="4" t="n">
        <v>8450</v>
      </c>
      <c r="X189" s="3" t="inlineStr">
        <is>
          <t>미표기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1992</t>
        </is>
      </c>
      <c r="AD189" s="3" t="inlineStr">
        <is>
          <t>소로한면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HYPERLINK("https://www.eum.go.kr/web/mp/mpMapDet.jsp?pnu=3611032021101670003&amp;isNoScr=script&amp;mode=search",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HYPERLINK("https://www.eum.go.kr/web/mp/mpMapDet.jsp?pnu=3611032021106020000&amp;isNoScr=script&amp;mode=search",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HYPERLINK("https://www.eum.go.kr/web/mp/mpMapDet.jsp?pnu=3611032021107110000&amp;isNoScr=script&amp;mode=search",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HYPERLINK("https://www.eum.go.kr/web/mp/mpMapDet.jsp?pnu=3611032023106210002&amp;isNoScr=script&amp;mode=search",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세종시 일반공업지역의 호이스트 및 층고 높은 대형공장</t>
        </is>
      </c>
      <c r="Q194" s="6">
        <f>HYPERLINK("https://fin.land.naver.com/articles/2648890752", "매물Link")</f>
        <v/>
      </c>
      <c r="R194" s="6">
        <f>HYPERLINK("https://map.naver.com/p/search/연동면 명학리 964", "지도Link")</f>
        <v/>
      </c>
      <c r="S194" s="6">
        <f>HYPERLINK("https://www.eum.go.kr/web/mp/mpMapDet.jsp?pnu=3611032023109640000&amp;isNoScr=script&amp;mode=search", "토지이음")</f>
        <v/>
      </c>
      <c r="T194" s="3" t="inlineStr">
        <is>
          <t>(주)미르</t>
        </is>
      </c>
      <c r="U194" s="4" t="n">
        <v>2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HYPERLINK("https://fin.land.naver.com/articles/2649599958", "매물Link")</f>
        <v/>
      </c>
      <c r="R195" s="6">
        <f>HYPERLINK("https://map.naver.com/p/search/연동면 명학리 964", "지도Link")</f>
        <v/>
      </c>
      <c r="S195" s="6">
        <f>HYPERLINK("https://www.eum.go.kr/web/mp/mpMapDet.jsp?pnu=3611032023109640000&amp;isNoScr=script&amp;mode=search",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세종시의 대형공장 및 창고,물류센터 추천, 남청주IC에서 7km 위치</t>
        </is>
      </c>
      <c r="Q196" s="6">
        <f>HYPERLINK("https://fin.land.naver.com/articles/2648903808", "매물Link")</f>
        <v/>
      </c>
      <c r="R196" s="6">
        <f>HYPERLINK("https://map.naver.com/p/search/연동면 응암리 108-4", "지도Link")</f>
        <v/>
      </c>
      <c r="S196" s="6">
        <f>HYPERLINK("https://www.eum.go.kr/web/mp/mpMapDet.jsp?pnu=3611032024101080004&amp;isNoScr=script&amp;mode=search", "토지이음")</f>
        <v/>
      </c>
      <c r="T196" s="3" t="inlineStr">
        <is>
          <t>금화랜드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대형 공장 창고 매매</t>
        </is>
      </c>
      <c r="Q197" s="6">
        <f>HYPERLINK("https://fin.land.naver.com/articles/2649706179", "매물Link")</f>
        <v/>
      </c>
      <c r="R197" s="6">
        <f>HYPERLINK("https://map.naver.com/p/search/연동면 응암리 108-4", "지도Link")</f>
        <v/>
      </c>
      <c r="S197" s="6">
        <f>HYPERLINK("https://www.eum.go.kr/web/mp/mpMapDet.jsp?pnu=3611032024101080004&amp;isNoScr=script&amp;mode=search", "토지이음")</f>
        <v/>
      </c>
      <c r="T197" s="3" t="inlineStr">
        <is>
          <t>THE행복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HYPERLINK("https://www.eum.go.kr/web/mp/mpMapDet.jsp?pnu=3611032024105610001&amp;isNoScr=script&amp;mode=search",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행복도시 도심1분 최인접 명학산업단지 건너편 6차선도로 바로옆</t>
        </is>
      </c>
      <c r="Q199" s="6">
        <f>HYPERLINK("https://fin.land.naver.com/articles/2644483737", "매물Link")</f>
        <v/>
      </c>
      <c r="R199" s="6">
        <f>HYPERLINK("https://map.naver.com/p/search/연동면 응암리 561-1", "지도Link")</f>
        <v/>
      </c>
      <c r="S199" s="6">
        <f>HYPERLINK("https://www.eum.go.kr/web/mp/mpMapDet.jsp?pnu=3611032024105610001&amp;isNoScr=script&amp;mode=search", "토지이음")</f>
        <v/>
      </c>
      <c r="T199" s="3" t="inlineStr">
        <is>
          <t>세종스타</t>
        </is>
      </c>
      <c r="U199" s="4" t="n">
        <v>2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HYPERLINK("https://www.eum.go.kr/web/mp/mpMapDet.jsp?pnu=3611032024105610001&amp;isNoScr=script&amp;mode=search",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HYPERLINK("https://www.eum.go.kr/web/mp/mpMapDet.jsp?pnu=3611032024106660001&amp;isNoScr=script&amp;mode=search",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HYPERLINK("https://www.eum.go.kr/web/mp/mpMapDet.jsp?pnu=3611032024106660001&amp;isNoScr=script&amp;mode=search",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7015</v>
      </c>
      <c r="I203" s="4" t="n">
        <v>2122</v>
      </c>
      <c r="J203" s="5" t="n">
        <v>0.1</v>
      </c>
      <c r="K203" s="4" t="n">
        <v>4117</v>
      </c>
      <c r="L203" s="4" t="n">
        <v>1245</v>
      </c>
      <c r="M203" s="5" t="n">
        <v>0.2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HYPERLINK("https://fin.land.naver.com/articles/2647692237", "매물Link")</f>
        <v/>
      </c>
      <c r="R203" s="6">
        <f>HYPERLINK("https://map.naver.com/p/search/연동면 응암리 666-1", "지도Link")</f>
        <v/>
      </c>
      <c r="S203" s="6">
        <f>HYPERLINK("https://www.eum.go.kr/web/mp/mpMapDet.jsp?pnu=3611032024106660001&amp;isNoScr=script&amp;mode=search",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HYPERLINK("https://www.eum.go.kr/web/mp/mpMapDet.jsp?pnu=3611032024106660006&amp;isNoScr=script&amp;mode=search",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-</t>
        </is>
      </c>
      <c r="AD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10093</v>
      </c>
      <c r="I205" s="4" t="n">
        <v>3053</v>
      </c>
      <c r="J205" s="5" t="n">
        <v>219.5</v>
      </c>
      <c r="K205" s="4" t="n">
        <v>5677</v>
      </c>
      <c r="L205" s="4" t="n">
        <v>1717</v>
      </c>
      <c r="M205" s="5" t="n">
        <v>390.2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HYPERLINK("https://fin.land.naver.com/articles/2649601593", "매물Link")</f>
        <v/>
      </c>
      <c r="R205" s="6">
        <f>HYPERLINK("https://map.naver.com/p/search/연동면 응암리 666-6", "지도Link")</f>
        <v/>
      </c>
      <c r="S205" s="6">
        <f>HYPERLINK("https://www.eum.go.kr/web/mp/mpMapDet.jsp?pnu=3611032024106660006&amp;isNoScr=script&amp;mode=search",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78.3</v>
      </c>
      <c r="W205" s="4" t="n">
        <v>9368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-</t>
        </is>
      </c>
      <c r="AD205" s="3" t="inlineStr">
        <is>
          <t>소로한면</t>
        </is>
      </c>
    </row>
    <row r="206">
      <c r="A206" s="3" t="inlineStr">
        <is>
          <t>연동면 응암리 676-12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7600</v>
      </c>
      <c r="G206" s="4" t="n">
        <v>760</v>
      </c>
      <c r="H206" s="4" t="n">
        <v>5241</v>
      </c>
      <c r="I206" s="4" t="n">
        <v>1585</v>
      </c>
      <c r="J206" s="5" t="n">
        <v>0.5</v>
      </c>
      <c r="K206" s="4" t="n">
        <v>1096</v>
      </c>
      <c r="L206" s="4" t="n">
        <v>332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세종명학산업단지 초근접 2차선 도로변 공장, 물류창고 임대</t>
        </is>
      </c>
      <c r="Q206" s="6">
        <f>HYPERLINK("https://fin.land.naver.com/articles/2649815821", "매물Link")</f>
        <v/>
      </c>
      <c r="R206" s="6">
        <f>HYPERLINK("https://map.naver.com/p/search/연동면 응암리 676-12", "지도Link")</f>
        <v/>
      </c>
      <c r="S206" s="6">
        <f>HYPERLINK("https://www.eum.go.kr/web/mp/mpMapDet.jsp?pnu=3611032024106760012&amp;isNoScr=script&amp;mode=search", "토지이음")</f>
        <v/>
      </c>
      <c r="T206" s="3" t="inlineStr">
        <is>
          <t>청담</t>
        </is>
      </c>
      <c r="U206" s="4" t="n">
        <v>1</v>
      </c>
      <c r="V206" s="5" t="n">
        <v>63.9</v>
      </c>
      <c r="W206" s="4" t="n">
        <v>5241</v>
      </c>
      <c r="X206" s="3" t="inlineStr">
        <is>
          <t>2동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10.25m</t>
        </is>
      </c>
      <c r="AC206" s="3" t="inlineStr">
        <is>
          <t>2015-03</t>
        </is>
      </c>
      <c r="AD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3389</v>
      </c>
      <c r="I207" s="4" t="n">
        <v>1025</v>
      </c>
      <c r="J207" s="5" t="n">
        <v>0.3</v>
      </c>
      <c r="K207" s="4" t="n">
        <v>492</v>
      </c>
      <c r="L207" s="4" t="n">
        <v>149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HYPERLINK("https://fin.land.naver.com/articles/2646425990", "매물Link")</f>
        <v/>
      </c>
      <c r="R207" s="6">
        <f>HYPERLINK("https://map.naver.com/p/search/연서면 국촌리 169", "지도Link")</f>
        <v/>
      </c>
      <c r="S207" s="6">
        <f>HYPERLINK("https://www.eum.go.kr/web/mp/mpMapDet.jsp?pnu=3611036030101690000&amp;isNoScr=script&amp;mode=search", "토지이음")</f>
        <v/>
      </c>
      <c r="T207" s="3" t="inlineStr">
        <is>
          <t>지성</t>
        </is>
      </c>
      <c r="U207" s="4" t="n">
        <v>1</v>
      </c>
      <c r="V207" s="5" t="n">
        <v>97</v>
      </c>
      <c r="W207" s="4" t="n">
        <v>3389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10.15m</t>
        </is>
      </c>
      <c r="AC207" s="3" t="inlineStr">
        <is>
          <t>2015-03</t>
        </is>
      </c>
      <c r="AD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6989</v>
      </c>
      <c r="I208" s="4" t="n">
        <v>2114</v>
      </c>
      <c r="J208" s="5" t="n">
        <v>500</v>
      </c>
      <c r="K208" s="4" t="n">
        <v>1217</v>
      </c>
      <c r="L208" s="4" t="n">
        <v>368</v>
      </c>
      <c r="M208" s="5" t="n">
        <v>2872.3</v>
      </c>
      <c r="N208" s="3" t="inlineStr">
        <is>
          <t>1</t>
        </is>
      </c>
      <c r="O208" s="3" t="inlineStr">
        <is>
          <t>-</t>
        </is>
      </c>
      <c r="P208" s="3" t="inlineStr">
        <is>
          <t>nan</t>
        </is>
      </c>
      <c r="Q208" s="6">
        <f>HYPERLINK("https://fin.land.naver.com/articles/2648077609", "매물Link")</f>
        <v/>
      </c>
      <c r="R208" s="6">
        <f>HYPERLINK("https://map.naver.com/p/search/연서면 국촌리 7", "지도Link")</f>
        <v/>
      </c>
      <c r="S208" s="6">
        <f>HYPERLINK("https://www.eum.go.kr/web/mp/mpMapDet.jsp?pnu=3611036030100070000&amp;isNoScr=script&amp;mode=search", "토지이음")</f>
        <v/>
      </c>
      <c r="T208" s="3" t="inlineStr">
        <is>
          <t>푸른들</t>
        </is>
      </c>
      <c r="U208" s="4" t="n">
        <v>1</v>
      </c>
      <c r="V208" s="5" t="n">
        <v>102.1</v>
      </c>
      <c r="W208" s="4" t="n">
        <v>4723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8.7m</t>
        </is>
      </c>
      <c r="AC208" s="3" t="inlineStr">
        <is>
          <t>2002-07</t>
        </is>
      </c>
      <c r="AD208" s="3" t="inlineStr">
        <is>
          <t>소로한면</t>
        </is>
      </c>
    </row>
    <row r="209">
      <c r="A209" s="3" t="inlineStr">
        <is>
          <t>연서면 봉암리 620-133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5000</v>
      </c>
      <c r="G209" s="4" t="n">
        <v>400</v>
      </c>
      <c r="H209" s="4" t="n">
        <v>2764</v>
      </c>
      <c r="I209" s="4" t="n">
        <v>836</v>
      </c>
      <c r="J209" s="5" t="n">
        <v>0.5</v>
      </c>
      <c r="K209" s="4" t="n">
        <v>655</v>
      </c>
      <c r="L209" s="4" t="n">
        <v>198</v>
      </c>
      <c r="M209" s="5" t="n">
        <v>2</v>
      </c>
      <c r="N209" s="3" t="inlineStr">
        <is>
          <t>1</t>
        </is>
      </c>
      <c r="O209" s="3" t="inlineStr">
        <is>
          <t>-</t>
        </is>
      </c>
      <c r="P209" s="3" t="inlineStr">
        <is>
          <t>월세조정가.6차선대로변접.화물차진입및회전가.대원네스트빌바로옆.SK주유소접</t>
        </is>
      </c>
      <c r="Q209" s="6">
        <f>HYPERLINK("https://fin.land.naver.com/articles/2649818490", "매물Link")</f>
        <v/>
      </c>
      <c r="R209" s="6">
        <f>HYPERLINK("https://map.naver.com/p/search/연서면 봉암리 620-133", "지도Link")</f>
        <v/>
      </c>
      <c r="S209" s="6">
        <f>HYPERLINK("https://www.eum.go.kr/web/mp/mpMapDet.jsp?pnu=3611036033106200133&amp;isNoScr=script&amp;mode=search", "토지이음")</f>
        <v/>
      </c>
      <c r="T209" s="3" t="inlineStr">
        <is>
          <t>돈방석</t>
        </is>
      </c>
      <c r="U209" s="4" t="n">
        <v>1</v>
      </c>
      <c r="V209" s="5" t="n">
        <v>171.6</v>
      </c>
      <c r="W209" s="4" t="n">
        <v>2764</v>
      </c>
      <c r="X209" s="3" t="inlineStr">
        <is>
          <t>미표기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제2종근생</t>
        </is>
      </c>
      <c r="AB209" s="3" t="inlineStr">
        <is>
          <t>6.0m</t>
        </is>
      </c>
      <c r="AC209" s="3" t="inlineStr">
        <is>
          <t>2007-04</t>
        </is>
      </c>
      <c r="AD209" s="3" t="inlineStr">
        <is>
          <t>세로한면(가)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사진有 공장 매매</t>
        </is>
      </c>
      <c r="Q210" s="6">
        <f>HYPERLINK("https://fin.land.naver.com/articles/2649602344", "매물Link")</f>
        <v/>
      </c>
      <c r="R210" s="6">
        <f>HYPERLINK("https://map.naver.com/p/search/연서면 부동리 148", "지도Link")</f>
        <v/>
      </c>
      <c r="S210" s="6">
        <f>HYPERLINK("https://www.eum.go.kr/web/mp/mpMapDet.jsp?pnu=3611036032101480000&amp;isNoScr=script&amp;mode=search", "토지이음")</f>
        <v/>
      </c>
      <c r="T210" s="3" t="inlineStr">
        <is>
          <t>월드</t>
        </is>
      </c>
      <c r="U210" s="4" t="n">
        <v>2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7동구조로 된 대형공장 컨디션 최상 고전력 다양한 유틸리티</t>
        </is>
      </c>
      <c r="Q211" s="6">
        <f>HYPERLINK("https://fin.land.naver.com/articles/2645789196", "매물Link")</f>
        <v/>
      </c>
      <c r="R211" s="6">
        <f>HYPERLINK("https://map.naver.com/p/search/연서면 부동리 148", "지도Link")</f>
        <v/>
      </c>
      <c r="S211" s="6">
        <f>HYPERLINK("https://www.eum.go.kr/web/mp/mpMapDet.jsp?pnu=3611036032101480000&amp;isNoScr=script&amp;mode=search", "토지이음")</f>
        <v/>
      </c>
      <c r="T211" s="3" t="inlineStr">
        <is>
          <t>공장플러스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세종조치원일반산업단지 대형공장매매 최근리모델링완비로 컨디션좋음</t>
        </is>
      </c>
      <c r="Q212" s="6">
        <f>HYPERLINK("https://fin.land.naver.com/articles/2645008514", "매물Link")</f>
        <v/>
      </c>
      <c r="R212" s="6">
        <f>HYPERLINK("https://map.naver.com/p/search/연서면 부동리 148", "지도Link")</f>
        <v/>
      </c>
      <c r="S212" s="6">
        <f>HYPERLINK("https://www.eum.go.kr/web/mp/mpMapDet.jsp?pnu=3611036032101480000&amp;isNoScr=script&amp;mode=search",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HYPERLINK("https://www.eum.go.kr/web/mp/mpMapDet.jsp?pnu=3611036032101480000&amp;isNoScr=script&amp;mode=search",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HYPERLINK("https://www.eum.go.kr/web/mp/mpMapDet.jsp?pnu=3611036032101480000&amp;isNoScr=script&amp;mode=search",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조치원 일반산업단지 대형공장매매, 최근 리모델링으로 시설 굿</t>
        </is>
      </c>
      <c r="Q215" s="6">
        <f>HYPERLINK("https://fin.land.naver.com/articles/2648903978", "매물Link")</f>
        <v/>
      </c>
      <c r="R215" s="6">
        <f>HYPERLINK("https://map.naver.com/p/search/연서면 부동리 148", "지도Link")</f>
        <v/>
      </c>
      <c r="S215" s="6">
        <f>HYPERLINK("https://www.eum.go.kr/web/mp/mpMapDet.jsp?pnu=3611036032101480000&amp;isNoScr=script&amp;mode=search", "토지이음")</f>
        <v/>
      </c>
      <c r="T215" s="3" t="inlineStr">
        <is>
          <t>명진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HYPERLINK("https://www.eum.go.kr/web/mp/mpMapDet.jsp?pnu=3611036023104050001&amp;isNoScr=script&amp;mode=search",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HYPERLINK("https://www.eum.go.kr/web/mp/mpMapDet.jsp?pnu=3611036023104050001&amp;isNoScr=script&amp;mode=search",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HYPERLINK("https://www.eum.go.kr/web/mp/mpMapDet.jsp?pnu=3611036023104050001&amp;isNoScr=script&amp;mode=search",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HYPERLINK("https://www.eum.go.kr/web/mp/mpMapDet.jsp?pnu=3611036023104050001&amp;isNoScr=script&amp;mode=search",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1857</v>
      </c>
      <c r="I220" s="4" t="n">
        <v>562</v>
      </c>
      <c r="J220" s="5" t="n">
        <v>462.6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HYPERLINK("https://fin.land.naver.com/articles/2648905718", "매물Link")</f>
        <v/>
      </c>
      <c r="R220" s="6">
        <f>HYPERLINK("https://map.naver.com/p/search/연서면 성제리 405-1", "지도Link")</f>
        <v/>
      </c>
      <c r="S220" s="6">
        <f>HYPERLINK("https://www.eum.go.kr/web/mp/mpMapDet.jsp?pnu=3611036023104050001&amp;isNoScr=script&amp;mode=search",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연서면 신대리 사옥 및 공장, 냉동 상온창고 총 6동 매매</t>
        </is>
      </c>
      <c r="Q221" s="6">
        <f>HYPERLINK("https://fin.land.naver.com/articles/2645498314", "매물Link")</f>
        <v/>
      </c>
      <c r="R221" s="6">
        <f>HYPERLINK("https://map.naver.com/p/search/연서면 신대리 459-3", "지도Link")</f>
        <v/>
      </c>
      <c r="S221" s="6">
        <f>HYPERLINK("https://www.eum.go.kr/web/mp/mpMapDet.jsp?pnu=3611036029104590003&amp;isNoScr=script&amp;mode=search", "토지이음")</f>
        <v/>
      </c>
      <c r="T221" s="3" t="inlineStr">
        <is>
          <t>뉴스카이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9577</v>
      </c>
      <c r="I222" s="4" t="n">
        <v>2897</v>
      </c>
      <c r="J222" s="5" t="n">
        <v>155.3</v>
      </c>
      <c r="K222" s="4" t="n">
        <v>2697</v>
      </c>
      <c r="L222" s="4" t="n">
        <v>816</v>
      </c>
      <c r="M222" s="5" t="n">
        <v>551.5</v>
      </c>
      <c r="N222" s="3" t="inlineStr">
        <is>
          <t>3</t>
        </is>
      </c>
      <c r="O222" s="3" t="inlineStr">
        <is>
          <t>-</t>
        </is>
      </c>
      <c r="P222" s="3" t="inlineStr">
        <is>
          <t>세종스마트국가산업단지 인근 2차선 도로변 공장 매각</t>
        </is>
      </c>
      <c r="Q222" s="6">
        <f>HYPERLINK("https://fin.land.naver.com/articles/2645609117", "매물Link")</f>
        <v/>
      </c>
      <c r="R222" s="6">
        <f>HYPERLINK("https://map.naver.com/p/search/연서면 신대리 459-3", "지도Link")</f>
        <v/>
      </c>
      <c r="S222" s="6">
        <f>HYPERLINK("https://www.eum.go.kr/web/mp/mpMapDet.jsp?pnu=3611036029104590003&amp;isNoScr=script&amp;mode=search",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68.7</v>
      </c>
      <c r="W222" s="4" t="n">
        <v>9577</v>
      </c>
      <c r="X222" s="3" t="inlineStr">
        <is>
          <t>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위험물저장및처리시설</t>
        </is>
      </c>
      <c r="AB222" s="3" t="inlineStr">
        <is>
          <t>6.85m</t>
        </is>
      </c>
      <c r="AC222" s="3" t="inlineStr">
        <is>
          <t>2002-12</t>
        </is>
      </c>
      <c r="AD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3067</v>
      </c>
      <c r="I223" s="4" t="n">
        <v>928</v>
      </c>
      <c r="J223" s="5" t="n">
        <v>204.7</v>
      </c>
      <c r="K223" s="4" t="n">
        <v>550</v>
      </c>
      <c r="L223" s="4" t="n">
        <v>166</v>
      </c>
      <c r="M223" s="5" t="n">
        <v>1144.6</v>
      </c>
      <c r="N223" s="3" t="inlineStr">
        <is>
          <t>1</t>
        </is>
      </c>
      <c r="O223" s="3" t="inlineStr">
        <is>
          <t>B1</t>
        </is>
      </c>
      <c r="P223" s="3" t="inlineStr">
        <is>
          <t>세종시 개발 수혜지물류 및 제조 최적입지공장,창고,주택포함</t>
        </is>
      </c>
      <c r="Q223" s="6">
        <f>HYPERLINK("https://fin.land.naver.com/articles/2645644910", "매물Link")</f>
        <v/>
      </c>
      <c r="R223" s="6">
        <f>HYPERLINK("https://map.naver.com/p/search/연서면 신대리 484-8", "지도Link")</f>
        <v/>
      </c>
      <c r="S223" s="6">
        <f>HYPERLINK("https://www.eum.go.kr/web/mp/mpMapDet.jsp?pnu=3611036029104840008&amp;isNoScr=script&amp;mode=search", "토지이음")</f>
        <v/>
      </c>
      <c r="T223" s="3" t="inlineStr">
        <is>
          <t>엄지척</t>
        </is>
      </c>
      <c r="U223" s="4" t="n">
        <v>1</v>
      </c>
      <c r="V223" s="5" t="n">
        <v>52.6</v>
      </c>
      <c r="W223" s="4" t="n">
        <v>1370</v>
      </c>
      <c r="X223" s="3" t="inlineStr">
        <is>
          <t>주1동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5.4m</t>
        </is>
      </c>
      <c r="AC223" s="3" t="inlineStr">
        <is>
          <t>2003-02</t>
        </is>
      </c>
      <c r="AD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1491</v>
      </c>
      <c r="I224" s="4" t="n">
        <v>451</v>
      </c>
      <c r="J224" s="5" t="n">
        <v>0.2</v>
      </c>
      <c r="K224" s="4" t="n">
        <v>199</v>
      </c>
      <c r="L224" s="4" t="n">
        <v>60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도로에 접한 창고 임대카페,창고,시무실 등 용도</t>
        </is>
      </c>
      <c r="Q224" s="6">
        <f>HYPERLINK("https://fin.land.naver.com/articles/2644444572", "매물Link")</f>
        <v/>
      </c>
      <c r="R224" s="6">
        <f>HYPERLINK("https://map.naver.com/p/search/연서면 쌍류리 332-3", "지도Link")</f>
        <v/>
      </c>
      <c r="S224" s="6">
        <f>HYPERLINK("https://www.eum.go.kr/web/mp/mpMapDet.jsp?pnu=3611036026103320003&amp;isNoScr=script&amp;mode=search", "토지이음")</f>
        <v/>
      </c>
      <c r="T224" s="3" t="inlineStr">
        <is>
          <t>세종대박</t>
        </is>
      </c>
      <c r="U224" s="4" t="n">
        <v>1</v>
      </c>
      <c r="V224" s="5" t="n">
        <v>47.6</v>
      </c>
      <c r="W224" s="4" t="n">
        <v>1000</v>
      </c>
      <c r="X224" s="3" t="inlineStr">
        <is>
          <t>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제1종근생</t>
        </is>
      </c>
      <c r="AB224" s="3" t="inlineStr">
        <is>
          <t>4.7m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22539</v>
      </c>
      <c r="I225" s="4" t="n">
        <v>6818</v>
      </c>
      <c r="J225" s="5" t="n">
        <v>148.1</v>
      </c>
      <c r="K225" s="4" t="n">
        <v>2654</v>
      </c>
      <c r="L225" s="4" t="n">
        <v>803</v>
      </c>
      <c r="M225" s="5" t="n">
        <v>1257.8</v>
      </c>
      <c r="N225" s="3" t="inlineStr">
        <is>
          <t>2</t>
        </is>
      </c>
      <c r="O225" s="3" t="inlineStr">
        <is>
          <t>-</t>
        </is>
      </c>
      <c r="P225" s="3" t="inlineStr">
        <is>
          <t>초급매 계획관리 공장용지 세종스마트국가산단 인근</t>
        </is>
      </c>
      <c r="Q225" s="6">
        <f>HYPERLINK("https://fin.land.naver.com/articles/2649918694", "매물Link")</f>
        <v/>
      </c>
      <c r="R225" s="6">
        <f>HYPERLINK("https://map.naver.com/p/search/연서면 와촌리 1119", "지도Link")</f>
        <v/>
      </c>
      <c r="S225" s="6">
        <f>HYPERLINK("https://www.eum.go.kr/web/mp/mpMapDet.jsp?pnu=3611036031111190000&amp;isNoScr=script&amp;mode=search", "토지이음")</f>
        <v/>
      </c>
      <c r="T225" s="3" t="inlineStr">
        <is>
          <t>미스터홈즈강남지사</t>
        </is>
      </c>
      <c r="U225" s="4" t="n">
        <v>1</v>
      </c>
      <c r="V225" s="5" t="n">
        <v>79.7</v>
      </c>
      <c r="W225" s="4" t="n">
        <v>6533</v>
      </c>
      <c r="X225" s="3" t="inlineStr">
        <is>
          <t>A동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8.9m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3250</v>
      </c>
      <c r="I226" s="4" t="n">
        <v>983</v>
      </c>
      <c r="J226" s="5" t="n">
        <v>356.1</v>
      </c>
      <c r="K226" s="4" t="n">
        <v>1552</v>
      </c>
      <c r="L226" s="4" t="n">
        <v>469</v>
      </c>
      <c r="M226" s="5" t="n">
        <v>746.3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HYPERLINK("https://fin.land.naver.com/articles/2649602994", "매물Link")</f>
        <v/>
      </c>
      <c r="R226" s="6">
        <f>HYPERLINK("https://map.naver.com/p/search/연서면 와촌리 1119-2", "지도Link")</f>
        <v/>
      </c>
      <c r="S226" s="6">
        <f>HYPERLINK("https://www.eum.go.kr/web/mp/mpMapDet.jsp?pnu=3611036031111190002&amp;isNoScr=script&amp;mode=search",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3250</v>
      </c>
      <c r="I227" s="4" t="n">
        <v>983</v>
      </c>
      <c r="J227" s="5" t="n">
        <v>0.6</v>
      </c>
      <c r="K227" s="4" t="n">
        <v>1552</v>
      </c>
      <c r="L227" s="4" t="n">
        <v>469</v>
      </c>
      <c r="M227" s="5" t="n">
        <v>1.3</v>
      </c>
      <c r="N227" s="3" t="inlineStr">
        <is>
          <t>2</t>
        </is>
      </c>
      <c r="O227" s="3" t="inlineStr">
        <is>
          <t>-</t>
        </is>
      </c>
      <c r="P227" s="3" t="inlineStr">
        <is>
          <t>호이스트, 사무동, 기숙사 있는 대형공장 아주 아주 저렴한 임대</t>
        </is>
      </c>
      <c r="Q227" s="6">
        <f>HYPERLINK("https://fin.land.naver.com/articles/2645079230", "매물Link")</f>
        <v/>
      </c>
      <c r="R227" s="6">
        <f>HYPERLINK("https://map.naver.com/p/search/연서면 와촌리 1119-2", "지도Link")</f>
        <v/>
      </c>
      <c r="S227" s="6">
        <f>HYPERLINK("https://www.eum.go.kr/web/mp/mpMapDet.jsp?pnu=3611036031111190002&amp;isNoScr=script&amp;mode=search", "토지이음")</f>
        <v/>
      </c>
      <c r="T227" s="3" t="inlineStr">
        <is>
          <t>더오름</t>
        </is>
      </c>
      <c r="U227" s="4" t="n">
        <v>1</v>
      </c>
      <c r="V227" s="5" t="n">
        <v>79.7</v>
      </c>
      <c r="W227" s="4" t="n">
        <v>3250</v>
      </c>
      <c r="X227" s="3" t="inlineStr">
        <is>
          <t>C동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-</t>
        </is>
      </c>
      <c r="AC227" s="3" t="inlineStr">
        <is>
          <t>1996-12</t>
        </is>
      </c>
      <c r="AD227" s="3" t="inlineStr">
        <is>
          <t>세로한면(가)</t>
        </is>
      </c>
    </row>
    <row r="228">
      <c r="A228" s="3" t="inlineStr">
        <is>
          <t>연서면 와촌리 1119-2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600</v>
      </c>
      <c r="H228" s="4" t="n">
        <v>3250</v>
      </c>
      <c r="I228" s="4" t="n">
        <v>983</v>
      </c>
      <c r="J228" s="5" t="n">
        <v>0.6</v>
      </c>
      <c r="K228" s="4" t="n">
        <v>1552</v>
      </c>
      <c r="L228" s="4" t="n">
        <v>469</v>
      </c>
      <c r="M228" s="5" t="n">
        <v>1.3</v>
      </c>
      <c r="N228" s="3" t="inlineStr">
        <is>
          <t>2</t>
        </is>
      </c>
      <c r="O228" s="3" t="inlineStr">
        <is>
          <t>-</t>
        </is>
      </c>
      <c r="P228" s="3" t="inlineStr">
        <is>
          <t>세종시 저렴한 공장 임대</t>
        </is>
      </c>
      <c r="Q228" s="6">
        <f>HYPERLINK("https://fin.land.naver.com/articles/2645610097", "매물Link")</f>
        <v/>
      </c>
      <c r="R228" s="6">
        <f>HYPERLINK("https://map.naver.com/p/search/연서면 와촌리 1119-2", "지도Link")</f>
        <v/>
      </c>
      <c r="S228" s="6">
        <f>HYPERLINK("https://www.eum.go.kr/web/mp/mpMapDet.jsp?pnu=3611036031111190002&amp;isNoScr=script&amp;mode=search", "토지이음")</f>
        <v/>
      </c>
      <c r="T228" s="3" t="inlineStr">
        <is>
          <t>북세종</t>
        </is>
      </c>
      <c r="U228" s="4" t="n">
        <v>1</v>
      </c>
      <c r="V228" s="5" t="n">
        <v>79.7</v>
      </c>
      <c r="W228" s="4" t="n">
        <v>3250</v>
      </c>
      <c r="X228" s="3" t="inlineStr">
        <is>
          <t>C동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HYPERLINK("https://www.eum.go.kr/web/mp/mpMapDet.jsp?pnu=3611036031108520005&amp;isNoScr=script&amp;mode=search",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932</v>
      </c>
      <c r="I230" s="4" t="n">
        <v>282</v>
      </c>
      <c r="J230" s="5" t="n">
        <v>0.5</v>
      </c>
      <c r="K230" s="4" t="n">
        <v>488</v>
      </c>
      <c r="L230" s="4" t="n">
        <v>148</v>
      </c>
      <c r="M230" s="5" t="n">
        <v>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HYPERLINK("https://fin.land.naver.com/articles/2645723804", "매물Link")</f>
        <v/>
      </c>
      <c r="R230" s="6">
        <f>HYPERLINK("https://map.naver.com/p/search/연서면 와촌리 852-5", "지도Link")</f>
        <v/>
      </c>
      <c r="S230" s="6">
        <f>HYPERLINK("https://www.eum.go.kr/web/mp/mpMapDet.jsp?pnu=3611036031108520005&amp;isNoScr=script&amp;mode=search", "토지이음")</f>
        <v/>
      </c>
      <c r="T230" s="3" t="inlineStr">
        <is>
          <t>지성</t>
        </is>
      </c>
      <c r="U230" s="4" t="n">
        <v>1</v>
      </c>
      <c r="V230" s="5" t="n">
        <v>82.59999999999999</v>
      </c>
      <c r="W230" s="4" t="n">
        <v>932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제1종근생</t>
        </is>
      </c>
      <c r="AB230" s="3" t="inlineStr">
        <is>
          <t>6.15m</t>
        </is>
      </c>
      <c r="AC230" s="3" t="inlineStr">
        <is>
          <t>1997-05</t>
        </is>
      </c>
      <c r="AD230" s="3" t="inlineStr">
        <is>
          <t>세로한면(가)</t>
        </is>
      </c>
    </row>
    <row r="231">
      <c r="A231" s="3" t="inlineStr">
        <is>
          <t>연서면 와촌리 852-5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150</v>
      </c>
      <c r="H231" s="4" t="n">
        <v>932</v>
      </c>
      <c r="I231" s="4" t="n">
        <v>282</v>
      </c>
      <c r="J231" s="5" t="n">
        <v>0.5</v>
      </c>
      <c r="K231" s="4" t="n">
        <v>488</v>
      </c>
      <c r="L231" s="4" t="n">
        <v>148</v>
      </c>
      <c r="M231" s="5" t="n">
        <v>1</v>
      </c>
      <c r="N231" s="3" t="inlineStr">
        <is>
          <t>1</t>
        </is>
      </c>
      <c r="O231" s="3" t="inlineStr">
        <is>
          <t>-</t>
        </is>
      </c>
      <c r="P231" s="3" t="inlineStr">
        <is>
          <t>와촌리 창고월세,차량 진출입편리,창고내 지게차작업용이,층,주차편리,조율가</t>
        </is>
      </c>
      <c r="Q231" s="6">
        <f>HYPERLINK("https://fin.land.naver.com/articles/2646500948", "매물Link")</f>
        <v/>
      </c>
      <c r="R231" s="6">
        <f>HYPERLINK("https://map.naver.com/p/search/연서면 와촌리 852-5", "지도Link")</f>
        <v/>
      </c>
      <c r="S231" s="6">
        <f>HYPERLINK("https://www.eum.go.kr/web/mp/mpMapDet.jsp?pnu=3611036031108520005&amp;isNoScr=script&amp;mode=search", "토지이음")</f>
        <v/>
      </c>
      <c r="T231" s="3" t="inlineStr">
        <is>
          <t>도안우미린사랑</t>
        </is>
      </c>
      <c r="U231" s="4" t="n">
        <v>1</v>
      </c>
      <c r="V231" s="5" t="n">
        <v>82.59999999999999</v>
      </c>
      <c r="W231" s="4" t="n">
        <v>932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제1종근생</t>
        </is>
      </c>
      <c r="AB231" s="3" t="inlineStr">
        <is>
          <t>6.15m</t>
        </is>
      </c>
      <c r="AC231" s="3" t="inlineStr">
        <is>
          <t>1997-05</t>
        </is>
      </c>
      <c r="AD231" s="3" t="inlineStr">
        <is>
          <t>세로한면(가)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3244</v>
      </c>
      <c r="I232" s="4" t="n">
        <v>981</v>
      </c>
      <c r="J232" s="5" t="n">
        <v>0.2</v>
      </c>
      <c r="K232" s="4" t="n">
        <v>53</v>
      </c>
      <c r="L232" s="4" t="n">
        <v>16</v>
      </c>
      <c r="M232" s="5" t="n">
        <v>11.2</v>
      </c>
      <c r="N232" s="3" t="inlineStr">
        <is>
          <t>1</t>
        </is>
      </c>
      <c r="O232" s="3" t="inlineStr">
        <is>
          <t>-</t>
        </is>
      </c>
      <c r="P232" s="3" t="inlineStr">
        <is>
          <t>즉시입주 신축 2종근생  활용도 높은 건물임대</t>
        </is>
      </c>
      <c r="Q232" s="6">
        <f>HYPERLINK("https://fin.land.naver.com/articles/2647898557", "매물Link")</f>
        <v/>
      </c>
      <c r="R232" s="6">
        <f>HYPERLINK("https://map.naver.com/p/search/연서면 월하리 902", "지도Link")</f>
        <v/>
      </c>
      <c r="S232" s="6">
        <f>HYPERLINK("https://www.eum.go.kr/web/mp/mpMapDet.jsp?pnu=3611036021109020000&amp;isNoScr=script&amp;mode=search", "토지이음")</f>
        <v/>
      </c>
      <c r="T232" s="3" t="inlineStr">
        <is>
          <t>THE행복</t>
        </is>
      </c>
      <c r="U232" s="4" t="n">
        <v>1</v>
      </c>
      <c r="V232" s="5" t="n">
        <v>156.1</v>
      </c>
      <c r="W232" s="4" t="n">
        <v>3244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단독주택</t>
        </is>
      </c>
      <c r="AB232" s="3" t="inlineStr">
        <is>
          <t>4.57m</t>
        </is>
      </c>
      <c r="AC232" s="3" t="inlineStr">
        <is>
          <t>2022-04</t>
        </is>
      </c>
      <c r="AD232" s="3" t="inlineStr">
        <is>
          <t>소로한면</t>
        </is>
      </c>
    </row>
    <row r="233">
      <c r="A233" s="3" t="inlineStr">
        <is>
          <t>연서면 월하리 902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12000</v>
      </c>
      <c r="G233" s="4" t="n">
        <v>500</v>
      </c>
      <c r="H233" s="4" t="n">
        <v>3224</v>
      </c>
      <c r="I233" s="4" t="n">
        <v>975</v>
      </c>
      <c r="J233" s="5" t="n">
        <v>0.5</v>
      </c>
      <c r="K233" s="4" t="n">
        <v>594</v>
      </c>
      <c r="L233" s="4" t="n">
        <v>180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세종신도심, 조치원, 오송 접근성 좋은 2차선도로변 준신축 창고임대</t>
        </is>
      </c>
      <c r="Q233" s="6">
        <f>HYPERLINK("https://fin.land.naver.com/articles/2646264277", "매물Link")</f>
        <v/>
      </c>
      <c r="R233" s="6">
        <f>HYPERLINK("https://map.naver.com/p/search/연서면 월하리 902", "지도Link")</f>
        <v/>
      </c>
      <c r="S233" s="6">
        <f>HYPERLINK("https://www.eum.go.kr/web/mp/mpMapDet.jsp?pnu=3611036021109020000&amp;isNoScr=script&amp;mode=search", "토지이음")</f>
        <v/>
      </c>
      <c r="T233" s="3" t="inlineStr">
        <is>
          <t>청담</t>
        </is>
      </c>
      <c r="U233" s="4" t="n">
        <v>1</v>
      </c>
      <c r="V233" s="5" t="n">
        <v>156.1</v>
      </c>
      <c r="W233" s="4" t="n">
        <v>3244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제2종근생</t>
        </is>
      </c>
      <c r="AB233" s="3" t="inlineStr">
        <is>
          <t>7.0m</t>
        </is>
      </c>
      <c r="AC233" s="3" t="inlineStr">
        <is>
          <t>2022-04</t>
        </is>
      </c>
      <c r="AD233" s="3" t="inlineStr">
        <is>
          <t>소로한면</t>
        </is>
      </c>
    </row>
    <row r="234">
      <c r="A234" s="3" t="inlineStr">
        <is>
          <t>연서면 월하리 973-2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644</v>
      </c>
      <c r="I234" s="4" t="n">
        <v>195</v>
      </c>
      <c r="J234" s="5" t="n">
        <v>410.3</v>
      </c>
      <c r="K234" s="4" t="n">
        <v>212</v>
      </c>
      <c r="L234" s="4" t="n">
        <v>64</v>
      </c>
      <c r="M234" s="5" t="n">
        <v>1250</v>
      </c>
      <c r="N234" s="3" t="inlineStr">
        <is>
          <t>2</t>
        </is>
      </c>
      <c r="O234" s="3" t="inlineStr">
        <is>
          <t>-</t>
        </is>
      </c>
      <c r="P234" s="3" t="inlineStr">
        <is>
          <t>공공택지 예정지역내 공장매매</t>
        </is>
      </c>
      <c r="Q234" s="6">
        <f>HYPERLINK("https://fin.land.naver.com/articles/2648746844", "매물Link")</f>
        <v/>
      </c>
      <c r="R234" s="6">
        <f>HYPERLINK("https://map.naver.com/p/search/연서면 월하리 973-2", "지도Link")</f>
        <v/>
      </c>
      <c r="S234" s="6">
        <f>HYPERLINK("https://www.eum.go.kr/web/mp/mpMapDet.jsp?pnu=3611036021109730002&amp;isNoScr=script&amp;mode=search", "토지이음")</f>
        <v/>
      </c>
      <c r="T234" s="3" t="inlineStr">
        <is>
          <t>KB세종</t>
        </is>
      </c>
      <c r="U234" s="4" t="n">
        <v>1</v>
      </c>
      <c r="V234" s="5" t="n">
        <v>158.3</v>
      </c>
      <c r="W234" s="4" t="n">
        <v>644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제2종근생</t>
        </is>
      </c>
      <c r="AB234" s="3" t="inlineStr">
        <is>
          <t>8.94m</t>
        </is>
      </c>
      <c r="AC234" s="3" t="inlineStr">
        <is>
          <t>2003-05</t>
        </is>
      </c>
      <c r="AD234" s="3" t="inlineStr">
        <is>
          <t>세로한면(가)</t>
        </is>
      </c>
    </row>
    <row r="235">
      <c r="A235" s="3" t="inlineStr">
        <is>
          <t>오송읍 공북리 271-4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1000</v>
      </c>
      <c r="G235" s="4" t="n">
        <v>150</v>
      </c>
      <c r="H235" s="4" t="n">
        <v>660</v>
      </c>
      <c r="I235" s="4" t="n">
        <v>200</v>
      </c>
      <c r="J235" s="5" t="n">
        <v>0.8</v>
      </c>
      <c r="K235" s="4" t="n">
        <v>330</v>
      </c>
      <c r="L235" s="4" t="n">
        <v>100</v>
      </c>
      <c r="M235" s="5" t="n">
        <v>1.5</v>
      </c>
      <c r="N235" s="3" t="inlineStr">
        <is>
          <t>1</t>
        </is>
      </c>
      <c r="O235" s="3" t="inlineStr">
        <is>
          <t>-</t>
        </is>
      </c>
      <c r="P235" s="3" t="inlineStr">
        <is>
          <t>저렴한 금액으로 대형 창고를 사용할수 있는 기회를 잡으세요</t>
        </is>
      </c>
      <c r="Q235" s="6">
        <f>HYPERLINK("https://fin.land.naver.com/articles/2645027148", "매물Link")</f>
        <v/>
      </c>
      <c r="R235" s="6">
        <f>HYPERLINK("https://map.naver.com/p/search/오송읍 공북리 271-4", "지도Link")</f>
        <v/>
      </c>
      <c r="S235" s="6">
        <f>HYPERLINK("https://www.eum.go.kr/web/mp/mpMapDet.jsp?pnu=4311325023102710004&amp;isNoScr=script&amp;mode=search", "토지이음")</f>
        <v/>
      </c>
      <c r="T235" s="3" t="inlineStr">
        <is>
          <t>오송2단지창조</t>
        </is>
      </c>
      <c r="U235" s="4" t="n">
        <v>1</v>
      </c>
      <c r="V235" s="5" t="n">
        <v>77</v>
      </c>
      <c r="W235" s="4" t="n">
        <v>660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공북리 271-4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1000</v>
      </c>
      <c r="G236" s="4" t="n">
        <v>150</v>
      </c>
      <c r="H236" s="4" t="n">
        <v>660</v>
      </c>
      <c r="I236" s="4" t="n">
        <v>200</v>
      </c>
      <c r="J236" s="5" t="n">
        <v>0.8</v>
      </c>
      <c r="K236" s="4" t="n">
        <v>330</v>
      </c>
      <c r="L236" s="4" t="n">
        <v>100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층고 높고 넓은 창고전용,2차선도로옆</t>
        </is>
      </c>
      <c r="Q236" s="6">
        <f>HYPERLINK("https://fin.land.naver.com/articles/2645585592", "매물Link")</f>
        <v/>
      </c>
      <c r="R236" s="6">
        <f>HYPERLINK("https://map.naver.com/p/search/오송읍 공북리 271-4", "지도Link")</f>
        <v/>
      </c>
      <c r="S236" s="6">
        <f>HYPERLINK("https://www.eum.go.kr/web/mp/mpMapDet.jsp?pnu=4311325023102710004&amp;isNoScr=script&amp;mode=search", "토지이음")</f>
        <v/>
      </c>
      <c r="T236" s="3" t="inlineStr">
        <is>
          <t>오송올래</t>
        </is>
      </c>
      <c r="U236" s="4" t="n">
        <v>2</v>
      </c>
      <c r="V236" s="5" t="n">
        <v>77</v>
      </c>
      <c r="W236" s="4" t="n">
        <v>660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오송읍 쌍청리 108-11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140000</v>
      </c>
      <c r="G237" s="4" t="n">
        <v>0</v>
      </c>
      <c r="H237" s="4" t="n">
        <v>2382</v>
      </c>
      <c r="I237" s="4" t="n">
        <v>721</v>
      </c>
      <c r="J237" s="5" t="n">
        <v>194.2</v>
      </c>
      <c r="K237" s="4" t="n">
        <v>696</v>
      </c>
      <c r="L237" s="4" t="n">
        <v>211</v>
      </c>
      <c r="M237" s="5" t="n">
        <v>663.5</v>
      </c>
      <c r="N237" s="3" t="inlineStr">
        <is>
          <t>1</t>
        </is>
      </c>
      <c r="O237" s="3" t="inlineStr">
        <is>
          <t>B1</t>
        </is>
      </c>
      <c r="P237" s="3" t="inlineStr">
        <is>
          <t>진입로6미터도로.주택,빌라,연립주택적합,투자적지</t>
        </is>
      </c>
      <c r="Q237" s="6">
        <f>HYPERLINK("https://fin.land.naver.com/articles/2649051237", "매물Link")</f>
        <v/>
      </c>
      <c r="R237" s="6">
        <f>HYPERLINK("https://map.naver.com/p/search/오송읍 쌍청리 108-11", "지도Link")</f>
        <v/>
      </c>
      <c r="S237" s="6">
        <f>HYPERLINK("https://www.eum.go.kr/web/mp/mpMapDet.jsp?pnu=4311325024101080011&amp;isNoScr=script&amp;mode=search", "토지이음")</f>
        <v/>
      </c>
      <c r="T237" s="3" t="inlineStr">
        <is>
          <t>이박사</t>
        </is>
      </c>
      <c r="U237" s="4" t="n">
        <v>1</v>
      </c>
      <c r="V237" s="5" t="n">
        <v>70.09999999999999</v>
      </c>
      <c r="W237" s="4" t="n">
        <v>68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200000</v>
      </c>
      <c r="G238" s="4" t="n">
        <v>0</v>
      </c>
      <c r="H238" s="4" t="n">
        <v>2307</v>
      </c>
      <c r="I238" s="4" t="n">
        <v>698</v>
      </c>
      <c r="J238" s="5" t="n">
        <v>286.5</v>
      </c>
      <c r="K238" s="4" t="n">
        <v>410</v>
      </c>
      <c r="L238" s="4" t="n">
        <v>124</v>
      </c>
      <c r="M238" s="5" t="n">
        <v>1612.9</v>
      </c>
      <c r="N238" s="3" t="inlineStr">
        <is>
          <t>1</t>
        </is>
      </c>
      <c r="O238" s="3" t="inlineStr">
        <is>
          <t>-</t>
        </is>
      </c>
      <c r="P238" s="3" t="inlineStr">
        <is>
          <t>오송역인근 산업단지의 층고 10m. 증축 가능한 야드 넓은 공장매매</t>
        </is>
      </c>
      <c r="Q238" s="6">
        <f>HYPERLINK("https://fin.land.naver.com/articles/2647859718", "매물Link")</f>
        <v/>
      </c>
      <c r="R238" s="6">
        <f>HYPERLINK("https://map.naver.com/p/search/오송읍 연제리 610-1", "지도Link")</f>
        <v/>
      </c>
      <c r="S238" s="6">
        <f>HYPERLINK("https://www.eum.go.kr/web/mp/mpMapDet.jsp?pnu=4311325026106100001&amp;isNoScr=script&amp;mode=search",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70.3</v>
      </c>
      <c r="W238" s="4" t="n">
        <v>2307.9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오송읍 연제리 610-1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199000</v>
      </c>
      <c r="G239" s="4" t="n">
        <v>0</v>
      </c>
      <c r="H239" s="4" t="n">
        <v>2307</v>
      </c>
      <c r="I239" s="4" t="n">
        <v>698</v>
      </c>
      <c r="J239" s="5" t="n">
        <v>285.1</v>
      </c>
      <c r="K239" s="4" t="n">
        <v>410</v>
      </c>
      <c r="L239" s="4" t="n">
        <v>124</v>
      </c>
      <c r="M239" s="5" t="n">
        <v>1604.8</v>
      </c>
      <c r="N239" s="3" t="inlineStr">
        <is>
          <t>1</t>
        </is>
      </c>
      <c r="O239" s="3" t="inlineStr">
        <is>
          <t>-</t>
        </is>
      </c>
      <c r="P239" s="3" t="inlineStr">
        <is>
          <t>오송제1생명과학단지내 저렴한 공장 급매</t>
        </is>
      </c>
      <c r="Q239" s="6">
        <f>HYPERLINK("https://fin.land.naver.com/articles/2648395242", "매물Link")</f>
        <v/>
      </c>
      <c r="R239" s="6">
        <f>HYPERLINK("https://map.naver.com/p/search/오송읍 연제리 610-1", "지도Link")</f>
        <v/>
      </c>
      <c r="S239" s="6">
        <f>HYPERLINK("https://www.eum.go.kr/web/mp/mpMapDet.jsp?pnu=4311325026106100001&amp;isNoScr=script&amp;mode=search", "토지이음")</f>
        <v/>
      </c>
      <c r="T239" s="3" t="inlineStr">
        <is>
          <t>청담</t>
        </is>
      </c>
      <c r="U239" s="4" t="n">
        <v>2</v>
      </c>
      <c r="V239" s="5" t="n">
        <v>70.3</v>
      </c>
      <c r="W239" s="4" t="n">
        <v>2307.9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오송읍 연제리 610-2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550000</v>
      </c>
      <c r="G240" s="4" t="n">
        <v>0</v>
      </c>
      <c r="H240" s="4" t="n">
        <v>6481</v>
      </c>
      <c r="I240" s="4" t="n">
        <v>1961</v>
      </c>
      <c r="J240" s="5" t="n">
        <v>280.5</v>
      </c>
      <c r="K240" s="4" t="n">
        <v>996</v>
      </c>
      <c r="L240" s="4" t="n">
        <v>301</v>
      </c>
      <c r="M240" s="5" t="n">
        <v>1827.2</v>
      </c>
      <c r="N240" s="3" t="inlineStr">
        <is>
          <t>1</t>
        </is>
      </c>
      <c r="O240" s="3" t="inlineStr">
        <is>
          <t>-</t>
        </is>
      </c>
      <c r="P240" s="3" t="inlineStr">
        <is>
          <t>옥산IC인근, 화학코드, 화장품, 바이오, 첨단업종 가능, 야드 넓음</t>
        </is>
      </c>
      <c r="Q240" s="6">
        <f>HYPERLINK("https://fin.land.naver.com/articles/2649948345", "매물Link")</f>
        <v/>
      </c>
      <c r="R240" s="6">
        <f>HYPERLINK("https://map.naver.com/p/search/오송읍 연제리 610-2", "지도Link")</f>
        <v/>
      </c>
      <c r="S240" s="6">
        <f>HYPERLINK("https://www.eum.go.kr/web/mp/mpMapDet.jsp?pnu=4311325026106100002&amp;isNoScr=script&amp;mode=search",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70.40000000000001</v>
      </c>
      <c r="W240" s="4" t="n">
        <v>2165.9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중로각지</t>
        </is>
      </c>
    </row>
    <row r="241">
      <c r="A241" s="3" t="inlineStr">
        <is>
          <t>오송읍 오송리 115-11</t>
        </is>
      </c>
      <c r="B241" s="3" t="inlineStr">
        <is>
          <t>농림지역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80</v>
      </c>
      <c r="H241" s="4" t="n">
        <v>780</v>
      </c>
      <c r="I241" s="4" t="n">
        <v>236</v>
      </c>
      <c r="J241" s="5" t="n">
        <v>0.3</v>
      </c>
      <c r="K241" s="4" t="n">
        <v>171</v>
      </c>
      <c r="L241" s="4" t="n">
        <v>52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171㎡창고 오송역세권 주차 교통편리</t>
        </is>
      </c>
      <c r="Q241" s="6">
        <f>HYPERLINK("https://fin.land.naver.com/articles/2647027276", "매물Link")</f>
        <v/>
      </c>
      <c r="R241" s="6">
        <f>HYPERLINK("https://map.naver.com/p/search/오송읍 오송리 115-11", "지도Link")</f>
        <v/>
      </c>
      <c r="S241" s="6">
        <f>HYPERLINK("https://www.eum.go.kr/web/mp/mpMapDet.jsp?pnu=4311325028101150011&amp;isNoScr=script&amp;mode=search", "토지이음")</f>
        <v/>
      </c>
      <c r="T241" s="3" t="inlineStr">
        <is>
          <t>하림</t>
        </is>
      </c>
      <c r="U241" s="4" t="n">
        <v>1</v>
      </c>
      <c r="V241" s="5" t="n">
        <v>82.2</v>
      </c>
      <c r="W241" s="4" t="n">
        <v>780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HYPERLINK("https://www.eum.go.kr/web/mp/mpMapDet.jsp?pnu=4311325028102420018&amp;isNoScr=script&amp;mode=search",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1500</v>
      </c>
      <c r="H243" s="4" t="n">
        <v>1807</v>
      </c>
      <c r="I243" s="4" t="n">
        <v>547</v>
      </c>
      <c r="J243" s="5" t="n">
        <v>2.7</v>
      </c>
      <c r="K243" s="4" t="n">
        <v>825</v>
      </c>
      <c r="L243" s="4" t="n">
        <v>250</v>
      </c>
      <c r="M243" s="5" t="n">
        <v>6</v>
      </c>
      <c r="N243" s="3" t="inlineStr">
        <is>
          <t>2</t>
        </is>
      </c>
      <c r="O243" s="3" t="inlineStr">
        <is>
          <t>-</t>
        </is>
      </c>
      <c r="P243" s="3" t="inlineStr">
        <is>
          <t>대지 1180. 기존 택배자리. 물류 창고 적합</t>
        </is>
      </c>
      <c r="Q243" s="6">
        <f>HYPERLINK("https://fin.land.naver.com/articles/2648710674", "매물Link")</f>
        <v/>
      </c>
      <c r="R243" s="6">
        <f>HYPERLINK("https://map.naver.com/p/search/오송읍 오송리 242-18", "지도Link")</f>
        <v/>
      </c>
      <c r="S243" s="6">
        <f>HYPERLINK("https://www.eum.go.kr/web/mp/mpMapDet.jsp?pnu=4311325028102420018&amp;isNoScr=script&amp;mode=search",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129.4</v>
      </c>
      <c r="W243" s="4" t="n">
        <v>1807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242-18</t>
        </is>
      </c>
      <c r="B244" s="3" t="inlineStr">
        <is>
          <t>계획관리지역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10000</v>
      </c>
      <c r="G244" s="4" t="n">
        <v>1500</v>
      </c>
      <c r="H244" s="4" t="n">
        <v>3888</v>
      </c>
      <c r="I244" s="4" t="n">
        <v>1176</v>
      </c>
      <c r="J244" s="5" t="n">
        <v>1.3</v>
      </c>
      <c r="K244" s="4" t="n">
        <v>825</v>
      </c>
      <c r="L244" s="4" t="n">
        <v>250</v>
      </c>
      <c r="M244" s="5" t="n">
        <v>6</v>
      </c>
      <c r="N244" s="3" t="inlineStr">
        <is>
          <t>2</t>
        </is>
      </c>
      <c r="O244" s="3" t="inlineStr">
        <is>
          <t>-</t>
        </is>
      </c>
      <c r="P244" s="3" t="inlineStr">
        <is>
          <t>오송생명과학단지 인근 대형 야드 완비된 물류창고 임대</t>
        </is>
      </c>
      <c r="Q244" s="6">
        <f>HYPERLINK("https://fin.land.naver.com/articles/2645609316", "매물Link")</f>
        <v/>
      </c>
      <c r="R244" s="6">
        <f>HYPERLINK("https://map.naver.com/p/search/오송읍 오송리 242-18", "지도Link")</f>
        <v/>
      </c>
      <c r="S244" s="6">
        <f>HYPERLINK("https://www.eum.go.kr/web/mp/mpMapDet.jsp?pnu=4311325028102420018&amp;isNoScr=script&amp;mode=search",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129.4</v>
      </c>
      <c r="W244" s="4" t="n">
        <v>1807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1739</v>
      </c>
      <c r="I245" s="4" t="n">
        <v>526</v>
      </c>
      <c r="J245" s="5" t="n">
        <v>0.6</v>
      </c>
      <c r="K245" s="4" t="n">
        <v>440</v>
      </c>
      <c r="L245" s="4" t="n">
        <v>133</v>
      </c>
      <c r="M245" s="5" t="n">
        <v>2.3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 교차로 인근 공장.</t>
        </is>
      </c>
      <c r="Q245" s="6">
        <f>HYPERLINK("https://fin.land.naver.com/articles/2648710493", "매물Link")</f>
        <v/>
      </c>
      <c r="R245" s="6">
        <f>HYPERLINK("https://map.naver.com/p/search/오송읍 오송리 246-45", "지도Link")</f>
        <v/>
      </c>
      <c r="S245" s="6">
        <f>HYPERLINK("https://www.eum.go.kr/web/mp/mpMapDet.jsp?pnu=4311325028102460045&amp;isNoScr=script&amp;mode=search",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152.1</v>
      </c>
      <c r="W245" s="4" t="n">
        <v>1739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1739</v>
      </c>
      <c r="I246" s="4" t="n">
        <v>526</v>
      </c>
      <c r="J246" s="5" t="n">
        <v>0.5</v>
      </c>
      <c r="K246" s="4" t="n">
        <v>440</v>
      </c>
      <c r="L246" s="4" t="n">
        <v>133</v>
      </c>
      <c r="M246" s="5" t="n">
        <v>1.9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공장, 창고 l 교통 편리 l 6개동 일괄 임대</t>
        </is>
      </c>
      <c r="Q246" s="6">
        <f>HYPERLINK("https://fin.land.naver.com/articles/2650437203", "매물Link")</f>
        <v/>
      </c>
      <c r="R246" s="6">
        <f>HYPERLINK("https://map.naver.com/p/search/오송읍 오송리 246-45", "지도Link")</f>
        <v/>
      </c>
      <c r="S246" s="6">
        <f>HYPERLINK("https://www.eum.go.kr/web/mp/mpMapDet.jsp?pnu=4311325028102460045&amp;isNoScr=script&amp;mode=search", "토지이음")</f>
        <v/>
      </c>
      <c r="T246" s="3" t="inlineStr">
        <is>
          <t>에이스</t>
        </is>
      </c>
      <c r="U246" s="4" t="n">
        <v>1</v>
      </c>
      <c r="V246" s="5" t="n">
        <v>152.1</v>
      </c>
      <c r="W246" s="4" t="n">
        <v>1739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1524</v>
      </c>
      <c r="I247" s="4" t="n">
        <v>461</v>
      </c>
      <c r="J247" s="5" t="n">
        <v>0.4</v>
      </c>
      <c r="K247" s="4" t="n">
        <v>536</v>
      </c>
      <c r="L247" s="4" t="n">
        <v>162</v>
      </c>
      <c r="M247" s="5" t="n">
        <v>1.1</v>
      </c>
      <c r="N247" s="3" t="inlineStr">
        <is>
          <t>1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HYPERLINK("https://fin.land.naver.com/articles/2645321144", "매물Link")</f>
        <v/>
      </c>
      <c r="R247" s="6">
        <f>HYPERLINK("https://map.naver.com/p/search/오송읍 오송리 246-51", "지도Link")</f>
        <v/>
      </c>
      <c r="S247" s="6">
        <f>HYPERLINK("https://www.eum.go.kr/web/mp/mpMapDet.jsp?pnu=4311325028102460051&amp;isNoScr=script&amp;mode=search", "토지이음")</f>
        <v/>
      </c>
      <c r="T247" s="3" t="inlineStr">
        <is>
          <t>365</t>
        </is>
      </c>
      <c r="U247" s="4" t="n">
        <v>2</v>
      </c>
      <c r="V247" s="5" t="n">
        <v>163.6</v>
      </c>
      <c r="W247" s="4" t="n">
        <v>1447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565</v>
      </c>
      <c r="I248" s="4" t="n">
        <v>171</v>
      </c>
      <c r="J248" s="5" t="n">
        <v>0.6</v>
      </c>
      <c r="K248" s="4" t="n">
        <v>227</v>
      </c>
      <c r="L248" s="4" t="n">
        <v>69</v>
      </c>
      <c r="M248" s="5" t="n">
        <v>1.4</v>
      </c>
      <c r="N248" s="3" t="inlineStr">
        <is>
          <t>1</t>
        </is>
      </c>
      <c r="O248" s="3" t="inlineStr">
        <is>
          <t>-</t>
        </is>
      </c>
      <c r="P248" s="3" t="inlineStr">
        <is>
          <t>창고와 별도 사무실이 있음</t>
        </is>
      </c>
      <c r="Q248" s="6">
        <f>HYPERLINK("https://fin.land.naver.com/articles/2649702312", "매물Link")</f>
        <v/>
      </c>
      <c r="R248" s="6">
        <f>HYPERLINK("https://map.naver.com/p/search/오송읍 오송리 246-71", "지도Link")</f>
        <v/>
      </c>
      <c r="S248" s="6">
        <f>HYPERLINK("https://www.eum.go.kr/web/mp/mpMapDet.jsp?pnu=4311325028102460071&amp;isNoScr=script&amp;mode=search", "토지이음")</f>
        <v/>
      </c>
      <c r="T248" s="3" t="inlineStr">
        <is>
          <t>금송</t>
        </is>
      </c>
      <c r="U248" s="4" t="n">
        <v>1</v>
      </c>
      <c r="V248" s="5" t="n">
        <v>152.1</v>
      </c>
      <c r="W248" s="4" t="n">
        <v>320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1100</v>
      </c>
      <c r="I249" s="4" t="n">
        <v>333</v>
      </c>
      <c r="J249" s="5" t="n">
        <v>465.5</v>
      </c>
      <c r="K249" s="4" t="n">
        <v>464</v>
      </c>
      <c r="L249" s="4" t="n">
        <v>140</v>
      </c>
      <c r="M249" s="5" t="n">
        <v>1107.1</v>
      </c>
      <c r="N249" s="3" t="inlineStr">
        <is>
          <t>1</t>
        </is>
      </c>
      <c r="O249" s="3" t="inlineStr">
        <is>
          <t>-</t>
        </is>
      </c>
      <c r="P249" s="3" t="inlineStr">
        <is>
          <t>오송 역세권 위치좋은 창고시설</t>
        </is>
      </c>
      <c r="Q249" s="6">
        <f>HYPERLINK("https://fin.land.naver.com/articles/2648538814", "매물Link")</f>
        <v/>
      </c>
      <c r="R249" s="6">
        <f>HYPERLINK("https://map.naver.com/p/search/오송읍 오송리 63-8", "지도Link")</f>
        <v/>
      </c>
      <c r="S249" s="6">
        <f>HYPERLINK("https://www.eum.go.kr/web/mp/mpMapDet.jsp?pnu=4311325028100630008&amp;isNoScr=script&amp;mode=search", "토지이음")</f>
        <v/>
      </c>
      <c r="T249" s="3" t="inlineStr">
        <is>
          <t>동남조은집</t>
        </is>
      </c>
      <c r="U249" s="4" t="n">
        <v>1</v>
      </c>
      <c r="V249" s="5" t="n">
        <v>283.4</v>
      </c>
      <c r="W249" s="4" t="n">
        <v>1041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2000</v>
      </c>
      <c r="I250" s="4" t="n">
        <v>605</v>
      </c>
      <c r="J250" s="5" t="n">
        <v>661.2</v>
      </c>
      <c r="K250" s="4" t="n">
        <v>501</v>
      </c>
      <c r="L250" s="4" t="n">
        <v>152</v>
      </c>
      <c r="M250" s="5" t="n">
        <v>2631.6</v>
      </c>
      <c r="N250" s="3" t="inlineStr">
        <is>
          <t>1</t>
        </is>
      </c>
      <c r="O250" s="3" t="inlineStr">
        <is>
          <t>-</t>
        </is>
      </c>
      <c r="P250" s="3" t="inlineStr">
        <is>
          <t>비금속광물,금속,기계,장비,자동차,운송장비 제조업 등 첨단관련 입주가능</t>
        </is>
      </c>
      <c r="Q250" s="6">
        <f>HYPERLINK("https://fin.land.naver.com/articles/2645345120", "매물Link")</f>
        <v/>
      </c>
      <c r="R250" s="6">
        <f>HYPERLINK("https://map.naver.com/p/search/오송읍 정중리 636", "지도Link")</f>
        <v/>
      </c>
      <c r="S250" s="6">
        <f>HYPERLINK("https://www.eum.go.kr/web/mp/mpMapDet.jsp?pnu=4311325032106360000&amp;isNoScr=script&amp;mode=search",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66.90000000000001</v>
      </c>
      <c r="W250" s="4" t="n">
        <v>2000.1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16494</v>
      </c>
      <c r="I251" s="4" t="n">
        <v>4989</v>
      </c>
      <c r="J251" s="5" t="n">
        <v>0.1</v>
      </c>
      <c r="K251" s="4" t="n">
        <v>337</v>
      </c>
      <c r="L251" s="4" t="n">
        <v>102</v>
      </c>
      <c r="M251" s="5" t="n">
        <v>2.9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오송바이오폴리스지구,식품관련업종,사무실,공장 다 가능</t>
        </is>
      </c>
      <c r="Q251" s="6">
        <f>HYPERLINK("https://fin.land.naver.com/articles/2647583393", "매물Link")</f>
        <v/>
      </c>
      <c r="R251" s="6">
        <f>HYPERLINK("https://map.naver.com/p/search/오송읍 정중리 651", "지도Link")</f>
        <v/>
      </c>
      <c r="S251" s="6">
        <f>HYPERLINK("https://www.eum.go.kr/web/mp/mpMapDet.jsp?pnu=4311325032106510000&amp;isNoScr=script&amp;mode=search", "토지이음")</f>
        <v/>
      </c>
      <c r="T251" s="3" t="inlineStr">
        <is>
          <t>오송올래</t>
        </is>
      </c>
      <c r="U251" s="4" t="n">
        <v>1</v>
      </c>
      <c r="V251" s="5" t="n">
        <v>68.40000000000001</v>
      </c>
      <c r="W251" s="4" t="n">
        <v>16494.5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HYPERLINK("https://www.eum.go.kr/web/mp/mpMapDet.jsp?pnu=4311325032106780000&amp;isNoScr=script&amp;mode=search", "토지이음")</f>
        <v/>
      </c>
      <c r="T252" s="3" t="inlineStr">
        <is>
          <t>(주)미르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대로접한 코너 공장 상세설명참조</t>
        </is>
      </c>
      <c r="Q253" s="6">
        <f>HYPERLINK("https://fin.land.naver.com/articles/2645201356", "매물Link")</f>
        <v/>
      </c>
      <c r="R253" s="6">
        <f>HYPERLINK("https://map.naver.com/p/search/오송읍 정중리 678", "지도Link")</f>
        <v/>
      </c>
      <c r="S253" s="6">
        <f>HYPERLINK("https://www.eum.go.kr/web/mp/mpMapDet.jsp?pnu=4311325032106780000&amp;isNoScr=script&amp;mode=search", "토지이음")</f>
        <v/>
      </c>
      <c r="T253" s="3" t="inlineStr">
        <is>
          <t>오송휴먼캐슬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산업단지 코너에 위치한 관리 잘 된 준신축급 공장</t>
        </is>
      </c>
      <c r="Q254" s="6">
        <f>HYPERLINK("https://fin.land.naver.com/articles/2650586118", "매물Link")</f>
        <v/>
      </c>
      <c r="R254" s="6">
        <f>HYPERLINK("https://map.naver.com/p/search/오송읍 정중리 678", "지도Link")</f>
        <v/>
      </c>
      <c r="S254" s="6">
        <f>HYPERLINK("https://www.eum.go.kr/web/mp/mpMapDet.jsp?pnu=4311325032106780000&amp;isNoScr=script&amp;mode=search", "토지이음")</f>
        <v/>
      </c>
      <c r="T254" s="3" t="inlineStr">
        <is>
          <t>(주)미르</t>
        </is>
      </c>
      <c r="U254" s="4" t="n">
        <v>2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HYPERLINK("https://www.eum.go.kr/web/mp/mpMapDet.jsp?pnu=4311325032106780000&amp;isNoScr=script&amp;mode=search",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350000</v>
      </c>
      <c r="G256" s="4" t="n">
        <v>0</v>
      </c>
      <c r="H256" s="4" t="n">
        <v>2169</v>
      </c>
      <c r="I256" s="4" t="n">
        <v>656</v>
      </c>
      <c r="J256" s="5" t="n">
        <v>533.5</v>
      </c>
      <c r="K256" s="4" t="n">
        <v>999</v>
      </c>
      <c r="L256" s="4" t="n">
        <v>302</v>
      </c>
      <c r="M256" s="5" t="n">
        <v>1158.9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오송2산단 의료기기업종가능 사옥형 공장으로 추천</t>
        </is>
      </c>
      <c r="Q256" s="6">
        <f>HYPERLINK("https://fin.land.naver.com/articles/2649666291", "매물Link")</f>
        <v/>
      </c>
      <c r="R256" s="6">
        <f>HYPERLINK("https://map.naver.com/p/search/오송읍 정중리 678", "지도Link")</f>
        <v/>
      </c>
      <c r="S256" s="6">
        <f>HYPERLINK("https://www.eum.go.kr/web/mp/mpMapDet.jsp?pnu=4311325032106780000&amp;isNoScr=script&amp;mode=search",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3500</v>
      </c>
      <c r="H257" s="4" t="n">
        <v>10798</v>
      </c>
      <c r="I257" s="4" t="n">
        <v>3266</v>
      </c>
      <c r="J257" s="5" t="n">
        <v>1.1</v>
      </c>
      <c r="K257" s="4" t="n">
        <v>3616</v>
      </c>
      <c r="L257" s="4" t="n">
        <v>1094</v>
      </c>
      <c r="M257" s="5" t="n">
        <v>3.2</v>
      </c>
      <c r="N257" s="3" t="inlineStr">
        <is>
          <t>5</t>
        </is>
      </c>
      <c r="O257" s="3" t="inlineStr">
        <is>
          <t>-</t>
        </is>
      </c>
      <c r="P257" s="3" t="inlineStr">
        <is>
          <t>3층,4층 공장, 창고 임대.전층공조시설완비,바닥 콘크리트마감, 신축</t>
        </is>
      </c>
      <c r="Q257" s="6">
        <f>HYPERLINK("https://fin.land.naver.com/articles/2648733525", "매물Link")</f>
        <v/>
      </c>
      <c r="R257" s="6">
        <f>HYPERLINK("https://map.naver.com/p/search/오송읍 정중리 718", "지도Link")</f>
        <v/>
      </c>
      <c r="S257" s="6">
        <f>HYPERLINK("https://www.eum.go.kr/web/mp/mpMapDet.jsp?pnu=4311325032107180000&amp;isNoScr=script&amp;mode=search",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HYPERLINK("https://fin.land.naver.com/articles/2648230144", "매물Link")</f>
        <v/>
      </c>
      <c r="R258" s="6">
        <f>HYPERLINK("https://map.naver.com/p/search/오송읍 정중리 718", "지도Link")</f>
        <v/>
      </c>
      <c r="S258" s="6">
        <f>HYPERLINK("https://www.eum.go.kr/web/mp/mpMapDet.jsp?pnu=4311325032107180000&amp;isNoScr=script&amp;mode=search", "토지이음")</f>
        <v/>
      </c>
      <c r="T258" s="3" t="inlineStr">
        <is>
          <t>월드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유크리트마감, 신축공장,건기식,제약,화장품 추천</t>
        </is>
      </c>
      <c r="Q259" s="6">
        <f>HYPERLINK("https://fin.land.naver.com/articles/2650525742", "매물Link")</f>
        <v/>
      </c>
      <c r="R259" s="6">
        <f>HYPERLINK("https://map.naver.com/p/search/오송읍 정중리 718", "지도Link")</f>
        <v/>
      </c>
      <c r="S259" s="6">
        <f>HYPERLINK("https://www.eum.go.kr/web/mp/mpMapDet.jsp?pnu=4311325032107180000&amp;isNoScr=script&amp;mode=search",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14761</v>
      </c>
      <c r="L260" s="4" t="n">
        <v>4465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HYPERLINK("https://www.eum.go.kr/web/mp/mpMapDet.jsp?pnu=4311325032107180000&amp;isNoScr=script&amp;mode=search",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1476</v>
      </c>
      <c r="L261" s="4" t="n">
        <v>446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전층공조시설완비,바닥 크리트마감, 신축공장,건기식,제약,화장품 추천</t>
        </is>
      </c>
      <c r="Q261" s="6">
        <f>HYPERLINK("https://fin.land.naver.com/articles/2650624911", "매물Link")</f>
        <v/>
      </c>
      <c r="R261" s="6">
        <f>HYPERLINK("https://map.naver.com/p/search/오송읍 정중리 718", "지도Link")</f>
        <v/>
      </c>
      <c r="S261" s="6">
        <f>HYPERLINK("https://www.eum.go.kr/web/mp/mpMapDet.jsp?pnu=4311325032107180000&amp;isNoScr=script&amp;mode=search",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15064</v>
      </c>
      <c r="L262" s="4" t="n">
        <v>4557</v>
      </c>
      <c r="M262" s="5" t="n">
        <v>0.8</v>
      </c>
      <c r="N262" s="3" t="inlineStr">
        <is>
          <t>5</t>
        </is>
      </c>
      <c r="O262" s="3" t="inlineStr">
        <is>
          <t>-</t>
        </is>
      </c>
      <c r="P262" s="3" t="inlineStr">
        <is>
          <t>크린룸,폐수처리,위험물저장소,전층공조시설,화물엘베 각층3개,신축급 공장</t>
        </is>
      </c>
      <c r="Q262" s="6">
        <f>HYPERLINK("https://fin.land.naver.com/articles/2650398819", "매물Link")</f>
        <v/>
      </c>
      <c r="R262" s="6">
        <f>HYPERLINK("https://map.naver.com/p/search/오송읍 정중리 718", "지도Link")</f>
        <v/>
      </c>
      <c r="S262" s="6">
        <f>HYPERLINK("https://www.eum.go.kr/web/mp/mpMapDet.jsp?pnu=4311325032107180000&amp;isNoScr=script&amp;mode=search",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청주ic 오송ktx 10분이내 오송산업단지공장 화학업종 가능</t>
        </is>
      </c>
      <c r="Q263" s="6">
        <f>HYPERLINK("https://fin.land.naver.com/articles/2649015627", "매물Link")</f>
        <v/>
      </c>
      <c r="R263" s="6">
        <f>HYPERLINK("https://map.naver.com/p/search/오송읍 정중리 718", "지도Link")</f>
        <v/>
      </c>
      <c r="S263" s="6">
        <f>HYPERLINK("https://www.eum.go.kr/web/mp/mpMapDet.jsp?pnu=4311325032107180000&amp;isNoScr=script&amp;mode=search",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HYPERLINK("https://fin.land.naver.com/articles/2649016336", "매물Link")</f>
        <v/>
      </c>
      <c r="R264" s="6">
        <f>HYPERLINK("https://map.naver.com/p/search/오송읍 정중리 718", "지도Link")</f>
        <v/>
      </c>
      <c r="S264" s="6">
        <f>HYPERLINK("https://www.eum.go.kr/web/mp/mpMapDet.jsp?pnu=4311325032107180000&amp;isNoScr=script&amp;mode=search",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HYPERLINK("https://fin.land.naver.com/articles/2649039082", "매물Link")</f>
        <v/>
      </c>
      <c r="R265" s="6">
        <f>HYPERLINK("https://map.naver.com/p/search/오송읍 정중리 718", "지도Link")</f>
        <v/>
      </c>
      <c r="S265" s="6">
        <f>HYPERLINK("https://www.eum.go.kr/web/mp/mpMapDet.jsp?pnu=4311325032107180000&amp;isNoScr=script&amp;mode=search",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HYPERLINK("https://www.eum.go.kr/web/mp/mpMapDet.jsp?pnu=4311325032107180000&amp;isNoScr=script&amp;mode=search",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광대소각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HYPERLINK("https://www.eum.go.kr/web/mp/mpMapDet.jsp?pnu=4311325032107970000&amp;isNoScr=script&amp;mode=search",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전기,화학,의약품,의료,화장품코드 입주 가능,신축형 컨디션</t>
        </is>
      </c>
      <c r="Q268" s="6">
        <f>HYPERLINK("https://fin.land.naver.com/articles/2650198939", "매물Link")</f>
        <v/>
      </c>
      <c r="R268" s="6">
        <f>HYPERLINK("https://map.naver.com/p/search/오송읍 정중리 797", "지도Link")</f>
        <v/>
      </c>
      <c r="S268" s="6">
        <f>HYPERLINK("https://www.eum.go.kr/web/mp/mpMapDet.jsp?pnu=4311325032107970000&amp;isNoScr=script&amp;mode=search", "토지이음")</f>
        <v/>
      </c>
      <c r="T268" s="3" t="inlineStr">
        <is>
          <t>금화랜드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2800</v>
      </c>
      <c r="H269" s="4" t="n">
        <v>4999</v>
      </c>
      <c r="I269" s="4" t="n">
        <v>1512</v>
      </c>
      <c r="J269" s="5" t="n">
        <v>1.9</v>
      </c>
      <c r="K269" s="4" t="n">
        <v>9796</v>
      </c>
      <c r="L269" s="4" t="n">
        <v>2963</v>
      </c>
      <c r="M269" s="5" t="n">
        <v>0.9</v>
      </c>
      <c r="N269" s="3" t="inlineStr">
        <is>
          <t>3</t>
        </is>
      </c>
      <c r="O269" s="3" t="inlineStr">
        <is>
          <t>-</t>
        </is>
      </c>
      <c r="P269" s="3" t="inlineStr">
        <is>
          <t>신축급,전기,화학,화장품,의약품 등 입주가능,각층별 과 전체 임대가능</t>
        </is>
      </c>
      <c r="Q269" s="6">
        <f>HYPERLINK("https://fin.land.naver.com/articles/2650190812", "매물Link")</f>
        <v/>
      </c>
      <c r="R269" s="6">
        <f>HYPERLINK("https://map.naver.com/p/search/오송읍 정중리 797", "지도Link")</f>
        <v/>
      </c>
      <c r="S269" s="6">
        <f>HYPERLINK("https://www.eum.go.kr/web/mp/mpMapDet.jsp?pnu=4311325032107970000&amp;isNoScr=script&amp;mode=search",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4999</v>
      </c>
      <c r="I270" s="4" t="n">
        <v>1512</v>
      </c>
      <c r="J270" s="5" t="n">
        <v>760.6</v>
      </c>
      <c r="K270" s="4" t="n">
        <v>9796</v>
      </c>
      <c r="L270" s="4" t="n">
        <v>2963</v>
      </c>
      <c r="M270" s="5" t="n">
        <v>388.1</v>
      </c>
      <c r="N270" s="3" t="inlineStr">
        <is>
          <t>3</t>
        </is>
      </c>
      <c r="O270" s="3" t="inlineStr">
        <is>
          <t>-</t>
        </is>
      </c>
      <c r="P270" s="3" t="inlineStr">
        <is>
          <t>오송2산업단지 4차선도로변 접한 위치의 신축급공장</t>
        </is>
      </c>
      <c r="Q270" s="6">
        <f>HYPERLINK("https://fin.land.naver.com/articles/2649326357", "매물Link")</f>
        <v/>
      </c>
      <c r="R270" s="6">
        <f>HYPERLINK("https://map.naver.com/p/search/오송읍 정중리 797", "지도Link")</f>
        <v/>
      </c>
      <c r="S270" s="6">
        <f>HYPERLINK("https://www.eum.go.kr/web/mp/mpMapDet.jsp?pnu=4311325032107970000&amp;isNoScr=script&amp;mode=search",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광대로한면</t>
        </is>
      </c>
    </row>
    <row r="271">
      <c r="A271" s="3" t="inlineStr">
        <is>
          <t>조치원읍 번암리 53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2500000</v>
      </c>
      <c r="G271" s="4" t="n">
        <v>0</v>
      </c>
      <c r="H271" s="4" t="n">
        <v>9721</v>
      </c>
      <c r="I271" s="4" t="n">
        <v>2941</v>
      </c>
      <c r="J271" s="5" t="n">
        <v>850.1</v>
      </c>
      <c r="K271" s="4" t="n">
        <v>13496</v>
      </c>
      <c r="L271" s="4" t="n">
        <v>4083</v>
      </c>
      <c r="M271" s="5" t="n">
        <v>612.3</v>
      </c>
      <c r="N271" s="3" t="inlineStr">
        <is>
          <t>3</t>
        </is>
      </c>
      <c r="O271" s="3" t="inlineStr">
        <is>
          <t>B2</t>
        </is>
      </c>
      <c r="P271" s="3" t="inlineStr">
        <is>
          <t>데이터센터 물류창고 가능</t>
        </is>
      </c>
      <c r="Q271" s="6">
        <f>HYPERLINK("https://fin.land.naver.com/articles/2648311397", "매물Link")</f>
        <v/>
      </c>
      <c r="R271" s="6">
        <f>HYPERLINK("https://map.naver.com/p/search/조치원읍 번암리 53", "지도Link")</f>
        <v/>
      </c>
      <c r="S271" s="6">
        <f>HYPERLINK("https://www.eum.go.kr/web/mp/mpMapDet.jsp?pnu=3611025031100530000&amp;isNoScr=script&amp;mode=search",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298</v>
      </c>
      <c r="W271" s="4" t="n">
        <v>9721</v>
      </c>
      <c r="X271" s="3" t="inlineStr">
        <is>
          <t>미표기</t>
        </is>
      </c>
      <c r="Y271" s="7" t="inlineStr">
        <is>
          <t>3층</t>
        </is>
      </c>
      <c r="Z271" s="3" t="inlineStr">
        <is>
          <t>철근콘크리트구조</t>
        </is>
      </c>
      <c r="AA271" s="3" t="inlineStr">
        <is>
          <t>판매시설</t>
        </is>
      </c>
      <c r="AB271" s="3" t="inlineStr">
        <is>
          <t>22.31m</t>
        </is>
      </c>
      <c r="AC271" s="3" t="inlineStr">
        <is>
          <t>2008-04</t>
        </is>
      </c>
      <c r="AD271" s="3" t="inlineStr">
        <is>
          <t>광대로한면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HYPERLINK("https://www.eum.go.kr/web/mp/mpMapDet.jsp?pnu=3611025034102020005&amp;isNoScr=script&amp;mode=search",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사무실 완비된 컨디션 좋은 창고 매매</t>
        </is>
      </c>
      <c r="Q273" s="6">
        <f>HYPERLINK("https://fin.land.naver.com/articles/2646262582", "매물Link")</f>
        <v/>
      </c>
      <c r="R273" s="6">
        <f>HYPERLINK("https://map.naver.com/p/search/조치원읍 서창리 202-5", "지도Link")</f>
        <v/>
      </c>
      <c r="S273" s="6">
        <f>HYPERLINK("https://www.eum.go.kr/web/mp/mpMapDet.jsp?pnu=3611025034102020005&amp;isNoScr=script&amp;mode=search",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주건축물제1동</t>
        </is>
      </c>
      <c r="Y273" s="7" t="inlineStr">
        <is>
          <t>2층</t>
        </is>
      </c>
      <c r="Z273" s="3" t="inlineStr">
        <is>
          <t>일반철골구조</t>
        </is>
      </c>
      <c r="AA273" s="3" t="inlineStr">
        <is>
          <t>제2종근생</t>
        </is>
      </c>
      <c r="AB273" s="3" t="inlineStr">
        <is>
          <t>6.35m</t>
        </is>
      </c>
      <c r="AC273" s="3" t="inlineStr">
        <is>
          <t>2015-11</t>
        </is>
      </c>
      <c r="AD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창고 급매</t>
        </is>
      </c>
      <c r="Q274" s="6">
        <f>HYPERLINK("https://fin.land.naver.com/articles/2645608920", "매물Link")</f>
        <v/>
      </c>
      <c r="R274" s="6">
        <f>HYPERLINK("https://map.naver.com/p/search/조치원읍 서창리 202-5", "지도Link")</f>
        <v/>
      </c>
      <c r="S274" s="6">
        <f>HYPERLINK("https://www.eum.go.kr/web/mp/mpMapDet.jsp?pnu=3611025034102020005&amp;isNoScr=script&amp;mode=search",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주건축물제1동</t>
        </is>
      </c>
      <c r="Y274" s="7" t="inlineStr">
        <is>
          <t>2층</t>
        </is>
      </c>
      <c r="Z274" s="3" t="inlineStr">
        <is>
          <t>일반철골구조</t>
        </is>
      </c>
      <c r="AA274" s="3" t="inlineStr">
        <is>
          <t>제2종근생</t>
        </is>
      </c>
      <c r="AB274" s="3" t="inlineStr">
        <is>
          <t>6.35m</t>
        </is>
      </c>
      <c r="AC274" s="3" t="inlineStr">
        <is>
          <t>2015-11</t>
        </is>
      </c>
      <c r="AD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HYPERLINK("https://fin.land.naver.com/articles/2650482875", "매물Link")</f>
        <v/>
      </c>
      <c r="R275" s="6">
        <f>HYPERLINK("https://map.naver.com/p/search/집현동 1132", "지도Link")</f>
        <v/>
      </c>
      <c r="S275" s="6">
        <f>HYPERLINK("https://www.eum.go.kr/web/mp/mpMapDet.jsp?pnu=3611011800111320000&amp;isNoScr=script&amp;mode=search",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중로각지</t>
        </is>
      </c>
    </row>
  </sheetData>
  <autoFilter ref="A1:AD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HYPERLINK("https://www.eum.go.kr/web/mp/mpMapDet.jsp?pnu=3611011200110060000&amp;isNoScr=script&amp;mode=search",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HYPERLINK("https://www.eum.go.kr/web/mp/mpMapDet.jsp?pnu=3611011200111060000&amp;isNoScr=script&amp;mode=search",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HYPERLINK("https://www.eum.go.kr/web/mp/mpMapDet.jsp?pnu=3611011200111160000&amp;isNoScr=script&amp;mode=search",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HYPERLINK("https://www.eum.go.kr/web/mp/mpMapDet.jsp?pnu=3611011200111160000&amp;isNoScr=script&amp;mode=search",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HYPERLINK("https://www.eum.go.kr/web/mp/mpMapDet.jsp?pnu=3611011200111160000&amp;isNoScr=script&amp;mode=search",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HYPERLINK("https://www.eum.go.kr/web/mp/mpMapDet.jsp?pnu=3611011200112320000&amp;isNoScr=script&amp;mode=search",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HYPERLINK("https://www.eum.go.kr/web/mp/mpMapDet.jsp?pnu=3611011200112320000&amp;isNoScr=script&amp;mode=search",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HYPERLINK("https://www.eum.go.kr/web/mp/mpMapDet.jsp?pnu=3611011200112320000&amp;isNoScr=script&amp;mode=search",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HYPERLINK("https://www.eum.go.kr/web/mp/mpMapDet.jsp?pnu=3611011200114310000&amp;isNoScr=script&amp;mode=search",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HYPERLINK("https://www.eum.go.kr/web/mp/mpMapDet.jsp?pnu=3611011200114510000&amp;isNoScr=script&amp;mode=search",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HYPERLINK("https://www.eum.go.kr/web/mp/mpMapDet.jsp?pnu=3611011200115370000&amp;isNoScr=script&amp;mode=search",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HYPERLINK("https://www.eum.go.kr/web/mp/mpMapDet.jsp?pnu=3611011200115370000&amp;isNoScr=script&amp;mode=search",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HYPERLINK("https://www.eum.go.kr/web/mp/mpMapDet.jsp?pnu=3611011200115830000&amp;isNoScr=script&amp;mode=search",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HYPERLINK("https://www.eum.go.kr/web/mp/mpMapDet.jsp?pnu=3611011200115830000&amp;isNoScr=script&amp;mode=search",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HYPERLINK("https://www.eum.go.kr/web/mp/mpMapDet.jsp?pnu=3611011200115830000&amp;isNoScr=script&amp;mode=search",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HYPERLINK("https://www.eum.go.kr/web/mp/mpMapDet.jsp?pnu=3611011200116460000&amp;isNoScr=script&amp;mode=search",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HYPERLINK("https://www.eum.go.kr/web/mp/mpMapDet.jsp?pnu=3611011200116460000&amp;isNoScr=script&amp;mode=search",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HYPERLINK("https://www.eum.go.kr/web/mp/mpMapDet.jsp?pnu=3611011200116460000&amp;isNoScr=script&amp;mode=search",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HYPERLINK("https://www.eum.go.kr/web/mp/mpMapDet.jsp?pnu=3611011200117560000&amp;isNoScr=script&amp;mode=search",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HYPERLINK("https://www.eum.go.kr/web/mp/mpMapDet.jsp?pnu=3611011200117560000&amp;isNoScr=script&amp;mode=search",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HYPERLINK("https://www.eum.go.kr/web/mp/mpMapDet.jsp?pnu=3611011200117560000&amp;isNoScr=script&amp;mode=search",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HYPERLINK("https://www.eum.go.kr/web/mp/mpMapDet.jsp?pnu=3611011200117630000&amp;isNoScr=script&amp;mode=search",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HYPERLINK("https://www.eum.go.kr/web/mp/mpMapDet.jsp?pnu=3611011200117650000&amp;isNoScr=script&amp;mode=search",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HYPERLINK("https://www.eum.go.kr/web/mp/mpMapDet.jsp?pnu=3611011200117910000&amp;isNoScr=script&amp;mode=search",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HYPERLINK("https://www.eum.go.kr/web/mp/mpMapDet.jsp?pnu=3611011200119710000&amp;isNoScr=script&amp;mode=search",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HYPERLINK("https://www.eum.go.kr/web/mp/mpMapDet.jsp?pnu=3611011200120850000&amp;isNoScr=script&amp;mode=search",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유럽마을 C타입  관리상태좋음  학교 근린생활시설가까운 입지 최고 단지</t>
        </is>
      </c>
      <c r="P28" s="6">
        <f>HYPERLINK("https://fin.land.naver.com/articles/2646787107", "매물Link")</f>
        <v/>
      </c>
      <c r="Q28" s="6">
        <f>HYPERLINK("https://map.naver.com/p/search/고운동 2085", "지도Link")</f>
        <v/>
      </c>
      <c r="R28" s="6">
        <f>HYPERLINK("https://www.eum.go.kr/web/mp/mpMapDet.jsp?pnu=3611011200120850000&amp;isNoScr=script&amp;mode=search", "토지이음")</f>
        <v/>
      </c>
      <c r="S28" s="3" t="inlineStr">
        <is>
          <t>고운힐스테이트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HYPERLINK("https://www.eum.go.kr/web/mp/mpMapDet.jsp?pnu=3611011200120850000&amp;isNoScr=script&amp;mode=search",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HYPERLINK("https://www.eum.go.kr/web/mp/mpMapDet.jsp?pnu=3611011200120850000&amp;isNoScr=script&amp;mode=search",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HYPERLINK("https://www.eum.go.kr/web/mp/mpMapDet.jsp?pnu=3611011200120850000&amp;isNoScr=script&amp;mode=search",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HYPERLINK("https://www.eum.go.kr/web/mp/mpMapDet.jsp?pnu=3611011200120850000&amp;isNoScr=script&amp;mode=search",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HYPERLINK("https://www.eum.go.kr/web/mp/mpMapDet.jsp?pnu=3611011200120850000&amp;isNoScr=script&amp;mode=search",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인기C타입 마당넓음 탁트인조망 넓은3층면적</t>
        </is>
      </c>
      <c r="P34" s="6">
        <f>HYPERLINK("https://fin.land.naver.com/articles/2644917554", "매물Link")</f>
        <v/>
      </c>
      <c r="Q34" s="6">
        <f>HYPERLINK("https://map.naver.com/p/search/고운동 2085", "지도Link")</f>
        <v/>
      </c>
      <c r="R34" s="6">
        <f>HYPERLINK("https://www.eum.go.kr/web/mp/mpMapDet.jsp?pnu=3611011200120850000&amp;isNoScr=script&amp;mode=search", "토지이음")</f>
        <v/>
      </c>
      <c r="S34" s="3" t="inlineStr">
        <is>
          <t>세종스타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HYPERLINK("https://www.eum.go.kr/web/mp/mpMapDet.jsp?pnu=3611011200120850000&amp;isNoScr=script&amp;mode=search",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C타입 타운하우스, 급매, 입지 굿, 학교 인접, 협의입주</t>
        </is>
      </c>
      <c r="P36" s="6">
        <f>HYPERLINK("https://fin.land.naver.com/articles/2648909199", "매물Link")</f>
        <v/>
      </c>
      <c r="Q36" s="6">
        <f>HYPERLINK("https://map.naver.com/p/search/고운동 2085", "지도Link")</f>
        <v/>
      </c>
      <c r="R36" s="6">
        <f>HYPERLINK("https://www.eum.go.kr/web/mp/mpMapDet.jsp?pnu=3611011200120850000&amp;isNoScr=script&amp;mode=search",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HYPERLINK("https://www.eum.go.kr/web/mp/mpMapDet.jsp?pnu=3611011200120850000&amp;isNoScr=script&amp;mode=search",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HYPERLINK("https://www.eum.go.kr/web/mp/mpMapDet.jsp?pnu=3611011200120850000&amp;isNoScr=script&amp;mode=search",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HYPERLINK("https://www.eum.go.kr/web/mp/mpMapDet.jsp?pnu=3611011200120850000&amp;isNoScr=script&amp;mode=search",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협의입주, 시스템에어컨풀, 풀옵션, 조용한동으로 뷰좋은집</t>
        </is>
      </c>
      <c r="P40" s="6">
        <f>HYPERLINK("https://fin.land.naver.com/articles/2649373448", "매물Link")</f>
        <v/>
      </c>
      <c r="Q40" s="6">
        <f>HYPERLINK("https://map.naver.com/p/search/고운동 2085", "지도Link")</f>
        <v/>
      </c>
      <c r="R40" s="6">
        <f>HYPERLINK("https://www.eum.go.kr/web/mp/mpMapDet.jsp?pnu=3611011200120850000&amp;isNoScr=script&amp;mode=search", "토지이음")</f>
        <v/>
      </c>
      <c r="S40" s="3" t="inlineStr">
        <is>
          <t>리브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HYPERLINK("https://fin.land.naver.com/articles/2645308761", "매물Link")</f>
        <v/>
      </c>
      <c r="Q41" s="6">
        <f>HYPERLINK("https://map.naver.com/p/search/고운동 2085", "지도Link")</f>
        <v/>
      </c>
      <c r="R41" s="6">
        <f>HYPERLINK("https://www.eum.go.kr/web/mp/mpMapDet.jsp?pnu=3611011200120850000&amp;isNoScr=script&amp;mode=search",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HYPERLINK("https://www.eum.go.kr/web/mp/mpMapDet.jsp?pnu=3611011200120850000&amp;isNoScr=script&amp;mode=search",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131400</v>
      </c>
      <c r="H43" s="4" t="n">
        <v>0</v>
      </c>
      <c r="I43" s="4" t="n">
        <v>370</v>
      </c>
      <c r="J43" s="4" t="n">
        <v>112</v>
      </c>
      <c r="K43" s="5" t="n">
        <v>1173.2</v>
      </c>
      <c r="L43" s="4" t="n">
        <v>224</v>
      </c>
      <c r="M43" s="4" t="n">
        <v>68</v>
      </c>
      <c r="N43" s="5" t="n">
        <v>1932.4</v>
      </c>
      <c r="O43" s="3" t="inlineStr">
        <is>
          <t>아르티엠 더블랙 선임대 완료 급매</t>
        </is>
      </c>
      <c r="P43" s="6">
        <f>HYPERLINK("https://fin.land.naver.com/articles/2645308747", "매물Link")</f>
        <v/>
      </c>
      <c r="Q43" s="6">
        <f>HYPERLINK("https://map.naver.com/p/search/고운동 2085", "지도Link")</f>
        <v/>
      </c>
      <c r="R43" s="6">
        <f>HYPERLINK("https://www.eum.go.kr/web/mp/mpMapDet.jsp?pnu=3611011200120850000&amp;isNoScr=script&amp;mode=search",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HYPERLINK("https://www.eum.go.kr/web/mp/mpMapDet.jsp?pnu=3611011200121270000&amp;isNoScr=script&amp;mode=search",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HYPERLINK("https://www.eum.go.kr/web/mp/mpMapDet.jsp?pnu=3611011200121760000&amp;isNoScr=script&amp;mode=search",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6">
        <f>HYPERLINK("https://www.eum.go.kr/web/mp/mpMapDet.jsp?pnu=3611011200121760000&amp;isNoScr=script&amp;mode=search",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HYPERLINK("https://www.eum.go.kr/web/mp/mpMapDet.jsp?pnu=3611011200121760000&amp;isNoScr=script&amp;mode=search",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HYPERLINK("https://www.eum.go.kr/web/mp/mpMapDet.jsp?pnu=3611011200108930034&amp;isNoScr=script&amp;mode=search",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HYPERLINK("https://www.eum.go.kr/web/mp/mpMapDet.jsp?pnu=3611011200108930034&amp;isNoScr=script&amp;mode=search",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HYPERLINK("https://www.eum.go.kr/web/mp/mpMapDet.jsp?pnu=3611011200108950019&amp;isNoScr=script&amp;mode=search",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HYPERLINK("https://www.eum.go.kr/web/mp/mpMapDet.jsp?pnu=3611011200108950019&amp;isNoScr=script&amp;mode=search",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256</v>
      </c>
      <c r="J52" s="4" t="n">
        <v>77</v>
      </c>
      <c r="K52" s="5" t="n">
        <v>1493.5</v>
      </c>
      <c r="L52" s="4" t="n">
        <v>185</v>
      </c>
      <c r="M52" s="4" t="n">
        <v>56</v>
      </c>
      <c r="N52" s="5" t="n">
        <v>2053.6</v>
      </c>
      <c r="O52" s="3" t="inlineStr">
        <is>
          <t>어어컨풀. 유럽풍 타운하우스,다락방</t>
        </is>
      </c>
      <c r="P52" s="6">
        <f>HYPERLINK("https://fin.land.naver.com/articles/2649458702", "매물Link")</f>
        <v/>
      </c>
      <c r="Q52" s="6">
        <f>HYPERLINK("https://map.naver.com/p/search/고운동 895-24", "지도Link")</f>
        <v/>
      </c>
      <c r="R52" s="6">
        <f>HYPERLINK("https://www.eum.go.kr/web/mp/mpMapDet.jsp?pnu=3611011200108950024&amp;isNoScr=script&amp;mode=search", "토지이음")</f>
        <v/>
      </c>
      <c r="S52" s="3" t="inlineStr">
        <is>
          <t>세종삼촌</t>
        </is>
      </c>
      <c r="T52" s="4" t="n">
        <v>2</v>
      </c>
      <c r="U52" s="5" t="n">
        <v>319.6</v>
      </c>
      <c r="V52" s="4" t="n">
        <v>256.5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150000</v>
      </c>
      <c r="H53" s="4" t="n">
        <v>0</v>
      </c>
      <c r="I53" s="4" t="n">
        <v>286</v>
      </c>
      <c r="J53" s="4" t="n">
        <v>87</v>
      </c>
      <c r="K53" s="5" t="n">
        <v>1724.1</v>
      </c>
      <c r="L53" s="4" t="n">
        <v>185</v>
      </c>
      <c r="M53" s="4" t="n">
        <v>56</v>
      </c>
      <c r="N53" s="5" t="n">
        <v>2678.6</v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6">
        <f>HYPERLINK("https://www.eum.go.kr/web/mp/mpMapDet.jsp?pnu=3611011200108950038&amp;isNoScr=script&amp;mode=search", "토지이음")</f>
        <v/>
      </c>
      <c r="S53" s="3" t="inlineStr">
        <is>
          <t>세종스타</t>
        </is>
      </c>
      <c r="T53" s="4" t="n">
        <v>2</v>
      </c>
      <c r="U53" s="5" t="n">
        <v>316.4</v>
      </c>
      <c r="V53" s="4" t="n">
        <v>286.8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HYPERLINK("https://www.eum.go.kr/web/mp/mpMapDet.jsp?pnu=3611011200108950007&amp;isNoScr=script&amp;mode=search",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HYPERLINK("https://www.eum.go.kr/web/mp/mpMapDet.jsp?pnu=3611011200108950007&amp;isNoScr=script&amp;mode=search",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299</v>
      </c>
      <c r="J56" s="4" t="n">
        <v>90</v>
      </c>
      <c r="K56" s="5" t="n">
        <v>1133.3</v>
      </c>
      <c r="L56" s="4" t="n">
        <v>171</v>
      </c>
      <c r="M56" s="4" t="n">
        <v>52</v>
      </c>
      <c r="N56" s="5" t="n">
        <v>1961.5</v>
      </c>
      <c r="O56" s="3" t="inlineStr">
        <is>
          <t>마이너스 급매 추천매물. 전세끼고매매</t>
        </is>
      </c>
      <c r="P56" s="6">
        <f>HYPERLINK("https://fin.land.naver.com/articles/2649777229", "매물Link")</f>
        <v/>
      </c>
      <c r="Q56" s="6">
        <f>HYPERLINK("https://map.naver.com/p/search/고운동 896", "지도Link")</f>
        <v/>
      </c>
      <c r="R56" s="6">
        <f>HYPERLINK("https://www.eum.go.kr/web/mp/mpMapDet.jsp?pnu=3611011200108960000&amp;isNoScr=script&amp;mode=search", "토지이음")</f>
        <v/>
      </c>
      <c r="S56" s="3" t="inlineStr">
        <is>
          <t>세종올리브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HYPERLINK("https://www.eum.go.kr/web/mp/mpMapDet.jsp?pnu=3611011200108960000&amp;isNoScr=script&amp;mode=search",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HYPERLINK("https://www.eum.go.kr/web/mp/mpMapDet.jsp?pnu=3611011200108960000&amp;isNoScr=script&amp;mode=search",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HYPERLINK("https://fin.land.naver.com/articles/2645252401", "매물Link")</f>
        <v/>
      </c>
      <c r="Q59" s="6">
        <f>HYPERLINK("https://map.naver.com/p/search/고운동 896", "지도Link")</f>
        <v/>
      </c>
      <c r="R59" s="6">
        <f>HYPERLINK("https://www.eum.go.kr/web/mp/mpMapDet.jsp?pnu=3611011200108960000&amp;isNoScr=script&amp;mode=search",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HYPERLINK("https://www.eum.go.kr/web/mp/mpMapDet.jsp?pnu=3611011200108960000&amp;isNoScr=script&amp;mode=search",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HYPERLINK("https://www.eum.go.kr/web/mp/mpMapDet.jsp?pnu=3611011200108960000&amp;isNoScr=script&amp;mode=search",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HYPERLINK("https://www.eum.go.kr/web/mp/mpMapDet.jsp?pnu=3611011200108960000&amp;isNoScr=script&amp;mode=search",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115580</v>
      </c>
      <c r="H63" s="4" t="n">
        <v>0</v>
      </c>
      <c r="I63" s="4" t="n">
        <v>299</v>
      </c>
      <c r="J63" s="4" t="n">
        <v>90</v>
      </c>
      <c r="K63" s="5" t="n">
        <v>1284.2</v>
      </c>
      <c r="L63" s="4" t="n">
        <v>171</v>
      </c>
      <c r="M63" s="4" t="n">
        <v>52</v>
      </c>
      <c r="N63" s="5" t="n">
        <v>2222.7</v>
      </c>
      <c r="O63" s="3" t="inlineStr">
        <is>
          <t>인기 있는 타운하우스 , 매매추천합니다,</t>
        </is>
      </c>
      <c r="P63" s="6">
        <f>HYPERLINK("https://fin.land.naver.com/articles/2648837063", "매물Link")</f>
        <v/>
      </c>
      <c r="Q63" s="6">
        <f>HYPERLINK("https://map.naver.com/p/search/고운동 896", "지도Link")</f>
        <v/>
      </c>
      <c r="R63" s="6">
        <f>HYPERLINK("https://www.eum.go.kr/web/mp/mpMapDet.jsp?pnu=3611011200108960000&amp;isNoScr=script&amp;mode=search",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HYPERLINK("https://www.eum.go.kr/web/mp/mpMapDet.jsp?pnu=3611010900107980000&amp;isNoScr=script&amp;mode=search",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HYPERLINK("https://www.eum.go.kr/web/mp/mpMapDet.jsp?pnu=3611010900107980000&amp;isNoScr=script&amp;mode=search",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HYPERLINK("https://www.eum.go.kr/web/mp/mpMapDet.jsp?pnu=3611010900108310000&amp;isNoScr=script&amp;mode=search",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HYPERLINK("https://www.eum.go.kr/web/mp/mpMapDet.jsp?pnu=3611011400104260000&amp;isNoScr=script&amp;mode=search",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HYPERLINK("https://www.eum.go.kr/web/mp/mpMapDet.jsp?pnu=3611011400105180000&amp;isNoScr=script&amp;mode=search",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HYPERLINK("https://www.eum.go.kr/web/mp/mpMapDet.jsp?pnu=3611011400105180000&amp;isNoScr=script&amp;mode=search",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HYPERLINK("https://www.eum.go.kr/web/mp/mpMapDet.jsp?pnu=3611011400105180000&amp;isNoScr=script&amp;mode=search",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HYPERLINK("https://www.eum.go.kr/web/mp/mpMapDet.jsp?pnu=3611011400106010000&amp;isNoScr=script&amp;mode=search",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HYPERLINK("https://www.eum.go.kr/web/mp/mpMapDet.jsp?pnu=3611011400106010000&amp;isNoScr=script&amp;mode=search",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HYPERLINK("https://www.eum.go.kr/web/mp/mpMapDet.jsp?pnu=3611011400106970000&amp;isNoScr=script&amp;mode=search",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HYPERLINK("https://www.eum.go.kr/web/mp/mpMapDet.jsp?pnu=3611011400106970000&amp;isNoScr=script&amp;mode=search",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자재 하나 하나 고급진  단독 매매</t>
        </is>
      </c>
      <c r="P75" s="6">
        <f>HYPERLINK("https://fin.land.naver.com/articles/2650613196", "매물Link")</f>
        <v/>
      </c>
      <c r="Q75" s="6">
        <f>HYPERLINK("https://map.naver.com/p/search/도담동 698", "지도Link")</f>
        <v/>
      </c>
      <c r="R75" s="6">
        <f>HYPERLINK("https://www.eum.go.kr/web/mp/mpMapDet.jsp?pnu=3611011400106980000&amp;isNoScr=script&amp;mode=search", "토지이음")</f>
        <v/>
      </c>
      <c r="S75" s="3" t="inlineStr">
        <is>
          <t>THE행복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HYPERLINK("https://www.eum.go.kr/web/mp/mpMapDet.jsp?pnu=3611011400106980000&amp;isNoScr=script&amp;mode=search",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HYPERLINK("https://www.eum.go.kr/web/mp/mpMapDet.jsp?pnu=3611011400106980000&amp;isNoScr=script&amp;mode=search",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HYPERLINK("https://www.eum.go.kr/web/mp/mpMapDet.jsp?pnu=3611011400106980000&amp;isNoScr=script&amp;mode=search",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HYPERLINK("https://www.eum.go.kr/web/mp/mpMapDet.jsp?pnu=3611011400106980000&amp;isNoScr=script&amp;mode=search",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HYPERLINK("https://www.eum.go.kr/web/mp/mpMapDet.jsp?pnu=3611011400107500000&amp;isNoScr=script&amp;mode=search",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HYPERLINK("https://www.eum.go.kr/web/mp/mpMapDet.jsp?pnu=3611011400108970044&amp;isNoScr=script&amp;mode=search",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HYPERLINK("https://www.eum.go.kr/web/mp/mpMapDet.jsp?pnu=3611033028103900008&amp;isNoScr=script&amp;mode=search",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HYPERLINK("https://www.eum.go.kr/web/mp/mpMapDet.jsp?pnu=3611033028103900008&amp;isNoScr=script&amp;mode=search",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HYPERLINK("https://fin.land.naver.com/articles/2645252092", "매물Link")</f>
        <v/>
      </c>
      <c r="Q84" s="6">
        <f>HYPERLINK("https://map.naver.com/p/search/부강면 금호리 613", "지도Link")</f>
        <v/>
      </c>
      <c r="R84" s="6">
        <f>HYPERLINK("https://www.eum.go.kr/web/mp/mpMapDet.jsp?pnu=3611033028106130000&amp;isNoScr=script&amp;mode=search",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HYPERLINK("https://www.eum.go.kr/web/mp/mpMapDet.jsp?pnu=3611033028107120016&amp;isNoScr=script&amp;mode=search",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HYPERLINK("https://www.eum.go.kr/web/mp/mpMapDet.jsp?pnu=3611033027103070000&amp;isNoScr=script&amp;mode=search",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HYPERLINK("https://www.eum.go.kr/web/mp/mpMapDet.jsp?pnu=3611033027103540000&amp;isNoScr=script&amp;mode=search",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HYPERLINK("https://www.eum.go.kr/web/mp/mpMapDet.jsp?pnu=3611033027103540000&amp;isNoScr=script&amp;mode=search",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HYPERLINK("https://fin.land.naver.com/articles/2650322763", "매물Link")</f>
        <v/>
      </c>
      <c r="Q89" s="6">
        <f>HYPERLINK("https://map.naver.com/p/search/부강면 노호리 354", "지도Link")</f>
        <v/>
      </c>
      <c r="R89" s="6">
        <f>HYPERLINK("https://www.eum.go.kr/web/mp/mpMapDet.jsp?pnu=3611033027103540000&amp;isNoScr=script&amp;mode=search", "토지이음")</f>
        <v/>
      </c>
      <c r="S89" s="3" t="inlineStr">
        <is>
          <t>세종신한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HYPERLINK("https://www.eum.go.kr/web/mp/mpMapDet.jsp?pnu=3611033021101260008&amp;isNoScr=script&amp;mode=search",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HYPERLINK("https://www.eum.go.kr/web/mp/mpMapDet.jsp?pnu=3611033021104630010&amp;isNoScr=script&amp;mode=search",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HYPERLINK("https://www.eum.go.kr/web/mp/mpMapDet.jsp?pnu=3611033021104630010&amp;isNoScr=script&amp;mode=search",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HYPERLINK("https://www.eum.go.kr/web/mp/mpMapDet.jsp?pnu=3611033021104630010&amp;isNoScr=script&amp;mode=search",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HYPERLINK("https://www.eum.go.kr/web/mp/mpMapDet.jsp?pnu=3611033021109390000&amp;isNoScr=script&amp;mode=search",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월세</t>
        </is>
      </c>
      <c r="G95" s="4" t="n">
        <v>200</v>
      </c>
      <c r="H95" s="4" t="n">
        <v>45</v>
      </c>
      <c r="I95" s="4" t="n">
        <v>60</v>
      </c>
      <c r="J95" s="4" t="n">
        <v>18</v>
      </c>
      <c r="K95" s="5" t="n">
        <v>2.5</v>
      </c>
      <c r="L95" s="4" t="n">
        <v>50</v>
      </c>
      <c r="M95" s="4" t="n">
        <v>15</v>
      </c>
      <c r="N95" s="5" t="n">
        <v>3</v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6">
        <f>HYPERLINK("https://www.eum.go.kr/web/mp/mpMapDet.jsp?pnu=3611033021109420002&amp;isNoScr=script&amp;mode=search",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195.4</v>
      </c>
      <c r="V95" s="4" t="n">
        <v>385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세로각지(가)</t>
        </is>
      </c>
    </row>
    <row r="96">
      <c r="A96" s="3" t="inlineStr">
        <is>
          <t>부강면 부강리 965-8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일반원룸</t>
        </is>
      </c>
      <c r="F96" s="3" t="inlineStr">
        <is>
          <t>월세</t>
        </is>
      </c>
      <c r="G96" s="4" t="n">
        <v>300</v>
      </c>
      <c r="H96" s="4" t="n">
        <v>42</v>
      </c>
      <c r="I96" s="4" t="n">
        <v>33</v>
      </c>
      <c r="J96" s="4" t="n">
        <v>10</v>
      </c>
      <c r="K96" s="5" t="n">
        <v>4.2</v>
      </c>
      <c r="L96" s="4" t="n">
        <v>28</v>
      </c>
      <c r="M96" s="4" t="n">
        <v>8</v>
      </c>
      <c r="N96" s="5" t="n">
        <v>5.2</v>
      </c>
      <c r="O96" s="3" t="inlineStr">
        <is>
          <t>지원l분리형1룸l베란다l꽉찬풀옵션l주차편리l편세권</t>
        </is>
      </c>
      <c r="P96" s="6">
        <f>HYPERLINK("https://fin.land.naver.com/articles/2650500867", "매물Link")</f>
        <v/>
      </c>
      <c r="Q96" s="6">
        <f>HYPERLINK("https://map.naver.com/p/search/부강면 부강리 965-8", "지도Link")</f>
        <v/>
      </c>
      <c r="R96" s="6">
        <f>HYPERLINK("https://www.eum.go.kr/web/mp/mpMapDet.jsp?pnu=3611033021109650008&amp;isNoScr=script&amp;mode=search",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254.4</v>
      </c>
      <c r="V96" s="4" t="n">
        <v>282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중로한면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HYPERLINK("https://www.eum.go.kr/web/mp/mpMapDet.jsp?pnu=3611033021109700011&amp;isNoScr=script&amp;mode=search",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332</v>
      </c>
      <c r="J98" s="4" t="n">
        <v>100</v>
      </c>
      <c r="K98" s="5" t="n">
        <v>1400</v>
      </c>
      <c r="L98" s="4" t="n">
        <v>165</v>
      </c>
      <c r="M98" s="4" t="n">
        <v>50</v>
      </c>
      <c r="N98" s="5" t="n">
        <v>2800</v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6">
        <f>HYPERLINK("https://www.eum.go.kr/web/mp/mpMapDet.jsp?pnu=3611011300110460000&amp;isNoScr=script&amp;mode=search", "토지이음")</f>
        <v/>
      </c>
      <c r="S98" s="3" t="inlineStr">
        <is>
          <t>온뜰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HYPERLINK("https://www.eum.go.kr/web/mp/mpMapDet.jsp?pnu=3611011300111480000&amp;isNoScr=script&amp;mode=search",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HYPERLINK("https://www.eum.go.kr/web/mp/mpMapDet.jsp?pnu=3611011300111480000&amp;isNoScr=script&amp;mode=search",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HYPERLINK("https://www.eum.go.kr/web/mp/mpMapDet.jsp?pnu=3611011300111480000&amp;isNoScr=script&amp;mode=search",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HYPERLINK("https://www.eum.go.kr/web/mp/mpMapDet.jsp?pnu=3611011300111480000&amp;isNoScr=script&amp;mode=search",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HYPERLINK("https://www.eum.go.kr/web/mp/mpMapDet.jsp?pnu=3611011300112410000&amp;isNoScr=script&amp;mode=search",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HYPERLINK("https://www.eum.go.kr/web/mp/mpMapDet.jsp?pnu=3611011300112410000&amp;isNoScr=script&amp;mode=search",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HYPERLINK("https://www.eum.go.kr/web/mp/mpMapDet.jsp?pnu=3611011300112410000&amp;isNoScr=script&amp;mode=search",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HYPERLINK("https://fin.land.naver.com/articles/2650613200", "매물Link")</f>
        <v/>
      </c>
      <c r="Q106" s="6">
        <f>HYPERLINK("https://map.naver.com/p/search/아름동 1241", "지도Link")</f>
        <v/>
      </c>
      <c r="R106" s="6">
        <f>HYPERLINK("https://www.eum.go.kr/web/mp/mpMapDet.jsp?pnu=3611011300112410000&amp;isNoScr=script&amp;mode=search",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HYPERLINK("https://www.eum.go.kr/web/mp/mpMapDet.jsp?pnu=3611011300112410000&amp;isNoScr=script&amp;mode=search",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6">
        <f>HYPERLINK("https://www.eum.go.kr/web/mp/mpMapDet.jsp?pnu=3611011300112410000&amp;isNoScr=script&amp;mode=search", "토지이음")</f>
        <v/>
      </c>
      <c r="S108" s="3" t="inlineStr">
        <is>
          <t>세석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303</v>
      </c>
      <c r="J109" s="4" t="n">
        <v>92</v>
      </c>
      <c r="K109" s="5" t="n">
        <v>1576.1</v>
      </c>
      <c r="L109" s="4" t="n">
        <v>204</v>
      </c>
      <c r="M109" s="4" t="n">
        <v>62</v>
      </c>
      <c r="N109" s="5" t="n">
        <v>2338.7</v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HYPERLINK("https://fin.land.naver.com/articles/2649764622", "매물Link")</f>
        <v/>
      </c>
      <c r="Q109" s="6">
        <f>HYPERLINK("https://map.naver.com/p/search/아름동 1408", "지도Link")</f>
        <v/>
      </c>
      <c r="R109" s="6">
        <f>HYPERLINK("https://www.eum.go.kr/web/mp/mpMapDet.jsp?pnu=3611011300114080000&amp;isNoScr=script&amp;mode=search", "토지이음")</f>
        <v/>
      </c>
      <c r="S109" s="3" t="inlineStr">
        <is>
          <t>주황푸르지오</t>
        </is>
      </c>
      <c r="T109" s="4" t="n">
        <v>1</v>
      </c>
      <c r="U109" s="5" t="n">
        <v>338.2</v>
      </c>
      <c r="V109" s="4" t="n">
        <v>303.7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HYPERLINK("https://www.eum.go.kr/web/mp/mpMapDet.jsp?pnu=3611011300108560000&amp;isNoScr=script&amp;mode=search",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올리모델링 방3개 욕실3개 시스템에어컨5대 조율가능</t>
        </is>
      </c>
      <c r="P111" s="6">
        <f>HYPERLINK("https://fin.land.naver.com/articles/2648979509", "매물Link")</f>
        <v/>
      </c>
      <c r="Q111" s="6">
        <f>HYPERLINK("https://map.naver.com/p/search/아름동 856", "지도Link")</f>
        <v/>
      </c>
      <c r="R111" s="6">
        <f>HYPERLINK("https://www.eum.go.kr/web/mp/mpMapDet.jsp?pnu=3611011300108560000&amp;isNoScr=script&amp;mode=search",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HYPERLINK("https://www.eum.go.kr/web/mp/mpMapDet.jsp?pnu=3611011300108560000&amp;isNoScr=script&amp;mode=search",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아름동 입지좋은 단독주택 매매, 올리모델링</t>
        </is>
      </c>
      <c r="P113" s="6">
        <f>HYPERLINK("https://fin.land.naver.com/articles/2648835163", "매물Link")</f>
        <v/>
      </c>
      <c r="Q113" s="6">
        <f>HYPERLINK("https://map.naver.com/p/search/아름동 856", "지도Link")</f>
        <v/>
      </c>
      <c r="R113" s="6">
        <f>HYPERLINK("https://www.eum.go.kr/web/mp/mpMapDet.jsp?pnu=3611011300108560000&amp;isNoScr=script&amp;mode=search",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314</v>
      </c>
      <c r="J114" s="4" t="n">
        <v>95</v>
      </c>
      <c r="K114" s="5" t="n">
        <v>610.5</v>
      </c>
      <c r="L114" s="4" t="n">
        <v>147</v>
      </c>
      <c r="M114" s="4" t="n">
        <v>44</v>
      </c>
      <c r="N114" s="5" t="n">
        <v>1318.2</v>
      </c>
      <c r="O114" s="3" t="inlineStr">
        <is>
          <t>귀한 단독주택 전세 집상태 깨끗함 협의입주</t>
        </is>
      </c>
      <c r="P114" s="6">
        <f>HYPERLINK("https://fin.land.naver.com/articles/2646456098", "매물Link")</f>
        <v/>
      </c>
      <c r="Q114" s="6">
        <f>HYPERLINK("https://map.naver.com/p/search/아름동 862", "지도Link")</f>
        <v/>
      </c>
      <c r="R114" s="6">
        <f>HYPERLINK("https://www.eum.go.kr/web/mp/mpMapDet.jsp?pnu=3611011300108620000&amp;isNoScr=script&amp;mode=search", "토지이음")</f>
        <v/>
      </c>
      <c r="S114" s="3" t="inlineStr">
        <is>
          <t>국제</t>
        </is>
      </c>
      <c r="T114" s="4" t="n">
        <v>1</v>
      </c>
      <c r="U114" s="5" t="n">
        <v>339.8</v>
      </c>
      <c r="V114" s="4" t="n">
        <v>314.8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가로장방</t>
        </is>
      </c>
      <c r="AA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314</v>
      </c>
      <c r="J115" s="4" t="n">
        <v>95</v>
      </c>
      <c r="K115" s="5" t="n">
        <v>1126.3</v>
      </c>
      <c r="L115" s="4" t="n">
        <v>147</v>
      </c>
      <c r="M115" s="4" t="n">
        <v>44</v>
      </c>
      <c r="N115" s="5" t="n">
        <v>2431.8</v>
      </c>
      <c r="O115" s="3" t="inlineStr">
        <is>
          <t>풀에어컨, 조명, 도배 등 리모델링 완료, 내부 굿</t>
        </is>
      </c>
      <c r="P115" s="6">
        <f>HYPERLINK("https://fin.land.naver.com/articles/2646696811", "매물Link")</f>
        <v/>
      </c>
      <c r="Q115" s="6">
        <f>HYPERLINK("https://map.naver.com/p/search/아름동 862", "지도Link")</f>
        <v/>
      </c>
      <c r="R115" s="6">
        <f>HYPERLINK("https://www.eum.go.kr/web/mp/mpMapDet.jsp?pnu=3611011300108620000&amp;isNoScr=script&amp;mode=search",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잘 지어지고 관리가 잘된 집</t>
        </is>
      </c>
      <c r="P116" s="6">
        <f>HYPERLINK("https://fin.land.naver.com/articles/2649006146", "매물Link")</f>
        <v/>
      </c>
      <c r="Q116" s="6">
        <f>HYPERLINK("https://map.naver.com/p/search/아름동 875", "지도Link")</f>
        <v/>
      </c>
      <c r="R116" s="6">
        <f>HYPERLINK("https://www.eum.go.kr/web/mp/mpMapDet.jsp?pnu=3611011300108750000&amp;isNoScr=script&amp;mode=search", "토지이음")</f>
        <v/>
      </c>
      <c r="S116" s="3" t="inlineStr">
        <is>
          <t>세종푸르지오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입주협의 위치좋은 단독주택 관리상태굿 가격조정가능</t>
        </is>
      </c>
      <c r="P117" s="6">
        <f>HYPERLINK("https://fin.land.naver.com/articles/2644599103", "매물Link")</f>
        <v/>
      </c>
      <c r="Q117" s="6">
        <f>HYPERLINK("https://map.naver.com/p/search/아름동 875", "지도Link")</f>
        <v/>
      </c>
      <c r="R117" s="6">
        <f>HYPERLINK("https://www.eum.go.kr/web/mp/mpMapDet.jsp?pnu=3611011300108750000&amp;isNoScr=script&amp;mode=search", "토지이음")</f>
        <v/>
      </c>
      <c r="S117" s="3" t="inlineStr">
        <is>
          <t>고운동리치세종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HYPERLINK("https://www.eum.go.kr/web/mp/mpMapDet.jsp?pnu=3611011300108750000&amp;isNoScr=script&amp;mode=search",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고급 단독주택 매매, 태양광 설치, 1층에 방2개</t>
        </is>
      </c>
      <c r="P119" s="6">
        <f>HYPERLINK("https://fin.land.naver.com/articles/2646691449", "매물Link")</f>
        <v/>
      </c>
      <c r="Q119" s="6">
        <f>HYPERLINK("https://map.naver.com/p/search/아름동 959", "지도Link")</f>
        <v/>
      </c>
      <c r="R119" s="6">
        <f>HYPERLINK("https://www.eum.go.kr/web/mp/mpMapDet.jsp?pnu=3611011300109590000&amp;isNoScr=script&amp;mode=search",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방5개, 화장실2개, 고급 단독주택, 태양광</t>
        </is>
      </c>
      <c r="P120" s="6">
        <f>HYPERLINK("https://fin.land.naver.com/articles/2645493231", "매물Link")</f>
        <v/>
      </c>
      <c r="Q120" s="6">
        <f>HYPERLINK("https://map.naver.com/p/search/아름동 959", "지도Link")</f>
        <v/>
      </c>
      <c r="R120" s="6">
        <f>HYPERLINK("https://www.eum.go.kr/web/mp/mpMapDet.jsp?pnu=3611011300109590000&amp;isNoScr=script&amp;mode=search",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HYPERLINK("https://www.eum.go.kr/web/mp/mpMapDet.jsp?pnu=3611011300109590000&amp;isNoScr=script&amp;mode=search",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연동면 내판리 425-4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65000</v>
      </c>
      <c r="H122" s="4" t="n">
        <v>0</v>
      </c>
      <c r="I122" s="4" t="n">
        <v>579</v>
      </c>
      <c r="J122" s="4" t="n">
        <v>175</v>
      </c>
      <c r="K122" s="5" t="n">
        <v>371.4</v>
      </c>
      <c r="L122" s="4" t="n">
        <v>93</v>
      </c>
      <c r="M122" s="4" t="n">
        <v>28</v>
      </c>
      <c r="N122" s="5" t="n">
        <v>2321.4</v>
      </c>
      <c r="O122" s="3" t="inlineStr">
        <is>
          <t>조용하고 살기좋은 전원주택 매매</t>
        </is>
      </c>
      <c r="P122" s="6">
        <f>HYPERLINK("https://fin.land.naver.com/articles/2649113394", "매물Link")</f>
        <v/>
      </c>
      <c r="Q122" s="6">
        <f>HYPERLINK("https://map.naver.com/p/search/연동면 내판리 425-4", "지도Link")</f>
        <v/>
      </c>
      <c r="R122" s="6">
        <f>HYPERLINK("https://www.eum.go.kr/web/mp/mpMapDet.jsp?pnu=3611032021104250004&amp;isNoScr=script&amp;mode=search", "토지이음")</f>
        <v/>
      </c>
      <c r="S122" s="3" t="inlineStr">
        <is>
          <t>으뜸</t>
        </is>
      </c>
      <c r="T122" s="4" t="n">
        <v>1</v>
      </c>
      <c r="U122" s="5" t="n">
        <v>73.2</v>
      </c>
      <c r="V122" s="4" t="n">
        <v>499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노송리 28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180000</v>
      </c>
      <c r="H123" s="4" t="n">
        <v>0</v>
      </c>
      <c r="I123" s="4" t="n">
        <v>1756</v>
      </c>
      <c r="J123" s="4" t="n">
        <v>531</v>
      </c>
      <c r="K123" s="5" t="n">
        <v>339</v>
      </c>
      <c r="L123" s="4" t="n">
        <v>191</v>
      </c>
      <c r="M123" s="4" t="n">
        <v>58</v>
      </c>
      <c r="N123" s="5" t="n">
        <v>3103.4</v>
      </c>
      <c r="O123" s="3" t="inlineStr">
        <is>
          <t>남향의 2층 전원주택</t>
        </is>
      </c>
      <c r="P123" s="6">
        <f>HYPERLINK("https://fin.land.naver.com/articles/2646049802", "매물Link")</f>
        <v/>
      </c>
      <c r="Q123" s="6">
        <f>HYPERLINK("https://map.naver.com/p/search/연동면 노송리 28", "지도Link")</f>
        <v/>
      </c>
      <c r="R123" s="6">
        <f>HYPERLINK("https://www.eum.go.kr/web/mp/mpMapDet.jsp?pnu=3611032025100280000&amp;isNoScr=script&amp;mode=search", "토지이음")</f>
        <v/>
      </c>
      <c r="S123" s="3" t="inlineStr">
        <is>
          <t>보람최고</t>
        </is>
      </c>
      <c r="T123" s="4" t="n">
        <v>1</v>
      </c>
      <c r="U123" s="5" t="n">
        <v>68.90000000000001</v>
      </c>
      <c r="V123" s="4" t="n">
        <v>1001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세로각지(가)</t>
        </is>
      </c>
    </row>
    <row r="124">
      <c r="A124" s="3" t="inlineStr">
        <is>
          <t>연동면 명학리 217-1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176</v>
      </c>
      <c r="J124" s="4" t="n">
        <v>53</v>
      </c>
      <c r="K124" s="5" t="n">
        <v>349.1</v>
      </c>
      <c r="L124" s="4" t="n">
        <v>52</v>
      </c>
      <c r="M124" s="4" t="n">
        <v>16</v>
      </c>
      <c r="N124" s="5" t="n">
        <v>1156.2</v>
      </c>
      <c r="O124" s="3" t="inlineStr">
        <is>
          <t>소액 투자 추천, 세컨하우스, 주말별장, 실거주도 좋아요.</t>
        </is>
      </c>
      <c r="P124" s="6">
        <f>HYPERLINK("https://fin.land.naver.com/articles/2648902549", "매물Link")</f>
        <v/>
      </c>
      <c r="Q124" s="6">
        <f>HYPERLINK("https://map.naver.com/p/search/연동면 명학리 217-1", "지도Link")</f>
        <v/>
      </c>
      <c r="R124" s="6">
        <f>HYPERLINK("https://www.eum.go.kr/web/mp/mpMapDet.jsp?pnu=3611032023102170001&amp;isNoScr=script&amp;mode=search", "토지이음")</f>
        <v/>
      </c>
      <c r="S124" s="3" t="inlineStr">
        <is>
          <t>수자인시티</t>
        </is>
      </c>
      <c r="T124" s="4" t="n">
        <v>1</v>
      </c>
      <c r="U124" s="5" t="n">
        <v>98.7</v>
      </c>
      <c r="V124" s="4" t="n">
        <v>176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예양리 640-1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21000</v>
      </c>
      <c r="H125" s="4" t="n">
        <v>0</v>
      </c>
      <c r="I125" s="4" t="n">
        <v>259</v>
      </c>
      <c r="J125" s="4" t="n">
        <v>78</v>
      </c>
      <c r="K125" s="5" t="n">
        <v>269.2</v>
      </c>
      <c r="L125" s="4" t="n">
        <v>92</v>
      </c>
      <c r="M125" s="4" t="n">
        <v>28</v>
      </c>
      <c r="N125" s="5" t="n">
        <v>750</v>
      </c>
      <c r="O125" s="3" t="inlineStr">
        <is>
          <t>세종시 공기좋고 한적한 곳 저렴한 시골집 세컨하우스 주말주택</t>
        </is>
      </c>
      <c r="P125" s="6">
        <f>HYPERLINK("https://fin.land.naver.com/articles/2645324832", "매물Link")</f>
        <v/>
      </c>
      <c r="Q125" s="6">
        <f>HYPERLINK("https://map.naver.com/p/search/연동면 예양리 640-1", "지도Link")</f>
        <v/>
      </c>
      <c r="R125" s="6">
        <f>HYPERLINK("https://www.eum.go.kr/web/mp/mpMapDet.jsp?pnu=3611032026106400001&amp;isNoScr=script&amp;mode=search", "토지이음")</f>
        <v/>
      </c>
      <c r="S125" s="3" t="inlineStr">
        <is>
          <t>청담</t>
        </is>
      </c>
      <c r="T125" s="4" t="n">
        <v>1</v>
      </c>
      <c r="U125" s="5" t="n">
        <v>60.4</v>
      </c>
      <c r="V125" s="4" t="n">
        <v>259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연동면 응암리 121-4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60000</v>
      </c>
      <c r="H126" s="4" t="n">
        <v>0</v>
      </c>
      <c r="I126" s="4" t="n">
        <v>1025</v>
      </c>
      <c r="J126" s="4" t="n">
        <v>310</v>
      </c>
      <c r="K126" s="5" t="n">
        <v>193.5</v>
      </c>
      <c r="L126" s="4" t="n">
        <v>103</v>
      </c>
      <c r="M126" s="4" t="n">
        <v>31</v>
      </c>
      <c r="N126" s="5" t="n">
        <v>1935.5</v>
      </c>
      <c r="O126" s="3" t="inlineStr">
        <is>
          <t>nan</t>
        </is>
      </c>
      <c r="P126" s="6">
        <f>HYPERLINK("https://fin.land.naver.com/articles/2648221451", "매물Link")</f>
        <v/>
      </c>
      <c r="Q126" s="6">
        <f>HYPERLINK("https://map.naver.com/p/search/연동면 응암리 121-4", "지도Link")</f>
        <v/>
      </c>
      <c r="R126" s="6">
        <f>HYPERLINK("https://www.eum.go.kr/web/mp/mpMapDet.jsp?pnu=3611032024101210004&amp;isNoScr=script&amp;mode=search", "토지이음")</f>
        <v/>
      </c>
      <c r="S126" s="3" t="inlineStr">
        <is>
          <t>어반통</t>
        </is>
      </c>
      <c r="T126" s="4" t="n">
        <v>1</v>
      </c>
      <c r="U126" s="5" t="n">
        <v>67.5</v>
      </c>
      <c r="V126" s="4" t="n">
        <v>1025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응암리 199-4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27000</v>
      </c>
      <c r="H127" s="4" t="n">
        <v>0</v>
      </c>
      <c r="I127" s="4" t="n">
        <v>464</v>
      </c>
      <c r="J127" s="4" t="n">
        <v>140</v>
      </c>
      <c r="K127" s="5" t="n">
        <v>192.9</v>
      </c>
      <c r="L127" s="4" t="n">
        <v>89</v>
      </c>
      <c r="M127" s="4" t="n">
        <v>27</v>
      </c>
      <c r="N127" s="5" t="n">
        <v>1000</v>
      </c>
      <c r="O127" s="3" t="inlineStr">
        <is>
          <t>0초이스0 전세 안고 투자도 가능</t>
        </is>
      </c>
      <c r="P127" s="6">
        <f>HYPERLINK("https://fin.land.naver.com/articles/2649446382", "매물Link")</f>
        <v/>
      </c>
      <c r="Q127" s="6">
        <f>HYPERLINK("https://map.naver.com/p/search/연동면 응암리 199-4", "지도Link")</f>
        <v/>
      </c>
      <c r="R127" s="6">
        <f>HYPERLINK("https://www.eum.go.kr/web/mp/mpMapDet.jsp?pnu=3611032024101990004&amp;isNoScr=script&amp;mode=search", "토지이음")</f>
        <v/>
      </c>
      <c r="S127" s="3" t="inlineStr">
        <is>
          <t>세종초이스</t>
        </is>
      </c>
      <c r="T127" s="4" t="n">
        <v>1</v>
      </c>
      <c r="U127" s="5" t="n">
        <v>59.8</v>
      </c>
      <c r="V127" s="4" t="n">
        <v>464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세로각지(가)</t>
        </is>
      </c>
    </row>
    <row r="128">
      <c r="A128" s="3" t="inlineStr">
        <is>
          <t>연서면 고복리 415-34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54200</v>
      </c>
      <c r="H128" s="4" t="n">
        <v>0</v>
      </c>
      <c r="I128" s="4" t="n">
        <v>725</v>
      </c>
      <c r="J128" s="4" t="n">
        <v>219</v>
      </c>
      <c r="K128" s="5" t="n">
        <v>247.5</v>
      </c>
      <c r="L128" s="4" t="n">
        <v>72</v>
      </c>
      <c r="M128" s="4" t="n">
        <v>22</v>
      </c>
      <c r="N128" s="5" t="n">
        <v>2463.6</v>
      </c>
      <c r="O128" s="3" t="inlineStr">
        <is>
          <t>고복저수지 초근접 한 매물이며,별장으로 활용해도 좋아요</t>
        </is>
      </c>
      <c r="P128" s="6">
        <f>HYPERLINK("https://fin.land.naver.com/articles/2647765328", "매물Link")</f>
        <v/>
      </c>
      <c r="Q128" s="6">
        <f>HYPERLINK("https://map.naver.com/p/search/연서면 고복리 415-34", "지도Link")</f>
        <v/>
      </c>
      <c r="R128" s="6">
        <f>HYPERLINK("https://www.eum.go.kr/web/mp/mpMapDet.jsp?pnu=3611036024104150034&amp;isNoScr=script&amp;mode=search", "토지이음")</f>
        <v/>
      </c>
      <c r="S128" s="3" t="inlineStr">
        <is>
          <t>지호주식회사</t>
        </is>
      </c>
      <c r="T128" s="4" t="n">
        <v>1</v>
      </c>
      <c r="U128" s="5" t="n">
        <v>122.9</v>
      </c>
      <c r="V128" s="4" t="n">
        <v>725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기룡리 657-4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7000</v>
      </c>
      <c r="H129" s="4" t="n">
        <v>0</v>
      </c>
      <c r="I129" s="4" t="n">
        <v>304</v>
      </c>
      <c r="J129" s="4" t="n">
        <v>92</v>
      </c>
      <c r="K129" s="5" t="n">
        <v>76.09999999999999</v>
      </c>
      <c r="L129" s="4" t="n">
        <v>54</v>
      </c>
      <c r="M129" s="4" t="n">
        <v>16</v>
      </c>
      <c r="N129" s="5" t="n">
        <v>437.5</v>
      </c>
      <c r="O129" s="3" t="inlineStr">
        <is>
          <t>매매가 이하 저렴한 농가주택입니다</t>
        </is>
      </c>
      <c r="P129" s="6">
        <f>HYPERLINK("https://fin.land.naver.com/articles/2650597094", "매물Link")</f>
        <v/>
      </c>
      <c r="Q129" s="6">
        <f>HYPERLINK("https://map.naver.com/p/search/연서면 기룡리 657-4", "지도Link")</f>
        <v/>
      </c>
      <c r="R129" s="6">
        <f>HYPERLINK("https://www.eum.go.kr/web/mp/mpMapDet.jsp?pnu=3611036028106570004&amp;isNoScr=script&amp;mode=search", "토지이음")</f>
        <v/>
      </c>
      <c r="S129" s="3" t="inlineStr">
        <is>
          <t>캠퍼스</t>
        </is>
      </c>
      <c r="T129" s="4" t="n">
        <v>1</v>
      </c>
      <c r="U129" s="5" t="n">
        <v>66.7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421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6">
        <f>HYPERLINK("https://www.eum.go.kr/web/mp/mpMapDet.jsp?pnu=3611036033101120030&amp;isNoScr=script&amp;mode=search",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420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다가구 매매 .위치.방 컨디션 매우좋은 건물</t>
        </is>
      </c>
      <c r="P131" s="6">
        <f>HYPERLINK("https://fin.land.naver.com/articles/2646956117", "매물Link")</f>
        <v/>
      </c>
      <c r="Q131" s="6">
        <f>HYPERLINK("https://map.naver.com/p/search/연서면 봉암리 112-30", "지도Link")</f>
        <v/>
      </c>
      <c r="R131" s="6">
        <f>HYPERLINK("https://www.eum.go.kr/web/mp/mpMapDet.jsp?pnu=3611036033101120030&amp;isNoScr=script&amp;mode=search", "토지이음")</f>
        <v/>
      </c>
      <c r="S131" s="3" t="inlineStr">
        <is>
          <t>연서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0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45</v>
      </c>
      <c r="I132" s="4" t="n">
        <v>49</v>
      </c>
      <c r="J132" s="4" t="n">
        <v>15</v>
      </c>
      <c r="K132" s="5" t="n">
        <v>3</v>
      </c>
      <c r="L132" s="4" t="n">
        <v>39</v>
      </c>
      <c r="M132" s="4" t="n">
        <v>12</v>
      </c>
      <c r="N132" s="5" t="n">
        <v>3.8</v>
      </c>
      <c r="O132" s="3" t="inlineStr">
        <is>
          <t>nan</t>
        </is>
      </c>
      <c r="P132" s="6">
        <f>HYPERLINK("https://fin.land.naver.com/articles/2645105601", "매물Link")</f>
        <v/>
      </c>
      <c r="Q132" s="6">
        <f>HYPERLINK("https://map.naver.com/p/search/연서면 봉암리 112-31", "지도Link")</f>
        <v/>
      </c>
      <c r="R132" s="6">
        <f>HYPERLINK("https://www.eum.go.kr/web/mp/mpMapDet.jsp?pnu=3611036033101120031&amp;isNoScr=script&amp;mode=search",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319.6</v>
      </c>
      <c r="V132" s="4" t="n">
        <v>358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HYPERLINK("https://www.eum.go.kr/web/mp/mpMapDet.jsp?pnu=3611036033101120031&amp;isNoScr=script&amp;mode=search",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98000</v>
      </c>
      <c r="H134" s="4" t="n">
        <v>0</v>
      </c>
      <c r="I134" s="4" t="n">
        <v>410</v>
      </c>
      <c r="J134" s="4" t="n">
        <v>124</v>
      </c>
      <c r="K134" s="5" t="n">
        <v>790.3</v>
      </c>
      <c r="L134" s="4" t="n">
        <v>487</v>
      </c>
      <c r="M134" s="4" t="n">
        <v>147</v>
      </c>
      <c r="N134" s="5" t="n">
        <v>666.7</v>
      </c>
      <c r="O134" s="3" t="inlineStr">
        <is>
          <t>세종시 투자의 정석 공실 걱정 없는 안정적인 고수익 다가구주택</t>
        </is>
      </c>
      <c r="P134" s="6">
        <f>HYPERLINK("https://fin.land.naver.com/articles/2645675840", "매물Link")</f>
        <v/>
      </c>
      <c r="Q134" s="6">
        <f>HYPERLINK("https://map.naver.com/p/search/연서면 봉암리 112-35", "지도Link")</f>
        <v/>
      </c>
      <c r="R134" s="6">
        <f>HYPERLINK("https://www.eum.go.kr/web/mp/mpMapDet.jsp?pnu=3611036033101120035&amp;isNoScr=script&amp;mode=search",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194.8</v>
      </c>
      <c r="V134" s="4" t="n">
        <v>410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112-40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35</v>
      </c>
      <c r="I135" s="4" t="n">
        <v>0</v>
      </c>
      <c r="J135" s="4" t="n">
        <v>0</v>
      </c>
      <c r="K135" s="5" t="n">
        <v>0</v>
      </c>
      <c r="L135" s="4" t="n">
        <v>30</v>
      </c>
      <c r="M135" s="4" t="n">
        <v>9</v>
      </c>
      <c r="N135" s="5" t="n">
        <v>3.9</v>
      </c>
      <c r="O135" s="3" t="inlineStr">
        <is>
          <t>가성비좋은 풀옵션 완비방   깔끔한 주방분리 짐만 챙겨오세요  해밀동5분</t>
        </is>
      </c>
      <c r="P135" s="6">
        <f>HYPERLINK("https://fin.land.naver.com/articles/2649064055", "매물Link")</f>
        <v/>
      </c>
      <c r="Q135" s="6">
        <f>HYPERLINK("https://map.naver.com/p/search/연서면 봉암리 112-40", "지도Link")</f>
        <v/>
      </c>
      <c r="R135" s="6">
        <f>HYPERLINK("https://www.eum.go.kr/web/mp/mpMapDet.jsp?pnu=3611036033101120040&amp;isNoScr=script&amp;mode=search",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194.8</v>
      </c>
      <c r="V135" s="4" t="n">
        <v>412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상가주택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269</v>
      </c>
      <c r="J136" s="4" t="n">
        <v>81</v>
      </c>
      <c r="K136" s="5" t="n">
        <v>1234.6</v>
      </c>
      <c r="L136" s="4" t="n">
        <v>327</v>
      </c>
      <c r="M136" s="4" t="n">
        <v>99</v>
      </c>
      <c r="N136" s="5" t="n">
        <v>1010.1</v>
      </c>
      <c r="O136" s="3" t="inlineStr">
        <is>
          <t>상가주택 매매</t>
        </is>
      </c>
      <c r="P136" s="6">
        <f>HYPERLINK("https://fin.land.naver.com/articles/2648813394", "매물Link")</f>
        <v/>
      </c>
      <c r="Q136" s="6">
        <f>HYPERLINK("https://map.naver.com/p/search/연서면 봉암리 215-4", "지도Link")</f>
        <v/>
      </c>
      <c r="R136" s="6">
        <f>HYPERLINK("https://www.eum.go.kr/web/mp/mpMapDet.jsp?pnu=3611036033102150004&amp;isNoScr=script&amp;mode=search", "토지이음")</f>
        <v/>
      </c>
      <c r="S136" s="3" t="inlineStr">
        <is>
          <t>세종대박</t>
        </is>
      </c>
      <c r="T136" s="4" t="n">
        <v>1</v>
      </c>
      <c r="U136" s="5" t="n">
        <v>321.4</v>
      </c>
      <c r="V136" s="4" t="n">
        <v>269</v>
      </c>
      <c r="W136" s="3" t="inlineStr">
        <is>
          <t>지정되지않음</t>
        </is>
      </c>
      <c r="X136" s="3" t="inlineStr">
        <is>
          <t>주상용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HYPERLINK("https://www.eum.go.kr/web/mp/mpMapDet.jsp?pnu=3611036033102150004&amp;isNoScr=script&amp;mode=search",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372</v>
      </c>
      <c r="J138" s="4" t="n">
        <v>113</v>
      </c>
      <c r="K138" s="5" t="n">
        <v>752.2</v>
      </c>
      <c r="L138" s="4" t="n">
        <v>483</v>
      </c>
      <c r="M138" s="4" t="n">
        <v>146</v>
      </c>
      <c r="N138" s="5" t="n">
        <v>582.2</v>
      </c>
      <c r="O138" s="3" t="inlineStr">
        <is>
          <t>스마트산업단지 예정 인근 다가구 통매매,중심상권 위치로 투자수익 기대</t>
        </is>
      </c>
      <c r="P138" s="6">
        <f>HYPERLINK("https://fin.land.naver.com/articles/2644631872", "매물Link")</f>
        <v/>
      </c>
      <c r="Q138" s="6">
        <f>HYPERLINK("https://map.naver.com/p/search/연서면 봉암리 217-16", "지도Link")</f>
        <v/>
      </c>
      <c r="R138" s="6">
        <f>HYPERLINK("https://www.eum.go.kr/web/mp/mpMapDet.jsp?pnu=3611036033102170016&amp;isNoScr=script&amp;mode=search", "토지이음")</f>
        <v/>
      </c>
      <c r="S138" s="3" t="inlineStr">
        <is>
          <t>연기더조은</t>
        </is>
      </c>
      <c r="T138" s="4" t="n">
        <v>1</v>
      </c>
      <c r="U138" s="5" t="n">
        <v>172.4</v>
      </c>
      <c r="V138" s="4" t="n">
        <v>372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234-36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300</v>
      </c>
      <c r="H139" s="4" t="n">
        <v>34</v>
      </c>
      <c r="I139" s="4" t="n">
        <v>179</v>
      </c>
      <c r="J139" s="4" t="n">
        <v>54</v>
      </c>
      <c r="K139" s="5" t="n">
        <v>0.6</v>
      </c>
      <c r="L139" s="4" t="n">
        <v>33</v>
      </c>
      <c r="M139" s="4" t="n">
        <v>10</v>
      </c>
      <c r="N139" s="5" t="n">
        <v>3.4</v>
      </c>
      <c r="O139" s="3" t="inlineStr">
        <is>
          <t>인기매물  깔끔한 풀옵션방  정류장 1분  나성동 10분  산울동  5분</t>
        </is>
      </c>
      <c r="P139" s="6">
        <f>HYPERLINK("https://fin.land.naver.com/articles/2650255664", "매물Link")</f>
        <v/>
      </c>
      <c r="Q139" s="6">
        <f>HYPERLINK("https://map.naver.com/p/search/연서면 봉암리 234-36", "지도Link")</f>
        <v/>
      </c>
      <c r="R139" s="6">
        <f>HYPERLINK("https://www.eum.go.kr/web/mp/mpMapDet.jsp?pnu=3611036033102340036&amp;isNoScr=script&amp;mode=search",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172.4</v>
      </c>
      <c r="V139" s="4" t="n">
        <v>363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54-45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18500</v>
      </c>
      <c r="H140" s="4" t="n">
        <v>0</v>
      </c>
      <c r="I140" s="4" t="n">
        <v>175</v>
      </c>
      <c r="J140" s="4" t="n">
        <v>53</v>
      </c>
      <c r="K140" s="5" t="n">
        <v>349.1</v>
      </c>
      <c r="L140" s="4" t="n">
        <v>67</v>
      </c>
      <c r="M140" s="4" t="n">
        <v>20</v>
      </c>
      <c r="N140" s="5" t="n">
        <v>925</v>
      </c>
      <c r="O140" s="3" t="inlineStr">
        <is>
          <t>nan</t>
        </is>
      </c>
      <c r="P140" s="6">
        <f>HYPERLINK("https://fin.land.naver.com/articles/2647590651", "매물Link")</f>
        <v/>
      </c>
      <c r="Q140" s="6">
        <f>HYPERLINK("https://map.naver.com/p/search/연서면 봉암리 54-45", "지도Link")</f>
        <v/>
      </c>
      <c r="R140" s="6">
        <f>HYPERLINK("https://www.eum.go.kr/web/mp/mpMapDet.jsp?pnu=3611036033100540045&amp;isNoScr=script&amp;mode=search", "토지이음")</f>
        <v/>
      </c>
      <c r="S140" s="3" t="inlineStr">
        <is>
          <t>KB세종</t>
        </is>
      </c>
      <c r="T140" s="4" t="n">
        <v>1</v>
      </c>
      <c r="U140" s="5" t="n">
        <v>116.1</v>
      </c>
      <c r="V140" s="4" t="n">
        <v>175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세로한면(불)</t>
        </is>
      </c>
    </row>
    <row r="141">
      <c r="A141" s="3" t="inlineStr">
        <is>
          <t>연서면 봉암리 54-76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200</v>
      </c>
      <c r="H141" s="4" t="n">
        <v>30</v>
      </c>
      <c r="I141" s="4" t="n">
        <v>0</v>
      </c>
      <c r="J141" s="4" t="n">
        <v>0</v>
      </c>
      <c r="K141" s="5" t="n">
        <v>0</v>
      </c>
      <c r="L141" s="4" t="n">
        <v>23</v>
      </c>
      <c r="M141" s="4" t="n">
        <v>7</v>
      </c>
      <c r="N141" s="5" t="n">
        <v>4.3</v>
      </c>
      <c r="O141" s="3" t="inlineStr">
        <is>
          <t>인기좋은  풀옵션완비방   깔끔한 주방분리   바로입주  주차편함</t>
        </is>
      </c>
      <c r="P141" s="6">
        <f>HYPERLINK("https://fin.land.naver.com/articles/2648544810", "매물Link")</f>
        <v/>
      </c>
      <c r="Q141" s="6">
        <f>HYPERLINK("https://map.naver.com/p/search/연서면 봉암리 54-76", "지도Link")</f>
        <v/>
      </c>
      <c r="R141" s="6">
        <f>HYPERLINK("https://www.eum.go.kr/web/mp/mpMapDet.jsp?pnu=3611036033100540076&amp;isNoScr=script&amp;mode=search",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281.7</v>
      </c>
      <c r="V141" s="4" t="n">
        <v>321</v>
      </c>
      <c r="W141" s="3" t="inlineStr">
        <is>
          <t>지정되지않음</t>
        </is>
      </c>
      <c r="X141" s="3" t="inlineStr">
        <is>
          <t>주상기타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연서면 봉암리 54-89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100000</v>
      </c>
      <c r="H142" s="4" t="n">
        <v>0</v>
      </c>
      <c r="I142" s="4" t="n">
        <v>360</v>
      </c>
      <c r="J142" s="4" t="n">
        <v>109</v>
      </c>
      <c r="K142" s="5" t="n">
        <v>917.4</v>
      </c>
      <c r="L142" s="4" t="n">
        <v>490</v>
      </c>
      <c r="M142" s="4" t="n">
        <v>148</v>
      </c>
      <c r="N142" s="5" t="n">
        <v>675.7</v>
      </c>
      <c r="O142" s="3" t="inlineStr">
        <is>
          <t>nan</t>
        </is>
      </c>
      <c r="P142" s="6">
        <f>HYPERLINK("https://fin.land.naver.com/articles/2645645528", "매물Link")</f>
        <v/>
      </c>
      <c r="Q142" s="6">
        <f>HYPERLINK("https://map.naver.com/p/search/연서면 봉암리 54-89", "지도Link")</f>
        <v/>
      </c>
      <c r="R142" s="6">
        <f>HYPERLINK("https://www.eum.go.kr/web/mp/mpMapDet.jsp?pnu=3611036033100540089&amp;isNoScr=script&amp;mode=search", "토지이음")</f>
        <v/>
      </c>
      <c r="S142" s="3" t="inlineStr">
        <is>
          <t>엄지척</t>
        </is>
      </c>
      <c r="T142" s="4" t="n">
        <v>1</v>
      </c>
      <c r="U142" s="5" t="n">
        <v>196.8</v>
      </c>
      <c r="V142" s="4" t="n">
        <v>360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359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세종시 인접  19실  수익형 다가구매매</t>
        </is>
      </c>
      <c r="P143" s="6">
        <f>HYPERLINK("https://fin.land.naver.com/articles/2646955761", "매물Link")</f>
        <v/>
      </c>
      <c r="Q143" s="6">
        <f>HYPERLINK("https://map.naver.com/p/search/연서면 봉암리 54-89", "지도Link")</f>
        <v/>
      </c>
      <c r="R143" s="6">
        <f>HYPERLINK("https://www.eum.go.kr/web/mp/mpMapDet.jsp?pnu=3611036033100540089&amp;isNoScr=script&amp;mode=search", "토지이음")</f>
        <v/>
      </c>
      <c r="S143" s="3" t="inlineStr">
        <is>
          <t>연서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단기임대</t>
        </is>
      </c>
      <c r="G144" s="4" t="n">
        <v>300</v>
      </c>
      <c r="H144" s="4" t="n">
        <v>45</v>
      </c>
      <c r="I144" s="4" t="n">
        <v>139</v>
      </c>
      <c r="J144" s="4" t="n">
        <v>42</v>
      </c>
      <c r="K144" s="5" t="n">
        <v>7.1</v>
      </c>
      <c r="L144" s="4" t="n">
        <v>39</v>
      </c>
      <c r="M144" s="4" t="n">
        <v>12</v>
      </c>
      <c r="N144" s="5" t="n">
        <v>25</v>
      </c>
      <c r="O144" s="3" t="inlineStr">
        <is>
          <t>nan</t>
        </is>
      </c>
      <c r="P144" s="6">
        <f>HYPERLINK("https://fin.land.naver.com/articles/2646349438", "매물Link")</f>
        <v/>
      </c>
      <c r="Q144" s="6">
        <f>HYPERLINK("https://map.naver.com/p/search/연서면 봉암리 58-3", "지도Link")</f>
        <v/>
      </c>
      <c r="R144" s="6">
        <f>HYPERLINK("https://www.eum.go.kr/web/mp/mpMapDet.jsp?pnu=3611036033100580003&amp;isNoScr=script&amp;mode=search",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435</v>
      </c>
      <c r="J145" s="4" t="n">
        <v>132</v>
      </c>
      <c r="K145" s="5" t="n">
        <v>757.6</v>
      </c>
      <c r="L145" s="4" t="n">
        <v>434</v>
      </c>
      <c r="M145" s="4" t="n">
        <v>131</v>
      </c>
      <c r="N145" s="5" t="n">
        <v>763.4</v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6">
        <f>HYPERLINK("https://www.eum.go.kr/web/mp/mpMapDet.jsp?pnu=3611036033100580004&amp;isNoScr=script&amp;mode=search",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다가구</t>
        </is>
      </c>
      <c r="F146" s="3" t="inlineStr">
        <is>
          <t>매매</t>
        </is>
      </c>
      <c r="G146" s="4" t="n">
        <v>105000</v>
      </c>
      <c r="H146" s="4" t="n">
        <v>0</v>
      </c>
      <c r="I146" s="4" t="n">
        <v>436</v>
      </c>
      <c r="J146" s="4" t="n">
        <v>132</v>
      </c>
      <c r="K146" s="5" t="n">
        <v>795.5</v>
      </c>
      <c r="L146" s="4" t="n">
        <v>434</v>
      </c>
      <c r="M146" s="4" t="n">
        <v>131</v>
      </c>
      <c r="N146" s="5" t="n">
        <v>801.5</v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HYPERLINK("https://fin.land.naver.com/articles/2649699772", "매물Link")</f>
        <v/>
      </c>
      <c r="Q146" s="6">
        <f>HYPERLINK("https://map.naver.com/p/search/연서면 봉암리 58-5", "지도Link")</f>
        <v/>
      </c>
      <c r="R146" s="6">
        <f>HYPERLINK("https://www.eum.go.kr/web/mp/mpMapDet.jsp?pnu=3611036033100580005&amp;isNoScr=script&amp;mode=search",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436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1000</v>
      </c>
      <c r="H147" s="4" t="n">
        <v>40</v>
      </c>
      <c r="I147" s="4" t="n">
        <v>397</v>
      </c>
      <c r="J147" s="4" t="n">
        <v>120</v>
      </c>
      <c r="K147" s="5" t="n">
        <v>0.3</v>
      </c>
      <c r="L147" s="4" t="n">
        <v>75</v>
      </c>
      <c r="M147" s="4" t="n">
        <v>23</v>
      </c>
      <c r="N147" s="5" t="n">
        <v>1.7</v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6">
        <f>HYPERLINK("https://www.eum.go.kr/web/mp/mpMapDet.jsp?pnu=3611036033106200025&amp;isNoScr=script&amp;mode=search", "토지이음")</f>
        <v/>
      </c>
      <c r="S147" s="3" t="inlineStr">
        <is>
          <t>꿈드림</t>
        </is>
      </c>
      <c r="T147" s="4" t="n">
        <v>1</v>
      </c>
      <c r="U147" s="5" t="n">
        <v>144.4</v>
      </c>
      <c r="V147" s="4" t="n">
        <v>397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400000</v>
      </c>
      <c r="H148" s="4" t="n">
        <v>0</v>
      </c>
      <c r="I148" s="4" t="n">
        <v>655</v>
      </c>
      <c r="J148" s="4" t="n">
        <v>198</v>
      </c>
      <c r="K148" s="5" t="n">
        <v>2020.2</v>
      </c>
      <c r="L148" s="4" t="n">
        <v>253</v>
      </c>
      <c r="M148" s="4" t="n">
        <v>77</v>
      </c>
      <c r="N148" s="5" t="n">
        <v>5194.8</v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6">
        <f>HYPERLINK("https://www.eum.go.kr/web/mp/mpMapDet.jsp?pnu=3611036033106770002&amp;isNoScr=script&amp;mode=search", "토지이음")</f>
        <v/>
      </c>
      <c r="S148" s="3" t="inlineStr">
        <is>
          <t>오송파라곤리치</t>
        </is>
      </c>
      <c r="T148" s="4" t="n">
        <v>1</v>
      </c>
      <c r="U148" s="5" t="n">
        <v>116.6</v>
      </c>
      <c r="V148" s="4" t="n">
        <v>655</v>
      </c>
      <c r="W148" s="3" t="inlineStr">
        <is>
          <t>지정되지않음</t>
        </is>
      </c>
      <c r="X148" s="3" t="inlineStr">
        <is>
          <t>주거기타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190000</v>
      </c>
      <c r="H149" s="4" t="n">
        <v>0</v>
      </c>
      <c r="I149" s="4" t="n">
        <v>570</v>
      </c>
      <c r="J149" s="4" t="n">
        <v>172</v>
      </c>
      <c r="K149" s="5" t="n">
        <v>1104.7</v>
      </c>
      <c r="L149" s="4" t="n">
        <v>594</v>
      </c>
      <c r="M149" s="4" t="n">
        <v>180</v>
      </c>
      <c r="N149" s="5" t="n">
        <v>1055.6</v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6">
        <f>HYPERLINK("https://www.eum.go.kr/web/mp/mpMapDet.jsp?pnu=3611036033100730008&amp;isNoScr=script&amp;mode=search", "토지이음")</f>
        <v/>
      </c>
      <c r="S149" s="3" t="inlineStr">
        <is>
          <t>그래그</t>
        </is>
      </c>
      <c r="T149" s="4" t="n">
        <v>1</v>
      </c>
      <c r="U149" s="5" t="n">
        <v>199.3</v>
      </c>
      <c r="V149" s="4" t="n">
        <v>570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소로한면</t>
        </is>
      </c>
    </row>
    <row r="150">
      <c r="A150" s="3" t="inlineStr">
        <is>
          <t>연서면 부동리 80-2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43000</v>
      </c>
      <c r="H150" s="4" t="n">
        <v>0</v>
      </c>
      <c r="I150" s="4" t="n">
        <v>507</v>
      </c>
      <c r="J150" s="4" t="n">
        <v>153</v>
      </c>
      <c r="K150" s="5" t="n">
        <v>281</v>
      </c>
      <c r="L150" s="4" t="n">
        <v>92</v>
      </c>
      <c r="M150" s="4" t="n">
        <v>28</v>
      </c>
      <c r="N150" s="5" t="n">
        <v>1535.7</v>
      </c>
      <c r="O150" s="3" t="inlineStr">
        <is>
          <t>세종 스마트국가산업단지 인근 단독주택 도로지분포함 저렴하게 일괄매매.</t>
        </is>
      </c>
      <c r="P150" s="6">
        <f>HYPERLINK("https://fin.land.naver.com/articles/2646592114", "매물Link")</f>
        <v/>
      </c>
      <c r="Q150" s="6">
        <f>HYPERLINK("https://map.naver.com/p/search/연서면 부동리 80-2", "지도Link")</f>
        <v/>
      </c>
      <c r="R150" s="6">
        <f>HYPERLINK("https://www.eum.go.kr/web/mp/mpMapDet.jsp?pnu=3611036032100800002&amp;isNoScr=script&amp;mode=search",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86.40000000000001</v>
      </c>
      <c r="V150" s="4" t="n">
        <v>507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세로한면(불)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조용한 전원생활, 초중학교 인접, 고복저수지 자연환경 전원주택 매매</t>
        </is>
      </c>
      <c r="P151" s="6">
        <f>HYPERLINK("https://fin.land.naver.com/articles/2646625706", "매물Link")</f>
        <v/>
      </c>
      <c r="Q151" s="6">
        <f>HYPERLINK("https://map.naver.com/p/search/연서면 신대리 105-8", "지도Link")</f>
        <v/>
      </c>
      <c r="R151" s="6">
        <f>HYPERLINK("https://www.eum.go.kr/web/mp/mpMapDet.jsp?pnu=3611036029101050008&amp;isNoScr=script&amp;mode=search", "토지이음")</f>
        <v/>
      </c>
      <c r="S151" s="3" t="inlineStr">
        <is>
          <t>연기더조은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44000</v>
      </c>
      <c r="H152" s="4" t="n">
        <v>0</v>
      </c>
      <c r="I152" s="4" t="n">
        <v>327</v>
      </c>
      <c r="J152" s="4" t="n">
        <v>99</v>
      </c>
      <c r="K152" s="5" t="n">
        <v>444.4</v>
      </c>
      <c r="L152" s="4" t="n">
        <v>168</v>
      </c>
      <c r="M152" s="4" t="n">
        <v>51</v>
      </c>
      <c r="N152" s="5" t="n">
        <v>862.7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HYPERLINK("https://fin.land.naver.com/articles/2645458088", "매물Link")</f>
        <v/>
      </c>
      <c r="Q152" s="6">
        <f>HYPERLINK("https://map.naver.com/p/search/연서면 신대리 105-8", "지도Link")</f>
        <v/>
      </c>
      <c r="R152" s="6">
        <f>HYPERLINK("https://www.eum.go.kr/web/mp/mpMapDet.jsp?pnu=3611036029101050008&amp;isNoScr=script&amp;mode=search",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HYPERLINK("https://www.eum.go.kr/web/mp/mpMapDet.jsp?pnu=3611036022101590002&amp;isNoScr=script&amp;mode=search",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와촌리 791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496</v>
      </c>
      <c r="J154" s="4" t="n">
        <v>150</v>
      </c>
      <c r="K154" s="5" t="n">
        <v>433.3</v>
      </c>
      <c r="L154" s="4" t="n">
        <v>91</v>
      </c>
      <c r="M154" s="4" t="n">
        <v>28</v>
      </c>
      <c r="N154" s="5" t="n">
        <v>2321.4</v>
      </c>
      <c r="O154" s="3" t="inlineStr">
        <is>
          <t>신축 한옥주택황토방 즉시입주협의</t>
        </is>
      </c>
      <c r="P154" s="6">
        <f>HYPERLINK("https://fin.land.naver.com/articles/2644444543", "매물Link")</f>
        <v/>
      </c>
      <c r="Q154" s="6">
        <f>HYPERLINK("https://map.naver.com/p/search/연서면 와촌리 791", "지도Link")</f>
        <v/>
      </c>
      <c r="R154" s="6">
        <f>HYPERLINK("https://www.eum.go.kr/web/mp/mpMapDet.jsp?pnu=3611036031107910000&amp;isNoScr=script&amp;mode=search", "토지이음")</f>
        <v/>
      </c>
      <c r="S154" s="3" t="inlineStr">
        <is>
          <t>세종대박</t>
        </is>
      </c>
      <c r="T154" s="4" t="n">
        <v>1</v>
      </c>
      <c r="U154" s="5" t="n">
        <v>122</v>
      </c>
      <c r="V154" s="4" t="n">
        <v>496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30000</v>
      </c>
      <c r="H155" s="4" t="n">
        <v>0</v>
      </c>
      <c r="I155" s="4" t="n">
        <v>144</v>
      </c>
      <c r="J155" s="4" t="n">
        <v>44</v>
      </c>
      <c r="K155" s="5" t="n">
        <v>681.8</v>
      </c>
      <c r="L155" s="4" t="n">
        <v>84</v>
      </c>
      <c r="M155" s="4" t="n">
        <v>25</v>
      </c>
      <c r="N155" s="5" t="n">
        <v>1200</v>
      </c>
      <c r="O155" s="3" t="inlineStr">
        <is>
          <t>빠른입주, 전망 좋은 주택</t>
        </is>
      </c>
      <c r="P155" s="6">
        <f>HYPERLINK("https://fin.land.naver.com/articles/2645171950", "매물Link")</f>
        <v/>
      </c>
      <c r="Q155" s="6">
        <f>HYPERLINK("https://map.naver.com/p/search/연서면 월하리 1008-5", "지도Link")</f>
        <v/>
      </c>
      <c r="R155" s="6">
        <f>HYPERLINK("https://www.eum.go.kr/web/mp/mpMapDet.jsp?pnu=3611036021110080005&amp;isNoScr=script&amp;mode=search", "토지이음")</f>
        <v/>
      </c>
      <c r="S155" s="3" t="inlineStr">
        <is>
          <t>정인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전세</t>
        </is>
      </c>
      <c r="G156" s="4" t="n">
        <v>17000</v>
      </c>
      <c r="H156" s="4" t="n">
        <v>0</v>
      </c>
      <c r="I156" s="4" t="n">
        <v>84</v>
      </c>
      <c r="J156" s="4" t="n">
        <v>25</v>
      </c>
      <c r="K156" s="5" t="n">
        <v>680</v>
      </c>
      <c r="L156" s="4" t="n">
        <v>84</v>
      </c>
      <c r="M156" s="4" t="n">
        <v>25</v>
      </c>
      <c r="N156" s="5" t="n">
        <v>680</v>
      </c>
      <c r="O156" s="3" t="inlineStr">
        <is>
          <t>nan</t>
        </is>
      </c>
      <c r="P156" s="6">
        <f>HYPERLINK("https://fin.land.naver.com/articles/2649752267", "매물Link")</f>
        <v/>
      </c>
      <c r="Q156" s="6">
        <f>HYPERLINK("https://map.naver.com/p/search/연서면 월하리 1008-5", "지도Link")</f>
        <v/>
      </c>
      <c r="R156" s="6">
        <f>HYPERLINK("https://www.eum.go.kr/web/mp/mpMapDet.jsp?pnu=3611036021110080005&amp;isNoScr=script&amp;mode=search", "토지이음")</f>
        <v/>
      </c>
      <c r="S156" s="3" t="inlineStr">
        <is>
          <t>뉴스카이</t>
        </is>
      </c>
      <c r="T156" s="4" t="n">
        <v>1</v>
      </c>
      <c r="U156" s="5" t="n">
        <v>184.8</v>
      </c>
      <c r="V156" s="4" t="n">
        <v>145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월하리 618-1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연립</t>
        </is>
      </c>
      <c r="F157" s="3" t="inlineStr">
        <is>
          <t>매매</t>
        </is>
      </c>
      <c r="G157" s="4" t="n">
        <v>8000</v>
      </c>
      <c r="H157" s="4" t="n">
        <v>0</v>
      </c>
      <c r="I157" s="4" t="n">
        <v>54</v>
      </c>
      <c r="J157" s="4" t="n">
        <v>16</v>
      </c>
      <c r="K157" s="5" t="n">
        <v>500</v>
      </c>
      <c r="L157" s="4" t="n">
        <v>54</v>
      </c>
      <c r="M157" s="4" t="n">
        <v>16</v>
      </c>
      <c r="N157" s="5" t="n">
        <v>500</v>
      </c>
      <c r="O157" s="3" t="inlineStr">
        <is>
          <t>욕실,주방,거실,샷시까지 올리모델링됨,세입자끼고매매,소액투자</t>
        </is>
      </c>
      <c r="P157" s="6">
        <f>HYPERLINK("https://fin.land.naver.com/articles/2644429104", "매물Link")</f>
        <v/>
      </c>
      <c r="Q157" s="6">
        <f>HYPERLINK("https://map.naver.com/p/search/연서면 월하리 618-1", "지도Link")</f>
        <v/>
      </c>
      <c r="R157" s="6">
        <f>HYPERLINK("https://www.eum.go.kr/web/mp/mpMapDet.jsp?pnu=3611036021106180001&amp;isNoScr=script&amp;mode=search", "토지이음")</f>
        <v/>
      </c>
      <c r="S157" s="3" t="inlineStr">
        <is>
          <t>신안무소</t>
        </is>
      </c>
      <c r="T157" s="4" t="n">
        <v>1</v>
      </c>
      <c r="U157" s="5" t="n">
        <v>151.2</v>
      </c>
      <c r="V157" s="4" t="n">
        <v>281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조치원읍 교리 11-6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140000</v>
      </c>
      <c r="H158" s="4" t="n">
        <v>0</v>
      </c>
      <c r="I158" s="4" t="n">
        <v>396</v>
      </c>
      <c r="J158" s="4" t="n">
        <v>120</v>
      </c>
      <c r="K158" s="5" t="n">
        <v>1166.7</v>
      </c>
      <c r="L158" s="4" t="n">
        <v>616</v>
      </c>
      <c r="M158" s="4" t="n">
        <v>186</v>
      </c>
      <c r="N158" s="5" t="n">
        <v>752.7</v>
      </c>
      <c r="O158" s="3" t="inlineStr">
        <is>
          <t>nan</t>
        </is>
      </c>
      <c r="P158" s="6">
        <f>HYPERLINK("https://fin.land.naver.com/articles/2644717952", "매물Link")</f>
        <v/>
      </c>
      <c r="Q158" s="6">
        <f>HYPERLINK("https://map.naver.com/p/search/조치원읍 교리 11-6", "지도Link")</f>
        <v/>
      </c>
      <c r="R158" s="6">
        <f>HYPERLINK("https://www.eum.go.kr/web/mp/mpMapDet.jsp?pnu=3611025024100110006&amp;isNoScr=script&amp;mode=search", "토지이음")</f>
        <v/>
      </c>
      <c r="S158" s="3" t="inlineStr">
        <is>
          <t>효자</t>
        </is>
      </c>
      <c r="T158" s="4" t="n">
        <v>1</v>
      </c>
      <c r="U158" s="5" t="n">
        <v>283.3</v>
      </c>
      <c r="V158" s="4" t="n">
        <v>396.4</v>
      </c>
      <c r="W158" s="3" t="inlineStr">
        <is>
          <t>지정되지않음</t>
        </is>
      </c>
      <c r="X158" s="3" t="inlineStr">
        <is>
          <t>주상용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중로각지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396</v>
      </c>
      <c r="J159" s="4" t="n">
        <v>120</v>
      </c>
      <c r="K159" s="5" t="n">
        <v>1250</v>
      </c>
      <c r="L159" s="4" t="n">
        <v>616</v>
      </c>
      <c r="M159" s="4" t="n">
        <v>186</v>
      </c>
      <c r="N159" s="5" t="n">
        <v>806.5</v>
      </c>
      <c r="O159" s="3" t="inlineStr">
        <is>
          <t>상가주택, 2가구, 상가임대1, 가격조정가능, 주차가능</t>
        </is>
      </c>
      <c r="P159" s="6">
        <f>HYPERLINK("https://fin.land.naver.com/articles/2644864006", "매물Link")</f>
        <v/>
      </c>
      <c r="Q159" s="6">
        <f>HYPERLINK("https://map.naver.com/p/search/조치원읍 교리 11-6", "지도Link")</f>
        <v/>
      </c>
      <c r="R159" s="6">
        <f>HYPERLINK("https://www.eum.go.kr/web/mp/mpMapDet.jsp?pnu=3611025024100110006&amp;isNoScr=script&amp;mode=search", "토지이음")</f>
        <v/>
      </c>
      <c r="S159" s="3" t="inlineStr">
        <is>
          <t>엄마와딸</t>
        </is>
      </c>
      <c r="T159" s="4" t="n">
        <v>1</v>
      </c>
      <c r="U159" s="5" t="n">
        <v>283.3</v>
      </c>
      <c r="V159" s="4" t="n">
        <v>396.4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중로각지</t>
        </is>
      </c>
    </row>
    <row r="160">
      <c r="A160" s="3" t="inlineStr">
        <is>
          <t>조치원읍 교리 16-5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40000</v>
      </c>
      <c r="H160" s="4" t="n">
        <v>0</v>
      </c>
      <c r="I160" s="4" t="n">
        <v>103</v>
      </c>
      <c r="J160" s="4" t="n">
        <v>31</v>
      </c>
      <c r="K160" s="5" t="n">
        <v>1290.3</v>
      </c>
      <c r="L160" s="4" t="n">
        <v>67</v>
      </c>
      <c r="M160" s="4" t="n">
        <v>20</v>
      </c>
      <c r="N160" s="5" t="n">
        <v>2000</v>
      </c>
      <c r="O160" s="3" t="inlineStr">
        <is>
          <t>기업은행 바로 뒷편,구옥2채 매매 입니다.</t>
        </is>
      </c>
      <c r="P160" s="6">
        <f>HYPERLINK("https://fin.land.naver.com/articles/2647876689", "매물Link")</f>
        <v/>
      </c>
      <c r="Q160" s="6">
        <f>HYPERLINK("https://map.naver.com/p/search/조치원읍 교리 16-5", "지도Link")</f>
        <v/>
      </c>
      <c r="R160" s="6">
        <f>HYPERLINK("https://www.eum.go.kr/web/mp/mpMapDet.jsp?pnu=3611025024100160005&amp;isNoScr=script&amp;mode=search", "토지이음")</f>
        <v/>
      </c>
      <c r="S160" s="3" t="inlineStr">
        <is>
          <t>이음 사무소</t>
        </is>
      </c>
      <c r="T160" s="4" t="n">
        <v>2</v>
      </c>
      <c r="U160" s="5" t="n">
        <v>206.5</v>
      </c>
      <c r="V160" s="4" t="n">
        <v>103.5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세로한면(가)</t>
        </is>
      </c>
    </row>
    <row r="161">
      <c r="A161" s="3" t="inlineStr">
        <is>
          <t>조치원읍 교리 18-1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25</v>
      </c>
      <c r="I161" s="4" t="n">
        <v>20</v>
      </c>
      <c r="J161" s="4" t="n">
        <v>6</v>
      </c>
      <c r="K161" s="5" t="n">
        <v>4.2</v>
      </c>
      <c r="L161" s="4" t="n">
        <v>20</v>
      </c>
      <c r="M161" s="4" t="n">
        <v>6</v>
      </c>
      <c r="N161" s="5" t="n">
        <v>4.2</v>
      </c>
      <c r="O161" s="3" t="inlineStr">
        <is>
          <t>교리 원룸 저렴 세종등기소인근 풀옵션유</t>
        </is>
      </c>
      <c r="P161" s="6">
        <f>HYPERLINK("https://fin.land.naver.com/articles/2647587687", "매물Link")</f>
        <v/>
      </c>
      <c r="Q161" s="6">
        <f>HYPERLINK("https://map.naver.com/p/search/조치원읍 교리 18-1", "지도Link")</f>
        <v/>
      </c>
      <c r="R161" s="6">
        <f>HYPERLINK("https://www.eum.go.kr/web/mp/mpMapDet.jsp?pnu=3611025024100180001&amp;isNoScr=script&amp;mode=search",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289.1</v>
      </c>
      <c r="V161" s="4" t="n">
        <v>232.4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남리 119-10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200</v>
      </c>
      <c r="H162" s="4" t="n">
        <v>27</v>
      </c>
      <c r="I162" s="4" t="n">
        <v>33</v>
      </c>
      <c r="J162" s="4" t="n">
        <v>10</v>
      </c>
      <c r="K162" s="5" t="n">
        <v>2.7</v>
      </c>
      <c r="L162" s="4" t="n">
        <v>19</v>
      </c>
      <c r="M162" s="4" t="n">
        <v>6</v>
      </c>
      <c r="N162" s="5" t="n">
        <v>4.5</v>
      </c>
      <c r="O162" s="3" t="inlineStr">
        <is>
          <t>조치원역도보거리O막힘없는O깨끗한 원룸</t>
        </is>
      </c>
      <c r="P162" s="6">
        <f>HYPERLINK("https://fin.land.naver.com/articles/2644840286", "매물Link")</f>
        <v/>
      </c>
      <c r="Q162" s="6">
        <f>HYPERLINK("https://map.naver.com/p/search/조치원읍 남리 119-10", "지도Link")</f>
        <v/>
      </c>
      <c r="R162" s="6">
        <f>HYPERLINK("https://www.eum.go.kr/web/mp/mpMapDet.jsp?pnu=3611025027101190010&amp;isNoScr=script&amp;mode=search",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242.2</v>
      </c>
      <c r="V162" s="4" t="n">
        <v>280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조치원읍 남리 119-12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30</v>
      </c>
      <c r="I163" s="4" t="n">
        <v>20</v>
      </c>
      <c r="J163" s="4" t="n">
        <v>6</v>
      </c>
      <c r="K163" s="5" t="n">
        <v>5</v>
      </c>
      <c r="L163" s="4" t="n">
        <v>20</v>
      </c>
      <c r="M163" s="4" t="n">
        <v>6</v>
      </c>
      <c r="N163" s="5" t="n">
        <v>5</v>
      </c>
      <c r="O163" s="3" t="inlineStr">
        <is>
          <t>원룸 남향  조치원역 도보가능합니다</t>
        </is>
      </c>
      <c r="P163" s="6">
        <f>HYPERLINK("https://fin.land.naver.com/articles/2647321662", "매물Link")</f>
        <v/>
      </c>
      <c r="Q163" s="6">
        <f>HYPERLINK("https://map.naver.com/p/search/조치원읍 남리 119-12", "지도Link")</f>
        <v/>
      </c>
      <c r="R163" s="6">
        <f>HYPERLINK("https://www.eum.go.kr/web/mp/mpMapDet.jsp?pnu=3611025027101190012&amp;isNoScr=script&amp;mode=search",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282.8</v>
      </c>
      <c r="V163" s="4" t="n">
        <v>485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25</v>
      </c>
      <c r="I164" s="4" t="n">
        <v>0</v>
      </c>
      <c r="J164" s="4" t="n">
        <v>0</v>
      </c>
      <c r="K164" s="5" t="n">
        <v>0</v>
      </c>
      <c r="L164" s="4" t="n">
        <v>19</v>
      </c>
      <c r="M164" s="4" t="n">
        <v>6</v>
      </c>
      <c r="N164" s="5" t="n">
        <v>4.2</v>
      </c>
      <c r="O164" s="3" t="inlineStr">
        <is>
          <t>남리 버스정류장 가까운 위치</t>
        </is>
      </c>
      <c r="P164" s="6">
        <f>HYPERLINK("https://fin.land.naver.com/articles/2648317995", "매물Link")</f>
        <v/>
      </c>
      <c r="Q164" s="6">
        <f>HYPERLINK("https://map.naver.com/p/search/조치원읍 남리 119-6", "지도Link")</f>
        <v/>
      </c>
      <c r="R164" s="6">
        <f>HYPERLINK("https://www.eum.go.kr/web/mp/mpMapDet.jsp?pnu=3611025027101190006&amp;isNoScr=script&amp;mode=search",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HYPERLINK("https://www.eum.go.kr/web/mp/mpMapDet.jsp?pnu=3611025027102990002&amp;isNoScr=script&amp;mode=search",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368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단독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46</v>
      </c>
      <c r="J166" s="4" t="n">
        <v>14</v>
      </c>
      <c r="K166" s="5" t="n">
        <v>300</v>
      </c>
      <c r="L166" s="4" t="n">
        <v>33</v>
      </c>
      <c r="M166" s="4" t="n">
        <v>10</v>
      </c>
      <c r="N166" s="5" t="n">
        <v>420</v>
      </c>
      <c r="O166" s="3" t="inlineStr">
        <is>
          <t>nan</t>
        </is>
      </c>
      <c r="P166" s="6">
        <f>HYPERLINK("https://fin.land.naver.com/articles/2646917268", "매물Link")</f>
        <v/>
      </c>
      <c r="Q166" s="6">
        <f>HYPERLINK("https://map.naver.com/p/search/조치원읍 남리 368", "지도Link")</f>
        <v/>
      </c>
      <c r="R166" s="6">
        <f>HYPERLINK("https://www.eum.go.kr/web/mp/mpMapDet.jsp?pnu=3611025027103680000&amp;isNoScr=script&amp;mode=search",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280.4</v>
      </c>
      <c r="V166" s="4" t="n">
        <v>549.4</v>
      </c>
      <c r="W166" s="3" t="inlineStr">
        <is>
          <t>지정되지않음</t>
        </is>
      </c>
      <c r="X166" s="3" t="inlineStr">
        <is>
          <t>상업나지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조치원읍 남리 371-1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30</v>
      </c>
      <c r="I167" s="4" t="n">
        <v>0</v>
      </c>
      <c r="J167" s="4" t="n">
        <v>0</v>
      </c>
      <c r="K167" s="5" t="n">
        <v>0</v>
      </c>
      <c r="L167" s="4" t="n">
        <v>20</v>
      </c>
      <c r="M167" s="4" t="n">
        <v>6</v>
      </c>
      <c r="N167" s="5" t="n">
        <v>5</v>
      </c>
      <c r="O167" s="3" t="inlineStr">
        <is>
          <t>조용하게 살기좋은 주차 및 엘베있는 원룸</t>
        </is>
      </c>
      <c r="P167" s="6">
        <f>HYPERLINK("https://fin.land.naver.com/articles/2647381250", "매물Link")</f>
        <v/>
      </c>
      <c r="Q167" s="6">
        <f>HYPERLINK("https://map.naver.com/p/search/조치원읍 남리 371-1", "지도Link")</f>
        <v/>
      </c>
      <c r="R167" s="6">
        <f>HYPERLINK("https://www.eum.go.kr/web/mp/mpMapDet.jsp?pnu=3611025027103710001&amp;isNoScr=script&amp;mode=search", "토지이음")</f>
        <v/>
      </c>
      <c r="S167" s="3" t="inlineStr">
        <is>
          <t>무지개</t>
        </is>
      </c>
      <c r="T167" s="4" t="n">
        <v>1</v>
      </c>
      <c r="U167" s="5" t="n">
        <v>232.4</v>
      </c>
      <c r="V167" s="4" t="n">
        <v>379</v>
      </c>
      <c r="W167" s="3" t="inlineStr">
        <is>
          <t>지정되지않음</t>
        </is>
      </c>
      <c r="X167" s="3" t="inlineStr">
        <is>
          <t>상업나지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조치원읍 남리 371-1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31</v>
      </c>
      <c r="I168" s="4" t="n">
        <v>23</v>
      </c>
      <c r="J168" s="4" t="n">
        <v>7</v>
      </c>
      <c r="K168" s="5" t="n">
        <v>4.4</v>
      </c>
      <c r="L168" s="4" t="n">
        <v>23</v>
      </c>
      <c r="M168" s="4" t="n">
        <v>7</v>
      </c>
      <c r="N168" s="5" t="n">
        <v>4.4</v>
      </c>
      <c r="O168" s="3" t="inlineStr">
        <is>
          <t>남리 원룸 넓은방 전통시장 편의시설 도보이용가능합니다</t>
        </is>
      </c>
      <c r="P168" s="6">
        <f>HYPERLINK("https://fin.land.naver.com/articles/2645236588", "매물Link")</f>
        <v/>
      </c>
      <c r="Q168" s="6">
        <f>HYPERLINK("https://map.naver.com/p/search/조치원읍 남리 371-1", "지도Link")</f>
        <v/>
      </c>
      <c r="R168" s="6">
        <f>HYPERLINK("https://www.eum.go.kr/web/mp/mpMapDet.jsp?pnu=3611025027103710001&amp;isNoScr=script&amp;mode=search",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232.4</v>
      </c>
      <c r="V168" s="4" t="n">
        <v>379</v>
      </c>
      <c r="W168" s="3" t="inlineStr">
        <is>
          <t>지정되지않음</t>
        </is>
      </c>
      <c r="X168" s="3" t="inlineStr">
        <is>
          <t>상업나지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조치원읍 남리 473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31</v>
      </c>
      <c r="I169" s="4" t="n">
        <v>26</v>
      </c>
      <c r="J169" s="4" t="n">
        <v>8</v>
      </c>
      <c r="K169" s="5" t="n">
        <v>3.9</v>
      </c>
      <c r="L169" s="4" t="n">
        <v>26</v>
      </c>
      <c r="M169" s="4" t="n">
        <v>8</v>
      </c>
      <c r="N169" s="5" t="n">
        <v>3.9</v>
      </c>
      <c r="O169" s="3" t="inlineStr">
        <is>
          <t>조치원 시내이며, 재래시장, 초등학교인근이며, 오송과 인접함</t>
        </is>
      </c>
      <c r="P169" s="6">
        <f>HYPERLINK("https://fin.land.naver.com/articles/2645045638", "매물Link")</f>
        <v/>
      </c>
      <c r="Q169" s="6">
        <f>HYPERLINK("https://map.naver.com/p/search/조치원읍 남리 473", "지도Link")</f>
        <v/>
      </c>
      <c r="R169" s="6">
        <f>HYPERLINK("https://www.eum.go.kr/web/mp/mpMapDet.jsp?pnu=3611025027104730000&amp;isNoScr=script&amp;mode=search", "토지이음")</f>
        <v/>
      </c>
      <c r="S169" s="3" t="inlineStr">
        <is>
          <t>세종베스트</t>
        </is>
      </c>
      <c r="T169" s="4" t="n">
        <v>1</v>
      </c>
      <c r="U169" s="5" t="n">
        <v>261.8</v>
      </c>
      <c r="V169" s="4" t="n">
        <v>446.7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조치원읍 남리 62-19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다가구</t>
        </is>
      </c>
      <c r="F170" s="3" t="inlineStr">
        <is>
          <t>매매</t>
        </is>
      </c>
      <c r="G170" s="4" t="n">
        <v>29500</v>
      </c>
      <c r="H170" s="4" t="n">
        <v>0</v>
      </c>
      <c r="I170" s="4" t="n">
        <v>180</v>
      </c>
      <c r="J170" s="4" t="n">
        <v>54</v>
      </c>
      <c r="K170" s="5" t="n">
        <v>546.3</v>
      </c>
      <c r="L170" s="4" t="n">
        <v>163</v>
      </c>
      <c r="M170" s="4" t="n">
        <v>49</v>
      </c>
      <c r="N170" s="5" t="n">
        <v>602</v>
      </c>
      <c r="O170" s="3" t="inlineStr">
        <is>
          <t>조치원시내 관공서와 버스정류장 조치원역 도보로 가능한 조용한 주택,</t>
        </is>
      </c>
      <c r="P170" s="6">
        <f>HYPERLINK("https://fin.land.naver.com/articles/2644752879", "매물Link")</f>
        <v/>
      </c>
      <c r="Q170" s="6">
        <f>HYPERLINK("https://map.naver.com/p/search/조치원읍 남리 62-19", "지도Link")</f>
        <v/>
      </c>
      <c r="R170" s="6">
        <f>HYPERLINK("https://www.eum.go.kr/web/mp/mpMapDet.jsp?pnu=3611025027100620019&amp;isNoScr=script&amp;mode=search", "토지이음")</f>
        <v/>
      </c>
      <c r="S170" s="3" t="inlineStr">
        <is>
          <t>담뜰</t>
        </is>
      </c>
      <c r="T170" s="4" t="n">
        <v>1</v>
      </c>
      <c r="U170" s="5" t="n">
        <v>178.8</v>
      </c>
      <c r="V170" s="4" t="n">
        <v>180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세로한면(불)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3800</v>
      </c>
      <c r="H171" s="4" t="n">
        <v>0</v>
      </c>
      <c r="I171" s="4" t="n">
        <v>39</v>
      </c>
      <c r="J171" s="4" t="n">
        <v>12</v>
      </c>
      <c r="K171" s="5" t="n">
        <v>316.7</v>
      </c>
      <c r="L171" s="4" t="n">
        <v>26</v>
      </c>
      <c r="M171" s="4" t="n">
        <v>8</v>
      </c>
      <c r="N171" s="5" t="n">
        <v>475</v>
      </c>
      <c r="O171" s="3" t="inlineStr">
        <is>
          <t>조치원역도보거리.융자없음.깔끔한전세.즉시입주</t>
        </is>
      </c>
      <c r="P171" s="6">
        <f>HYPERLINK("https://fin.land.naver.com/articles/2645524964", "매물Link")</f>
        <v/>
      </c>
      <c r="Q171" s="6">
        <f>HYPERLINK("https://map.naver.com/p/search/조치원읍 남리 62-6", "지도Link")</f>
        <v/>
      </c>
      <c r="R171" s="6">
        <f>HYPERLINK("https://www.eum.go.kr/web/mp/mpMapDet.jsp?pnu=3611025027100620006&amp;isNoScr=script&amp;mode=search",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26</v>
      </c>
      <c r="J172" s="4" t="n">
        <v>8</v>
      </c>
      <c r="K172" s="5" t="n">
        <v>500</v>
      </c>
      <c r="L172" s="4" t="n">
        <v>19</v>
      </c>
      <c r="M172" s="4" t="n">
        <v>6</v>
      </c>
      <c r="N172" s="5" t="n">
        <v>666.7</v>
      </c>
      <c r="O172" s="3" t="inlineStr">
        <is>
          <t>조치원역도보5분 근저당없는 전세 풀옵션 큰방</t>
        </is>
      </c>
      <c r="P172" s="6">
        <f>HYPERLINK("https://fin.land.naver.com/articles/2649101403", "매물Link")</f>
        <v/>
      </c>
      <c r="Q172" s="6">
        <f>HYPERLINK("https://map.naver.com/p/search/조치원읍 남리 62-6", "지도Link")</f>
        <v/>
      </c>
      <c r="R172" s="6">
        <f>HYPERLINK("https://www.eum.go.kr/web/mp/mpMapDet.jsp?pnu=3611025027100620006&amp;isNoScr=script&amp;mode=search", "토지이음")</f>
        <v/>
      </c>
      <c r="S172" s="3" t="inlineStr">
        <is>
          <t>용죽부자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남리 62-6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39</v>
      </c>
      <c r="J173" s="4" t="n">
        <v>12</v>
      </c>
      <c r="K173" s="5" t="n">
        <v>333.3</v>
      </c>
      <c r="L173" s="4" t="n">
        <v>26</v>
      </c>
      <c r="M173" s="4" t="n">
        <v>8</v>
      </c>
      <c r="N173" s="5" t="n">
        <v>500</v>
      </c>
      <c r="O173" s="3" t="inlineStr">
        <is>
          <t>nan</t>
        </is>
      </c>
      <c r="P173" s="6">
        <f>HYPERLINK("https://fin.land.naver.com/articles/2648311440", "매물Link")</f>
        <v/>
      </c>
      <c r="Q173" s="6">
        <f>HYPERLINK("https://map.naver.com/p/search/조치원읍 남리 62-6", "지도Link")</f>
        <v/>
      </c>
      <c r="R173" s="6">
        <f>HYPERLINK("https://www.eum.go.kr/web/mp/mpMapDet.jsp?pnu=3611025027100620006&amp;isNoScr=script&amp;mode=search",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396</v>
      </c>
      <c r="V173" s="4" t="n">
        <v>472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3900</v>
      </c>
      <c r="H174" s="4" t="n">
        <v>0</v>
      </c>
      <c r="I174" s="4" t="n">
        <v>26</v>
      </c>
      <c r="J174" s="4" t="n">
        <v>8</v>
      </c>
      <c r="K174" s="5" t="n">
        <v>487.5</v>
      </c>
      <c r="L174" s="4" t="n">
        <v>23</v>
      </c>
      <c r="M174" s="4" t="n">
        <v>7</v>
      </c>
      <c r="N174" s="5" t="n">
        <v>557.1</v>
      </c>
      <c r="O174" s="3" t="inlineStr">
        <is>
          <t>남리 원룸 전통시장 조치원역 도보가능합니다</t>
        </is>
      </c>
      <c r="P174" s="6">
        <f>HYPERLINK("https://fin.land.naver.com/articles/2649008339", "매물Link")</f>
        <v/>
      </c>
      <c r="Q174" s="6">
        <f>HYPERLINK("https://map.naver.com/p/search/조치원읍 남리 62-6", "지도Link")</f>
        <v/>
      </c>
      <c r="R174" s="6">
        <f>HYPERLINK("https://www.eum.go.kr/web/mp/mpMapDet.jsp?pnu=3611025027100620006&amp;isNoScr=script&amp;mode=search",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396</v>
      </c>
      <c r="V174" s="4" t="n">
        <v>472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빌라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20</v>
      </c>
      <c r="J175" s="4" t="n">
        <v>6</v>
      </c>
      <c r="K175" s="5" t="n">
        <v>666.7</v>
      </c>
      <c r="L175" s="4" t="n">
        <v>19</v>
      </c>
      <c r="M175" s="4" t="n">
        <v>6</v>
      </c>
      <c r="N175" s="5" t="n">
        <v>666.7</v>
      </c>
      <c r="O175" s="3" t="inlineStr">
        <is>
          <t>LH가능.HUG.서울보증보험가능 .가성비갑.시장1분 역5분.</t>
        </is>
      </c>
      <c r="P175" s="6">
        <f>HYPERLINK("https://fin.land.naver.com/articles/2647397073", "매물Link")</f>
        <v/>
      </c>
      <c r="Q175" s="6">
        <f>HYPERLINK("https://map.naver.com/p/search/조치원읍 남리 62-6", "지도Link")</f>
        <v/>
      </c>
      <c r="R175" s="6">
        <f>HYPERLINK("https://www.eum.go.kr/web/mp/mpMapDet.jsp?pnu=3611025027100620006&amp;isNoScr=script&amp;mode=search",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396</v>
      </c>
      <c r="V175" s="4" t="n">
        <v>472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명리 14-2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월세</t>
        </is>
      </c>
      <c r="G176" s="4" t="n">
        <v>1000</v>
      </c>
      <c r="H176" s="4" t="n">
        <v>55</v>
      </c>
      <c r="I176" s="4" t="n">
        <v>65</v>
      </c>
      <c r="J176" s="4" t="n">
        <v>20</v>
      </c>
      <c r="K176" s="5" t="n">
        <v>2.8</v>
      </c>
      <c r="L176" s="4" t="n">
        <v>65</v>
      </c>
      <c r="M176" s="4" t="n">
        <v>20</v>
      </c>
      <c r="N176" s="5" t="n">
        <v>2.8</v>
      </c>
      <c r="O176" s="3" t="inlineStr">
        <is>
          <t>시장 근처 깨끗한 2층 월세</t>
        </is>
      </c>
      <c r="P176" s="6">
        <f>HYPERLINK("https://fin.land.naver.com/articles/2648317283", "매물Link")</f>
        <v/>
      </c>
      <c r="Q176" s="6">
        <f>HYPERLINK("https://map.naver.com/p/search/조치원읍 명리 14-2", "지도Link")</f>
        <v/>
      </c>
      <c r="R176" s="6">
        <f>HYPERLINK("https://www.eum.go.kr/web/mp/mpMapDet.jsp?pnu=3611025026100140002&amp;isNoScr=script&amp;mode=search", "토지이음")</f>
        <v/>
      </c>
      <c r="S176" s="3" t="inlineStr">
        <is>
          <t>KB세종</t>
        </is>
      </c>
      <c r="T176" s="4" t="n">
        <v>1</v>
      </c>
      <c r="U176" s="5" t="n">
        <v>184.6</v>
      </c>
      <c r="V176" s="4" t="n">
        <v>145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명리 51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45000</v>
      </c>
      <c r="H177" s="4" t="n">
        <v>0</v>
      </c>
      <c r="I177" s="4" t="n">
        <v>325</v>
      </c>
      <c r="J177" s="4" t="n">
        <v>98</v>
      </c>
      <c r="K177" s="5" t="n">
        <v>459.2</v>
      </c>
      <c r="L177" s="4" t="n">
        <v>218</v>
      </c>
      <c r="M177" s="4" t="n">
        <v>66</v>
      </c>
      <c r="N177" s="5" t="n">
        <v>681.8</v>
      </c>
      <c r="O177" s="3" t="inlineStr">
        <is>
          <t>교통과 생활이 편리한 위치,초등학교 인근,대지 넓은 단독주택</t>
        </is>
      </c>
      <c r="P177" s="6">
        <f>HYPERLINK("https://fin.land.naver.com/articles/2646474045", "매물Link")</f>
        <v/>
      </c>
      <c r="Q177" s="6">
        <f>HYPERLINK("https://map.naver.com/p/search/조치원읍 명리 51", "지도Link")</f>
        <v/>
      </c>
      <c r="R177" s="6">
        <f>HYPERLINK("https://www.eum.go.kr/web/mp/mpMapDet.jsp?pnu=3611025026100510000&amp;isNoScr=script&amp;mode=search", "토지이음")</f>
        <v/>
      </c>
      <c r="S177" s="3" t="inlineStr">
        <is>
          <t>유정희</t>
        </is>
      </c>
      <c r="T177" s="4" t="n">
        <v>1</v>
      </c>
      <c r="U177" s="5" t="n">
        <v>223.3</v>
      </c>
      <c r="V177" s="4" t="n">
        <v>318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조치원읍 명리 54-12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월세</t>
        </is>
      </c>
      <c r="G178" s="4" t="n">
        <v>300</v>
      </c>
      <c r="H178" s="4" t="n">
        <v>31</v>
      </c>
      <c r="I178" s="4" t="n">
        <v>26</v>
      </c>
      <c r="J178" s="4" t="n">
        <v>8</v>
      </c>
      <c r="K178" s="5" t="n">
        <v>3.9</v>
      </c>
      <c r="L178" s="4" t="n">
        <v>26</v>
      </c>
      <c r="M178" s="4" t="n">
        <v>8</v>
      </c>
      <c r="N178" s="5" t="n">
        <v>3.9</v>
      </c>
      <c r="O178" s="3" t="inlineStr">
        <is>
          <t>끌끔하고 위치좋은 원룸 2층</t>
        </is>
      </c>
      <c r="P178" s="6">
        <f>HYPERLINK("https://fin.land.naver.com/articles/2648560985", "매물Link")</f>
        <v/>
      </c>
      <c r="Q178" s="6">
        <f>HYPERLINK("https://map.naver.com/p/search/조치원읍 명리 54-12", "지도Link")</f>
        <v/>
      </c>
      <c r="R178" s="6">
        <f>HYPERLINK("https://www.eum.go.kr/web/mp/mpMapDet.jsp?pnu=3611025026100540012&amp;isNoScr=script&amp;mode=search", "토지이음")</f>
        <v/>
      </c>
      <c r="S178" s="3" t="inlineStr">
        <is>
          <t>세종베스트</t>
        </is>
      </c>
      <c r="T178" s="4" t="n">
        <v>1</v>
      </c>
      <c r="U178" s="5" t="n">
        <v>230.3</v>
      </c>
      <c r="V178" s="4" t="n">
        <v>520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소로한면</t>
        </is>
      </c>
    </row>
    <row r="179">
      <c r="A179" s="3" t="inlineStr">
        <is>
          <t>조치원읍 명리 79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95000</v>
      </c>
      <c r="H179" s="4" t="n">
        <v>0</v>
      </c>
      <c r="I179" s="4" t="n">
        <v>261</v>
      </c>
      <c r="J179" s="4" t="n">
        <v>79</v>
      </c>
      <c r="K179" s="5" t="n">
        <v>1202.5</v>
      </c>
      <c r="L179" s="4" t="n">
        <v>492</v>
      </c>
      <c r="M179" s="4" t="n">
        <v>149</v>
      </c>
      <c r="N179" s="5" t="n">
        <v>637.6</v>
      </c>
      <c r="O179" s="3" t="inlineStr">
        <is>
          <t>명리 코너 상가주택 1,2층 상가 3층주택</t>
        </is>
      </c>
      <c r="P179" s="6">
        <f>HYPERLINK("https://fin.land.naver.com/articles/2649283511", "매물Link")</f>
        <v/>
      </c>
      <c r="Q179" s="6">
        <f>HYPERLINK("https://map.naver.com/p/search/조치원읍 명리 79", "지도Link")</f>
        <v/>
      </c>
      <c r="R179" s="6">
        <f>HYPERLINK("https://www.eum.go.kr/web/mp/mpMapDet.jsp?pnu=3611025026100790000&amp;isNoScr=script&amp;mode=search",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358.3</v>
      </c>
      <c r="V179" s="4" t="n">
        <v>153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중로각지</t>
        </is>
      </c>
    </row>
    <row r="180">
      <c r="A180" s="3" t="inlineStr">
        <is>
          <t>조치원읍 번암리 110-1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75000</v>
      </c>
      <c r="H180" s="4" t="n">
        <v>0</v>
      </c>
      <c r="I180" s="4" t="n">
        <v>328</v>
      </c>
      <c r="J180" s="4" t="n">
        <v>99</v>
      </c>
      <c r="K180" s="5" t="n">
        <v>757.6</v>
      </c>
      <c r="L180" s="4" t="n">
        <v>421</v>
      </c>
      <c r="M180" s="4" t="n">
        <v>127</v>
      </c>
      <c r="N180" s="5" t="n">
        <v>590.6</v>
      </c>
      <c r="O180" s="3" t="inlineStr">
        <is>
          <t>번암리 홈플러스 맞은편 6차선 접한 상가주택 저렴합니다</t>
        </is>
      </c>
      <c r="P180" s="6">
        <f>HYPERLINK("https://fin.land.naver.com/articles/2649796407", "매물Link")</f>
        <v/>
      </c>
      <c r="Q180" s="6">
        <f>HYPERLINK("https://map.naver.com/p/search/조치원읍 번암리 110-1", "지도Link")</f>
        <v/>
      </c>
      <c r="R180" s="6">
        <f>HYPERLINK("https://www.eum.go.kr/web/mp/mpMapDet.jsp?pnu=3611025031101100001&amp;isNoScr=script&amp;mode=search",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341.8</v>
      </c>
      <c r="V180" s="4" t="n">
        <v>349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광대로한면</t>
        </is>
      </c>
    </row>
    <row r="181">
      <c r="A181" s="3" t="inlineStr">
        <is>
          <t>조치원읍 번암리 128-2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82000</v>
      </c>
      <c r="H181" s="4" t="n">
        <v>0</v>
      </c>
      <c r="I181" s="4" t="n">
        <v>211</v>
      </c>
      <c r="J181" s="4" t="n">
        <v>64</v>
      </c>
      <c r="K181" s="5" t="n">
        <v>1281.2</v>
      </c>
      <c r="L181" s="4" t="n">
        <v>380</v>
      </c>
      <c r="M181" s="4" t="n">
        <v>115</v>
      </c>
      <c r="N181" s="5" t="n">
        <v>713</v>
      </c>
      <c r="O181" s="3" t="inlineStr">
        <is>
          <t>nan</t>
        </is>
      </c>
      <c r="P181" s="6">
        <f>HYPERLINK("https://fin.land.naver.com/articles/2645785068", "매물Link")</f>
        <v/>
      </c>
      <c r="Q181" s="6">
        <f>HYPERLINK("https://map.naver.com/p/search/조치원읍 번암리 128-2", "지도Link")</f>
        <v/>
      </c>
      <c r="R181" s="6">
        <f>HYPERLINK("https://www.eum.go.kr/web/mp/mpMapDet.jsp?pnu=3611025031101280002&amp;isNoScr=script&amp;mode=search",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309.1</v>
      </c>
      <c r="V181" s="4" t="n">
        <v>211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광대로한면</t>
        </is>
      </c>
    </row>
    <row r="182">
      <c r="A182" s="3" t="inlineStr">
        <is>
          <t>조치원읍 번암리 66-36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15000</v>
      </c>
      <c r="H182" s="4" t="n">
        <v>0</v>
      </c>
      <c r="I182" s="4" t="n">
        <v>102</v>
      </c>
      <c r="J182" s="4" t="n">
        <v>31</v>
      </c>
      <c r="K182" s="5" t="n">
        <v>483.9</v>
      </c>
      <c r="L182" s="4" t="n">
        <v>82</v>
      </c>
      <c r="M182" s="4" t="n">
        <v>25</v>
      </c>
      <c r="N182" s="5" t="n">
        <v>600</v>
      </c>
      <c r="O182" s="3" t="inlineStr">
        <is>
          <t>번암리 깨끗한 쓰리룸, 방3 욕실2, 넓은 구조, 테라스, 엘레베이터</t>
        </is>
      </c>
      <c r="P182" s="6">
        <f>HYPERLINK("https://fin.land.naver.com/articles/2649886389", "매물Link")</f>
        <v/>
      </c>
      <c r="Q182" s="6">
        <f>HYPERLINK("https://map.naver.com/p/search/조치원읍 번암리 66-36", "지도Link")</f>
        <v/>
      </c>
      <c r="R182" s="6">
        <f>HYPERLINK("https://www.eum.go.kr/web/mp/mpMapDet.jsp?pnu=3611025031100660036&amp;isNoScr=script&amp;mode=search", "토지이음")</f>
        <v/>
      </c>
      <c r="S182" s="3" t="inlineStr">
        <is>
          <t>하늘</t>
        </is>
      </c>
      <c r="T182" s="4" t="n">
        <v>1</v>
      </c>
      <c r="U182" s="5" t="n">
        <v>221.6</v>
      </c>
      <c r="V182" s="4" t="n">
        <v>379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중로각지</t>
        </is>
      </c>
    </row>
    <row r="183">
      <c r="A183" s="3" t="inlineStr">
        <is>
          <t>조치원읍 봉산리 190-11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4500</v>
      </c>
      <c r="H183" s="4" t="n">
        <v>0</v>
      </c>
      <c r="I183" s="4" t="n">
        <v>21</v>
      </c>
      <c r="J183" s="4" t="n">
        <v>6</v>
      </c>
      <c r="K183" s="5" t="n">
        <v>750</v>
      </c>
      <c r="L183" s="4" t="n">
        <v>20</v>
      </c>
      <c r="M183" s="4" t="n">
        <v>6</v>
      </c>
      <c r="N183" s="5" t="n">
        <v>750</v>
      </c>
      <c r="O183" s="3" t="inlineStr">
        <is>
          <t>고려대 세종캠퍼스 인근 복층형 원룸 개별 매매</t>
        </is>
      </c>
      <c r="P183" s="6">
        <f>HYPERLINK("https://fin.land.naver.com/articles/2648580362", "매물Link")</f>
        <v/>
      </c>
      <c r="Q183" s="6">
        <f>HYPERLINK("https://map.naver.com/p/search/조치원읍 봉산리 190-11", "지도Link")</f>
        <v/>
      </c>
      <c r="R183" s="6">
        <f>HYPERLINK("https://www.eum.go.kr/web/mp/mpMapDet.jsp?pnu=3611025033101900011&amp;isNoScr=script&amp;mode=search", "토지이음")</f>
        <v/>
      </c>
      <c r="S183" s="3" t="inlineStr">
        <is>
          <t>고래</t>
        </is>
      </c>
      <c r="T183" s="4" t="n">
        <v>1</v>
      </c>
      <c r="U183" s="5" t="n">
        <v>168.4</v>
      </c>
      <c r="V183" s="4" t="n">
        <v>565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상리 132-1</t>
        </is>
      </c>
      <c r="B184" s="3" t="inlineStr">
        <is>
          <t>준주거지역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65000</v>
      </c>
      <c r="H184" s="4" t="n">
        <v>0</v>
      </c>
      <c r="I184" s="4" t="n">
        <v>116</v>
      </c>
      <c r="J184" s="4" t="n">
        <v>35</v>
      </c>
      <c r="K184" s="5" t="n">
        <v>1857.1</v>
      </c>
      <c r="L184" s="4" t="n">
        <v>184</v>
      </c>
      <c r="M184" s="4" t="n">
        <v>56</v>
      </c>
      <c r="N184" s="5" t="n">
        <v>1160.7</v>
      </c>
      <c r="O184" s="3" t="inlineStr">
        <is>
          <t>상리 세종문화원 맞은편 2차선 접한 전면 넓은 상가 광고효과 좋음</t>
        </is>
      </c>
      <c r="P184" s="6">
        <f>HYPERLINK("https://fin.land.naver.com/articles/2645226309", "매물Link")</f>
        <v/>
      </c>
      <c r="Q184" s="6">
        <f>HYPERLINK("https://map.naver.com/p/search/조치원읍 상리 132-1", "지도Link")</f>
        <v/>
      </c>
      <c r="R184" s="6">
        <f>HYPERLINK("https://www.eum.go.kr/web/mp/mpMapDet.jsp?pnu=3611025022101320001&amp;isNoScr=script&amp;mode=search",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640.7</v>
      </c>
      <c r="V184" s="4" t="n">
        <v>116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중로한면</t>
        </is>
      </c>
    </row>
    <row r="185">
      <c r="A185" s="3" t="inlineStr">
        <is>
          <t>조치원읍 상리 67-9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월세</t>
        </is>
      </c>
      <c r="G185" s="4" t="n">
        <v>200</v>
      </c>
      <c r="H185" s="4" t="n">
        <v>25</v>
      </c>
      <c r="I185" s="4" t="n">
        <v>19</v>
      </c>
      <c r="J185" s="4" t="n">
        <v>6</v>
      </c>
      <c r="K185" s="5" t="n">
        <v>4.2</v>
      </c>
      <c r="L185" s="4" t="n">
        <v>19</v>
      </c>
      <c r="M185" s="4" t="n">
        <v>6</v>
      </c>
      <c r="N185" s="5" t="n">
        <v>4.2</v>
      </c>
      <c r="O185" s="3" t="inlineStr">
        <is>
          <t>조치원읍 상리 단독주택 2층 월세</t>
        </is>
      </c>
      <c r="P185" s="6">
        <f>HYPERLINK("https://fin.land.naver.com/articles/2645256671", "매물Link")</f>
        <v/>
      </c>
      <c r="Q185" s="6">
        <f>HYPERLINK("https://map.naver.com/p/search/조치원읍 상리 67-9", "지도Link")</f>
        <v/>
      </c>
      <c r="R185" s="6">
        <f>HYPERLINK("https://www.eum.go.kr/web/mp/mpMapDet.jsp?pnu=3611025022100670009&amp;isNoScr=script&amp;mode=search", "토지이음")</f>
        <v/>
      </c>
      <c r="S185" s="3" t="inlineStr">
        <is>
          <t>동원</t>
        </is>
      </c>
      <c r="T185" s="4" t="n">
        <v>1</v>
      </c>
      <c r="U185" s="5" t="n">
        <v>154</v>
      </c>
      <c r="V185" s="4" t="n">
        <v>201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4800</v>
      </c>
      <c r="H186" s="4" t="n">
        <v>0</v>
      </c>
      <c r="I186" s="4" t="n">
        <v>26</v>
      </c>
      <c r="J186" s="4" t="n">
        <v>8</v>
      </c>
      <c r="K186" s="5" t="n">
        <v>600</v>
      </c>
      <c r="L186" s="4" t="n">
        <v>18</v>
      </c>
      <c r="M186" s="4" t="n">
        <v>5</v>
      </c>
      <c r="N186" s="5" t="n">
        <v>960</v>
      </c>
      <c r="O186" s="3" t="inlineStr">
        <is>
          <t>깨끗한원룸.넓은방.협의입주가능.보안철저.주차시설완비</t>
        </is>
      </c>
      <c r="P186" s="6">
        <f>HYPERLINK("https://fin.land.naver.com/articles/2644836713", "매물Link")</f>
        <v/>
      </c>
      <c r="Q186" s="6">
        <f>HYPERLINK("https://map.naver.com/p/search/조치원읍 상리 79-3", "지도Link")</f>
        <v/>
      </c>
      <c r="R186" s="6">
        <f>HYPERLINK("https://www.eum.go.kr/web/mp/mpMapDet.jsp?pnu=3611025022100790003&amp;isNoScr=script&amp;mode=search", "토지이음")</f>
        <v/>
      </c>
      <c r="S186" s="3" t="inlineStr">
        <is>
          <t>척척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깨끗한원룸.실사진.즉시입주가능.보안철저.주차시설완비</t>
        </is>
      </c>
      <c r="P187" s="6">
        <f>HYPERLINK("https://fin.land.naver.com/articles/2644842214", "매물Link")</f>
        <v/>
      </c>
      <c r="Q187" s="6">
        <f>HYPERLINK("https://map.naver.com/p/search/조치원읍 상리 79-3", "지도Link")</f>
        <v/>
      </c>
      <c r="R187" s="6">
        <f>HYPERLINK("https://www.eum.go.kr/web/mp/mpMapDet.jsp?pnu=3611025022100790003&amp;isNoScr=script&amp;mode=search",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상리 79-3</t>
        </is>
      </c>
      <c r="B188" s="3" t="inlineStr">
        <is>
          <t>일반상업지역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도시형생활주택</t>
        </is>
      </c>
      <c r="F188" s="3" t="inlineStr">
        <is>
          <t>월세</t>
        </is>
      </c>
      <c r="G188" s="4" t="n">
        <v>4500</v>
      </c>
      <c r="H188" s="4" t="n">
        <v>12</v>
      </c>
      <c r="I188" s="4" t="n">
        <v>0</v>
      </c>
      <c r="J188" s="4" t="n">
        <v>0</v>
      </c>
      <c r="K188" s="5" t="n">
        <v>0</v>
      </c>
      <c r="L188" s="4" t="n">
        <v>18</v>
      </c>
      <c r="M188" s="4" t="n">
        <v>5</v>
      </c>
      <c r="N188" s="5" t="n">
        <v>2.4</v>
      </c>
      <c r="O188" s="3" t="inlineStr">
        <is>
          <t>L 즉시입주가능  O엘베 O정남향 O역10분내</t>
        </is>
      </c>
      <c r="P188" s="6">
        <f>HYPERLINK("https://fin.land.naver.com/articles/2648531034", "매물Link")</f>
        <v/>
      </c>
      <c r="Q188" s="6">
        <f>HYPERLINK("https://map.naver.com/p/search/조치원읍 상리 79-3", "지도Link")</f>
        <v/>
      </c>
      <c r="R188" s="6">
        <f>HYPERLINK("https://www.eum.go.kr/web/mp/mpMapDet.jsp?pnu=3611025022100790003&amp;isNoScr=script&amp;mode=search",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318.4</v>
      </c>
      <c r="V188" s="4" t="n">
        <v>465</v>
      </c>
      <c r="W188" s="3" t="inlineStr">
        <is>
          <t>지정되지않음</t>
        </is>
      </c>
      <c r="X188" s="3" t="inlineStr">
        <is>
          <t>주상기타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133-28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52000</v>
      </c>
      <c r="H189" s="4" t="n">
        <v>0</v>
      </c>
      <c r="I189" s="4" t="n">
        <v>233</v>
      </c>
      <c r="J189" s="4" t="n">
        <v>70</v>
      </c>
      <c r="K189" s="5" t="n">
        <v>742.9</v>
      </c>
      <c r="L189" s="4" t="n">
        <v>312</v>
      </c>
      <c r="M189" s="4" t="n">
        <v>94</v>
      </c>
      <c r="N189" s="5" t="n">
        <v>553.2</v>
      </c>
      <c r="O189" s="3" t="inlineStr">
        <is>
          <t>nan</t>
        </is>
      </c>
      <c r="P189" s="6">
        <f>HYPERLINK("https://fin.land.naver.com/articles/2645784295", "매물Link")</f>
        <v/>
      </c>
      <c r="Q189" s="6">
        <f>HYPERLINK("https://map.naver.com/p/search/조치원읍 서창리 133-28", "지도Link")</f>
        <v/>
      </c>
      <c r="R189" s="6">
        <f>HYPERLINK("https://www.eum.go.kr/web/mp/mpMapDet.jsp?pnu=3611025034101330028&amp;isNoScr=script&amp;mode=search",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243.7</v>
      </c>
      <c r="V189" s="4" t="n">
        <v>233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소로한면</t>
        </is>
      </c>
    </row>
    <row r="190">
      <c r="A190" s="3" t="inlineStr">
        <is>
          <t>조치원읍 서창리 203-10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49000</v>
      </c>
      <c r="H190" s="4" t="n">
        <v>0</v>
      </c>
      <c r="I190" s="4" t="n">
        <v>654</v>
      </c>
      <c r="J190" s="4" t="n">
        <v>198</v>
      </c>
      <c r="K190" s="5" t="n">
        <v>247.5</v>
      </c>
      <c r="L190" s="4" t="n">
        <v>581</v>
      </c>
      <c r="M190" s="4" t="n">
        <v>176</v>
      </c>
      <c r="N190" s="5" t="n">
        <v>278.4</v>
      </c>
      <c r="O190" s="3" t="inlineStr">
        <is>
          <t>.급매. o수익률잘나옴 o관리잘되었어요</t>
        </is>
      </c>
      <c r="P190" s="6">
        <f>HYPERLINK("https://fin.land.naver.com/articles/2650552259", "매물Link")</f>
        <v/>
      </c>
      <c r="Q190" s="6">
        <f>HYPERLINK("https://map.naver.com/p/search/조치원읍 서창리 203-10", "지도Link")</f>
        <v/>
      </c>
      <c r="R190" s="6">
        <f>HYPERLINK("https://www.eum.go.kr/web/mp/mpMapDet.jsp?pnu=3611025034102030010&amp;isNoScr=script&amp;mode=search", "토지이음")</f>
        <v/>
      </c>
      <c r="S190" s="3" t="inlineStr">
        <is>
          <t>바다</t>
        </is>
      </c>
      <c r="T190" s="4" t="n">
        <v>2</v>
      </c>
      <c r="U190" s="5" t="n">
        <v>205.7</v>
      </c>
      <c r="V190" s="4" t="n">
        <v>415</v>
      </c>
      <c r="W190" s="3" t="inlineStr">
        <is>
          <t>자연녹지지역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서창리 203-6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0</t>
        </is>
      </c>
      <c r="E191" s="3" t="inlineStr">
        <is>
          <t>일반원룸</t>
        </is>
      </c>
      <c r="F191" s="3" t="inlineStr">
        <is>
          <t>전세</t>
        </is>
      </c>
      <c r="G191" s="4" t="n">
        <v>3000</v>
      </c>
      <c r="H191" s="4" t="n">
        <v>0</v>
      </c>
      <c r="I191" s="4" t="n">
        <v>30</v>
      </c>
      <c r="J191" s="4" t="n">
        <v>9</v>
      </c>
      <c r="K191" s="5" t="n">
        <v>333.3</v>
      </c>
      <c r="L191" s="4" t="n">
        <v>30</v>
      </c>
      <c r="M191" s="4" t="n">
        <v>9</v>
      </c>
      <c r="N191" s="5" t="n">
        <v>333.3</v>
      </c>
      <c r="O191" s="3" t="inlineStr">
        <is>
          <t>위치좋고 상태 좋은 저렴한 매물 안전전세</t>
        </is>
      </c>
      <c r="P191" s="6">
        <f>HYPERLINK("https://fin.land.naver.com/articles/2644989266", "매물Link")</f>
        <v/>
      </c>
      <c r="Q191" s="6">
        <f>HYPERLINK("https://map.naver.com/p/search/조치원읍 서창리 203-6", "지도Link")</f>
        <v/>
      </c>
      <c r="R191" s="6">
        <f>HYPERLINK("https://www.eum.go.kr/web/mp/mpMapDet.jsp?pnu=3611025034102030006&amp;isNoScr=script&amp;mode=search", "토지이음")</f>
        <v/>
      </c>
      <c r="S191" s="3" t="inlineStr">
        <is>
          <t>부자터</t>
        </is>
      </c>
      <c r="T191" s="4" t="n">
        <v>1</v>
      </c>
      <c r="U191" s="5" t="n">
        <v>344.8</v>
      </c>
      <c r="V191" s="4" t="n">
        <v>477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조치원읍 서창리 290-1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100</v>
      </c>
      <c r="H192" s="4" t="n">
        <v>30</v>
      </c>
      <c r="I192" s="4" t="n">
        <v>23</v>
      </c>
      <c r="J192" s="4" t="n">
        <v>7</v>
      </c>
      <c r="K192" s="5" t="n">
        <v>4.3</v>
      </c>
      <c r="L192" s="4" t="n">
        <v>23</v>
      </c>
      <c r="M192" s="4" t="n">
        <v>7</v>
      </c>
      <c r="N192" s="5" t="n">
        <v>4.3</v>
      </c>
      <c r="O192" s="3" t="inlineStr">
        <is>
          <t>원룸 월세</t>
        </is>
      </c>
      <c r="P192" s="6">
        <f>HYPERLINK("https://fin.land.naver.com/articles/2647836240", "매물Link")</f>
        <v/>
      </c>
      <c r="Q192" s="6">
        <f>HYPERLINK("https://map.naver.com/p/search/조치원읍 서창리 290-1", "지도Link")</f>
        <v/>
      </c>
      <c r="R192" s="6">
        <f>HYPERLINK("https://www.eum.go.kr/web/mp/mpMapDet.jsp?pnu=3611025034102900001&amp;isNoScr=script&amp;mode=search", "토지이음")</f>
        <v/>
      </c>
      <c r="S192" s="3" t="inlineStr">
        <is>
          <t>김준희</t>
        </is>
      </c>
      <c r="T192" s="4" t="n">
        <v>1</v>
      </c>
      <c r="U192" s="5" t="n">
        <v>321.6</v>
      </c>
      <c r="V192" s="4" t="n">
        <v>388.7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조치원읍 서창리 290-5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39</v>
      </c>
      <c r="J193" s="4" t="n">
        <v>12</v>
      </c>
      <c r="K193" s="5" t="n">
        <v>2.4</v>
      </c>
      <c r="L193" s="4" t="n">
        <v>26</v>
      </c>
      <c r="M193" s="4" t="n">
        <v>8</v>
      </c>
      <c r="N193" s="5" t="n">
        <v>3.6</v>
      </c>
      <c r="O193" s="3" t="inlineStr">
        <is>
          <t>서창리.모든게옵션.10월초 협의입주가능</t>
        </is>
      </c>
      <c r="P193" s="6">
        <f>HYPERLINK("https://fin.land.naver.com/articles/2649226212", "매물Link")</f>
        <v/>
      </c>
      <c r="Q193" s="6">
        <f>HYPERLINK("https://map.naver.com/p/search/조치원읍 서창리 290-5", "지도Link")</f>
        <v/>
      </c>
      <c r="R193" s="6">
        <f>HYPERLINK("https://www.eum.go.kr/web/mp/mpMapDet.jsp?pnu=3611025034102900005&amp;isNoScr=script&amp;mode=search", "토지이음")</f>
        <v/>
      </c>
      <c r="S193" s="3" t="inlineStr">
        <is>
          <t>척척</t>
        </is>
      </c>
      <c r="T193" s="4" t="n">
        <v>1</v>
      </c>
      <c r="U193" s="5" t="n">
        <v>319.2</v>
      </c>
      <c r="V193" s="4" t="n">
        <v>237.8</v>
      </c>
      <c r="W193" s="3" t="inlineStr">
        <is>
          <t>지정되지않음</t>
        </is>
      </c>
      <c r="X193" s="3" t="inlineStr">
        <is>
          <t>주상나지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조치원읍 서창리 292-2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4000</v>
      </c>
      <c r="H194" s="4" t="n">
        <v>0</v>
      </c>
      <c r="I194" s="4" t="n">
        <v>0</v>
      </c>
      <c r="J194" s="4" t="n">
        <v>0</v>
      </c>
      <c r="K194" s="5" t="n">
        <v>0</v>
      </c>
      <c r="L194" s="4" t="n">
        <v>23</v>
      </c>
      <c r="M194" s="4" t="n">
        <v>7</v>
      </c>
      <c r="N194" s="5" t="n">
        <v>571.4</v>
      </c>
      <c r="O194" s="3" t="inlineStr">
        <is>
          <t>세종,오송,청주 출퇴근하기 좋은 위치의 분리형원룸</t>
        </is>
      </c>
      <c r="P194" s="6">
        <f>HYPERLINK("https://fin.land.naver.com/articles/2647378387", "매물Link")</f>
        <v/>
      </c>
      <c r="Q194" s="6">
        <f>HYPERLINK("https://map.naver.com/p/search/조치원읍 서창리 292-2", "지도Link")</f>
        <v/>
      </c>
      <c r="R194" s="6">
        <f>HYPERLINK("https://www.eum.go.kr/web/mp/mpMapDet.jsp?pnu=3611025034102920002&amp;isNoScr=script&amp;mode=search",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324.7</v>
      </c>
      <c r="V194" s="4" t="n">
        <v>301.2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세로각지(가)</t>
        </is>
      </c>
    </row>
    <row r="195">
      <c r="A195" s="3" t="inlineStr">
        <is>
          <t>조치원읍 서창리 292-2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4000</v>
      </c>
      <c r="H195" s="4" t="n">
        <v>0</v>
      </c>
      <c r="I195" s="4" t="n">
        <v>23</v>
      </c>
      <c r="J195" s="4" t="n">
        <v>7</v>
      </c>
      <c r="K195" s="5" t="n">
        <v>571.4</v>
      </c>
      <c r="L195" s="4" t="n">
        <v>23</v>
      </c>
      <c r="M195" s="4" t="n">
        <v>7</v>
      </c>
      <c r="N195" s="5" t="n">
        <v>571.4</v>
      </c>
      <c r="O195" s="3" t="inlineStr">
        <is>
          <t>서창리 원룸 전세</t>
        </is>
      </c>
      <c r="P195" s="6">
        <f>HYPERLINK("https://fin.land.naver.com/articles/2646197839", "매물Link")</f>
        <v/>
      </c>
      <c r="Q195" s="6">
        <f>HYPERLINK("https://map.naver.com/p/search/조치원읍 서창리 292-2", "지도Link")</f>
        <v/>
      </c>
      <c r="R195" s="6">
        <f>HYPERLINK("https://www.eum.go.kr/web/mp/mpMapDet.jsp?pnu=3611025034102920002&amp;isNoScr=script&amp;mode=search", "토지이음")</f>
        <v/>
      </c>
      <c r="S195" s="3" t="inlineStr">
        <is>
          <t>김준희</t>
        </is>
      </c>
      <c r="T195" s="4" t="n">
        <v>1</v>
      </c>
      <c r="U195" s="5" t="n">
        <v>324.7</v>
      </c>
      <c r="V195" s="4" t="n">
        <v>301.2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세로각지(가)</t>
        </is>
      </c>
    </row>
    <row r="196">
      <c r="A196" s="3" t="inlineStr">
        <is>
          <t>조치원읍 서창리 292-2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0</v>
      </c>
      <c r="J196" s="4" t="n">
        <v>0</v>
      </c>
      <c r="K196" s="5" t="n">
        <v>0</v>
      </c>
      <c r="L196" s="4" t="n">
        <v>23</v>
      </c>
      <c r="M196" s="4" t="n">
        <v>7</v>
      </c>
      <c r="N196" s="5" t="n">
        <v>571.4</v>
      </c>
      <c r="O196" s="3" t="inlineStr">
        <is>
          <t>L리모델링 O풀옵션 O역3분</t>
        </is>
      </c>
      <c r="P196" s="6">
        <f>HYPERLINK("https://fin.land.naver.com/articles/2645063733", "매물Link")</f>
        <v/>
      </c>
      <c r="Q196" s="6">
        <f>HYPERLINK("https://map.naver.com/p/search/조치원읍 서창리 292-2", "지도Link")</f>
        <v/>
      </c>
      <c r="R196" s="6">
        <f>HYPERLINK("https://www.eum.go.kr/web/mp/mpMapDet.jsp?pnu=3611025034102920002&amp;isNoScr=script&amp;mode=search",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324.7</v>
      </c>
      <c r="V196" s="4" t="n">
        <v>301.2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세로각지(가)</t>
        </is>
      </c>
    </row>
    <row r="197">
      <c r="A197" s="3" t="inlineStr">
        <is>
          <t>조치원읍 서창리 296-8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317</v>
      </c>
      <c r="J197" s="4" t="n">
        <v>96</v>
      </c>
      <c r="K197" s="5" t="n">
        <v>729.2</v>
      </c>
      <c r="L197" s="4" t="n">
        <v>481</v>
      </c>
      <c r="M197" s="4" t="n">
        <v>146</v>
      </c>
      <c r="N197" s="5" t="n">
        <v>479.5</v>
      </c>
      <c r="O197" s="3" t="inlineStr">
        <is>
          <t>nan</t>
        </is>
      </c>
      <c r="P197" s="6">
        <f>HYPERLINK("https://fin.land.naver.com/articles/2645783949", "매물Link")</f>
        <v/>
      </c>
      <c r="Q197" s="6">
        <f>HYPERLINK("https://map.naver.com/p/search/조치원읍 서창리 296-8", "지도Link")</f>
        <v/>
      </c>
      <c r="R197" s="6">
        <f>HYPERLINK("https://www.eum.go.kr/web/mp/mpMapDet.jsp?pnu=3611025034102960008&amp;isNoScr=script&amp;mode=search", "토지이음")</f>
        <v/>
      </c>
      <c r="S197" s="3" t="inlineStr">
        <is>
          <t>척척</t>
        </is>
      </c>
      <c r="T197" s="4" t="n">
        <v>1</v>
      </c>
      <c r="U197" s="5" t="n">
        <v>321.1</v>
      </c>
      <c r="V197" s="4" t="n">
        <v>317.7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서창리 296-8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70000</v>
      </c>
      <c r="H198" s="4" t="n">
        <v>0</v>
      </c>
      <c r="I198" s="4" t="n">
        <v>317</v>
      </c>
      <c r="J198" s="4" t="n">
        <v>96</v>
      </c>
      <c r="K198" s="5" t="n">
        <v>729.2</v>
      </c>
      <c r="L198" s="4" t="n">
        <v>481</v>
      </c>
      <c r="M198" s="4" t="n">
        <v>146</v>
      </c>
      <c r="N198" s="5" t="n">
        <v>479.5</v>
      </c>
      <c r="O198" s="3" t="inlineStr">
        <is>
          <t>다가구 매매 실투자금 약 5억</t>
        </is>
      </c>
      <c r="P198" s="6">
        <f>HYPERLINK("https://fin.land.naver.com/articles/2645163465", "매물Link")</f>
        <v/>
      </c>
      <c r="Q198" s="6">
        <f>HYPERLINK("https://map.naver.com/p/search/조치원읍 서창리 296-8", "지도Link")</f>
        <v/>
      </c>
      <c r="R198" s="6">
        <f>HYPERLINK("https://www.eum.go.kr/web/mp/mpMapDet.jsp?pnu=3611025034102960008&amp;isNoScr=script&amp;mode=search", "토지이음")</f>
        <v/>
      </c>
      <c r="S198" s="3" t="inlineStr">
        <is>
          <t>상희</t>
        </is>
      </c>
      <c r="T198" s="4" t="n">
        <v>1</v>
      </c>
      <c r="U198" s="5" t="n">
        <v>321.1</v>
      </c>
      <c r="V198" s="4" t="n">
        <v>317.7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서창리 66-35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76000</v>
      </c>
      <c r="H199" s="4" t="n">
        <v>0</v>
      </c>
      <c r="I199" s="4" t="n">
        <v>189</v>
      </c>
      <c r="J199" s="4" t="n">
        <v>57</v>
      </c>
      <c r="K199" s="5" t="n">
        <v>1333.3</v>
      </c>
      <c r="L199" s="4" t="n">
        <v>259</v>
      </c>
      <c r="M199" s="4" t="n">
        <v>78</v>
      </c>
      <c r="N199" s="5" t="n">
        <v>974.4</v>
      </c>
      <c r="O199" s="3" t="inlineStr">
        <is>
          <t>대학가 2억7천 투자 수익률7.5</t>
        </is>
      </c>
      <c r="P199" s="6">
        <f>HYPERLINK("https://fin.land.naver.com/articles/2648572698", "매물Link")</f>
        <v/>
      </c>
      <c r="Q199" s="6">
        <f>HYPERLINK("https://map.naver.com/p/search/조치원읍 서창리 66-35", "지도Link")</f>
        <v/>
      </c>
      <c r="R199" s="6">
        <f>HYPERLINK("https://www.eum.go.kr/web/mp/mpMapDet.jsp?pnu=3611025034100660035&amp;isNoScr=script&amp;mode=search", "토지이음")</f>
        <v/>
      </c>
      <c r="S199" s="3" t="inlineStr">
        <is>
          <t>고래</t>
        </is>
      </c>
      <c r="T199" s="4" t="n">
        <v>1</v>
      </c>
      <c r="U199" s="5" t="n">
        <v>401.7</v>
      </c>
      <c r="V199" s="4" t="n">
        <v>189</v>
      </c>
      <c r="W199" s="3" t="inlineStr">
        <is>
          <t>지정되지않음</t>
        </is>
      </c>
      <c r="X199" s="3" t="inlineStr">
        <is>
          <t>주상용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조치원읍 신안리 146-2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283</v>
      </c>
      <c r="J200" s="4" t="n">
        <v>86</v>
      </c>
      <c r="K200" s="5" t="n">
        <v>558.1</v>
      </c>
      <c r="L200" s="4" t="n">
        <v>95</v>
      </c>
      <c r="M200" s="4" t="n">
        <v>29</v>
      </c>
      <c r="N200" s="5" t="n">
        <v>1655.2</v>
      </c>
      <c r="O200" s="3" t="inlineStr">
        <is>
          <t>편의성과 안락함을 다 갖춘 단독주택</t>
        </is>
      </c>
      <c r="P200" s="6">
        <f>HYPERLINK("https://fin.land.naver.com/articles/2647877367", "매물Link")</f>
        <v/>
      </c>
      <c r="Q200" s="6">
        <f>HYPERLINK("https://map.naver.com/p/search/조치원읍 신안리 146-2", "지도Link")</f>
        <v/>
      </c>
      <c r="R200" s="6">
        <f>HYPERLINK("https://www.eum.go.kr/web/mp/mpMapDet.jsp?pnu=3611025032101460002&amp;isNoScr=script&amp;mode=search", "토지이음")</f>
        <v/>
      </c>
      <c r="S200" s="3" t="inlineStr">
        <is>
          <t>무지개</t>
        </is>
      </c>
      <c r="T200" s="4" t="n">
        <v>1</v>
      </c>
      <c r="U200" s="5" t="n">
        <v>188.1</v>
      </c>
      <c r="V200" s="4" t="n">
        <v>247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168-4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</v>
      </c>
      <c r="H201" s="4" t="n">
        <v>23</v>
      </c>
      <c r="I201" s="4" t="n">
        <v>20</v>
      </c>
      <c r="J201" s="4" t="n">
        <v>6</v>
      </c>
      <c r="K201" s="5" t="n">
        <v>3.8</v>
      </c>
      <c r="L201" s="4" t="n">
        <v>20</v>
      </c>
      <c r="M201" s="4" t="n">
        <v>6</v>
      </c>
      <c r="N201" s="5" t="n">
        <v>3.8</v>
      </c>
      <c r="O201" s="3" t="inlineStr">
        <is>
          <t>신안리 홍대국제연수원인근 저렴한원룸 즉시 입주가능합니다</t>
        </is>
      </c>
      <c r="P201" s="6">
        <f>HYPERLINK("https://fin.land.naver.com/articles/2649980274", "매물Link")</f>
        <v/>
      </c>
      <c r="Q201" s="6">
        <f>HYPERLINK("https://map.naver.com/p/search/조치원읍 신안리 168-4", "지도Link")</f>
        <v/>
      </c>
      <c r="R201" s="6">
        <f>HYPERLINK("https://www.eum.go.kr/web/mp/mpMapDet.jsp?pnu=3611025032101680004&amp;isNoScr=script&amp;mode=search", "토지이음")</f>
        <v/>
      </c>
      <c r="S201" s="3" t="inlineStr">
        <is>
          <t>OK수</t>
        </is>
      </c>
      <c r="T201" s="4" t="n">
        <v>1</v>
      </c>
      <c r="U201" s="5" t="n">
        <v>171.6</v>
      </c>
      <c r="V201" s="4" t="n">
        <v>217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168-5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50000</v>
      </c>
      <c r="H202" s="4" t="n">
        <v>0</v>
      </c>
      <c r="I202" s="4" t="n">
        <v>208</v>
      </c>
      <c r="J202" s="4" t="n">
        <v>63</v>
      </c>
      <c r="K202" s="5" t="n">
        <v>793.7</v>
      </c>
      <c r="L202" s="4" t="n">
        <v>207</v>
      </c>
      <c r="M202" s="4" t="n">
        <v>63</v>
      </c>
      <c r="N202" s="5" t="n">
        <v>793.7</v>
      </c>
      <c r="O202" s="3" t="inlineStr">
        <is>
          <t>홍익대 조치원캠퍼스 인근 임대료 수익, 11호실</t>
        </is>
      </c>
      <c r="P202" s="6">
        <f>HYPERLINK("https://fin.land.naver.com/articles/2648906557", "매물Link")</f>
        <v/>
      </c>
      <c r="Q202" s="6">
        <f>HYPERLINK("https://map.naver.com/p/search/조치원읍 신안리 168-5", "지도Link")</f>
        <v/>
      </c>
      <c r="R202" s="6">
        <f>HYPERLINK("https://www.eum.go.kr/web/mp/mpMapDet.jsp?pnu=3611025032101680005&amp;isNoScr=script&amp;mode=search", "토지이음")</f>
        <v/>
      </c>
      <c r="S202" s="3" t="inlineStr">
        <is>
          <t>웰스플랜</t>
        </is>
      </c>
      <c r="T202" s="4" t="n">
        <v>1</v>
      </c>
      <c r="U202" s="5" t="n">
        <v>171.6</v>
      </c>
      <c r="V202" s="4" t="n">
        <v>208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신축,즉시입주가능, 홍대근접,엘리베이터 있음 주차장 여유, 조용한 환경</t>
        </is>
      </c>
      <c r="P203" s="6">
        <f>HYPERLINK("https://fin.land.naver.com/articles/2645450946", "매물Link")</f>
        <v/>
      </c>
      <c r="Q203" s="6">
        <f>HYPERLINK("https://map.naver.com/p/search/조치원읍 신안리 179-17", "지도Link")</f>
        <v/>
      </c>
      <c r="R203" s="6">
        <f>HYPERLINK("https://www.eum.go.kr/web/mp/mpMapDet.jsp?pnu=3611025032101790017&amp;isNoScr=script&amp;mode=search",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신안리 홍익대학교 연수원앞, 숲이 우거진 아름다운 집임.</t>
        </is>
      </c>
      <c r="P204" s="6">
        <f>HYPERLINK("https://fin.land.naver.com/articles/2649178224", "매물Link")</f>
        <v/>
      </c>
      <c r="Q204" s="6">
        <f>HYPERLINK("https://map.naver.com/p/search/조치원읍 신안리 179-17", "지도Link")</f>
        <v/>
      </c>
      <c r="R204" s="6">
        <f>HYPERLINK("https://www.eum.go.kr/web/mp/mpMapDet.jsp?pnu=3611025032101790017&amp;isNoScr=script&amp;mode=search", "토지이음")</f>
        <v/>
      </c>
      <c r="S204" s="3" t="inlineStr">
        <is>
          <t>꿈드림</t>
        </is>
      </c>
      <c r="T204" s="4" t="n">
        <v>2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HYPERLINK("https://www.eum.go.kr/web/mp/mpMapDet.jsp?pnu=3611025032101790017&amp;isNoScr=script&amp;mode=search", "토지이음")</f>
        <v/>
      </c>
      <c r="S205" s="3" t="inlineStr">
        <is>
          <t>푸르지오</t>
        </is>
      </c>
      <c r="T205" s="4" t="n">
        <v>6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조치원읍 신안리 신축 프리미엄 빌라 급매, 쓰리룸 엘리베이터 주차여유</t>
        </is>
      </c>
      <c r="P206" s="6">
        <f>HYPERLINK("https://fin.land.naver.com/articles/2647624029", "매물Link")</f>
        <v/>
      </c>
      <c r="Q206" s="6">
        <f>HYPERLINK("https://map.naver.com/p/search/조치원읍 신안리 179-17", "지도Link")</f>
        <v/>
      </c>
      <c r="R206" s="6">
        <f>HYPERLINK("https://www.eum.go.kr/web/mp/mpMapDet.jsp?pnu=3611025032101790017&amp;isNoScr=script&amp;mode=search", "토지이음")</f>
        <v/>
      </c>
      <c r="S206" s="3" t="inlineStr">
        <is>
          <t>빅토리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HYPERLINK("https://www.eum.go.kr/web/mp/mpMapDet.jsp?pnu=3611025032101790017&amp;isNoScr=script&amp;mode=search",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16500</v>
      </c>
      <c r="H208" s="4" t="n">
        <v>0</v>
      </c>
      <c r="I208" s="4" t="n">
        <v>93</v>
      </c>
      <c r="J208" s="4" t="n">
        <v>28</v>
      </c>
      <c r="K208" s="5" t="n">
        <v>589.3</v>
      </c>
      <c r="L208" s="4" t="n">
        <v>80</v>
      </c>
      <c r="M208" s="4" t="n">
        <v>24</v>
      </c>
      <c r="N208" s="5" t="n">
        <v>687.5</v>
      </c>
      <c r="O208" s="3" t="inlineStr">
        <is>
          <t>신안리 올리모델링 30p 빌라.복선전철 수혜 기대.즉시입주 가능</t>
        </is>
      </c>
      <c r="P208" s="6">
        <f>HYPERLINK("https://fin.land.naver.com/articles/2647419659", "매물Link")</f>
        <v/>
      </c>
      <c r="Q208" s="6">
        <f>HYPERLINK("https://map.naver.com/p/search/조치원읍 신안리 179-17", "지도Link")</f>
        <v/>
      </c>
      <c r="R208" s="6">
        <f>HYPERLINK("https://www.eum.go.kr/web/mp/mpMapDet.jsp?pnu=3611025032101790017&amp;isNoScr=script&amp;mode=search", "토지이음")</f>
        <v/>
      </c>
      <c r="S208" s="3" t="inlineStr">
        <is>
          <t>하늘</t>
        </is>
      </c>
      <c r="T208" s="4" t="n">
        <v>1</v>
      </c>
      <c r="U208" s="5" t="n">
        <v>171.6</v>
      </c>
      <c r="V208" s="4" t="n">
        <v>336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nan</t>
        </is>
      </c>
      <c r="P209" s="6">
        <f>HYPERLINK("https://fin.land.naver.com/articles/2650337382", "매물Link")</f>
        <v/>
      </c>
      <c r="Q209" s="6">
        <f>HYPERLINK("https://map.naver.com/p/search/조치원읍 신안리 179-17", "지도Link")</f>
        <v/>
      </c>
      <c r="R209" s="6">
        <f>HYPERLINK("https://www.eum.go.kr/web/mp/mpMapDet.jsp?pnu=3611025032101790017&amp;isNoScr=script&amp;mode=search", "토지이음")</f>
        <v/>
      </c>
      <c r="S209" s="3" t="inlineStr">
        <is>
          <t>웰스플랜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80</v>
      </c>
      <c r="M210" s="4" t="n">
        <v>24</v>
      </c>
      <c r="N210" s="5" t="n">
        <v>687.5</v>
      </c>
      <c r="O210" s="3" t="inlineStr">
        <is>
          <t>올리모델링, 4층단독세대, 방3욕실2, 승강기, 적극협의</t>
        </is>
      </c>
      <c r="P210" s="6">
        <f>HYPERLINK("https://fin.land.naver.com/articles/2647198591", "매물Link")</f>
        <v/>
      </c>
      <c r="Q210" s="6">
        <f>HYPERLINK("https://map.naver.com/p/search/조치원읍 신안리 179-17", "지도Link")</f>
        <v/>
      </c>
      <c r="R210" s="6">
        <f>HYPERLINK("https://www.eum.go.kr/web/mp/mpMapDet.jsp?pnu=3611025032101790017&amp;isNoScr=script&amp;mode=search", "토지이음")</f>
        <v/>
      </c>
      <c r="S210" s="3" t="inlineStr">
        <is>
          <t>보배</t>
        </is>
      </c>
      <c r="T210" s="4" t="n">
        <v>2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전원형 주거지신축빌라, 올리모델링, 급매 1억6500만원, 역세권예정</t>
        </is>
      </c>
      <c r="P211" s="6">
        <f>HYPERLINK("https://fin.land.naver.com/articles/2644847919", "매물Link")</f>
        <v/>
      </c>
      <c r="Q211" s="6">
        <f>HYPERLINK("https://map.naver.com/p/search/조치원읍 신안리 179-17", "지도Link")</f>
        <v/>
      </c>
      <c r="R211" s="6">
        <f>HYPERLINK("https://www.eum.go.kr/web/mp/mpMapDet.jsp?pnu=3611025032101790017&amp;isNoScr=script&amp;mode=search", "토지이음")</f>
        <v/>
      </c>
      <c r="S211" s="3" t="inlineStr">
        <is>
          <t>대한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홍대 신축, 올리모델링,엘베,급매</t>
        </is>
      </c>
      <c r="P212" s="6">
        <f>HYPERLINK("https://fin.land.naver.com/articles/2646910242", "매물Link")</f>
        <v/>
      </c>
      <c r="Q212" s="6">
        <f>HYPERLINK("https://map.naver.com/p/search/조치원읍 신안리 179-17", "지도Link")</f>
        <v/>
      </c>
      <c r="R212" s="6">
        <f>HYPERLINK("https://www.eum.go.kr/web/mp/mpMapDet.jsp?pnu=3611025032101790017&amp;isNoScr=script&amp;mode=search", "토지이음")</f>
        <v/>
      </c>
      <c r="S212" s="3" t="inlineStr">
        <is>
          <t>다옴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홍익대바로인근 신축빌라 올리모델링 전원주택형 예쁜빌라 교통입지편리한곳</t>
        </is>
      </c>
      <c r="P213" s="6">
        <f>HYPERLINK("https://fin.land.naver.com/articles/2646835563", "매물Link")</f>
        <v/>
      </c>
      <c r="Q213" s="6">
        <f>HYPERLINK("https://map.naver.com/p/search/조치원읍 신안리 179-17", "지도Link")</f>
        <v/>
      </c>
      <c r="R213" s="6">
        <f>HYPERLINK("https://www.eum.go.kr/web/mp/mpMapDet.jsp?pnu=3611025032101790017&amp;isNoScr=script&amp;mode=search", "토지이음")</f>
        <v/>
      </c>
      <c r="S213" s="3" t="inlineStr">
        <is>
          <t>오송휴먼캐슬</t>
        </is>
      </c>
      <c r="T213" s="4" t="n">
        <v>2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28000</v>
      </c>
      <c r="H214" s="4" t="n">
        <v>0</v>
      </c>
      <c r="I214" s="4" t="n">
        <v>360</v>
      </c>
      <c r="J214" s="4" t="n">
        <v>109</v>
      </c>
      <c r="K214" s="5" t="n">
        <v>256.9</v>
      </c>
      <c r="L214" s="4" t="n">
        <v>61</v>
      </c>
      <c r="M214" s="4" t="n">
        <v>18</v>
      </c>
      <c r="N214" s="5" t="n">
        <v>1555.6</v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6">
        <f>HYPERLINK("https://www.eum.go.kr/web/mp/mpMapDet.jsp?pnu=3611025032101790002&amp;isNoScr=script&amp;mode=search", "토지이음")</f>
        <v/>
      </c>
      <c r="S214" s="3" t="inlineStr">
        <is>
          <t>강우림</t>
        </is>
      </c>
      <c r="T214" s="4" t="n">
        <v>1</v>
      </c>
      <c r="U214" s="5" t="n">
        <v>175</v>
      </c>
      <c r="V214" s="4" t="n">
        <v>360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전세</t>
        </is>
      </c>
      <c r="G215" s="4" t="n">
        <v>3000</v>
      </c>
      <c r="H215" s="4" t="n">
        <v>0</v>
      </c>
      <c r="I215" s="4" t="n">
        <v>36</v>
      </c>
      <c r="J215" s="4" t="n">
        <v>11</v>
      </c>
      <c r="K215" s="5" t="n">
        <v>272.7</v>
      </c>
      <c r="L215" s="4" t="n">
        <v>36</v>
      </c>
      <c r="M215" s="4" t="n">
        <v>11</v>
      </c>
      <c r="N215" s="5" t="n">
        <v>272.7</v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6">
        <f>HYPERLINK("https://www.eum.go.kr/web/mp/mpMapDet.jsp?pnu=3611025032101930010&amp;isNoScr=script&amp;mode=search",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167.4</v>
      </c>
      <c r="V215" s="4" t="n">
        <v>195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다가구</t>
        </is>
      </c>
      <c r="F216" s="3" t="inlineStr">
        <is>
          <t>매매</t>
        </is>
      </c>
      <c r="G216" s="4" t="n">
        <v>70000</v>
      </c>
      <c r="H216" s="4" t="n">
        <v>0</v>
      </c>
      <c r="I216" s="4" t="n">
        <v>595</v>
      </c>
      <c r="J216" s="4" t="n">
        <v>180</v>
      </c>
      <c r="K216" s="5" t="n">
        <v>388.9</v>
      </c>
      <c r="L216" s="4" t="n">
        <v>346</v>
      </c>
      <c r="M216" s="4" t="n">
        <v>105</v>
      </c>
      <c r="N216" s="5" t="n">
        <v>666.7</v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6">
        <f>HYPERLINK("https://www.eum.go.kr/web/mp/mpMapDet.jsp?pnu=3611025032101970003&amp;isNoScr=script&amp;mode=search", "토지이음")</f>
        <v/>
      </c>
      <c r="S216" s="3" t="inlineStr">
        <is>
          <t>에이팩시티지정</t>
        </is>
      </c>
      <c r="T216" s="4" t="n">
        <v>1</v>
      </c>
      <c r="U216" s="5" t="n">
        <v>171.6</v>
      </c>
      <c r="V216" s="4" t="n">
        <v>595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241</v>
      </c>
      <c r="J217" s="4" t="n">
        <v>73</v>
      </c>
      <c r="K217" s="5" t="n">
        <v>1274</v>
      </c>
      <c r="L217" s="4" t="n">
        <v>299</v>
      </c>
      <c r="M217" s="4" t="n">
        <v>90</v>
      </c>
      <c r="N217" s="5" t="n">
        <v>1033.3</v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6">
        <f>HYPERLINK("https://www.eum.go.kr/web/mp/mpMapDet.jsp?pnu=3611025032103290003&amp;isNoScr=script&amp;mode=search", "토지이음")</f>
        <v/>
      </c>
      <c r="S217" s="3" t="inlineStr">
        <is>
          <t>세종새빛</t>
        </is>
      </c>
      <c r="T217" s="4" t="n">
        <v>1</v>
      </c>
      <c r="U217" s="5" t="n">
        <v>193.5</v>
      </c>
      <c r="V217" s="4" t="n">
        <v>241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271</v>
      </c>
      <c r="J218" s="4" t="n">
        <v>82</v>
      </c>
      <c r="K218" s="5" t="n">
        <v>731.7</v>
      </c>
      <c r="L218" s="4" t="n">
        <v>428</v>
      </c>
      <c r="M218" s="4" t="n">
        <v>129</v>
      </c>
      <c r="N218" s="5" t="n">
        <v>465.1</v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6">
        <f>HYPERLINK("https://www.eum.go.kr/web/mp/mpMapDet.jsp?pnu=3611025032103410001&amp;isNoScr=script&amp;mode=search",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227</v>
      </c>
      <c r="V218" s="4" t="n">
        <v>271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단독</t>
        </is>
      </c>
      <c r="F219" s="3" t="inlineStr">
        <is>
          <t>매매</t>
        </is>
      </c>
      <c r="G219" s="4" t="n">
        <v>230000</v>
      </c>
      <c r="H219" s="4" t="n">
        <v>0</v>
      </c>
      <c r="I219" s="4" t="n">
        <v>304</v>
      </c>
      <c r="J219" s="4" t="n">
        <v>92</v>
      </c>
      <c r="K219" s="5" t="n">
        <v>2500</v>
      </c>
      <c r="L219" s="4" t="n">
        <v>331</v>
      </c>
      <c r="M219" s="4" t="n">
        <v>100</v>
      </c>
      <c r="N219" s="5" t="n">
        <v>2300</v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6">
        <f>HYPERLINK("https://www.eum.go.kr/web/mp/mpMapDet.jsp?pnu=3611025032103430005&amp;isNoScr=script&amp;mode=search", "토지이음")</f>
        <v/>
      </c>
      <c r="S219" s="3" t="inlineStr">
        <is>
          <t>생생</t>
        </is>
      </c>
      <c r="T219" s="4" t="n">
        <v>1</v>
      </c>
      <c r="U219" s="5" t="n">
        <v>299.6</v>
      </c>
      <c r="V219" s="4" t="n">
        <v>304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72500</v>
      </c>
      <c r="H220" s="4" t="n">
        <v>0</v>
      </c>
      <c r="I220" s="4" t="n">
        <v>156</v>
      </c>
      <c r="J220" s="4" t="n">
        <v>47</v>
      </c>
      <c r="K220" s="5" t="n">
        <v>1542.6</v>
      </c>
      <c r="L220" s="4" t="n">
        <v>264</v>
      </c>
      <c r="M220" s="4" t="n">
        <v>80</v>
      </c>
      <c r="N220" s="5" t="n">
        <v>906.2</v>
      </c>
      <c r="O220" s="3" t="inlineStr">
        <is>
          <t>고객만족1위, 홍익대부근세종캠, 고려대근방세종캠, 조치원역 부근</t>
        </is>
      </c>
      <c r="P220" s="6">
        <f>HYPERLINK("https://fin.land.naver.com/articles/2645913527", "매물Link")</f>
        <v/>
      </c>
      <c r="Q220" s="6">
        <f>HYPERLINK("https://map.naver.com/p/search/조치원읍 신안리 353-19", "지도Link")</f>
        <v/>
      </c>
      <c r="R220" s="6">
        <f>HYPERLINK("https://www.eum.go.kr/web/mp/mpMapDet.jsp?pnu=3611025032103530019&amp;isNoScr=script&amp;mode=search", "토지이음")</f>
        <v/>
      </c>
      <c r="S220" s="3" t="inlineStr">
        <is>
          <t>생생</t>
        </is>
      </c>
      <c r="T220" s="4" t="n">
        <v>1</v>
      </c>
      <c r="U220" s="5" t="n">
        <v>210.3</v>
      </c>
      <c r="V220" s="4" t="n">
        <v>156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62000</v>
      </c>
      <c r="H221" s="4" t="n">
        <v>0</v>
      </c>
      <c r="I221" s="4" t="n">
        <v>158</v>
      </c>
      <c r="J221" s="4" t="n">
        <v>48</v>
      </c>
      <c r="K221" s="5" t="n">
        <v>1291.7</v>
      </c>
      <c r="L221" s="4" t="n">
        <v>264</v>
      </c>
      <c r="M221" s="4" t="n">
        <v>80</v>
      </c>
      <c r="N221" s="5" t="n">
        <v>775</v>
      </c>
      <c r="O221" s="3" t="inlineStr">
        <is>
          <t>nan</t>
        </is>
      </c>
      <c r="P221" s="6">
        <f>HYPERLINK("https://fin.land.naver.com/articles/2650552332", "매물Link")</f>
        <v/>
      </c>
      <c r="Q221" s="6">
        <f>HYPERLINK("https://map.naver.com/p/search/조치원읍 신안리 353-19", "지도Link")</f>
        <v/>
      </c>
      <c r="R221" s="6">
        <f>HYPERLINK("https://www.eum.go.kr/web/mp/mpMapDet.jsp?pnu=3611025032103530019&amp;isNoScr=script&amp;mode=search",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210.3</v>
      </c>
      <c r="V221" s="4" t="n">
        <v>156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다가구</t>
        </is>
      </c>
      <c r="F222" s="3" t="inlineStr">
        <is>
          <t>매매</t>
        </is>
      </c>
      <c r="G222" s="4" t="n">
        <v>90000</v>
      </c>
      <c r="H222" s="4" t="n">
        <v>0</v>
      </c>
      <c r="I222" s="4" t="n">
        <v>347</v>
      </c>
      <c r="J222" s="4" t="n">
        <v>105</v>
      </c>
      <c r="K222" s="5" t="n">
        <v>857.1</v>
      </c>
      <c r="L222" s="4" t="n">
        <v>615</v>
      </c>
      <c r="M222" s="4" t="n">
        <v>186</v>
      </c>
      <c r="N222" s="5" t="n">
        <v>483.9</v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6">
        <f>HYPERLINK("https://www.eum.go.kr/web/mp/mpMapDet.jsp?pnu=3611025032103540040&amp;isNoScr=script&amp;mode=search", "토지이음")</f>
        <v/>
      </c>
      <c r="S222" s="3" t="inlineStr">
        <is>
          <t>세종공감</t>
        </is>
      </c>
      <c r="T222" s="4" t="n">
        <v>1</v>
      </c>
      <c r="U222" s="5" t="n">
        <v>204</v>
      </c>
      <c r="V222" s="4" t="n">
        <v>273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80000</v>
      </c>
      <c r="H223" s="4" t="n">
        <v>0</v>
      </c>
      <c r="I223" s="4" t="n">
        <v>537</v>
      </c>
      <c r="J223" s="4" t="n">
        <v>162</v>
      </c>
      <c r="K223" s="5" t="n">
        <v>493.8</v>
      </c>
      <c r="L223" s="4" t="n">
        <v>521</v>
      </c>
      <c r="M223" s="4" t="n">
        <v>158</v>
      </c>
      <c r="N223" s="5" t="n">
        <v>506.3</v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6">
        <f>HYPERLINK("https://www.eum.go.kr/web/mp/mpMapDet.jsp?pnu=3611025032103730001&amp;isNoScr=script&amp;mode=search",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197.1</v>
      </c>
      <c r="V223" s="4" t="n">
        <v>588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188</v>
      </c>
      <c r="J224" s="4" t="n">
        <v>57</v>
      </c>
      <c r="K224" s="5" t="n">
        <v>789.5</v>
      </c>
      <c r="L224" s="4" t="n">
        <v>326</v>
      </c>
      <c r="M224" s="4" t="n">
        <v>99</v>
      </c>
      <c r="N224" s="5" t="n">
        <v>454.5</v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6">
        <f>HYPERLINK("https://www.eum.go.kr/web/mp/mpMapDet.jsp?pnu=3611025032103830013&amp;isNoScr=script&amp;mode=search", "토지이음")</f>
        <v/>
      </c>
      <c r="S224" s="3" t="inlineStr">
        <is>
          <t>고래</t>
        </is>
      </c>
      <c r="T224" s="4" t="n">
        <v>1</v>
      </c>
      <c r="U224" s="5" t="n">
        <v>208.6</v>
      </c>
      <c r="V224" s="4" t="n">
        <v>188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314</v>
      </c>
      <c r="J225" s="4" t="n">
        <v>95</v>
      </c>
      <c r="K225" s="5" t="n">
        <v>473.7</v>
      </c>
      <c r="L225" s="4" t="n">
        <v>224</v>
      </c>
      <c r="M225" s="4" t="n">
        <v>68</v>
      </c>
      <c r="N225" s="5" t="n">
        <v>661.8</v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6">
        <f>HYPERLINK("https://www.eum.go.kr/web/mp/mpMapDet.jsp?pnu=3611025032103830008&amp;isNoScr=script&amp;mode=search",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200.1</v>
      </c>
      <c r="V225" s="4" t="n">
        <v>302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35000</v>
      </c>
      <c r="H226" s="4" t="n">
        <v>0</v>
      </c>
      <c r="I226" s="4" t="n">
        <v>230</v>
      </c>
      <c r="J226" s="4" t="n">
        <v>70</v>
      </c>
      <c r="K226" s="5" t="n">
        <v>500</v>
      </c>
      <c r="L226" s="4" t="n">
        <v>156</v>
      </c>
      <c r="M226" s="4" t="n">
        <v>47</v>
      </c>
      <c r="N226" s="5" t="n">
        <v>744.7</v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6">
        <f>HYPERLINK("https://www.eum.go.kr/web/mp/mpMapDet.jsp?pnu=3611025032103840002&amp;isNoScr=script&amp;mode=search", "토지이음")</f>
        <v/>
      </c>
      <c r="S226" s="3" t="inlineStr">
        <is>
          <t>서울(단지내)</t>
        </is>
      </c>
      <c r="T226" s="4" t="n">
        <v>1</v>
      </c>
      <c r="U226" s="5" t="n">
        <v>206.8</v>
      </c>
      <c r="V226" s="4" t="n">
        <v>252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60000</v>
      </c>
      <c r="H227" s="4" t="n">
        <v>0</v>
      </c>
      <c r="I227" s="4" t="n">
        <v>322</v>
      </c>
      <c r="J227" s="4" t="n">
        <v>97</v>
      </c>
      <c r="K227" s="5" t="n">
        <v>618.6</v>
      </c>
      <c r="L227" s="4" t="n">
        <v>493</v>
      </c>
      <c r="M227" s="4" t="n">
        <v>149</v>
      </c>
      <c r="N227" s="5" t="n">
        <v>402.7</v>
      </c>
      <c r="O227" s="3" t="inlineStr">
        <is>
          <t>홍익대학교 원룸 다가구매매.수익률잘나옴.</t>
        </is>
      </c>
      <c r="P227" s="6">
        <f>HYPERLINK("https://fin.land.naver.com/articles/2650552276", "매물Link")</f>
        <v/>
      </c>
      <c r="Q227" s="6">
        <f>HYPERLINK("https://map.naver.com/p/search/조치원읍 신안리 385-12", "지도Link")</f>
        <v/>
      </c>
      <c r="R227" s="6">
        <f>HYPERLINK("https://www.eum.go.kr/web/mp/mpMapDet.jsp?pnu=3611025032103850012&amp;isNoScr=script&amp;mode=search",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192.9</v>
      </c>
      <c r="V227" s="4" t="n">
        <v>322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322</v>
      </c>
      <c r="J228" s="4" t="n">
        <v>97</v>
      </c>
      <c r="K228" s="5" t="n">
        <v>618.6</v>
      </c>
      <c r="L228" s="4" t="n">
        <v>493</v>
      </c>
      <c r="M228" s="4" t="n">
        <v>149</v>
      </c>
      <c r="N228" s="5" t="n">
        <v>402.7</v>
      </c>
      <c r="O228" s="3" t="inlineStr">
        <is>
          <t>홍익대학교, 고려대학교 후문쪽 위치, 공실없음</t>
        </is>
      </c>
      <c r="P228" s="6">
        <f>HYPERLINK("https://fin.land.naver.com/articles/2647247647", "매물Link")</f>
        <v/>
      </c>
      <c r="Q228" s="6">
        <f>HYPERLINK("https://map.naver.com/p/search/조치원읍 신안리 385-12", "지도Link")</f>
        <v/>
      </c>
      <c r="R228" s="6">
        <f>HYPERLINK("https://www.eum.go.kr/web/mp/mpMapDet.jsp?pnu=3611025032103850012&amp;isNoScr=script&amp;mode=search",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192.9</v>
      </c>
      <c r="V228" s="4" t="n">
        <v>322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322</v>
      </c>
      <c r="J229" s="4" t="n">
        <v>97</v>
      </c>
      <c r="K229" s="5" t="n">
        <v>618.6</v>
      </c>
      <c r="L229" s="4" t="n">
        <v>493</v>
      </c>
      <c r="M229" s="4" t="n">
        <v>149</v>
      </c>
      <c r="N229" s="5" t="n">
        <v>402.7</v>
      </c>
      <c r="O229" s="3" t="inlineStr">
        <is>
          <t>nan</t>
        </is>
      </c>
      <c r="P229" s="6">
        <f>HYPERLINK("https://fin.land.naver.com/articles/2645783015", "매물Link")</f>
        <v/>
      </c>
      <c r="Q229" s="6">
        <f>HYPERLINK("https://map.naver.com/p/search/조치원읍 신안리 385-12", "지도Link")</f>
        <v/>
      </c>
      <c r="R229" s="6">
        <f>HYPERLINK("https://www.eum.go.kr/web/mp/mpMapDet.jsp?pnu=3611025032103850012&amp;isNoScr=script&amp;mode=search",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192.9</v>
      </c>
      <c r="V229" s="4" t="n">
        <v>322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다가구</t>
        </is>
      </c>
      <c r="F230" s="3" t="inlineStr">
        <is>
          <t>월세</t>
        </is>
      </c>
      <c r="G230" s="4" t="n">
        <v>100</v>
      </c>
      <c r="H230" s="4" t="n">
        <v>26</v>
      </c>
      <c r="I230" s="4" t="n">
        <v>26</v>
      </c>
      <c r="J230" s="4" t="n">
        <v>8</v>
      </c>
      <c r="K230" s="5" t="n">
        <v>3.2</v>
      </c>
      <c r="L230" s="4" t="n">
        <v>26</v>
      </c>
      <c r="M230" s="4" t="n">
        <v>8</v>
      </c>
      <c r="N230" s="5" t="n">
        <v>3.2</v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6">
        <f>HYPERLINK("https://www.eum.go.kr/web/mp/mpMapDet.jsp?pnu=3611025032103860000&amp;isNoScr=script&amp;mode=search", "토지이음")</f>
        <v/>
      </c>
      <c r="S230" s="3" t="inlineStr">
        <is>
          <t>세종베스트</t>
        </is>
      </c>
      <c r="T230" s="4" t="n">
        <v>1</v>
      </c>
      <c r="U230" s="5" t="n">
        <v>192.9</v>
      </c>
      <c r="V230" s="4" t="n">
        <v>295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351</v>
      </c>
      <c r="J231" s="4" t="n">
        <v>106</v>
      </c>
      <c r="K231" s="5" t="n">
        <v>1037.7</v>
      </c>
      <c r="L231" s="4" t="n">
        <v>594</v>
      </c>
      <c r="M231" s="4" t="n">
        <v>180</v>
      </c>
      <c r="N231" s="5" t="n">
        <v>611.1</v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6">
        <f>HYPERLINK("https://www.eum.go.kr/web/mp/mpMapDet.jsp?pnu=3611025032103870005&amp;isNoScr=script&amp;mode=search",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182.9</v>
      </c>
      <c r="V231" s="4" t="n">
        <v>351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351</v>
      </c>
      <c r="J232" s="4" t="n">
        <v>106</v>
      </c>
      <c r="K232" s="5" t="n">
        <v>1009.4</v>
      </c>
      <c r="L232" s="4" t="n">
        <v>594</v>
      </c>
      <c r="M232" s="4" t="n">
        <v>180</v>
      </c>
      <c r="N232" s="5" t="n">
        <v>594.4</v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6">
        <f>HYPERLINK("https://www.eum.go.kr/web/mp/mpMapDet.jsp?pnu=3611025032103870005&amp;isNoScr=script&amp;mode=search", "토지이음")</f>
        <v/>
      </c>
      <c r="S232" s="3" t="inlineStr">
        <is>
          <t>무지개</t>
        </is>
      </c>
      <c r="T232" s="4" t="n">
        <v>1</v>
      </c>
      <c r="U232" s="5" t="n">
        <v>182.9</v>
      </c>
      <c r="V232" s="4" t="n">
        <v>351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388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29</v>
      </c>
      <c r="I233" s="4" t="n">
        <v>25</v>
      </c>
      <c r="J233" s="4" t="n">
        <v>8</v>
      </c>
      <c r="K233" s="5" t="n">
        <v>3.6</v>
      </c>
      <c r="L233" s="4" t="n">
        <v>25</v>
      </c>
      <c r="M233" s="4" t="n">
        <v>8</v>
      </c>
      <c r="N233" s="5" t="n">
        <v>3.6</v>
      </c>
      <c r="O233" s="3" t="inlineStr">
        <is>
          <t>공실 즉시입주 1층 주차장 있는 집</t>
        </is>
      </c>
      <c r="P233" s="6">
        <f>HYPERLINK("https://fin.land.naver.com/articles/2649956504", "매물Link")</f>
        <v/>
      </c>
      <c r="Q233" s="6">
        <f>HYPERLINK("https://map.naver.com/p/search/조치원읍 신안리 388", "지도Link")</f>
        <v/>
      </c>
      <c r="R233" s="6">
        <f>HYPERLINK("https://www.eum.go.kr/web/mp/mpMapDet.jsp?pnu=3611025032103880000&amp;isNoScr=script&amp;mode=search",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198.8</v>
      </c>
      <c r="V233" s="4" t="n">
        <v>384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100</v>
      </c>
      <c r="H234" s="4" t="n">
        <v>20</v>
      </c>
      <c r="I234" s="4" t="n">
        <v>15</v>
      </c>
      <c r="J234" s="4" t="n">
        <v>5</v>
      </c>
      <c r="K234" s="5" t="n">
        <v>4</v>
      </c>
      <c r="L234" s="4" t="n">
        <v>15</v>
      </c>
      <c r="M234" s="4" t="n">
        <v>5</v>
      </c>
      <c r="N234" s="5" t="n">
        <v>4</v>
      </c>
      <c r="O234" s="3" t="inlineStr">
        <is>
          <t>한달28만원에 공과금 모두 포함, 추가금 없음</t>
        </is>
      </c>
      <c r="P234" s="6">
        <f>HYPERLINK("https://fin.land.naver.com/articles/2648554234", "매물Link")</f>
        <v/>
      </c>
      <c r="Q234" s="6">
        <f>HYPERLINK("https://map.naver.com/p/search/조치원읍 신안리 389-8", "지도Link")</f>
        <v/>
      </c>
      <c r="R234" s="6">
        <f>HYPERLINK("https://www.eum.go.kr/web/mp/mpMapDet.jsp?pnu=3611025032103890008&amp;isNoScr=script&amp;mode=search", "토지이음")</f>
        <v/>
      </c>
      <c r="S234" s="3" t="inlineStr">
        <is>
          <t>부자터</t>
        </is>
      </c>
      <c r="T234" s="4" t="n">
        <v>1</v>
      </c>
      <c r="U234" s="5" t="n">
        <v>363.6</v>
      </c>
      <c r="V234" s="4" t="n">
        <v>294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조치원읍 신안리 389-8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일반원룸</t>
        </is>
      </c>
      <c r="F235" s="3" t="inlineStr">
        <is>
          <t>전세</t>
        </is>
      </c>
      <c r="G235" s="4" t="n">
        <v>4500</v>
      </c>
      <c r="H235" s="4" t="n">
        <v>0</v>
      </c>
      <c r="I235" s="4" t="n">
        <v>25</v>
      </c>
      <c r="J235" s="4" t="n">
        <v>8</v>
      </c>
      <c r="K235" s="5" t="n">
        <v>562.5</v>
      </c>
      <c r="L235" s="4" t="n">
        <v>25</v>
      </c>
      <c r="M235" s="4" t="n">
        <v>8</v>
      </c>
      <c r="N235" s="5" t="n">
        <v>562.5</v>
      </c>
      <c r="O235" s="3" t="inlineStr">
        <is>
          <t>공과금 모두 포함하여 1달 15만원 추가비용없음</t>
        </is>
      </c>
      <c r="P235" s="6">
        <f>HYPERLINK("https://fin.land.naver.com/articles/2647185496", "매물Link")</f>
        <v/>
      </c>
      <c r="Q235" s="6">
        <f>HYPERLINK("https://map.naver.com/p/search/조치원읍 신안리 389-8", "지도Link")</f>
        <v/>
      </c>
      <c r="R235" s="6">
        <f>HYPERLINK("https://www.eum.go.kr/web/mp/mpMapDet.jsp?pnu=3611025032103890008&amp;isNoScr=script&amp;mode=search", "토지이음")</f>
        <v/>
      </c>
      <c r="S235" s="3" t="inlineStr">
        <is>
          <t>부자터</t>
        </is>
      </c>
      <c r="T235" s="4" t="n">
        <v>1</v>
      </c>
      <c r="U235" s="5" t="n">
        <v>363.6</v>
      </c>
      <c r="V235" s="4" t="n">
        <v>294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중로한면</t>
        </is>
      </c>
    </row>
    <row r="236">
      <c r="A236" s="3" t="inlineStr">
        <is>
          <t>조치원읍 신안리 393-12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</v>
      </c>
      <c r="H236" s="4" t="n">
        <v>38</v>
      </c>
      <c r="I236" s="4" t="n">
        <v>0</v>
      </c>
      <c r="J236" s="4" t="n">
        <v>0</v>
      </c>
      <c r="K236" s="5" t="n">
        <v>0</v>
      </c>
      <c r="L236" s="4" t="n">
        <v>13</v>
      </c>
      <c r="M236" s="4" t="n">
        <v>4</v>
      </c>
      <c r="N236" s="5" t="n">
        <v>9.5</v>
      </c>
      <c r="O236" s="3" t="inlineStr">
        <is>
          <t>출퇴근용으로 거주하기 좋은 저렴한 원룸단기가능모든공과금포함</t>
        </is>
      </c>
      <c r="P236" s="6">
        <f>HYPERLINK("https://fin.land.naver.com/articles/2647381579", "매물Link")</f>
        <v/>
      </c>
      <c r="Q236" s="6">
        <f>HYPERLINK("https://map.naver.com/p/search/조치원읍 신안리 393-12", "지도Link")</f>
        <v/>
      </c>
      <c r="R236" s="6">
        <f>HYPERLINK("https://www.eum.go.kr/web/mp/mpMapDet.jsp?pnu=3611025032103930012&amp;isNoScr=script&amp;mode=search", "토지이음")</f>
        <v/>
      </c>
      <c r="S236" s="3" t="inlineStr">
        <is>
          <t>무지개</t>
        </is>
      </c>
      <c r="T236" s="4" t="n">
        <v>1</v>
      </c>
      <c r="U236" s="5" t="n">
        <v>202.2</v>
      </c>
      <c r="V236" s="4" t="n">
        <v>319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세로한면(가)</t>
        </is>
      </c>
    </row>
    <row r="237">
      <c r="A237" s="3" t="inlineStr">
        <is>
          <t>조치원읍 신안리 394-12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0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30</v>
      </c>
      <c r="I237" s="4" t="n">
        <v>25</v>
      </c>
      <c r="J237" s="4" t="n">
        <v>8</v>
      </c>
      <c r="K237" s="5" t="n">
        <v>3.8</v>
      </c>
      <c r="L237" s="4" t="n">
        <v>25</v>
      </c>
      <c r="M237" s="4" t="n">
        <v>8</v>
      </c>
      <c r="N237" s="5" t="n">
        <v>3.8</v>
      </c>
      <c r="O237" s="3" t="inlineStr">
        <is>
          <t>음식점, 편의점, 버스정류장도 가까운 곳에 있는 집</t>
        </is>
      </c>
      <c r="P237" s="6">
        <f>HYPERLINK("https://fin.land.naver.com/articles/2649956802", "매물Link")</f>
        <v/>
      </c>
      <c r="Q237" s="6">
        <f>HYPERLINK("https://map.naver.com/p/search/조치원읍 신안리 394-12", "지도Link")</f>
        <v/>
      </c>
      <c r="R237" s="6">
        <f>HYPERLINK("https://www.eum.go.kr/web/mp/mpMapDet.jsp?pnu=3611025032103940012&amp;isNoScr=script&amp;mode=search", "토지이음")</f>
        <v/>
      </c>
      <c r="S237" s="3" t="inlineStr">
        <is>
          <t>부자터</t>
        </is>
      </c>
      <c r="T237" s="4" t="n">
        <v>1</v>
      </c>
      <c r="U237" s="5" t="n">
        <v>302.3</v>
      </c>
      <c r="V237" s="4" t="n">
        <v>222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신안리 394-35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단독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311</v>
      </c>
      <c r="J238" s="4" t="n">
        <v>94</v>
      </c>
      <c r="K238" s="5" t="n">
        <v>957.4</v>
      </c>
      <c r="L238" s="4" t="n">
        <v>328</v>
      </c>
      <c r="M238" s="4" t="n">
        <v>99</v>
      </c>
      <c r="N238" s="5" t="n">
        <v>909.1</v>
      </c>
      <c r="O238" s="3" t="inlineStr">
        <is>
          <t>수익률 10 년수익 5,145만원 원룸 통매매</t>
        </is>
      </c>
      <c r="P238" s="6">
        <f>HYPERLINK("https://fin.land.naver.com/articles/2648570400", "매물Link")</f>
        <v/>
      </c>
      <c r="Q238" s="6">
        <f>HYPERLINK("https://map.naver.com/p/search/조치원읍 신안리 394-35", "지도Link")</f>
        <v/>
      </c>
      <c r="R238" s="6">
        <f>HYPERLINK("https://www.eum.go.kr/web/mp/mpMapDet.jsp?pnu=3611025032103940035&amp;isNoScr=script&amp;mode=search", "토지이음")</f>
        <v/>
      </c>
      <c r="S238" s="3" t="inlineStr">
        <is>
          <t>고래</t>
        </is>
      </c>
      <c r="T238" s="4" t="n">
        <v>1</v>
      </c>
      <c r="U238" s="5" t="n">
        <v>235.1</v>
      </c>
      <c r="V238" s="4" t="n">
        <v>311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394-38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289</v>
      </c>
      <c r="J239" s="4" t="n">
        <v>87</v>
      </c>
      <c r="K239" s="5" t="n">
        <v>1149.4</v>
      </c>
      <c r="L239" s="4" t="n">
        <v>329</v>
      </c>
      <c r="M239" s="4" t="n">
        <v>100</v>
      </c>
      <c r="N239" s="5" t="n">
        <v>1000</v>
      </c>
      <c r="O239" s="3" t="inlineStr">
        <is>
          <t>수익률8프로대,총세대수18가구,연세계약,공실없음</t>
        </is>
      </c>
      <c r="P239" s="6">
        <f>HYPERLINK("https://fin.land.naver.com/articles/2644625360", "매물Link")</f>
        <v/>
      </c>
      <c r="Q239" s="6">
        <f>HYPERLINK("https://map.naver.com/p/search/조치원읍 신안리 394-38", "지도Link")</f>
        <v/>
      </c>
      <c r="R239" s="6">
        <f>HYPERLINK("https://www.eum.go.kr/web/mp/mpMapDet.jsp?pnu=3611025032103940038&amp;isNoScr=script&amp;mode=search", "토지이음")</f>
        <v/>
      </c>
      <c r="S239" s="3" t="inlineStr">
        <is>
          <t>오송올래</t>
        </is>
      </c>
      <c r="T239" s="4" t="n">
        <v>1</v>
      </c>
      <c r="U239" s="5" t="n">
        <v>227.9</v>
      </c>
      <c r="V239" s="4" t="n">
        <v>289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394-38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5000</v>
      </c>
      <c r="H240" s="4" t="n">
        <v>0</v>
      </c>
      <c r="I240" s="4" t="n">
        <v>20</v>
      </c>
      <c r="J240" s="4" t="n">
        <v>6</v>
      </c>
      <c r="K240" s="5" t="n">
        <v>833.3</v>
      </c>
      <c r="L240" s="4" t="n">
        <v>20</v>
      </c>
      <c r="M240" s="4" t="n">
        <v>6</v>
      </c>
      <c r="N240" s="5" t="n">
        <v>833.3</v>
      </c>
      <c r="O240" s="3" t="inlineStr">
        <is>
          <t>귀한 원룸 전세매물</t>
        </is>
      </c>
      <c r="P240" s="6">
        <f>HYPERLINK("https://fin.land.naver.com/articles/2649956631", "매물Link")</f>
        <v/>
      </c>
      <c r="Q240" s="6">
        <f>HYPERLINK("https://map.naver.com/p/search/조치원읍 신안리 394-38", "지도Link")</f>
        <v/>
      </c>
      <c r="R240" s="6">
        <f>HYPERLINK("https://www.eum.go.kr/web/mp/mpMapDet.jsp?pnu=3611025032103940038&amp;isNoScr=script&amp;mode=search",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227.9</v>
      </c>
      <c r="V240" s="4" t="n">
        <v>289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세로한면(불)</t>
        </is>
      </c>
    </row>
    <row r="241">
      <c r="A241" s="3" t="inlineStr">
        <is>
          <t>조치원읍 신안리 394-8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32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4.6</v>
      </c>
      <c r="O241" s="3" t="inlineStr">
        <is>
          <t>심플하고 예쁜방 풀옵션완비  바로입주 짐만 가져오세요  전동 전의면10분</t>
        </is>
      </c>
      <c r="P241" s="6">
        <f>HYPERLINK("https://fin.land.naver.com/articles/2649995608", "매물Link")</f>
        <v/>
      </c>
      <c r="Q241" s="6">
        <f>HYPERLINK("https://map.naver.com/p/search/조치원읍 신안리 394-8", "지도Link")</f>
        <v/>
      </c>
      <c r="R241" s="6">
        <f>HYPERLINK("https://www.eum.go.kr/web/mp/mpMapDet.jsp?pnu=3611025032103940008&amp;isNoScr=script&amp;mode=search",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255.5</v>
      </c>
      <c r="V241" s="4" t="n">
        <v>251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394-8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매매</t>
        </is>
      </c>
      <c r="G242" s="4" t="n">
        <v>97000</v>
      </c>
      <c r="H242" s="4" t="n">
        <v>0</v>
      </c>
      <c r="I242" s="4" t="n">
        <v>251</v>
      </c>
      <c r="J242" s="4" t="n">
        <v>76</v>
      </c>
      <c r="K242" s="5" t="n">
        <v>1276.3</v>
      </c>
      <c r="L242" s="4" t="n">
        <v>329</v>
      </c>
      <c r="M242" s="4" t="n">
        <v>100</v>
      </c>
      <c r="N242" s="5" t="n">
        <v>970</v>
      </c>
      <c r="O242" s="3" t="inlineStr">
        <is>
          <t>수익율 최고 18세대, 연 9.5 프로 수익율,  관리상태 최상급</t>
        </is>
      </c>
      <c r="P242" s="6">
        <f>HYPERLINK("https://fin.land.naver.com/articles/2649567909", "매물Link")</f>
        <v/>
      </c>
      <c r="Q242" s="6">
        <f>HYPERLINK("https://map.naver.com/p/search/조치원읍 신안리 394-8", "지도Link")</f>
        <v/>
      </c>
      <c r="R242" s="6">
        <f>HYPERLINK("https://www.eum.go.kr/web/mp/mpMapDet.jsp?pnu=3611025032103940008&amp;isNoScr=script&amp;mode=search", "토지이음")</f>
        <v/>
      </c>
      <c r="S242" s="3" t="inlineStr">
        <is>
          <t>기흥역미래</t>
        </is>
      </c>
      <c r="T242" s="4" t="n">
        <v>1</v>
      </c>
      <c r="U242" s="5" t="n">
        <v>255.5</v>
      </c>
      <c r="V242" s="4" t="n">
        <v>251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조치원읍 신안리 445-9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49000</v>
      </c>
      <c r="H243" s="4" t="n">
        <v>0</v>
      </c>
      <c r="I243" s="4" t="n">
        <v>268</v>
      </c>
      <c r="J243" s="4" t="n">
        <v>81</v>
      </c>
      <c r="K243" s="5" t="n">
        <v>604.9</v>
      </c>
      <c r="L243" s="4" t="n">
        <v>397</v>
      </c>
      <c r="M243" s="4" t="n">
        <v>120</v>
      </c>
      <c r="N243" s="5" t="n">
        <v>408.3</v>
      </c>
      <c r="O243" s="3" t="inlineStr">
        <is>
          <t>홍익대학교 도보 2분거리, 임대놓기 좋은 위치, 공실없음</t>
        </is>
      </c>
      <c r="P243" s="6">
        <f>HYPERLINK("https://fin.land.naver.com/articles/2650312958", "매물Link")</f>
        <v/>
      </c>
      <c r="Q243" s="6">
        <f>HYPERLINK("https://map.naver.com/p/search/조치원읍 신안리 445-9", "지도Link")</f>
        <v/>
      </c>
      <c r="R243" s="6">
        <f>HYPERLINK("https://www.eum.go.kr/web/mp/mpMapDet.jsp?pnu=3611025032104450009&amp;isNoScr=script&amp;mode=search", "토지이음")</f>
        <v/>
      </c>
      <c r="S243" s="3" t="inlineStr">
        <is>
          <t>세종공감</t>
        </is>
      </c>
      <c r="T243" s="4" t="n">
        <v>1</v>
      </c>
      <c r="U243" s="5" t="n">
        <v>217</v>
      </c>
      <c r="V243" s="4" t="n">
        <v>268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HYPERLINK("https://fin.land.naver.com/articles/2650538930", "매물Link")</f>
        <v/>
      </c>
      <c r="Q244" s="6">
        <f>HYPERLINK("https://map.naver.com/p/search/조치원읍 신안리 445-9", "지도Link")</f>
        <v/>
      </c>
      <c r="R244" s="6">
        <f>HYPERLINK("https://www.eum.go.kr/web/mp/mpMapDet.jsp?pnu=3611025032104450009&amp;isNoScr=script&amp;mode=search",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신흥리 17-2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빌라</t>
        </is>
      </c>
      <c r="F245" s="3" t="inlineStr">
        <is>
          <t>전세</t>
        </is>
      </c>
      <c r="G245" s="4" t="n">
        <v>3500</v>
      </c>
      <c r="H245" s="4" t="n">
        <v>0</v>
      </c>
      <c r="I245" s="4" t="n">
        <v>61</v>
      </c>
      <c r="J245" s="4" t="n">
        <v>18</v>
      </c>
      <c r="K245" s="5" t="n">
        <v>194.4</v>
      </c>
      <c r="L245" s="4" t="n">
        <v>55</v>
      </c>
      <c r="M245" s="4" t="n">
        <v>17</v>
      </c>
      <c r="N245" s="5" t="n">
        <v>205.9</v>
      </c>
      <c r="O245" s="3" t="inlineStr">
        <is>
          <t>일부리모델링 됨. 이사협의 가능. 도배.장판 새로.깨끗한 호실.</t>
        </is>
      </c>
      <c r="P245" s="6">
        <f>HYPERLINK("https://fin.land.naver.com/articles/2648775732", "매물Link")</f>
        <v/>
      </c>
      <c r="Q245" s="6">
        <f>HYPERLINK("https://map.naver.com/p/search/조치원읍 신흥리 17-2", "지도Link")</f>
        <v/>
      </c>
      <c r="R245" s="6">
        <f>HYPERLINK("https://www.eum.go.kr/web/mp/mpMapDet.jsp?pnu=3611025029100170002&amp;isNoScr=script&amp;mode=search", "토지이음")</f>
        <v/>
      </c>
      <c r="S245" s="3" t="inlineStr">
        <is>
          <t>굿모닝</t>
        </is>
      </c>
      <c r="T245" s="4" t="n">
        <v>1</v>
      </c>
      <c r="U245" s="5" t="n">
        <v>162.7</v>
      </c>
      <c r="V245" s="4" t="n">
        <v>451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완경사</t>
        </is>
      </c>
      <c r="Z245" s="3" t="inlineStr">
        <is>
          <t>가로장방</t>
        </is>
      </c>
      <c r="AA245" s="3" t="inlineStr">
        <is>
          <t>소로한면</t>
        </is>
      </c>
    </row>
    <row r="246">
      <c r="A246" s="3" t="inlineStr">
        <is>
          <t>조치원읍 신흥리 26-1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284</v>
      </c>
      <c r="J246" s="4" t="n">
        <v>86</v>
      </c>
      <c r="K246" s="5" t="n">
        <v>418.6</v>
      </c>
      <c r="L246" s="4" t="n">
        <v>73</v>
      </c>
      <c r="M246" s="4" t="n">
        <v>22</v>
      </c>
      <c r="N246" s="5" t="n">
        <v>1636.4</v>
      </c>
      <c r="O246" s="3" t="inlineStr">
        <is>
          <t>신흥리 위치 좋은 곳 단독주택</t>
        </is>
      </c>
      <c r="P246" s="6">
        <f>HYPERLINK("https://fin.land.naver.com/articles/2647576467", "매물Link")</f>
        <v/>
      </c>
      <c r="Q246" s="6">
        <f>HYPERLINK("https://map.naver.com/p/search/조치원읍 신흥리 26-1", "지도Link")</f>
        <v/>
      </c>
      <c r="R246" s="6">
        <f>HYPERLINK("https://www.eum.go.kr/web/mp/mpMapDet.jsp?pnu=3611025029100260001&amp;isNoScr=script&amp;mode=search", "토지이음")</f>
        <v/>
      </c>
      <c r="S246" s="3" t="inlineStr">
        <is>
          <t>KB세종</t>
        </is>
      </c>
      <c r="T246" s="4" t="n">
        <v>1</v>
      </c>
      <c r="U246" s="5" t="n">
        <v>185.6</v>
      </c>
      <c r="V246" s="4" t="n">
        <v>284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소로각지</t>
        </is>
      </c>
    </row>
    <row r="247">
      <c r="A247" s="3" t="inlineStr">
        <is>
          <t>조치원읍 신흥리 63-10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110000</v>
      </c>
      <c r="H247" s="4" t="n">
        <v>0</v>
      </c>
      <c r="I247" s="4" t="n">
        <v>345</v>
      </c>
      <c r="J247" s="4" t="n">
        <v>104</v>
      </c>
      <c r="K247" s="5" t="n">
        <v>1057.7</v>
      </c>
      <c r="L247" s="4" t="n">
        <v>70</v>
      </c>
      <c r="M247" s="4" t="n">
        <v>21</v>
      </c>
      <c r="N247" s="5" t="n">
        <v>5238.1</v>
      </c>
      <c r="O247" s="3" t="inlineStr">
        <is>
          <t>토지 가치가 돋보이는 주택입니다</t>
        </is>
      </c>
      <c r="P247" s="6">
        <f>HYPERLINK("https://fin.land.naver.com/articles/2647355842", "매물Link")</f>
        <v/>
      </c>
      <c r="Q247" s="6">
        <f>HYPERLINK("https://map.naver.com/p/search/조치원읍 신흥리 63-10", "지도Link")</f>
        <v/>
      </c>
      <c r="R247" s="6">
        <f>HYPERLINK("https://www.eum.go.kr/web/mp/mpMapDet.jsp?pnu=3611025029100630010&amp;isNoScr=script&amp;mode=search", "토지이음")</f>
        <v/>
      </c>
      <c r="S247" s="3" t="inlineStr">
        <is>
          <t>캠퍼스</t>
        </is>
      </c>
      <c r="T247" s="4" t="n">
        <v>1</v>
      </c>
      <c r="U247" s="5" t="n">
        <v>257.8</v>
      </c>
      <c r="V247" s="4" t="n">
        <v>345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원리 15-9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26000</v>
      </c>
      <c r="H248" s="4" t="n">
        <v>0</v>
      </c>
      <c r="I248" s="4" t="n">
        <v>67</v>
      </c>
      <c r="J248" s="4" t="n">
        <v>20</v>
      </c>
      <c r="K248" s="5" t="n">
        <v>1300</v>
      </c>
      <c r="L248" s="4" t="n">
        <v>139</v>
      </c>
      <c r="M248" s="4" t="n">
        <v>42</v>
      </c>
      <c r="N248" s="5" t="n">
        <v>619</v>
      </c>
      <c r="O248" s="3" t="inlineStr">
        <is>
          <t>원리 서독안경원 골목 먹자골목내 자기상가하면서 거주하실분 추천</t>
        </is>
      </c>
      <c r="P248" s="6">
        <f>HYPERLINK("https://fin.land.naver.com/articles/2646830435", "매물Link")</f>
        <v/>
      </c>
      <c r="Q248" s="6">
        <f>HYPERLINK("https://map.naver.com/p/search/조치원읍 원리 15-9", "지도Link")</f>
        <v/>
      </c>
      <c r="R248" s="6">
        <f>HYPERLINK("https://www.eum.go.kr/web/mp/mpMapDet.jsp?pnu=3611025021100150009&amp;isNoScr=script&amp;mode=search",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641.3</v>
      </c>
      <c r="V248" s="4" t="n">
        <v>67.8</v>
      </c>
      <c r="W248" s="3" t="inlineStr">
        <is>
          <t>지정되지않음</t>
        </is>
      </c>
      <c r="X248" s="3" t="inlineStr">
        <is>
          <t>상업용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HYPERLINK("https://www.eum.go.kr/web/mp/mpMapDet.jsp?pnu=3611025021100150009&amp;isNoScr=script&amp;mode=search",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9-29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149</v>
      </c>
      <c r="J250" s="4" t="n">
        <v>45</v>
      </c>
      <c r="K250" s="5" t="n">
        <v>2666.7</v>
      </c>
      <c r="L250" s="4" t="n">
        <v>360</v>
      </c>
      <c r="M250" s="4" t="n">
        <v>109</v>
      </c>
      <c r="N250" s="5" t="n">
        <v>1100.9</v>
      </c>
      <c r="O250" s="3" t="inlineStr">
        <is>
          <t>조치원역 회전교차로 인근 최상위치</t>
        </is>
      </c>
      <c r="P250" s="6">
        <f>HYPERLINK("https://fin.land.naver.com/articles/2645226980", "매물Link")</f>
        <v/>
      </c>
      <c r="Q250" s="6">
        <f>HYPERLINK("https://map.naver.com/p/search/조치원읍 원리 9-29", "지도Link")</f>
        <v/>
      </c>
      <c r="R250" s="6">
        <f>HYPERLINK("https://www.eum.go.kr/web/mp/mpMapDet.jsp?pnu=3611025021100090029&amp;isNoScr=script&amp;mode=search",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1102.1</v>
      </c>
      <c r="V250" s="4" t="n">
        <v>134.9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중로한면</t>
        </is>
      </c>
    </row>
    <row r="251">
      <c r="A251" s="3" t="inlineStr">
        <is>
          <t>조치원읍 정리 112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도시형생활주택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30</v>
      </c>
      <c r="J251" s="4" t="n">
        <v>9</v>
      </c>
      <c r="K251" s="5" t="n">
        <v>3.6</v>
      </c>
      <c r="L251" s="4" t="n">
        <v>11</v>
      </c>
      <c r="M251" s="4" t="n">
        <v>3</v>
      </c>
      <c r="N251" s="5" t="n">
        <v>10.7</v>
      </c>
      <c r="O251" s="3" t="inlineStr">
        <is>
          <t>정리 조치원역 2분  깨끗한 원룸입니다</t>
        </is>
      </c>
      <c r="P251" s="6">
        <f>HYPERLINK("https://fin.land.naver.com/articles/2649986088", "매물Link")</f>
        <v/>
      </c>
      <c r="Q251" s="6">
        <f>HYPERLINK("https://map.naver.com/p/search/조치원읍 정리 112", "지도Link")</f>
        <v/>
      </c>
      <c r="R251" s="6">
        <f>HYPERLINK("https://www.eum.go.kr/web/mp/mpMapDet.jsp?pnu=3611025025101120000&amp;isNoScr=script&amp;mode=search",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184.1</v>
      </c>
      <c r="V251" s="4" t="n">
        <v>1013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HYPERLINK("https://www.eum.go.kr/web/mp/mpMapDet.jsp?pnu=3611025030102060002&amp;isNoScr=script&amp;mode=search",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333-3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240000</v>
      </c>
      <c r="H253" s="4" t="n">
        <v>0</v>
      </c>
      <c r="I253" s="4" t="n">
        <v>1243</v>
      </c>
      <c r="J253" s="4" t="n">
        <v>376</v>
      </c>
      <c r="K253" s="5" t="n">
        <v>638.3</v>
      </c>
      <c r="L253" s="4" t="n">
        <v>740</v>
      </c>
      <c r="M253" s="4" t="n">
        <v>224</v>
      </c>
      <c r="N253" s="5" t="n">
        <v>1071.4</v>
      </c>
      <c r="O253" s="3" t="inlineStr">
        <is>
          <t>nan</t>
        </is>
      </c>
      <c r="P253" s="6">
        <f>HYPERLINK("https://fin.land.naver.com/articles/2648694246", "매물Link")</f>
        <v/>
      </c>
      <c r="Q253" s="6">
        <f>HYPERLINK("https://map.naver.com/p/search/조치원읍 죽림리 333-3", "지도Link")</f>
        <v/>
      </c>
      <c r="R253" s="6">
        <f>HYPERLINK("https://www.eum.go.kr/web/mp/mpMapDet.jsp?pnu=3611025030103330003&amp;isNoScr=script&amp;mode=search", "토지이음")</f>
        <v/>
      </c>
      <c r="S253" s="3" t="inlineStr">
        <is>
          <t>가온마을</t>
        </is>
      </c>
      <c r="T253" s="4" t="n">
        <v>1</v>
      </c>
      <c r="U253" s="5" t="n">
        <v>311.8</v>
      </c>
      <c r="V253" s="4" t="n">
        <v>945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광대소각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HYPERLINK("https://www.eum.go.kr/web/mp/mpMapDet.jsp?pnu=3611025030103380002&amp;isNoScr=script&amp;mode=search",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HYPERLINK("https://www.eum.go.kr/web/mp/mpMapDet.jsp?pnu=3611025028101300020&amp;isNoScr=script&amp;mode=search",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132-2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23</v>
      </c>
      <c r="I256" s="4" t="n">
        <v>33</v>
      </c>
      <c r="J256" s="4" t="n">
        <v>10</v>
      </c>
      <c r="K256" s="5" t="n">
        <v>2.3</v>
      </c>
      <c r="L256" s="4" t="n">
        <v>16</v>
      </c>
      <c r="M256" s="4" t="n">
        <v>5</v>
      </c>
      <c r="N256" s="5" t="n">
        <v>4.6</v>
      </c>
      <c r="O256" s="3" t="inlineStr">
        <is>
          <t>뉴리모델링O조치원역부근O모두새것O햇살가득</t>
        </is>
      </c>
      <c r="P256" s="6">
        <f>HYPERLINK("https://fin.land.naver.com/articles/2646886305", "매물Link")</f>
        <v/>
      </c>
      <c r="Q256" s="6">
        <f>HYPERLINK("https://map.naver.com/p/search/조치원읍 침산리 132-2", "지도Link")</f>
        <v/>
      </c>
      <c r="R256" s="6">
        <f>HYPERLINK("https://www.eum.go.kr/web/mp/mpMapDet.jsp?pnu=3611025028101320002&amp;isNoScr=script&amp;mode=search",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303.2</v>
      </c>
      <c r="V256" s="4" t="n">
        <v>209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중로각지</t>
        </is>
      </c>
    </row>
    <row r="257">
      <c r="A257" s="3" t="inlineStr">
        <is>
          <t>조치원읍 침산리 144-9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52000</v>
      </c>
      <c r="H257" s="4" t="n">
        <v>0</v>
      </c>
      <c r="I257" s="4" t="n">
        <v>129</v>
      </c>
      <c r="J257" s="4" t="n">
        <v>39</v>
      </c>
      <c r="K257" s="5" t="n">
        <v>1333.3</v>
      </c>
      <c r="L257" s="4" t="n">
        <v>144</v>
      </c>
      <c r="M257" s="4" t="n">
        <v>44</v>
      </c>
      <c r="N257" s="5" t="n">
        <v>1181.8</v>
      </c>
      <c r="O257" s="3" t="inlineStr">
        <is>
          <t>조치원역 서쪽 4차선 도로접함 1층 상가 2층 주택이용하실분 추천</t>
        </is>
      </c>
      <c r="P257" s="6">
        <f>HYPERLINK("https://fin.land.naver.com/articles/2646832247", "매물Link")</f>
        <v/>
      </c>
      <c r="Q257" s="6">
        <f>HYPERLINK("https://map.naver.com/p/search/조치원읍 침산리 144-9", "지도Link")</f>
        <v/>
      </c>
      <c r="R257" s="6">
        <f>HYPERLINK("https://www.eum.go.kr/web/mp/mpMapDet.jsp?pnu=3611025028101440009&amp;isNoScr=script&amp;mode=search", "토지이음")</f>
        <v/>
      </c>
      <c r="S257" s="3" t="inlineStr">
        <is>
          <t>OK수</t>
        </is>
      </c>
      <c r="T257" s="4" t="n">
        <v>1</v>
      </c>
      <c r="U257" s="5" t="n">
        <v>404.6</v>
      </c>
      <c r="V257" s="4" t="n">
        <v>129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중로한면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76</v>
      </c>
      <c r="J258" s="4" t="n">
        <v>23</v>
      </c>
      <c r="K258" s="5" t="n">
        <v>304.3</v>
      </c>
      <c r="L258" s="4" t="n">
        <v>76</v>
      </c>
      <c r="M258" s="4" t="n">
        <v>23</v>
      </c>
      <c r="N258" s="5" t="n">
        <v>304.3</v>
      </c>
      <c r="O258" s="3" t="inlineStr">
        <is>
          <t>공실,역세권 빌라,막히지 않은 조망,방이 큰 빌라</t>
        </is>
      </c>
      <c r="P258" s="6">
        <f>HYPERLINK("https://fin.land.naver.com/articles/2647281789", "매물Link")</f>
        <v/>
      </c>
      <c r="Q258" s="6">
        <f>HYPERLINK("https://map.naver.com/p/search/조치원읍 침산리 148-3", "지도Link")</f>
        <v/>
      </c>
      <c r="R258" s="6">
        <f>HYPERLINK("https://www.eum.go.kr/web/mp/mpMapDet.jsp?pnu=3611025028101480003&amp;isNoScr=script&amp;mode=search", "토지이음")</f>
        <v/>
      </c>
      <c r="S258" s="3" t="inlineStr">
        <is>
          <t>이천하이닉스사무소</t>
        </is>
      </c>
      <c r="T258" s="4" t="n">
        <v>1</v>
      </c>
      <c r="U258" s="5" t="n">
        <v>210.4</v>
      </c>
      <c r="V258" s="4" t="n">
        <v>645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소로각지</t>
        </is>
      </c>
    </row>
    <row r="259">
      <c r="A259" s="3" t="inlineStr">
        <is>
          <t>조치원읍 침산리 148-3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전세</t>
        </is>
      </c>
      <c r="G259" s="4" t="n">
        <v>6800</v>
      </c>
      <c r="H259" s="4" t="n">
        <v>0</v>
      </c>
      <c r="I259" s="4" t="n">
        <v>76</v>
      </c>
      <c r="J259" s="4" t="n">
        <v>23</v>
      </c>
      <c r="K259" s="5" t="n">
        <v>295.7</v>
      </c>
      <c r="L259" s="4" t="n">
        <v>76</v>
      </c>
      <c r="M259" s="4" t="n">
        <v>23</v>
      </c>
      <c r="N259" s="5" t="n">
        <v>295.7</v>
      </c>
      <c r="O259" s="3" t="inlineStr">
        <is>
          <t>공실,귀한 전세,보증보험가능,방이 큰 빌라</t>
        </is>
      </c>
      <c r="P259" s="6">
        <f>HYPERLINK("https://fin.land.naver.com/articles/2645805671", "매물Link")</f>
        <v/>
      </c>
      <c r="Q259" s="6">
        <f>HYPERLINK("https://map.naver.com/p/search/조치원읍 침산리 148-3", "지도Link")</f>
        <v/>
      </c>
      <c r="R259" s="6">
        <f>HYPERLINK("https://www.eum.go.kr/web/mp/mpMapDet.jsp?pnu=3611025028101480003&amp;isNoScr=script&amp;mode=search", "토지이음")</f>
        <v/>
      </c>
      <c r="S259" s="3" t="inlineStr">
        <is>
          <t>이천하이닉스사무소</t>
        </is>
      </c>
      <c r="T259" s="4" t="n">
        <v>1</v>
      </c>
      <c r="U259" s="5" t="n">
        <v>210.4</v>
      </c>
      <c r="V259" s="4" t="n">
        <v>645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소로각지</t>
        </is>
      </c>
    </row>
    <row r="260">
      <c r="A260" s="3" t="inlineStr">
        <is>
          <t>조치원읍 침산리 219-5</t>
        </is>
      </c>
      <c r="B260" s="3" t="inlineStr">
        <is>
          <t>제1종일반주거지역</t>
        </is>
      </c>
      <c r="C260" s="3" t="inlineStr">
        <is>
          <t>답</t>
        </is>
      </c>
      <c r="D260" s="3" t="inlineStr">
        <is>
          <t>0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65</v>
      </c>
      <c r="I260" s="4" t="n">
        <v>46</v>
      </c>
      <c r="J260" s="4" t="n">
        <v>14</v>
      </c>
      <c r="K260" s="5" t="n">
        <v>4.6</v>
      </c>
      <c r="L260" s="4" t="n">
        <v>39</v>
      </c>
      <c r="M260" s="4" t="n">
        <v>12</v>
      </c>
      <c r="N260" s="5" t="n">
        <v>5.4</v>
      </c>
      <c r="O260" s="3" t="inlineStr">
        <is>
          <t>귀한 투룸.도도리파크앞.즉시입주 가능.</t>
        </is>
      </c>
      <c r="P260" s="6">
        <f>HYPERLINK("https://fin.land.naver.com/articles/2650140429", "매물Link")</f>
        <v/>
      </c>
      <c r="Q260" s="6">
        <f>HYPERLINK("https://map.naver.com/p/search/조치원읍 침산리 219-5", "지도Link")</f>
        <v/>
      </c>
      <c r="R260" s="6">
        <f>HYPERLINK("https://www.eum.go.kr/web/mp/mpMapDet.jsp?pnu=3611025028102190005&amp;isNoScr=script&amp;mode=search",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210.2</v>
      </c>
      <c r="V260" s="4" t="n">
        <v>380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세로한면(가)</t>
        </is>
      </c>
    </row>
    <row r="261">
      <c r="A261" s="3" t="inlineStr">
        <is>
          <t>조치원읍 침산리 219-5</t>
        </is>
      </c>
      <c r="B261" s="3" t="inlineStr">
        <is>
          <t>제1종일반주거지역</t>
        </is>
      </c>
      <c r="C261" s="3" t="inlineStr">
        <is>
          <t>답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0</v>
      </c>
      <c r="J261" s="4" t="n">
        <v>0</v>
      </c>
      <c r="K261" s="5" t="n">
        <v>0</v>
      </c>
      <c r="L261" s="4" t="n">
        <v>39</v>
      </c>
      <c r="M261" s="4" t="n">
        <v>12</v>
      </c>
      <c r="N261" s="5" t="n">
        <v>4.6</v>
      </c>
      <c r="O261" s="3" t="inlineStr">
        <is>
          <t>침산리 조용한 투룸</t>
        </is>
      </c>
      <c r="P261" s="6">
        <f>HYPERLINK("https://fin.land.naver.com/articles/2650116041", "매물Link")</f>
        <v/>
      </c>
      <c r="Q261" s="6">
        <f>HYPERLINK("https://map.naver.com/p/search/조치원읍 침산리 219-5", "지도Link")</f>
        <v/>
      </c>
      <c r="R261" s="6">
        <f>HYPERLINK("https://www.eum.go.kr/web/mp/mpMapDet.jsp?pnu=3611025028102190005&amp;isNoScr=script&amp;mode=search", "토지이음")</f>
        <v/>
      </c>
      <c r="S261" s="3" t="inlineStr">
        <is>
          <t>고래</t>
        </is>
      </c>
      <c r="T261" s="4" t="n">
        <v>1</v>
      </c>
      <c r="U261" s="5" t="n">
        <v>210.2</v>
      </c>
      <c r="V261" s="4" t="n">
        <v>380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조치원읍 침산리 219-5</t>
        </is>
      </c>
      <c r="B262" s="3" t="inlineStr">
        <is>
          <t>제1종일반주거지역</t>
        </is>
      </c>
      <c r="C262" s="3" t="inlineStr">
        <is>
          <t>답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58</v>
      </c>
      <c r="I262" s="4" t="n">
        <v>36</v>
      </c>
      <c r="J262" s="4" t="n">
        <v>11</v>
      </c>
      <c r="K262" s="5" t="n">
        <v>5.3</v>
      </c>
      <c r="L262" s="4" t="n">
        <v>36</v>
      </c>
      <c r="M262" s="4" t="n">
        <v>11</v>
      </c>
      <c r="N262" s="5" t="n">
        <v>5.3</v>
      </c>
      <c r="O262" s="3" t="inlineStr">
        <is>
          <t>투룸 침산리 하이마트근처 편의시설 많음</t>
        </is>
      </c>
      <c r="P262" s="6">
        <f>HYPERLINK("https://fin.land.naver.com/articles/2650357638", "매물Link")</f>
        <v/>
      </c>
      <c r="Q262" s="6">
        <f>HYPERLINK("https://map.naver.com/p/search/조치원읍 침산리 219-5", "지도Link")</f>
        <v/>
      </c>
      <c r="R262" s="6">
        <f>HYPERLINK("https://www.eum.go.kr/web/mp/mpMapDet.jsp?pnu=3611025028102190005&amp;isNoScr=script&amp;mode=search",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210.2</v>
      </c>
      <c r="V262" s="4" t="n">
        <v>380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세로한면(가)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45</v>
      </c>
      <c r="I263" s="4" t="n">
        <v>0</v>
      </c>
      <c r="J263" s="4" t="n">
        <v>0</v>
      </c>
      <c r="K263" s="5" t="n">
        <v>0</v>
      </c>
      <c r="L263" s="4" t="n">
        <v>26</v>
      </c>
      <c r="M263" s="4" t="n">
        <v>8</v>
      </c>
      <c r="N263" s="5" t="n">
        <v>5.6</v>
      </c>
      <c r="O263" s="3" t="inlineStr">
        <is>
          <t>큰방2개 2룸</t>
        </is>
      </c>
      <c r="P263" s="6">
        <f>HYPERLINK("https://fin.land.naver.com/articles/2648309224", "매물Link")</f>
        <v/>
      </c>
      <c r="Q263" s="6">
        <f>HYPERLINK("https://map.naver.com/p/search/조치원읍 침산리 251-6", "지도Link")</f>
        <v/>
      </c>
      <c r="R263" s="6">
        <f>HYPERLINK("https://www.eum.go.kr/web/mp/mpMapDet.jsp?pnu=3611025028102510006&amp;isNoScr=script&amp;mode=search",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300</v>
      </c>
      <c r="H264" s="4" t="n">
        <v>55</v>
      </c>
      <c r="I264" s="4" t="n">
        <v>39</v>
      </c>
      <c r="J264" s="4" t="n">
        <v>12</v>
      </c>
      <c r="K264" s="5" t="n">
        <v>4.6</v>
      </c>
      <c r="L264" s="4" t="n">
        <v>39</v>
      </c>
      <c r="M264" s="4" t="n">
        <v>12</v>
      </c>
      <c r="N264" s="5" t="n">
        <v>4.6</v>
      </c>
      <c r="O264" s="3" t="inlineStr">
        <is>
          <t>침산리 투룸 월세 고려대 인접 상권 인프라 완벽한 화성타운</t>
        </is>
      </c>
      <c r="P264" s="6">
        <f>HYPERLINK("https://fin.land.naver.com/articles/2647479834", "매물Link")</f>
        <v/>
      </c>
      <c r="Q264" s="6">
        <f>HYPERLINK("https://map.naver.com/p/search/조치원읍 침산리 251-6", "지도Link")</f>
        <v/>
      </c>
      <c r="R264" s="6">
        <f>HYPERLINK("https://www.eum.go.kr/web/mp/mpMapDet.jsp?pnu=3611025028102510006&amp;isNoScr=script&amp;mode=search", "토지이음")</f>
        <v/>
      </c>
      <c r="S264" s="3" t="inlineStr">
        <is>
          <t>번암주공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HYPERLINK("https://www.eum.go.kr/web/mp/mpMapDet.jsp?pnu=3611025028102510006&amp;isNoScr=script&amp;mode=search",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300</v>
      </c>
      <c r="H266" s="4" t="n">
        <v>50</v>
      </c>
      <c r="I266" s="4" t="n">
        <v>130</v>
      </c>
      <c r="J266" s="4" t="n">
        <v>39</v>
      </c>
      <c r="K266" s="5" t="n">
        <v>1.3</v>
      </c>
      <c r="L266" s="4" t="n">
        <v>30</v>
      </c>
      <c r="M266" s="4" t="n">
        <v>9</v>
      </c>
      <c r="N266" s="5" t="n">
        <v>5.6</v>
      </c>
      <c r="O266" s="3" t="inlineStr">
        <is>
          <t>투룸 방2 월세</t>
        </is>
      </c>
      <c r="P266" s="6">
        <f>HYPERLINK("https://fin.land.naver.com/articles/2647861513", "매물Link")</f>
        <v/>
      </c>
      <c r="Q266" s="6">
        <f>HYPERLINK("https://map.naver.com/p/search/조치원읍 침산리 251-6", "지도Link")</f>
        <v/>
      </c>
      <c r="R266" s="6">
        <f>HYPERLINK("https://www.eum.go.kr/web/mp/mpMapDet.jsp?pnu=3611025028102510006&amp;isNoScr=script&amp;mode=search",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46</v>
      </c>
      <c r="J267" s="4" t="n">
        <v>14</v>
      </c>
      <c r="K267" s="5" t="n">
        <v>3.2</v>
      </c>
      <c r="L267" s="4" t="n">
        <v>39</v>
      </c>
      <c r="M267" s="4" t="n">
        <v>12</v>
      </c>
      <c r="N267" s="5" t="n">
        <v>3.8</v>
      </c>
      <c r="O267" s="3" t="inlineStr">
        <is>
          <t>원룸 2개구조. 2인숙소 강추.</t>
        </is>
      </c>
      <c r="P267" s="6">
        <f>HYPERLINK("https://fin.land.naver.com/articles/2649229081", "매물Link")</f>
        <v/>
      </c>
      <c r="Q267" s="6">
        <f>HYPERLINK("https://map.naver.com/p/search/조치원읍 침산리 255-4", "지도Link")</f>
        <v/>
      </c>
      <c r="R267" s="6">
        <f>HYPERLINK("https://www.eum.go.kr/web/mp/mpMapDet.jsp?pnu=3611025028102550004&amp;isNoScr=script&amp;mode=search",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255-4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45</v>
      </c>
      <c r="I268" s="4" t="n">
        <v>129</v>
      </c>
      <c r="J268" s="4" t="n">
        <v>39</v>
      </c>
      <c r="K268" s="5" t="n">
        <v>1.2</v>
      </c>
      <c r="L268" s="4" t="n">
        <v>40</v>
      </c>
      <c r="M268" s="4" t="n">
        <v>12</v>
      </c>
      <c r="N268" s="5" t="n">
        <v>3.8</v>
      </c>
      <c r="O268" s="3" t="inlineStr">
        <is>
          <t>방2 화장실2</t>
        </is>
      </c>
      <c r="P268" s="6">
        <f>HYPERLINK("https://fin.land.naver.com/articles/2650123958", "매물Link")</f>
        <v/>
      </c>
      <c r="Q268" s="6">
        <f>HYPERLINK("https://map.naver.com/p/search/조치원읍 침산리 255-4", "지도Link")</f>
        <v/>
      </c>
      <c r="R268" s="6">
        <f>HYPERLINK("https://www.eum.go.kr/web/mp/mpMapDet.jsp?pnu=3611025028102550004&amp;isNoScr=script&amp;mode=search",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289.8</v>
      </c>
      <c r="V268" s="4" t="n">
        <v>216.9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0</v>
      </c>
      <c r="J269" s="4" t="n">
        <v>0</v>
      </c>
      <c r="K269" s="5" t="n">
        <v>0</v>
      </c>
      <c r="L269" s="4" t="n">
        <v>33</v>
      </c>
      <c r="M269" s="4" t="n">
        <v>10</v>
      </c>
      <c r="N269" s="5" t="n">
        <v>4.5</v>
      </c>
      <c r="O269" s="3" t="inlineStr">
        <is>
          <t>화장실2개 에어컨 2개    2룸</t>
        </is>
      </c>
      <c r="P269" s="6">
        <f>HYPERLINK("https://fin.land.naver.com/articles/2649435819", "매물Link")</f>
        <v/>
      </c>
      <c r="Q269" s="6">
        <f>HYPERLINK("https://map.naver.com/p/search/조치원읍 침산리 255-4", "지도Link")</f>
        <v/>
      </c>
      <c r="R269" s="6">
        <f>HYPERLINK("https://www.eum.go.kr/web/mp/mpMapDet.jsp?pnu=3611025028102550004&amp;isNoScr=script&amp;mode=search",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258-1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월세</t>
        </is>
      </c>
      <c r="G270" s="4" t="n">
        <v>500</v>
      </c>
      <c r="H270" s="4" t="n">
        <v>55</v>
      </c>
      <c r="I270" s="4" t="n">
        <v>46</v>
      </c>
      <c r="J270" s="4" t="n">
        <v>14</v>
      </c>
      <c r="K270" s="5" t="n">
        <v>3.9</v>
      </c>
      <c r="L270" s="4" t="n">
        <v>39</v>
      </c>
      <c r="M270" s="4" t="n">
        <v>12</v>
      </c>
      <c r="N270" s="5" t="n">
        <v>4.6</v>
      </c>
      <c r="O270" s="3" t="inlineStr">
        <is>
          <t>2개.귀한투룸.상권좋고. 즉시입주가능</t>
        </is>
      </c>
      <c r="P270" s="6">
        <f>HYPERLINK("https://fin.land.naver.com/articles/2646624768", "매물Link")</f>
        <v/>
      </c>
      <c r="Q270" s="6">
        <f>HYPERLINK("https://map.naver.com/p/search/조치원읍 침산리 258-1", "지도Link")</f>
        <v/>
      </c>
      <c r="R270" s="6">
        <f>HYPERLINK("https://www.eum.go.kr/web/mp/mpMapDet.jsp?pnu=3611025028102580001&amp;isNoScr=script&amp;mode=search",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346.8</v>
      </c>
      <c r="V270" s="4" t="n">
        <v>237.5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조치원읍 침산리 265-11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150</v>
      </c>
      <c r="H271" s="4" t="n">
        <v>25</v>
      </c>
      <c r="I271" s="4" t="n">
        <v>0</v>
      </c>
      <c r="J271" s="4" t="n">
        <v>0</v>
      </c>
      <c r="K271" s="5" t="n">
        <v>0</v>
      </c>
      <c r="L271" s="4" t="n">
        <v>23</v>
      </c>
      <c r="M271" s="4" t="n">
        <v>7</v>
      </c>
      <c r="N271" s="5" t="n">
        <v>3.6</v>
      </c>
      <c r="O271" s="3" t="inlineStr">
        <is>
          <t>nan</t>
        </is>
      </c>
      <c r="P271" s="6">
        <f>HYPERLINK("https://fin.land.naver.com/articles/2649877584", "매물Link")</f>
        <v/>
      </c>
      <c r="Q271" s="6">
        <f>HYPERLINK("https://map.naver.com/p/search/조치원읍 침산리 265-11", "지도Link")</f>
        <v/>
      </c>
      <c r="R271" s="6">
        <f>HYPERLINK("https://www.eum.go.kr/web/mp/mpMapDet.jsp?pnu=3611025028102650011&amp;isNoScr=script&amp;mode=search",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415.5</v>
      </c>
      <c r="V271" s="4" t="n">
        <v>190.7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HYPERLINK("https://www.eum.go.kr/web/mp/mpMapDet.jsp?pnu=3611025028102650011&amp;isNoScr=script&amp;mode=search",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HYPERLINK("https://www.eum.go.kr/web/mp/mpMapDet.jsp?pnu=3611025028102650009&amp;isNoScr=script&amp;mode=search",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HYPERLINK("https://www.eum.go.kr/web/mp/mpMapDet.jsp?pnu=3611025028102660012&amp;isNoScr=script&amp;mode=search",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HYPERLINK("https://www.eum.go.kr/web/mp/mpMapDet.jsp?pnu=3611025028102670011&amp;isNoScr=script&amp;mode=search",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HYPERLINK("https://www.eum.go.kr/web/mp/mpMapDet.jsp?pnu=3611025028102670011&amp;isNoScr=script&amp;mode=search",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HYPERLINK("https://fin.land.naver.com/articles/2650253838", "매물Link")</f>
        <v/>
      </c>
      <c r="Q277" s="6">
        <f>HYPERLINK("https://map.naver.com/p/search/조치원읍 침산리 267-7", "지도Link")</f>
        <v/>
      </c>
      <c r="R277" s="6">
        <f>HYPERLINK("https://www.eum.go.kr/web/mp/mpMapDet.jsp?pnu=3611025028102670007&amp;isNoScr=script&amp;mode=search",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31</v>
      </c>
      <c r="I278" s="4" t="n">
        <v>28</v>
      </c>
      <c r="J278" s="4" t="n">
        <v>8</v>
      </c>
      <c r="K278" s="5" t="n">
        <v>3.9</v>
      </c>
      <c r="L278" s="4" t="n">
        <v>25</v>
      </c>
      <c r="M278" s="4" t="n">
        <v>8</v>
      </c>
      <c r="N278" s="5" t="n">
        <v>3.9</v>
      </c>
      <c r="O278" s="3" t="inlineStr">
        <is>
          <t>분리형원룸.즉시입주가능.</t>
        </is>
      </c>
      <c r="P278" s="6">
        <f>HYPERLINK("https://fin.land.naver.com/articles/2646875981", "매물Link")</f>
        <v/>
      </c>
      <c r="Q278" s="6">
        <f>HYPERLINK("https://map.naver.com/p/search/조치원읍 침산리 277-15", "지도Link")</f>
        <v/>
      </c>
      <c r="R278" s="6">
        <f>HYPERLINK("https://www.eum.go.kr/web/mp/mpMapDet.jsp?pnu=3611025028102770015&amp;isNoScr=script&amp;mode=search",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278-11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110000</v>
      </c>
      <c r="H279" s="4" t="n">
        <v>0</v>
      </c>
      <c r="I279" s="4" t="n">
        <v>257</v>
      </c>
      <c r="J279" s="4" t="n">
        <v>78</v>
      </c>
      <c r="K279" s="5" t="n">
        <v>1410.3</v>
      </c>
      <c r="L279" s="4" t="n">
        <v>459</v>
      </c>
      <c r="M279" s="4" t="n">
        <v>139</v>
      </c>
      <c r="N279" s="5" t="n">
        <v>791.4</v>
      </c>
      <c r="O279" s="3" t="inlineStr">
        <is>
          <t>nan</t>
        </is>
      </c>
      <c r="P279" s="6">
        <f>HYPERLINK("https://fin.land.naver.com/articles/2645776356", "매물Link")</f>
        <v/>
      </c>
      <c r="Q279" s="6">
        <f>HYPERLINK("https://map.naver.com/p/search/조치원읍 침산리 278-11", "지도Link")</f>
        <v/>
      </c>
      <c r="R279" s="6">
        <f>HYPERLINK("https://www.eum.go.kr/web/mp/mpMapDet.jsp?pnu=3611025028102780011&amp;isNoScr=script&amp;mode=search",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296.4</v>
      </c>
      <c r="V279" s="4" t="n">
        <v>257.9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279-1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48</v>
      </c>
      <c r="I280" s="4" t="n">
        <v>25</v>
      </c>
      <c r="J280" s="4" t="n">
        <v>8</v>
      </c>
      <c r="K280" s="5" t="n">
        <v>6</v>
      </c>
      <c r="L280" s="4" t="n">
        <v>25</v>
      </c>
      <c r="M280" s="4" t="n">
        <v>8</v>
      </c>
      <c r="N280" s="5" t="n">
        <v>6</v>
      </c>
      <c r="O280" s="3" t="inlineStr">
        <is>
          <t>1.5룸 9월말 이후 입주가능 관리비포함 금액</t>
        </is>
      </c>
      <c r="P280" s="6">
        <f>HYPERLINK("https://fin.land.naver.com/articles/2650183787", "매물Link")</f>
        <v/>
      </c>
      <c r="Q280" s="6">
        <f>HYPERLINK("https://map.naver.com/p/search/조치원읍 침산리 279-1", "지도Link")</f>
        <v/>
      </c>
      <c r="R280" s="6">
        <f>HYPERLINK("https://www.eum.go.kr/web/mp/mpMapDet.jsp?pnu=3611025028102790001&amp;isNoScr=script&amp;mode=search", "토지이음")</f>
        <v/>
      </c>
      <c r="S280" s="3" t="inlineStr">
        <is>
          <t>욱일</t>
        </is>
      </c>
      <c r="T280" s="4" t="n">
        <v>1</v>
      </c>
      <c r="U280" s="5" t="n">
        <v>290.8</v>
      </c>
      <c r="V280" s="4" t="n">
        <v>328.1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조치원읍 침산리 279-1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29</v>
      </c>
      <c r="I281" s="4" t="n">
        <v>0</v>
      </c>
      <c r="J281" s="4" t="n">
        <v>0</v>
      </c>
      <c r="K281" s="5" t="n">
        <v>0</v>
      </c>
      <c r="L281" s="4" t="n">
        <v>20</v>
      </c>
      <c r="M281" s="4" t="n">
        <v>6</v>
      </c>
      <c r="N281" s="5" t="n">
        <v>4.8</v>
      </c>
      <c r="O281" s="3" t="inlineStr">
        <is>
          <t>L 역5분. 분리형원룸. 풀옵션. 즉시입주가능</t>
        </is>
      </c>
      <c r="P281" s="6">
        <f>HYPERLINK("https://fin.land.naver.com/articles/2650104336", "매물Link")</f>
        <v/>
      </c>
      <c r="Q281" s="6">
        <f>HYPERLINK("https://map.naver.com/p/search/조치원읍 침산리 279-1", "지도Link")</f>
        <v/>
      </c>
      <c r="R281" s="6">
        <f>HYPERLINK("https://www.eum.go.kr/web/mp/mpMapDet.jsp?pnu=3611025028102790001&amp;isNoScr=script&amp;mode=search",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290.8</v>
      </c>
      <c r="V281" s="4" t="n">
        <v>328.1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110000</v>
      </c>
      <c r="H282" s="4" t="n">
        <v>0</v>
      </c>
      <c r="I282" s="4" t="n">
        <v>315</v>
      </c>
      <c r="J282" s="4" t="n">
        <v>95</v>
      </c>
      <c r="K282" s="5" t="n">
        <v>1157.9</v>
      </c>
      <c r="L282" s="4" t="n">
        <v>545</v>
      </c>
      <c r="M282" s="4" t="n">
        <v>165</v>
      </c>
      <c r="N282" s="5" t="n">
        <v>666.7</v>
      </c>
      <c r="O282" s="3" t="inlineStr">
        <is>
          <t>다가주주택 연수익률 8%</t>
        </is>
      </c>
      <c r="P282" s="6">
        <f>HYPERLINK("https://fin.land.naver.com/articles/2649673971", "매물Link")</f>
        <v/>
      </c>
      <c r="Q282" s="6">
        <f>HYPERLINK("https://map.naver.com/p/search/조치원읍 침산리 279-15", "지도Link")</f>
        <v/>
      </c>
      <c r="R282" s="6">
        <f>HYPERLINK("https://www.eum.go.kr/web/mp/mpMapDet.jsp?pnu=3611025028102790015&amp;isNoScr=script&amp;mode=search", "토지이음")</f>
        <v/>
      </c>
      <c r="S282" s="3" t="inlineStr">
        <is>
          <t>세종베스트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다가구</t>
        </is>
      </c>
      <c r="F283" s="3" t="inlineStr">
        <is>
          <t>월세</t>
        </is>
      </c>
      <c r="G283" s="4" t="n">
        <v>200</v>
      </c>
      <c r="H283" s="4" t="n">
        <v>23</v>
      </c>
      <c r="I283" s="4" t="n">
        <v>20</v>
      </c>
      <c r="J283" s="4" t="n">
        <v>6</v>
      </c>
      <c r="K283" s="5" t="n">
        <v>3.8</v>
      </c>
      <c r="L283" s="4" t="n">
        <v>18</v>
      </c>
      <c r="M283" s="4" t="n">
        <v>5</v>
      </c>
      <c r="N283" s="5" t="n">
        <v>4.6</v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6">
        <f>HYPERLINK("https://www.eum.go.kr/web/mp/mpMapDet.jsp?pnu=3611025028102790016&amp;isNoScr=script&amp;mode=search", "토지이음")</f>
        <v/>
      </c>
      <c r="S283" s="3" t="inlineStr">
        <is>
          <t>마이룸</t>
        </is>
      </c>
      <c r="T283" s="4" t="n">
        <v>1</v>
      </c>
      <c r="U283" s="5" t="n">
        <v>299.6</v>
      </c>
      <c r="V283" s="4" t="n">
        <v>315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309</v>
      </c>
      <c r="J284" s="4" t="n">
        <v>93</v>
      </c>
      <c r="K284" s="5" t="n">
        <v>1053.8</v>
      </c>
      <c r="L284" s="4" t="n">
        <v>504</v>
      </c>
      <c r="M284" s="4" t="n">
        <v>152</v>
      </c>
      <c r="N284" s="5" t="n">
        <v>644.7</v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6">
        <f>HYPERLINK("https://www.eum.go.kr/web/mp/mpMapDet.jsp?pnu=3611025028102800005&amp;isNoScr=script&amp;mode=search",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24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HYPERLINK("https://fin.land.naver.com/articles/2650252706", "매물Link")</f>
        <v/>
      </c>
      <c r="Q285" s="6">
        <f>HYPERLINK("https://map.naver.com/p/search/조치원읍 침산리 283-12", "지도Link")</f>
        <v/>
      </c>
      <c r="R285" s="6">
        <f>HYPERLINK("https://www.eum.go.kr/web/mp/mpMapDet.jsp?pnu=3611025028102830012&amp;isNoScr=script&amp;mode=search",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HYPERLINK("https://www.eum.go.kr/web/mp/mpMapDet.jsp?pnu=3611025028102830016&amp;isNoScr=script&amp;mode=search",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HYPERLINK("https://www.eum.go.kr/web/mp/mpMapDet.jsp?pnu=3611025028102830016&amp;isNoScr=script&amp;mode=search",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전용49.8p, 방3개 화장실2개, 사유지땅 사용가능</t>
        </is>
      </c>
      <c r="P288" s="6">
        <f>HYPERLINK("https://fin.land.naver.com/articles/2648834239", "매물Link")</f>
        <v/>
      </c>
      <c r="Q288" s="6">
        <f>HYPERLINK("https://map.naver.com/p/search/한솔동 1118", "지도Link")</f>
        <v/>
      </c>
      <c r="R288" s="6">
        <f>HYPERLINK("https://www.eum.go.kr/web/mp/mpMapDet.jsp?pnu=3611010600111180000&amp;isNoScr=script&amp;mode=search",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착한매우급매 마당넓은공원 내집처럼사용 옆시유지땅 무상사용 꼭 해 달래요</t>
        </is>
      </c>
      <c r="P289" s="6">
        <f>HYPERLINK("https://fin.land.naver.com/articles/2646097576", "매물Link")</f>
        <v/>
      </c>
      <c r="Q289" s="6">
        <f>HYPERLINK("https://map.naver.com/p/search/한솔동 1118", "지도Link")</f>
        <v/>
      </c>
      <c r="R289" s="6">
        <f>HYPERLINK("https://www.eum.go.kr/web/mp/mpMapDet.jsp?pnu=3611010600111180000&amp;isNoScr=script&amp;mode=search", "토지이음")</f>
        <v/>
      </c>
      <c r="S289" s="3" t="inlineStr">
        <is>
          <t>세종골드삼성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세종시 상권이용편리한 단독주택  앞뒤뻥</t>
        </is>
      </c>
      <c r="P290" s="6">
        <f>HYPERLINK("https://fin.land.naver.com/articles/2646211687", "매물Link")</f>
        <v/>
      </c>
      <c r="Q290" s="6">
        <f>HYPERLINK("https://map.naver.com/p/search/한솔동 1118", "지도Link")</f>
        <v/>
      </c>
      <c r="R290" s="6">
        <f>HYPERLINK("https://www.eum.go.kr/web/mp/mpMapDet.jsp?pnu=3611010600111180000&amp;isNoScr=script&amp;mode=search", "토지이음")</f>
        <v/>
      </c>
      <c r="S290" s="3" t="inlineStr">
        <is>
          <t>세종믿음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마당연결 공원전유사용 옆시유지 무상이용 2층 테라스 데크 실수요최적</t>
        </is>
      </c>
      <c r="P291" s="6">
        <f>HYPERLINK("https://fin.land.naver.com/articles/2649262816", "매물Link")</f>
        <v/>
      </c>
      <c r="Q291" s="6">
        <f>HYPERLINK("https://map.naver.com/p/search/한솔동 1118", "지도Link")</f>
        <v/>
      </c>
      <c r="R291" s="6">
        <f>HYPERLINK("https://www.eum.go.kr/web/mp/mpMapDet.jsp?pnu=3611010600111180000&amp;isNoScr=script&amp;mode=search", "토지이음")</f>
        <v/>
      </c>
      <c r="S291" s="3" t="inlineStr">
        <is>
          <t>삼성래미안</t>
        </is>
      </c>
      <c r="T291" s="4" t="n">
        <v>3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공원사유지 무상이용가능, 입지 좋은 한솔동 단독주택 매매</t>
        </is>
      </c>
      <c r="P292" s="6">
        <f>HYPERLINK("https://fin.land.naver.com/articles/2649007409", "매물Link")</f>
        <v/>
      </c>
      <c r="Q292" s="6">
        <f>HYPERLINK("https://map.naver.com/p/search/한솔동 1118", "지도Link")</f>
        <v/>
      </c>
      <c r="R292" s="6">
        <f>HYPERLINK("https://www.eum.go.kr/web/mp/mpMapDet.jsp?pnu=3611010600111180000&amp;isNoScr=script&amp;mode=search", "토지이음")</f>
        <v/>
      </c>
      <c r="S292" s="3" t="inlineStr">
        <is>
          <t>명진</t>
        </is>
      </c>
      <c r="T292" s="4" t="n">
        <v>1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정원이 잘 가꾸어진 주택. 초,중, 고 도보권</t>
        </is>
      </c>
      <c r="P293" s="6">
        <f>HYPERLINK("https://fin.land.naver.com/articles/2649457945", "매물Link")</f>
        <v/>
      </c>
      <c r="Q293" s="6">
        <f>HYPERLINK("https://map.naver.com/p/search/한솔동 1219", "지도Link")</f>
        <v/>
      </c>
      <c r="R293" s="6">
        <f>HYPERLINK("https://www.eum.go.kr/web/mp/mpMapDet.jsp?pnu=3611010600112190000&amp;isNoScr=script&amp;mode=search", "토지이음")</f>
        <v/>
      </c>
      <c r="S293" s="3" t="inlineStr">
        <is>
          <t>세종삼촌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급매 추가조율협의가능 단층 철근콘크리트 가성비 주택</t>
        </is>
      </c>
      <c r="P294" s="6">
        <f>HYPERLINK("https://fin.land.naver.com/articles/2649375331", "매물Link")</f>
        <v/>
      </c>
      <c r="Q294" s="6">
        <f>HYPERLINK("https://map.naver.com/p/search/한솔동 1219", "지도Link")</f>
        <v/>
      </c>
      <c r="R294" s="6">
        <f>HYPERLINK("https://www.eum.go.kr/web/mp/mpMapDet.jsp?pnu=3611010600112190000&amp;isNoScr=script&amp;mode=search", "토지이음")</f>
        <v/>
      </c>
      <c r="S294" s="3" t="inlineStr">
        <is>
          <t>세종스타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HYPERLINK("https://www.eum.go.kr/web/mp/mpMapDet.jsp?pnu=3611010600108670000&amp;isNoScr=script&amp;mode=search",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HYPERLINK("https://www.eum.go.kr/web/mp/mpMapDet.jsp?pnu=3611010600108990000&amp;isNoScr=script&amp;mode=search",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태양광, 풀에어컨, 주차2대, 한솔동 입지 좋은 주택 매매</t>
        </is>
      </c>
      <c r="P297" s="6">
        <f>HYPERLINK("https://fin.land.naver.com/articles/2650428908", "매물Link")</f>
        <v/>
      </c>
      <c r="Q297" s="6">
        <f>HYPERLINK("https://map.naver.com/p/search/한솔동 899", "지도Link")</f>
        <v/>
      </c>
      <c r="R297" s="6">
        <f>HYPERLINK("https://www.eum.go.kr/web/mp/mpMapDet.jsp?pnu=3611010600108990000&amp;isNoScr=script&amp;mode=search",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공원옆 코너각지 남향 가격조절가 태양열 전기차충전기 정원에카페사용공간있음</t>
        </is>
      </c>
      <c r="P298" s="6">
        <f>HYPERLINK("https://fin.land.naver.com/articles/2649425303", "매물Link")</f>
        <v/>
      </c>
      <c r="Q298" s="6">
        <f>HYPERLINK("https://map.naver.com/p/search/한솔동 899", "지도Link")</f>
        <v/>
      </c>
      <c r="R298" s="6">
        <f>HYPERLINK("https://www.eum.go.kr/web/mp/mpMapDet.jsp?pnu=3611010600108990000&amp;isNoScr=script&amp;mode=search", "토지이음")</f>
        <v/>
      </c>
      <c r="S298" s="3" t="inlineStr">
        <is>
          <t>세종시해냄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997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130000</v>
      </c>
      <c r="H299" s="4" t="n">
        <v>0</v>
      </c>
      <c r="I299" s="4" t="n">
        <v>393</v>
      </c>
      <c r="J299" s="4" t="n">
        <v>119</v>
      </c>
      <c r="K299" s="5" t="n">
        <v>1092.4</v>
      </c>
      <c r="L299" s="4" t="n">
        <v>196</v>
      </c>
      <c r="M299" s="4" t="n">
        <v>59</v>
      </c>
      <c r="N299" s="5" t="n">
        <v>2203.4</v>
      </c>
      <c r="O299" s="3" t="inlineStr">
        <is>
          <t>급매 1년차 최신축 현대식 세련된 내부인테리어 방3개 욕실3개</t>
        </is>
      </c>
      <c r="P299" s="6">
        <f>HYPERLINK("https://fin.land.naver.com/articles/2647126217", "매물Link")</f>
        <v/>
      </c>
      <c r="Q299" s="6">
        <f>HYPERLINK("https://map.naver.com/p/search/한솔동 997", "지도Link")</f>
        <v/>
      </c>
      <c r="R299" s="6">
        <f>HYPERLINK("https://www.eum.go.kr/web/mp/mpMapDet.jsp?pnu=3611010600109970000&amp;isNoScr=script&amp;mode=search", "토지이음")</f>
        <v/>
      </c>
      <c r="S299" s="3" t="inlineStr">
        <is>
          <t>세종스타</t>
        </is>
      </c>
      <c r="T299" s="4" t="n">
        <v>1</v>
      </c>
      <c r="U299" s="5" t="n">
        <v>302.8</v>
      </c>
      <c r="V299" s="4" t="n">
        <v>393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해밀동 665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월세</t>
        </is>
      </c>
      <c r="G300" s="4" t="n">
        <v>13000</v>
      </c>
      <c r="H300" s="4" t="n">
        <v>160</v>
      </c>
      <c r="I300" s="4" t="n">
        <v>34</v>
      </c>
      <c r="J300" s="4" t="n">
        <v>10</v>
      </c>
      <c r="K300" s="5" t="n">
        <v>16</v>
      </c>
      <c r="L300" s="4" t="n">
        <v>933</v>
      </c>
      <c r="M300" s="4" t="n">
        <v>282</v>
      </c>
      <c r="N300" s="5" t="n">
        <v>0.6</v>
      </c>
      <c r="O300" s="3" t="inlineStr">
        <is>
          <t>해밀동 라포르테 단독주택 월세</t>
        </is>
      </c>
      <c r="P300" s="6">
        <f>HYPERLINK("https://fin.land.naver.com/articles/2649244700", "매물Link")</f>
        <v/>
      </c>
      <c r="Q300" s="6">
        <f>HYPERLINK("https://map.naver.com/p/search/해밀동 665", "지도Link")</f>
        <v/>
      </c>
      <c r="R300" s="6">
        <f>HYPERLINK("https://www.eum.go.kr/web/mp/mpMapDet.jsp?pnu=3611011600106650000&amp;isNoScr=script&amp;mode=search", "토지이음")</f>
        <v/>
      </c>
      <c r="S300" s="3" t="inlineStr">
        <is>
          <t>태양</t>
        </is>
      </c>
      <c r="T300" s="4" t="n">
        <v>1</v>
      </c>
      <c r="U300" s="5" t="n">
        <v>215.1</v>
      </c>
      <c r="V300" s="4" t="n">
        <v>34519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광대소각</t>
        </is>
      </c>
    </row>
    <row r="301">
      <c r="A301" s="3" t="inlineStr">
        <is>
          <t>해밀동 692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전세</t>
        </is>
      </c>
      <c r="G301" s="4" t="n">
        <v>100000</v>
      </c>
      <c r="H301" s="4" t="n">
        <v>0</v>
      </c>
      <c r="I301" s="4" t="n">
        <v>558</v>
      </c>
      <c r="J301" s="4" t="n">
        <v>169</v>
      </c>
      <c r="K301" s="5" t="n">
        <v>591.7</v>
      </c>
      <c r="L301" s="4" t="n">
        <v>222</v>
      </c>
      <c r="M301" s="4" t="n">
        <v>67</v>
      </c>
      <c r="N301" s="5" t="n">
        <v>1492.5</v>
      </c>
      <c r="O301" s="3" t="inlineStr">
        <is>
          <t>해밀동 고급 타운하우스 시그니매종 전세 010 3819 3805</t>
        </is>
      </c>
      <c r="P301" s="6">
        <f>HYPERLINK("https://fin.land.naver.com/articles/2646491942", "매물Link")</f>
        <v/>
      </c>
      <c r="Q301" s="6">
        <f>HYPERLINK("https://map.naver.com/p/search/해밀동 692", "지도Link")</f>
        <v/>
      </c>
      <c r="R301" s="6">
        <f>HYPERLINK("https://www.eum.go.kr/web/mp/mpMapDet.jsp?pnu=3611011600106920000&amp;isNoScr=script&amp;mode=search", "토지이음")</f>
        <v/>
      </c>
      <c r="S301" s="3" t="inlineStr">
        <is>
          <t>국제</t>
        </is>
      </c>
      <c r="T301" s="4" t="n">
        <v>1</v>
      </c>
      <c r="U301" s="5" t="n">
        <v>243.4</v>
      </c>
      <c r="V301" s="4" t="n">
        <v>6242.7</v>
      </c>
      <c r="W301" s="3" t="inlineStr">
        <is>
          <t>지정되지않음</t>
        </is>
      </c>
      <c r="X301" s="3" t="inlineStr">
        <is>
          <t>주거나지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</sheetData>
  <autoFilter ref="A1:AA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HYPERLINK("https://www.eum.go.kr/web/mp/mpMapDet.jsp?pnu=4311331022100120009&amp;isNoScr=script&amp;mode=search",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HYPERLINK("https://www.eum.go.kr/web/mp/mpMapDet.jsp?pnu=4311331022101570001&amp;isNoScr=script&amp;mode=search",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HYPERLINK("https://www.eum.go.kr/web/mp/mpMapDet.jsp?pnu=4311331022101720000&amp;isNoScr=script&amp;mode=search",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HYPERLINK("https://www.eum.go.kr/web/mp/mpMapDet.jsp?pnu=4311331022102130028&amp;isNoScr=script&amp;mode=search",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HYPERLINK("https://www.eum.go.kr/web/mp/mpMapDet.jsp?pnu=4311331022102130030&amp;isNoScr=script&amp;mode=search",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HYPERLINK("https://www.eum.go.kr/web/mp/mpMapDet.jsp?pnu=4311331022102150009&amp;isNoScr=script&amp;mode=search",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HYPERLINK("https://www.eum.go.kr/web/mp/mpMapDet.jsp?pnu=4311331022102170019&amp;isNoScr=script&amp;mode=search",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HYPERLINK("https://www.eum.go.kr/web/mp/mpMapDet.jsp?pnu=4311331022102170004&amp;isNoScr=script&amp;mode=search",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HYPERLINK("https://www.eum.go.kr/web/mp/mpMapDet.jsp?pnu=4311331022100240001&amp;isNoScr=script&amp;mode=search",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HYPERLINK("https://www.eum.go.kr/web/mp/mpMapDet.jsp?pnu=4311331022102970000&amp;isNoScr=script&amp;mode=search",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HYPERLINK("https://www.eum.go.kr/web/mp/mpMapDet.jsp?pnu=4311331022102970001&amp;isNoScr=script&amp;mode=search",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HYPERLINK("https://www.eum.go.kr/web/mp/mpMapDet.jsp?pnu=4311331022102970002&amp;isNoScr=script&amp;mode=search",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HYPERLINK("https://www.eum.go.kr/web/mp/mpMapDet.jsp?pnu=4311331022103070001&amp;isNoScr=script&amp;mode=search",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HYPERLINK("https://www.eum.go.kr/web/mp/mpMapDet.jsp?pnu=4311331022103670000&amp;isNoScr=script&amp;mode=search",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HYPERLINK("https://www.eum.go.kr/web/mp/mpMapDet.jsp?pnu=4311331022103670000&amp;isNoScr=script&amp;mode=search",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HYPERLINK("https://www.eum.go.kr/web/mp/mpMapDet.jsp?pnu=4311331022100770002&amp;isNoScr=script&amp;mode=search",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HYPERLINK("https://www.eum.go.kr/web/mp/mpMapDet.jsp?pnu=4311331022100860000&amp;isNoScr=script&amp;mode=search",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HYPERLINK("https://www.eum.go.kr/web/mp/mpMapDet.jsp?pnu=4311331022100890000&amp;isNoScr=script&amp;mode=search",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HYPERLINK("https://www.eum.go.kr/web/mp/mpMapDet.jsp?pnu=4311331022200550033&amp;isNoScr=script&amp;mode=search",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HYPERLINK("https://www.eum.go.kr/web/mp/mpMapDet.jsp?pnu=4311331022200560001&amp;isNoScr=script&amp;mode=search",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HYPERLINK("https://www.eum.go.kr/web/mp/mpMapDet.jsp?pnu=4311331022200560001&amp;isNoScr=script&amp;mode=search",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HYPERLINK("https://www.eum.go.kr/web/mp/mpMapDet.jsp?pnu=4311331022200560007&amp;isNoScr=script&amp;mode=search",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HYPERLINK("https://www.eum.go.kr/web/mp/mpMapDet.jsp?pnu=4311331026101100009&amp;isNoScr=script&amp;mode=search",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HYPERLINK("https://www.eum.go.kr/web/mp/mpMapDet.jsp?pnu=4311331026101220000&amp;isNoScr=script&amp;mode=search",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HYPERLINK("https://fin.land.naver.com/articles/2646939982", "매물Link")</f>
        <v/>
      </c>
      <c r="M26" s="6">
        <f>HYPERLINK("https://map.naver.com/p/search/강내면 다락리 16-19", "지도Link")</f>
        <v/>
      </c>
      <c r="N26" s="6">
        <f>HYPERLINK("https://www.eum.go.kr/web/mp/mpMapDet.jsp?pnu=4311331026100160019&amp;isNoScr=script&amp;mode=search",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81000</v>
      </c>
      <c r="G27" s="4" t="n">
        <v>2064</v>
      </c>
      <c r="H27" s="4" t="n">
        <v>624</v>
      </c>
      <c r="I27" s="5" t="n">
        <v>129.8</v>
      </c>
      <c r="J27" s="5" t="n">
        <v>53</v>
      </c>
      <c r="K27" s="3" t="inlineStr">
        <is>
          <t>전원주택 지을수 있는 계획관리구역</t>
        </is>
      </c>
      <c r="L27" s="6">
        <f>HYPERLINK("https://fin.land.naver.com/articles/2649624500", "매물Link")</f>
        <v/>
      </c>
      <c r="M27" s="6">
        <f>HYPERLINK("https://map.naver.com/p/search/강내면 다락리 16-19", "지도Link")</f>
        <v/>
      </c>
      <c r="N27" s="6">
        <f>HYPERLINK("https://www.eum.go.kr/web/mp/mpMapDet.jsp?pnu=4311331026100160019&amp;isNoScr=script&amp;mode=search", "토지이음")</f>
        <v/>
      </c>
      <c r="O27" s="3" t="inlineStr">
        <is>
          <t>월천한성여왕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HYPERLINK("https://www.eum.go.kr/web/mp/mpMapDet.jsp?pnu=4311331026102950000&amp;isNoScr=script&amp;mode=search",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HYPERLINK("https://www.eum.go.kr/web/mp/mpMapDet.jsp?pnu=4311331026103150003&amp;isNoScr=script&amp;mode=search",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HYPERLINK("https://www.eum.go.kr/web/mp/mpMapDet.jsp?pnu=4311331026103150006&amp;isNoScr=script&amp;mode=search",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HYPERLINK("https://www.eum.go.kr/web/mp/mpMapDet.jsp?pnu=4311331026103280002&amp;isNoScr=script&amp;mode=search",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HYPERLINK("https://www.eum.go.kr/web/mp/mpMapDet.jsp?pnu=4311331026100700004&amp;isNoScr=script&amp;mode=search",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HYPERLINK("https://www.eum.go.kr/web/mp/mpMapDet.jsp?pnu=4311331024100260029&amp;isNoScr=script&amp;mode=search",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HYPERLINK("https://www.eum.go.kr/web/mp/mpMapDet.jsp?pnu=4311331024100260029&amp;isNoScr=script&amp;mode=search",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HYPERLINK("https://www.eum.go.kr/web/mp/mpMapDet.jsp?pnu=4311331024100040012&amp;isNoScr=script&amp;mode=search",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HYPERLINK("https://www.eum.go.kr/web/mp/mpMapDet.jsp?pnu=4311331024100040005&amp;isNoScr=script&amp;mode=search",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HYPERLINK("https://www.eum.go.kr/web/mp/mpMapDet.jsp?pnu=4311331024100040008&amp;isNoScr=script&amp;mode=search",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HYPERLINK("https://www.eum.go.kr/web/mp/mpMapDet.jsp?pnu=4311331024100040009&amp;isNoScr=script&amp;mode=search",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HYPERLINK("https://www.eum.go.kr/web/mp/mpMapDet.jsp?pnu=4311331024100480001&amp;isNoScr=script&amp;mode=search",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HYPERLINK("https://www.eum.go.kr/web/mp/mpMapDet.jsp?pnu=4311331024100600001&amp;isNoScr=script&amp;mode=search",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HYPERLINK("https://www.eum.go.kr/web/mp/mpMapDet.jsp?pnu=4311331024100600002&amp;isNoScr=script&amp;mode=search",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HYPERLINK("https://www.eum.go.kr/web/mp/mpMapDet.jsp?pnu=4311331024100910001&amp;isNoScr=script&amp;mode=search",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HYPERLINK("https://www.eum.go.kr/web/mp/mpMapDet.jsp?pnu=4311331024200360000&amp;isNoScr=script&amp;mode=search",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HYPERLINK("https://www.eum.go.kr/web/mp/mpMapDet.jsp?pnu=4311331028102590000&amp;isNoScr=script&amp;mode=search",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HYPERLINK("https://www.eum.go.kr/web/mp/mpMapDet.jsp?pnu=4311331028102670002&amp;isNoScr=script&amp;mode=search",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HYPERLINK("https://www.eum.go.kr/web/mp/mpMapDet.jsp?pnu=4311331028103170006&amp;isNoScr=script&amp;mode=search",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HYPERLINK("https://www.eum.go.kr/web/mp/mpMapDet.jsp?pnu=4311331028103520000&amp;isNoScr=script&amp;mode=search",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HYPERLINK("https://www.eum.go.kr/web/mp/mpMapDet.jsp?pnu=4311331028103740033&amp;isNoScr=script&amp;mode=search",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HYPERLINK("https://www.eum.go.kr/web/mp/mpMapDet.jsp?pnu=4311331028104170007&amp;isNoScr=script&amp;mode=search",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HYPERLINK("https://www.eum.go.kr/web/mp/mpMapDet.jsp?pnu=4311331028104170008&amp;isNoScr=script&amp;mode=search",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HYPERLINK("https://www.eum.go.kr/web/mp/mpMapDet.jsp?pnu=4311331028200220010&amp;isNoScr=script&amp;mode=search",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HYPERLINK("https://www.eum.go.kr/web/mp/mpMapDet.jsp?pnu=4311331033101090001&amp;isNoScr=script&amp;mode=search",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HYPERLINK("https://www.eum.go.kr/web/mp/mpMapDet.jsp?pnu=4311331033101180000&amp;isNoScr=script&amp;mode=search",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HYPERLINK("https://fin.land.naver.com/articles/2645909685", "매물Link")</f>
        <v/>
      </c>
      <c r="M54" s="6">
        <f>HYPERLINK("https://map.naver.com/p/search/강내면 사인리 118", "지도Link")</f>
        <v/>
      </c>
      <c r="N54" s="6">
        <f>HYPERLINK("https://www.eum.go.kr/web/mp/mpMapDet.jsp?pnu=4311331033101180000&amp;isNoScr=script&amp;mode=search",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HYPERLINK("https://www.eum.go.kr/web/mp/mpMapDet.jsp?pnu=4311331033101850001&amp;isNoScr=script&amp;mode=search",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HYPERLINK("https://www.eum.go.kr/web/mp/mpMapDet.jsp?pnu=4311331033102480009&amp;isNoScr=script&amp;mode=search",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HYPERLINK("https://www.eum.go.kr/web/mp/mpMapDet.jsp?pnu=4311331033102790001&amp;isNoScr=script&amp;mode=search",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HYPERLINK("https://fin.land.naver.com/articles/2646405947", "매물Link")</f>
        <v/>
      </c>
      <c r="M58" s="6">
        <f>HYPERLINK("https://map.naver.com/p/search/강내면 사인리 279-1", "지도Link")</f>
        <v/>
      </c>
      <c r="N58" s="6">
        <f>HYPERLINK("https://www.eum.go.kr/web/mp/mpMapDet.jsp?pnu=4311331033102790001&amp;isNoScr=script&amp;mode=search",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HYPERLINK("https://www.eum.go.kr/web/mp/mpMapDet.jsp?pnu=4311331033100410002&amp;isNoScr=script&amp;mode=search",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HYPERLINK("https://www.eum.go.kr/web/mp/mpMapDet.jsp?pnu=4311331025101090000&amp;isNoScr=script&amp;mode=search",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73000</v>
      </c>
      <c r="G61" s="4" t="n">
        <v>2033</v>
      </c>
      <c r="H61" s="4" t="n">
        <v>615</v>
      </c>
      <c r="I61" s="5" t="n">
        <v>118.7</v>
      </c>
      <c r="J61" s="5" t="n">
        <v>57.8</v>
      </c>
      <c r="K61" s="3" t="inlineStr">
        <is>
          <t>산단리 1355번지 공장 제조업등 허가등</t>
        </is>
      </c>
      <c r="L61" s="6">
        <f>HYPERLINK("https://fin.land.naver.com/articles/2647723025", "매물Link")</f>
        <v/>
      </c>
      <c r="M61" s="6">
        <f>HYPERLINK("https://map.naver.com/p/search/강내면 산단리 135-5", "지도Link")</f>
        <v/>
      </c>
      <c r="N61" s="6">
        <f>HYPERLINK("https://www.eum.go.kr/web/mp/mpMapDet.jsp?pnu=4311331025101350005&amp;isNoScr=script&amp;mode=search",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150000</v>
      </c>
      <c r="G62" s="4" t="n">
        <v>4135</v>
      </c>
      <c r="H62" s="4" t="n">
        <v>1251</v>
      </c>
      <c r="I62" s="5" t="n">
        <v>119.9</v>
      </c>
      <c r="J62" s="5" t="n">
        <v>57.8</v>
      </c>
      <c r="K62" s="3" t="inlineStr">
        <is>
          <t>사진有.제조업소허가 득. 토목공사완료.분할매매가능.</t>
        </is>
      </c>
      <c r="L62" s="6">
        <f>HYPERLINK("https://fin.land.naver.com/articles/2648349271", "매물Link")</f>
        <v/>
      </c>
      <c r="M62" s="6">
        <f>HYPERLINK("https://map.naver.com/p/search/강내면 산단리 135-5", "지도Link")</f>
        <v/>
      </c>
      <c r="N62" s="6">
        <f>HYPERLINK("https://www.eum.go.kr/web/mp/mpMapDet.jsp?pnu=4311331025101350005&amp;isNoScr=script&amp;mode=search", "토지이음")</f>
        <v/>
      </c>
      <c r="O62" s="3" t="inlineStr">
        <is>
          <t>오너스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HYPERLINK("https://www.eum.go.kr/web/mp/mpMapDet.jsp?pnu=4311331025101350005&amp;isNoScr=script&amp;mode=search",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HYPERLINK("https://www.eum.go.kr/web/mp/mpMapDet.jsp?pnu=4311331025101390002&amp;isNoScr=script&amp;mode=search",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HYPERLINK("https://www.eum.go.kr/web/mp/mpMapDet.jsp?pnu=4311331025101420000&amp;isNoScr=script&amp;mode=search",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HYPERLINK("https://www.eum.go.kr/web/mp/mpMapDet.jsp?pnu=4311331025101510001&amp;isNoScr=script&amp;mode=search",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HYPERLINK("https://www.eum.go.kr/web/mp/mpMapDet.jsp?pnu=4311331025100160003&amp;isNoScr=script&amp;mode=search",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HYPERLINK("https://www.eum.go.kr/web/mp/mpMapDet.jsp?pnu=4311331025100020000&amp;isNoScr=script&amp;mode=search",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HYPERLINK("https://www.eum.go.kr/web/mp/mpMapDet.jsp?pnu=4311331025100020015&amp;isNoScr=script&amp;mode=search",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HYPERLINK("https://www.eum.go.kr/web/mp/mpMapDet.jsp?pnu=4311331025100020016&amp;isNoScr=script&amp;mode=search",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HYPERLINK("https://www.eum.go.kr/web/mp/mpMapDet.jsp?pnu=4311331025102710000&amp;isNoScr=script&amp;mode=search",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HYPERLINK("https://www.eum.go.kr/web/mp/mpMapDet.jsp?pnu=4311331025102750000&amp;isNoScr=script&amp;mode=search",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HYPERLINK("https://www.eum.go.kr/web/mp/mpMapDet.jsp?pnu=4311331025102780000&amp;isNoScr=script&amp;mode=search",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HYPERLINK("https://www.eum.go.kr/web/mp/mpMapDet.jsp?pnu=4311331025103090000&amp;isNoScr=script&amp;mode=search",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HYPERLINK("https://www.eum.go.kr/web/mp/mpMapDet.jsp?pnu=4311331025103150000&amp;isNoScr=script&amp;mode=search",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HYPERLINK("https://www.eum.go.kr/web/mp/mpMapDet.jsp?pnu=4311331025100660005&amp;isNoScr=script&amp;mode=search",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HYPERLINK("https://www.eum.go.kr/web/mp/mpMapDet.jsp?pnu=4311331025200260000&amp;isNoScr=script&amp;mode=search",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HYPERLINK("https://www.eum.go.kr/web/mp/mpMapDet.jsp?pnu=4311331025200410002&amp;isNoScr=script&amp;mode=search",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HYPERLINK("https://www.eum.go.kr/web/mp/mpMapDet.jsp?pnu=4311331025200090012&amp;isNoScr=script&amp;mode=search",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HYPERLINK("https://www.eum.go.kr/web/mp/mpMapDet.jsp?pnu=4311331032100100011&amp;isNoScr=script&amp;mode=search",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HYPERLINK("https://www.eum.go.kr/web/mp/mpMapDet.jsp?pnu=4311331032101930005&amp;isNoScr=script&amp;mode=search",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HYPERLINK("https://www.eum.go.kr/web/mp/mpMapDet.jsp?pnu=4311331032100230000&amp;isNoScr=script&amp;mode=search",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HYPERLINK("https://www.eum.go.kr/web/mp/mpMapDet.jsp?pnu=4311331032100840000&amp;isNoScr=script&amp;mode=search",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HYPERLINK("https://www.eum.go.kr/web/mp/mpMapDet.jsp?pnu=4311331032100890000&amp;isNoScr=script&amp;mode=search",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HYPERLINK("https://www.eum.go.kr/web/mp/mpMapDet.jsp?pnu=4311331032100990002&amp;isNoScr=script&amp;mode=search",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HYPERLINK("https://www.eum.go.kr/web/mp/mpMapDet.jsp?pnu=4311331021101420004&amp;isNoScr=script&amp;mode=search",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HYPERLINK("https://www.eum.go.kr/web/mp/mpMapDet.jsp?pnu=4311331021101420006&amp;isNoScr=script&amp;mode=search",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HYPERLINK("https://www.eum.go.kr/web/mp/mpMapDet.jsp?pnu=4311331021101570002&amp;isNoScr=script&amp;mode=search",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HYPERLINK("https://www.eum.go.kr/web/mp/mpMapDet.jsp?pnu=4311331021100180001&amp;isNoScr=script&amp;mode=search",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HYPERLINK("https://www.eum.go.kr/web/mp/mpMapDet.jsp?pnu=4311331021102050004&amp;isNoScr=script&amp;mode=search",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HYPERLINK("https://www.eum.go.kr/web/mp/mpMapDet.jsp?pnu=4311331021102060000&amp;isNoScr=script&amp;mode=search",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HYPERLINK("https://www.eum.go.kr/web/mp/mpMapDet.jsp?pnu=4311331021200030004&amp;isNoScr=script&amp;mode=search",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HYPERLINK("https://www.eum.go.kr/web/mp/mpMapDet.jsp?pnu=4311331034101290002&amp;isNoScr=script&amp;mode=search",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HYPERLINK("https://www.eum.go.kr/web/mp/mpMapDet.jsp?pnu=4311331034101390005&amp;isNoScr=script&amp;mode=search",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HYPERLINK("https://www.eum.go.kr/web/mp/mpMapDet.jsp?pnu=4311331034101810000&amp;isNoScr=script&amp;mode=search",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HYPERLINK("https://www.eum.go.kr/web/mp/mpMapDet.jsp?pnu=4311331034101940001&amp;isNoScr=script&amp;mode=search",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HYPERLINK("https://www.eum.go.kr/web/mp/mpMapDet.jsp?pnu=4311331034102080001&amp;isNoScr=script&amp;mode=search",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HYPERLINK("https://www.eum.go.kr/web/mp/mpMapDet.jsp?pnu=4311331034103310015&amp;isNoScr=script&amp;mode=search",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HYPERLINK("https://www.eum.go.kr/web/mp/mpMapDet.jsp?pnu=4311331034103630000&amp;isNoScr=script&amp;mode=search",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HYPERLINK("https://www.eum.go.kr/web/mp/mpMapDet.jsp?pnu=4311331034103850002&amp;isNoScr=script&amp;mode=search",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HYPERLINK("https://www.eum.go.kr/web/mp/mpMapDet.jsp?pnu=4311331034100740001&amp;isNoScr=script&amp;mode=search",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HYPERLINK("https://www.eum.go.kr/web/mp/mpMapDet.jsp?pnu=4311331030101310001&amp;isNoScr=script&amp;mode=search",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HYPERLINK("https://fin.land.naver.com/articles/2645932689", "매물Link")</f>
        <v/>
      </c>
      <c r="M103" s="6">
        <f>HYPERLINK("https://map.naver.com/p/search/강내면 월탄리 131-1", "지도Link")</f>
        <v/>
      </c>
      <c r="N103" s="6">
        <f>HYPERLINK("https://www.eum.go.kr/web/mp/mpMapDet.jsp?pnu=4311331030101310001&amp;isNoScr=script&amp;mode=search",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HYPERLINK("https://fin.land.naver.com/articles/2645566618", "매물Link")</f>
        <v/>
      </c>
      <c r="M104" s="6">
        <f>HYPERLINK("https://map.naver.com/p/search/강내면 월탄리 131-1", "지도Link")</f>
        <v/>
      </c>
      <c r="N104" s="6">
        <f>HYPERLINK("https://www.eum.go.kr/web/mp/mpMapDet.jsp?pnu=4311331030101310001&amp;isNoScr=script&amp;mode=search",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HYPERLINK("https://www.eum.go.kr/web/mp/mpMapDet.jsp?pnu=4311331030102310000&amp;isNoScr=script&amp;mode=search",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HYPERLINK("https://www.eum.go.kr/web/mp/mpMapDet.jsp?pnu=4311331030102310014&amp;isNoScr=script&amp;mode=search",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HYPERLINK("https://www.eum.go.kr/web/mp/mpMapDet.jsp?pnu=4311331030100490018&amp;isNoScr=script&amp;mode=search",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HYPERLINK("https://www.eum.go.kr/web/mp/mpMapDet.jsp?pnu=4311331030100760003&amp;isNoScr=script&amp;mode=search",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HYPERLINK("https://www.eum.go.kr/web/mp/mpMapDet.jsp?pnu=4311331030100850000&amp;isNoScr=script&amp;mode=search",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HYPERLINK("https://fin.land.naver.com/articles/2647467628", "매물Link")</f>
        <v/>
      </c>
      <c r="M110" s="6">
        <f>HYPERLINK("https://map.naver.com/p/search/강내면 월탄리 산6", "지도Link")</f>
        <v/>
      </c>
      <c r="N110" s="6">
        <f>HYPERLINK("https://www.eum.go.kr/web/mp/mpMapDet.jsp?pnu=4311331030200060000&amp;isNoScr=script&amp;mode=search",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840</v>
      </c>
      <c r="H111" s="4" t="n">
        <v>254</v>
      </c>
      <c r="I111" s="5" t="n">
        <v>232.3</v>
      </c>
      <c r="J111" s="5" t="n">
        <v>15.7</v>
      </c>
      <c r="K111" s="3" t="inlineStr">
        <is>
          <t>강내면 월탄리 임야 매매 대로변 2종근생 건축승인 자동차관련 창고등</t>
        </is>
      </c>
      <c r="L111" s="6">
        <f>HYPERLINK("https://fin.land.naver.com/articles/2647006142", "매물Link")</f>
        <v/>
      </c>
      <c r="M111" s="6">
        <f>HYPERLINK("https://map.naver.com/p/search/강내면 월탄리 산6", "지도Link")</f>
        <v/>
      </c>
      <c r="N111" s="6">
        <f>HYPERLINK("https://www.eum.go.kr/web/mp/mpMapDet.jsp?pnu=4311331030200060000&amp;isNoScr=script&amp;mode=search", "토지이음")</f>
        <v/>
      </c>
      <c r="O111" s="3" t="inlineStr">
        <is>
          <t>그린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HYPERLINK("https://www.eum.go.kr/web/mp/mpMapDet.jsp?pnu=4311331023101050009&amp;isNoScr=script&amp;mode=search",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HYPERLINK("https://fin.land.naver.com/articles/2647733970", "매물Link")</f>
        <v/>
      </c>
      <c r="M113" s="6">
        <f>HYPERLINK("https://map.naver.com/p/search/강내면 저산리 107-2", "지도Link")</f>
        <v/>
      </c>
      <c r="N113" s="6">
        <f>HYPERLINK("https://www.eum.go.kr/web/mp/mpMapDet.jsp?pnu=4311331023101070002&amp;isNoScr=script&amp;mode=search",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6M도로접  땅모양 좋음 잡석 깔려 있어 깔끔해요</t>
        </is>
      </c>
      <c r="L114" s="6">
        <f>HYPERLINK("https://fin.land.naver.com/articles/2648890539", "매물Link")</f>
        <v/>
      </c>
      <c r="M114" s="6">
        <f>HYPERLINK("https://map.naver.com/p/search/강내면 저산리 107-2", "지도Link")</f>
        <v/>
      </c>
      <c r="N114" s="6">
        <f>HYPERLINK("https://www.eum.go.kr/web/mp/mpMapDet.jsp?pnu=4311331023101070002&amp;isNoScr=script&amp;mode=search", "토지이음")</f>
        <v/>
      </c>
      <c r="O114" s="3" t="inlineStr">
        <is>
          <t>신두꺼비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HYPERLINK("https://www.eum.go.kr/web/mp/mpMapDet.jsp?pnu=4311331023101310000&amp;isNoScr=script&amp;mode=search",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HYPERLINK("https://www.eum.go.kr/web/mp/mpMapDet.jsp?pnu=4311331023101340024&amp;isNoScr=script&amp;mode=search",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HYPERLINK("https://www.eum.go.kr/web/mp/mpMapDet.jsp?pnu=4311331023101360009&amp;isNoScr=script&amp;mode=search",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HYPERLINK("https://www.eum.go.kr/web/mp/mpMapDet.jsp?pnu=4311331023101370010&amp;isNoScr=script&amp;mode=search",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HYPERLINK("https://www.eum.go.kr/web/mp/mpMapDet.jsp?pnu=4311331023101380008&amp;isNoScr=script&amp;mode=search",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HYPERLINK("https://www.eum.go.kr/web/mp/mpMapDet.jsp?pnu=4311331023101430001&amp;isNoScr=script&amp;mode=search",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HYPERLINK("https://www.eum.go.kr/web/mp/mpMapDet.jsp?pnu=4311331023101590000&amp;isNoScr=script&amp;mode=search",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4미터 도로에 접함, 공장 및 창고 부지로 추천</t>
        </is>
      </c>
      <c r="L122" s="6">
        <f>HYPERLINK("https://fin.land.naver.com/articles/2648146071", "매물Link")</f>
        <v/>
      </c>
      <c r="M122" s="6">
        <f>HYPERLINK("https://map.naver.com/p/search/강내면 저산리 192", "지도Link")</f>
        <v/>
      </c>
      <c r="N122" s="6">
        <f>HYPERLINK("https://www.eum.go.kr/web/mp/mpMapDet.jsp?pnu=4311331023101920000&amp;isNoScr=script&amp;mode=search",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HYPERLINK("https://www.eum.go.kr/web/mp/mpMapDet.jsp?pnu=4311331023101920000&amp;isNoScr=script&amp;mode=search",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HYPERLINK("https://fin.land.naver.com/articles/2646114275", "매물Link")</f>
        <v/>
      </c>
      <c r="M124" s="6">
        <f>HYPERLINK("https://map.naver.com/p/search/강내면 저산리 22-1", "지도Link")</f>
        <v/>
      </c>
      <c r="N124" s="6">
        <f>HYPERLINK("https://www.eum.go.kr/web/mp/mpMapDet.jsp?pnu=4311331023100220001&amp;isNoScr=script&amp;mode=search",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HYPERLINK("https://www.eum.go.kr/web/mp/mpMapDet.jsp?pnu=4311331023100220001&amp;isNoScr=script&amp;mode=search",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마을내 평단가 저렴한 대지</t>
        </is>
      </c>
      <c r="L126" s="6">
        <f>HYPERLINK("https://fin.land.naver.com/articles/2645609155", "매물Link")</f>
        <v/>
      </c>
      <c r="M126" s="6">
        <f>HYPERLINK("https://map.naver.com/p/search/강내면 저산리 22-1", "지도Link")</f>
        <v/>
      </c>
      <c r="N126" s="6">
        <f>HYPERLINK("https://www.eum.go.kr/web/mp/mpMapDet.jsp?pnu=4311331023100220001&amp;isNoScr=script&amp;mode=search", "토지이음")</f>
        <v/>
      </c>
      <c r="O126" s="3" t="inlineStr">
        <is>
          <t>청담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HYPERLINK("https://www.eum.go.kr/web/mp/mpMapDet.jsp?pnu=4311331023102480006&amp;isNoScr=script&amp;mode=search",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HYPERLINK("https://www.eum.go.kr/web/mp/mpMapDet.jsp?pnu=4311331023103180000&amp;isNoScr=script&amp;mode=search",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HYPERLINK("https://www.eum.go.kr/web/mp/mpMapDet.jsp?pnu=4311331023104060000&amp;isNoScr=script&amp;mode=search",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HYPERLINK("https://www.eum.go.kr/web/mp/mpMapDet.jsp?pnu=4311331023104800000&amp;isNoScr=script&amp;mode=search",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HYPERLINK("https://www.eum.go.kr/web/mp/mpMapDet.jsp?pnu=4311331023100070013&amp;isNoScr=script&amp;mode=search",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HYPERLINK("https://www.eum.go.kr/web/mp/mpMapDet.jsp?pnu=4311331023100810001&amp;isNoScr=script&amp;mode=search",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HYPERLINK("https://www.eum.go.kr/web/mp/mpMapDet.jsp?pnu=4311331023100900000&amp;isNoScr=script&amp;mode=search",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HYPERLINK("https://www.eum.go.kr/web/mp/mpMapDet.jsp?pnu=4311331023200360015&amp;isNoScr=script&amp;mode=search",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HYPERLINK("https://www.eum.go.kr/web/mp/mpMapDet.jsp?pnu=4311331023200430027&amp;isNoScr=script&amp;mode=search",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HYPERLINK("https://www.eum.go.kr/web/mp/mpMapDet.jsp?pnu=4311331023200430030&amp;isNoScr=script&amp;mode=search",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HYPERLINK("https://www.eum.go.kr/web/mp/mpMapDet.jsp?pnu=4311331023200600023&amp;isNoScr=script&amp;mode=search",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HYPERLINK("https://www.eum.go.kr/web/mp/mpMapDet.jsp?pnu=4311331023200600026&amp;isNoScr=script&amp;mode=search",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33000</v>
      </c>
      <c r="G139" s="4" t="n">
        <v>665</v>
      </c>
      <c r="H139" s="4" t="n">
        <v>201</v>
      </c>
      <c r="I139" s="5" t="n">
        <v>164.2</v>
      </c>
      <c r="J139" s="5" t="n">
        <v>22.2</v>
      </c>
      <c r="K139" s="3" t="inlineStr">
        <is>
          <t>강내면 저산리 전원주택단지내 토지매매 앞뒤 탁트인조망</t>
        </is>
      </c>
      <c r="L139" s="6">
        <f>HYPERLINK("https://fin.land.naver.com/articles/2649951795", "매물Link")</f>
        <v/>
      </c>
      <c r="M139" s="6">
        <f>HYPERLINK("https://map.naver.com/p/search/강내면 저산리 산43-25", "지도Link")</f>
        <v/>
      </c>
      <c r="N139" s="6">
        <f>HYPERLINK("https://www.eum.go.kr/web/mp/mpMapDet.jsp?pnu=4311331023200430025&amp;isNoScr=script&amp;mode=search", "토지이음")</f>
        <v/>
      </c>
      <c r="O139" s="3" t="inlineStr">
        <is>
          <t>탄탄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HYPERLINK("https://fin.land.naver.com/articles/2645859464", "매물Link")</f>
        <v/>
      </c>
      <c r="M140" s="6">
        <f>HYPERLINK("https://map.naver.com/p/search/강내면 저산리 산43-25", "지도Link")</f>
        <v/>
      </c>
      <c r="N140" s="6">
        <f>HYPERLINK("https://www.eum.go.kr/web/mp/mpMapDet.jsp?pnu=4311331023200430025&amp;isNoScr=script&amp;mode=search",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568</v>
      </c>
      <c r="H141" s="4" t="n">
        <v>172</v>
      </c>
      <c r="I141" s="5" t="n">
        <v>122.1</v>
      </c>
      <c r="J141" s="5" t="n">
        <v>4.7</v>
      </c>
      <c r="K141" s="3" t="inlineStr">
        <is>
          <t>세종 인접한 바로 건축 가능 전원주택지 급매</t>
        </is>
      </c>
      <c r="L141" s="6">
        <f>HYPERLINK("https://fin.land.naver.com/articles/2648195583", "매물Link")</f>
        <v/>
      </c>
      <c r="M141" s="6">
        <f>HYPERLINK("https://map.naver.com/p/search/강내면 저산리 산43-63", "지도Link")</f>
        <v/>
      </c>
      <c r="N141" s="6">
        <f>HYPERLINK("https://www.eum.go.kr/web/mp/mpMapDet.jsp?pnu=4311331023200430063&amp;isNoScr=script&amp;mode=search", "토지이음")</f>
        <v/>
      </c>
      <c r="O141" s="3" t="inlineStr">
        <is>
          <t>e교차로합동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HYPERLINK("https://fin.land.naver.com/articles/2647763676", "매물Link")</f>
        <v/>
      </c>
      <c r="M142" s="6">
        <f>HYPERLINK("https://map.naver.com/p/search/강내면 저산리 산43-63", "지도Link")</f>
        <v/>
      </c>
      <c r="N142" s="6">
        <f>HYPERLINK("https://www.eum.go.kr/web/mp/mpMapDet.jsp?pnu=4311331023200430063&amp;isNoScr=script&amp;mode=search",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656</v>
      </c>
      <c r="H143" s="4" t="n">
        <v>198</v>
      </c>
      <c r="I143" s="5" t="n">
        <v>111.1</v>
      </c>
      <c r="J143" s="5" t="n">
        <v>22.2</v>
      </c>
      <c r="K143" s="3" t="inlineStr">
        <is>
          <t>부강역 10분, 세종 집현동 15분, 전원주택 건축 추천 건축허가</t>
        </is>
      </c>
      <c r="L143" s="6">
        <f>HYPERLINK("https://fin.land.naver.com/articles/2647457494", "매물Link")</f>
        <v/>
      </c>
      <c r="M143" s="6">
        <f>HYPERLINK("https://map.naver.com/p/search/강내면 저산리 산43-9", "지도Link")</f>
        <v/>
      </c>
      <c r="N143" s="6">
        <f>HYPERLINK("https://www.eum.go.kr/web/mp/mpMapDet.jsp?pnu=4311331023200430009&amp;isNoScr=script&amp;mode=search", "토지이음")</f>
        <v/>
      </c>
      <c r="O143" s="3" t="inlineStr">
        <is>
          <t>나침반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HYPERLINK("https://fin.land.naver.com/articles/2648979149", "매물Link")</f>
        <v/>
      </c>
      <c r="M144" s="6">
        <f>HYPERLINK("https://map.naver.com/p/search/강내면 저산리 산43-9", "지도Link")</f>
        <v/>
      </c>
      <c r="N144" s="6">
        <f>HYPERLINK("https://www.eum.go.kr/web/mp/mpMapDet.jsp?pnu=4311331023200430009&amp;isNoScr=script&amp;mode=search",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HYPERLINK("https://www.eum.go.kr/web/mp/mpMapDet.jsp?pnu=4311331023200550012&amp;isNoScr=script&amp;mode=search",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HYPERLINK("https://www.eum.go.kr/web/mp/mpMapDet.jsp?pnu=4311331031101010017&amp;isNoScr=script&amp;mode=search",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HYPERLINK("https://www.eum.go.kr/web/mp/mpMapDet.jsp?pnu=4311331031100130002&amp;isNoScr=script&amp;mode=search",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HYPERLINK("https://www.eum.go.kr/web/mp/mpMapDet.jsp?pnu=4311331031101410003&amp;isNoScr=script&amp;mode=search",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HYPERLINK("https://www.eum.go.kr/web/mp/mpMapDet.jsp?pnu=4311331031101470005&amp;isNoScr=script&amp;mode=search",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HYPERLINK("https://www.eum.go.kr/web/mp/mpMapDet.jsp?pnu=4311331031102050001&amp;isNoScr=script&amp;mode=search",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HYPERLINK("https://www.eum.go.kr/web/mp/mpMapDet.jsp?pnu=4311331031102790002&amp;isNoScr=script&amp;mode=search",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HYPERLINK("https://www.eum.go.kr/web/mp/mpMapDet.jsp?pnu=4311331031100290012&amp;isNoScr=script&amp;mode=search",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HYPERLINK("https://www.eum.go.kr/web/mp/mpMapDet.jsp?pnu=4311331031102900005&amp;isNoScr=script&amp;mode=search",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HYPERLINK("https://www.eum.go.kr/web/mp/mpMapDet.jsp?pnu=4311331031103330004&amp;isNoScr=script&amp;mode=search",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HYPERLINK("https://www.eum.go.kr/web/mp/mpMapDet.jsp?pnu=4311331031103350000&amp;isNoScr=script&amp;mode=search",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HYPERLINK("https://www.eum.go.kr/web/mp/mpMapDet.jsp?pnu=4311331027101210002&amp;isNoScr=script&amp;mode=search",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HYPERLINK("https://www.eum.go.kr/web/mp/mpMapDet.jsp?pnu=4311331027101310001&amp;isNoScr=script&amp;mode=search",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HYPERLINK("https://www.eum.go.kr/web/mp/mpMapDet.jsp?pnu=4311331027101420002&amp;isNoScr=script&amp;mode=search",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HYPERLINK("https://www.eum.go.kr/web/mp/mpMapDet.jsp?pnu=4311331027101580009&amp;isNoScr=script&amp;mode=search",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HYPERLINK("https://www.eum.go.kr/web/mp/mpMapDet.jsp?pnu=4311331027101660008&amp;isNoScr=script&amp;mode=search",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HYPERLINK("https://www.eum.go.kr/web/mp/mpMapDet.jsp?pnu=4311331027102330000&amp;isNoScr=script&amp;mode=search",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HYPERLINK("https://www.eum.go.kr/web/mp/mpMapDet.jsp?pnu=4311331027102610000&amp;isNoScr=script&amp;mode=search",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HYPERLINK("https://www.eum.go.kr/web/mp/mpMapDet.jsp?pnu=4311331027102650006&amp;isNoScr=script&amp;mode=search",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113400</v>
      </c>
      <c r="G164" s="4" t="n">
        <v>2085</v>
      </c>
      <c r="H164" s="4" t="n">
        <v>631</v>
      </c>
      <c r="I164" s="5" t="n">
        <v>179.7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HYPERLINK("https://fin.land.naver.com/articles/2645890475", "매물Link")</f>
        <v/>
      </c>
      <c r="M164" s="6">
        <f>HYPERLINK("https://map.naver.com/p/search/강내면 태성리 271-2", "지도Link")</f>
        <v/>
      </c>
      <c r="N164" s="6">
        <f>HYPERLINK("https://www.eum.go.kr/web/mp/mpMapDet.jsp?pnu=4311331027102710002&amp;isNoScr=script&amp;mode=search",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HYPERLINK("https://www.eum.go.kr/web/mp/mpMapDet.jsp?pnu=4311331027102710002&amp;isNoScr=script&amp;mode=search",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HYPERLINK("https://www.eum.go.kr/web/mp/mpMapDet.jsp?pnu=4311331027103230000&amp;isNoScr=script&amp;mode=search",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HYPERLINK("https://www.eum.go.kr/web/mp/mpMapDet.jsp?pnu=4311331027104070003&amp;isNoScr=script&amp;mode=search",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HYPERLINK("https://www.eum.go.kr/web/mp/mpMapDet.jsp?pnu=4311331027104100000&amp;isNoScr=script&amp;mode=search",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HYPERLINK("https://fin.land.naver.com/articles/2648172349", "매물Link")</f>
        <v/>
      </c>
      <c r="M169" s="6">
        <f>HYPERLINK("https://map.naver.com/p/search/강내면 태성리 410", "지도Link")</f>
        <v/>
      </c>
      <c r="N169" s="6">
        <f>HYPERLINK("https://www.eum.go.kr/web/mp/mpMapDet.jsp?pnu=4311331027104100000&amp;isNoScr=script&amp;mode=search",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84900</v>
      </c>
      <c r="G170" s="4" t="n">
        <v>1871</v>
      </c>
      <c r="H170" s="4" t="n">
        <v>566</v>
      </c>
      <c r="I170" s="5" t="n">
        <v>150</v>
      </c>
      <c r="J170" s="5" t="n">
        <v>36.3</v>
      </c>
      <c r="K170" s="3" t="inlineStr">
        <is>
          <t>2차선 포장도로 접한 토지로 공장,창고부지로 적합</t>
        </is>
      </c>
      <c r="L170" s="6">
        <f>HYPERLINK("https://fin.land.naver.com/articles/2645438275", "매물Link")</f>
        <v/>
      </c>
      <c r="M170" s="6">
        <f>HYPERLINK("https://map.naver.com/p/search/강내면 태성리 421", "지도Link")</f>
        <v/>
      </c>
      <c r="N170" s="6">
        <f>HYPERLINK("https://www.eum.go.kr/web/mp/mpMapDet.jsp?pnu=4311331027104210000&amp;isNoScr=script&amp;mode=search", "토지이음")</f>
        <v/>
      </c>
      <c r="O170" s="3" t="inlineStr">
        <is>
          <t>고은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85000</v>
      </c>
      <c r="G171" s="4" t="n">
        <v>1871</v>
      </c>
      <c r="H171" s="4" t="n">
        <v>566</v>
      </c>
      <c r="I171" s="5" t="n">
        <v>150.2</v>
      </c>
      <c r="J171" s="5" t="n">
        <v>36.3</v>
      </c>
      <c r="K171" s="3" t="inlineStr">
        <is>
          <t>계획관리지역 내 토지매매</t>
        </is>
      </c>
      <c r="L171" s="6">
        <f>HYPERLINK("https://fin.land.naver.com/articles/2645276286", "매물Link")</f>
        <v/>
      </c>
      <c r="M171" s="6">
        <f>HYPERLINK("https://map.naver.com/p/search/강내면 태성리 421", "지도Link")</f>
        <v/>
      </c>
      <c r="N171" s="6">
        <f>HYPERLINK("https://www.eum.go.kr/web/mp/mpMapDet.jsp?pnu=4311331027104210000&amp;isNoScr=script&amp;mode=search", "토지이음")</f>
        <v/>
      </c>
      <c r="O171" s="3" t="inlineStr">
        <is>
          <t>럭키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HYPERLINK("https://www.eum.go.kr/web/mp/mpMapDet.jsp?pnu=4311331027104540000&amp;isNoScr=script&amp;mode=search",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2차선 코너도로접 상가및 사무실최상</t>
        </is>
      </c>
      <c r="L173" s="6">
        <f>HYPERLINK("https://fin.land.naver.com/articles/2647682635", "매물Link")</f>
        <v/>
      </c>
      <c r="M173" s="6">
        <f>HYPERLINK("https://map.naver.com/p/search/강내면 태성리 83-4", "지도Link")</f>
        <v/>
      </c>
      <c r="N173" s="6">
        <f>HYPERLINK("https://www.eum.go.kr/web/mp/mpMapDet.jsp?pnu=4311331027100830004&amp;isNoScr=script&amp;mode=search", "토지이음")</f>
        <v/>
      </c>
      <c r="O173" s="3" t="inlineStr">
        <is>
          <t>플러스태양</t>
        </is>
      </c>
      <c r="P173" s="4" t="n">
        <v>2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강내 태성리 2차선변</t>
        </is>
      </c>
      <c r="L174" s="6">
        <f>HYPERLINK("https://fin.land.naver.com/articles/2648030859", "매물Link")</f>
        <v/>
      </c>
      <c r="M174" s="6">
        <f>HYPERLINK("https://map.naver.com/p/search/강내면 태성리 83-4", "지도Link")</f>
        <v/>
      </c>
      <c r="N174" s="6">
        <f>HYPERLINK("https://www.eum.go.kr/web/mp/mpMapDet.jsp?pnu=4311331027100830004&amp;isNoScr=script&amp;mode=search", "토지이음")</f>
        <v/>
      </c>
      <c r="O174" s="3" t="inlineStr">
        <is>
          <t>둥지</t>
        </is>
      </c>
      <c r="P174" s="4" t="n">
        <v>1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HYPERLINK("https://www.eum.go.kr/web/mp/mpMapDet.jsp?pnu=4311331027200290001&amp;isNoScr=script&amp;mode=search",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HYPERLINK("https://www.eum.go.kr/web/mp/mpMapDet.jsp?pnu=4311331027200380022&amp;isNoScr=script&amp;mode=search",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HYPERLINK("https://www.eum.go.kr/web/mp/mpMapDet.jsp?pnu=4311331027200710010&amp;isNoScr=script&amp;mode=search",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HYPERLINK("https://www.eum.go.kr/web/mp/mpMapDet.jsp?pnu=4311331035100190000&amp;isNoScr=script&amp;mode=search",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HYPERLINK("https://www.eum.go.kr/web/mp/mpMapDet.jsp?pnu=4311331035101980003&amp;isNoScr=script&amp;mode=search",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HYPERLINK("https://www.eum.go.kr/web/mp/mpMapDet.jsp?pnu=4311331035102200019&amp;isNoScr=script&amp;mode=search",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HYPERLINK("https://www.eum.go.kr/web/mp/mpMapDet.jsp?pnu=4311331035103070001&amp;isNoScr=script&amp;mode=search",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HYPERLINK("https://www.eum.go.kr/web/mp/mpMapDet.jsp?pnu=4311331035103080011&amp;isNoScr=script&amp;mode=search",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HYPERLINK("https://www.eum.go.kr/web/mp/mpMapDet.jsp?pnu=4311331035103170000&amp;isNoScr=script&amp;mode=search",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HYPERLINK("https://www.eum.go.kr/web/mp/mpMapDet.jsp?pnu=4311331035103350000&amp;isNoScr=script&amp;mode=search",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HYPERLINK("https://www.eum.go.kr/web/mp/mpMapDet.jsp?pnu=4311331035103800000&amp;isNoScr=script&amp;mode=search",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HYPERLINK("https://www.eum.go.kr/web/mp/mpMapDet.jsp?pnu=4311331035103850000&amp;isNoScr=script&amp;mode=search",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HYPERLINK("https://www.eum.go.kr/web/mp/mpMapDet.jsp?pnu=4311331035100420001&amp;isNoScr=script&amp;mode=search",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HYPERLINK("https://www.eum.go.kr/web/mp/mpMapDet.jsp?pnu=4311331035100470007&amp;isNoScr=script&amp;mode=search",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도시지역 근교위치한 토지.접근성편리.농사. 대토</t>
        </is>
      </c>
      <c r="L189" s="6">
        <f>HYPERLINK("https://fin.land.naver.com/articles/2647068729", "매물Link")</f>
        <v/>
      </c>
      <c r="M189" s="6">
        <f>HYPERLINK("https://map.naver.com/p/search/강내면 학천리 490-2", "지도Link")</f>
        <v/>
      </c>
      <c r="N189" s="6">
        <f>HYPERLINK("https://www.eum.go.kr/web/mp/mpMapDet.jsp?pnu=4311331035104900002&amp;isNoScr=script&amp;mode=search", "토지이음")</f>
        <v/>
      </c>
      <c r="O189" s="3" t="inlineStr">
        <is>
          <t>자연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nan</t>
        </is>
      </c>
      <c r="L190" s="6">
        <f>HYPERLINK("https://fin.land.naver.com/articles/2645145192", "매물Link")</f>
        <v/>
      </c>
      <c r="M190" s="6">
        <f>HYPERLINK("https://map.naver.com/p/search/강내면 학천리 490-2", "지도Link")</f>
        <v/>
      </c>
      <c r="N190" s="6">
        <f>HYPERLINK("https://www.eum.go.kr/web/mp/mpMapDet.jsp?pnu=4311331035104900002&amp;isNoScr=script&amp;mode=search", "토지이음")</f>
        <v/>
      </c>
      <c r="O190" s="3" t="inlineStr">
        <is>
          <t>보석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HYPERLINK("https://www.eum.go.kr/web/mp/mpMapDet.jsp?pnu=4311331035105000001&amp;isNoScr=script&amp;mode=search",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HYPERLINK("https://www.eum.go.kr/web/mp/mpMapDet.jsp?pnu=4311331035105380001&amp;isNoScr=script&amp;mode=search",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HYPERLINK("https://www.eum.go.kr/web/mp/mpMapDet.jsp?pnu=4311331035105490001&amp;isNoScr=script&amp;mode=search",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HYPERLINK("https://www.eum.go.kr/web/mp/mpMapDet.jsp?pnu=4311331035105650001&amp;isNoScr=script&amp;mode=search",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HYPERLINK("https://www.eum.go.kr/web/mp/mpMapDet.jsp?pnu=4311331035100900003&amp;isNoScr=script&amp;mode=search",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HYPERLINK("https://www.eum.go.kr/web/mp/mpMapDet.jsp?pnu=4311331029101920000&amp;isNoScr=script&amp;mode=search",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HYPERLINK("https://www.eum.go.kr/web/mp/mpMapDet.jsp?pnu=4311331029104710000&amp;isNoScr=script&amp;mode=search",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HYPERLINK("https://www.eum.go.kr/web/mp/mpMapDet.jsp?pnu=4311331029100630001&amp;isNoScr=script&amp;mode=search",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HYPERLINK("https://www.eum.go.kr/web/mp/mpMapDet.jsp?pnu=4311331029100640000&amp;isNoScr=script&amp;mode=search",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HYPERLINK("https://www.eum.go.kr/web/mp/mpMapDet.jsp?pnu=4311331029100950002&amp;isNoScr=script&amp;mode=search",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학교와 근린생활 근처에 위치하고 3면 각지에 접해있어서 상권이 좋은 대지</t>
        </is>
      </c>
      <c r="L201" s="6">
        <f>HYPERLINK("https://fin.land.naver.com/articles/2649287514", "매물Link")</f>
        <v/>
      </c>
      <c r="M201" s="6">
        <f>HYPERLINK("https://map.naver.com/p/search/고운동 1010", "지도Link")</f>
        <v/>
      </c>
      <c r="N201" s="6">
        <f>HYPERLINK("https://www.eum.go.kr/web/mp/mpMapDet.jsp?pnu=3611011200110100000&amp;isNoScr=script&amp;mode=search", "토지이음")</f>
        <v/>
      </c>
      <c r="O201" s="3" t="inlineStr">
        <is>
          <t>송림탑</t>
        </is>
      </c>
      <c r="P201" s="4" t="n">
        <v>3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총 96.9p, 길가 코너자리, 정남향</t>
        </is>
      </c>
      <c r="L202" s="6">
        <f>HYPERLINK("https://fin.land.naver.com/articles/2648182149", "매물Link")</f>
        <v/>
      </c>
      <c r="M202" s="6">
        <f>HYPERLINK("https://map.naver.com/p/search/고운동 1010", "지도Link")</f>
        <v/>
      </c>
      <c r="N202" s="6">
        <f>HYPERLINK("https://www.eum.go.kr/web/mp/mpMapDet.jsp?pnu=3611011200110100000&amp;isNoScr=script&amp;mode=search",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총 96.9p, 상가인근 토지</t>
        </is>
      </c>
      <c r="L203" s="6">
        <f>HYPERLINK("https://fin.land.naver.com/articles/2648840106", "매물Link")</f>
        <v/>
      </c>
      <c r="M203" s="6">
        <f>HYPERLINK("https://map.naver.com/p/search/고운동 1010", "지도Link")</f>
        <v/>
      </c>
      <c r="N203" s="6">
        <f>HYPERLINK("https://www.eum.go.kr/web/mp/mpMapDet.jsp?pnu=3611011200110100000&amp;isNoScr=script&amp;mode=search",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HYPERLINK("https://www.eum.go.kr/web/mp/mpMapDet.jsp?pnu=3611011200110310000&amp;isNoScr=script&amp;mode=search",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HYPERLINK("https://www.eum.go.kr/web/mp/mpMapDet.jsp?pnu=3611011200110500000&amp;isNoScr=script&amp;mode=search",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HYPERLINK("https://www.eum.go.kr/web/mp/mpMapDet.jsp?pnu=3611011200110500000&amp;isNoScr=script&amp;mode=search",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HYPERLINK("https://www.eum.go.kr/web/mp/mpMapDet.jsp?pnu=3611011200110510000&amp;isNoScr=script&amp;mode=search",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HYPERLINK("https://www.eum.go.kr/web/mp/mpMapDet.jsp?pnu=3611011200110530000&amp;isNoScr=script&amp;mode=search",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HYPERLINK("https://www.eum.go.kr/web/mp/mpMapDet.jsp?pnu=3611011200110580000&amp;isNoScr=script&amp;mode=search",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HYPERLINK("https://www.eum.go.kr/web/mp/mpMapDet.jsp?pnu=3611011200110670000&amp;isNoScr=script&amp;mode=search",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HYPERLINK("https://www.eum.go.kr/web/mp/mpMapDet.jsp?pnu=3611011200110690000&amp;isNoScr=script&amp;mode=search",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공원과 주차장 옆으로 입지 좋은 고운동 단독주택지</t>
        </is>
      </c>
      <c r="L212" s="6">
        <f>HYPERLINK("https://fin.land.naver.com/articles/2645253248", "매물Link")</f>
        <v/>
      </c>
      <c r="M212" s="6">
        <f>HYPERLINK("https://map.naver.com/p/search/고운동 1070", "지도Link")</f>
        <v/>
      </c>
      <c r="N212" s="6">
        <f>HYPERLINK("https://www.eum.go.kr/web/mp/mpMapDet.jsp?pnu=3611011200110700000&amp;isNoScr=script&amp;mode=search",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입지좋은단독택지학군상권이용편리공원바로옆위치</t>
        </is>
      </c>
      <c r="L213" s="6">
        <f>HYPERLINK("https://fin.land.naver.com/articles/2645684375", "매물Link")</f>
        <v/>
      </c>
      <c r="M213" s="6">
        <f>HYPERLINK("https://map.naver.com/p/search/고운동 1070", "지도Link")</f>
        <v/>
      </c>
      <c r="N213" s="6">
        <f>HYPERLINK("https://www.eum.go.kr/web/mp/mpMapDet.jsp?pnu=3611011200110700000&amp;isNoScr=script&amp;mode=search",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HYPERLINK("https://www.eum.go.kr/web/mp/mpMapDet.jsp?pnu=3611011200110700000&amp;isNoScr=script&amp;mode=search",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HYPERLINK("https://www.eum.go.kr/web/mp/mpMapDet.jsp?pnu=3611011200110720000&amp;isNoScr=script&amp;mode=search",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HYPERLINK("https://fin.land.naver.com/articles/2645384320", "매물Link")</f>
        <v/>
      </c>
      <c r="M216" s="6">
        <f>HYPERLINK("https://map.naver.com/p/search/고운동 1072", "지도Link")</f>
        <v/>
      </c>
      <c r="N216" s="6">
        <f>HYPERLINK("https://www.eum.go.kr/web/mp/mpMapDet.jsp?pnu=3611011200110720000&amp;isNoScr=script&amp;mode=search",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HYPERLINK("https://fin.land.naver.com/articles/2645686722", "매물Link")</f>
        <v/>
      </c>
      <c r="M217" s="6">
        <f>HYPERLINK("https://map.naver.com/p/search/고운동 1072", "지도Link")</f>
        <v/>
      </c>
      <c r="N217" s="6">
        <f>HYPERLINK("https://www.eum.go.kr/web/mp/mpMapDet.jsp?pnu=3611011200110720000&amp;isNoScr=script&amp;mode=search",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HYPERLINK("https://www.eum.go.kr/web/mp/mpMapDet.jsp?pnu=3611011200110900000&amp;isNoScr=script&amp;mode=search",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HYPERLINK("https://www.eum.go.kr/web/mp/mpMapDet.jsp?pnu=3611011200110930000&amp;isNoScr=script&amp;mode=search",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HYPERLINK("https://www.eum.go.kr/web/mp/mpMapDet.jsp?pnu=3611011200111050000&amp;isNoScr=script&amp;mode=search",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HYPERLINK("https://www.eum.go.kr/web/mp/mpMapDet.jsp?pnu=3611011200111050000&amp;isNoScr=script&amp;mode=search",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HYPERLINK("https://fin.land.naver.com/articles/2645622582", "매물Link")</f>
        <v/>
      </c>
      <c r="M222" s="6">
        <f>HYPERLINK("https://map.naver.com/p/search/고운동 1105", "지도Link")</f>
        <v/>
      </c>
      <c r="N222" s="6">
        <f>HYPERLINK("https://www.eum.go.kr/web/mp/mpMapDet.jsp?pnu=3611011200111050000&amp;isNoScr=script&amp;mode=search",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입지좋은단독택지  학군 상권 이용편리</t>
        </is>
      </c>
      <c r="L223" s="6">
        <f>HYPERLINK("https://fin.land.naver.com/articles/2645687473", "매물Link")</f>
        <v/>
      </c>
      <c r="M223" s="6">
        <f>HYPERLINK("https://map.naver.com/p/search/고운동 1109", "지도Link")</f>
        <v/>
      </c>
      <c r="N223" s="6">
        <f>HYPERLINK("https://www.eum.go.kr/web/mp/mpMapDet.jsp?pnu=3611011200111090000&amp;isNoScr=script&amp;mode=search",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HYPERLINK("https://www.eum.go.kr/web/mp/mpMapDet.jsp?pnu=3611011200111090000&amp;isNoScr=script&amp;mode=search",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HYPERLINK("https://www.eum.go.kr/web/mp/mpMapDet.jsp?pnu=3611011200111190000&amp;isNoScr=script&amp;mode=search",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HYPERLINK("https://fin.land.naver.com/articles/2648900135", "매물Link")</f>
        <v/>
      </c>
      <c r="M226" s="6">
        <f>HYPERLINK("https://map.naver.com/p/search/고운동 1138", "지도Link")</f>
        <v/>
      </c>
      <c r="N226" s="6">
        <f>HYPERLINK("https://www.eum.go.kr/web/mp/mpMapDet.jsp?pnu=3611011200111380000&amp;isNoScr=script&amp;mode=search",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HYPERLINK("https://fin.land.naver.com/articles/2648840606", "매물Link")</f>
        <v/>
      </c>
      <c r="M227" s="6">
        <f>HYPERLINK("https://map.naver.com/p/search/고운동 1138", "지도Link")</f>
        <v/>
      </c>
      <c r="N227" s="6">
        <f>HYPERLINK("https://www.eum.go.kr/web/mp/mpMapDet.jsp?pnu=3611011200111380000&amp;isNoScr=script&amp;mode=search",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HYPERLINK("https://www.eum.go.kr/web/mp/mpMapDet.jsp?pnu=3611011200111420000&amp;isNoScr=script&amp;mode=search",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두루고등학교앞 단독주택지 최선을다해서 가격조정해보겠습니다.</t>
        </is>
      </c>
      <c r="L229" s="6">
        <f>HYPERLINK("https://fin.land.naver.com/articles/2649565774", "매물Link")</f>
        <v/>
      </c>
      <c r="M229" s="6">
        <f>HYPERLINK("https://map.naver.com/p/search/고운동 1142", "지도Link")</f>
        <v/>
      </c>
      <c r="N229" s="6">
        <f>HYPERLINK("https://www.eum.go.kr/web/mp/mpMapDet.jsp?pnu=3611011200111420000&amp;isNoScr=script&amp;mode=search",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HYPERLINK("https://www.eum.go.kr/web/mp/mpMapDet.jsp?pnu=3611011200111420000&amp;isNoScr=script&amp;mode=search",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HYPERLINK("https://www.eum.go.kr/web/mp/mpMapDet.jsp?pnu=3611011200111450000&amp;isNoScr=script&amp;mode=search",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HYPERLINK("https://fin.land.naver.com/articles/2645252849", "매물Link")</f>
        <v/>
      </c>
      <c r="M232" s="6">
        <f>HYPERLINK("https://map.naver.com/p/search/고운동 1179", "지도Link")</f>
        <v/>
      </c>
      <c r="N232" s="6">
        <f>HYPERLINK("https://www.eum.go.kr/web/mp/mpMapDet.jsp?pnu=3611011200111790000&amp;isNoScr=script&amp;mode=search",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HYPERLINK("https://www.eum.go.kr/web/mp/mpMapDet.jsp?pnu=3611011200111790000&amp;isNoScr=script&amp;mode=search", "토지이음")</f>
        <v/>
      </c>
      <c r="O233" s="3" t="inlineStr">
        <is>
          <t>세종황소</t>
        </is>
      </c>
      <c r="P233" s="4" t="n">
        <v>2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급매, 고운동 입지 좋은 단독주택지</t>
        </is>
      </c>
      <c r="L234" s="6">
        <f>HYPERLINK("https://fin.land.naver.com/articles/2645493009", "매물Link")</f>
        <v/>
      </c>
      <c r="M234" s="6">
        <f>HYPERLINK("https://map.naver.com/p/search/고운동 1179", "지도Link")</f>
        <v/>
      </c>
      <c r="N234" s="6">
        <f>HYPERLINK("https://www.eum.go.kr/web/mp/mpMapDet.jsp?pnu=3611011200111790000&amp;isNoScr=script&amp;mode=search",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HYPERLINK("https://www.eum.go.kr/web/mp/mpMapDet.jsp?pnu=3611011200112360000&amp;isNoScr=script&amp;mode=search",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HYPERLINK("https://www.eum.go.kr/web/mp/mpMapDet.jsp?pnu=3611011200112380000&amp;isNoScr=script&amp;mode=search",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HYPERLINK("https://www.eum.go.kr/web/mp/mpMapDet.jsp?pnu=3611011200112420000&amp;isNoScr=script&amp;mode=search",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59000</v>
      </c>
      <c r="G238" s="4" t="n">
        <v>339</v>
      </c>
      <c r="H238" s="4" t="n">
        <v>103</v>
      </c>
      <c r="I238" s="5" t="n">
        <v>572.8</v>
      </c>
      <c r="J238" s="5" t="n">
        <v>320.9</v>
      </c>
      <c r="K238" s="3" t="inlineStr">
        <is>
          <t>위치좋고 저렴한 코너각지 남향의 최 상급 주택부지</t>
        </is>
      </c>
      <c r="L238" s="6">
        <f>HYPERLINK("https://fin.land.naver.com/articles/2646971089", "매물Link")</f>
        <v/>
      </c>
      <c r="M238" s="6">
        <f>HYPERLINK("https://map.naver.com/p/search/고운동 1242", "지도Link")</f>
        <v/>
      </c>
      <c r="N238" s="6">
        <f>HYPERLINK("https://www.eum.go.kr/web/mp/mpMapDet.jsp?pnu=3611011200112420000&amp;isNoScr=script&amp;mode=search", "토지이음")</f>
        <v/>
      </c>
      <c r="O238" s="3" t="inlineStr">
        <is>
          <t>대전토지로무소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HYPERLINK("https://www.eum.go.kr/web/mp/mpMapDet.jsp?pnu=3611011200112480000&amp;isNoScr=script&amp;mode=search",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HYPERLINK("https://www.eum.go.kr/web/mp/mpMapDet.jsp?pnu=3611011200112620000&amp;isNoScr=script&amp;mode=search",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HYPERLINK("https://www.eum.go.kr/web/mp/mpMapDet.jsp?pnu=3611011200112720000&amp;isNoScr=script&amp;mode=search",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329</v>
      </c>
      <c r="H242" s="4" t="n">
        <v>100</v>
      </c>
      <c r="I242" s="5" t="n">
        <v>800</v>
      </c>
      <c r="J242" s="5" t="n">
        <v>383.8</v>
      </c>
      <c r="K242" s="3" t="inlineStr">
        <is>
          <t>삼거리 코너, 토지매매, 실개천 인근</t>
        </is>
      </c>
      <c r="L242" s="6">
        <f>HYPERLINK("https://fin.land.naver.com/articles/2645493319", "매물Link")</f>
        <v/>
      </c>
      <c r="M242" s="6">
        <f>HYPERLINK("https://map.naver.com/p/search/고운동 1272", "지도Link")</f>
        <v/>
      </c>
      <c r="N242" s="6">
        <f>HYPERLINK("https://www.eum.go.kr/web/mp/mpMapDet.jsp?pnu=3611011200112720000&amp;isNoScr=script&amp;mode=search",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332</v>
      </c>
      <c r="H243" s="4" t="n">
        <v>100</v>
      </c>
      <c r="I243" s="5" t="n">
        <v>950</v>
      </c>
      <c r="J243" s="5" t="n">
        <v>336.5</v>
      </c>
      <c r="K243" s="3" t="inlineStr">
        <is>
          <t>100.91p, 개방감 좋은 실개천 인근 토지</t>
        </is>
      </c>
      <c r="L243" s="6">
        <f>HYPERLINK("https://fin.land.naver.com/articles/2644482629", "매물Link")</f>
        <v/>
      </c>
      <c r="M243" s="6">
        <f>HYPERLINK("https://map.naver.com/p/search/고운동 1293", "지도Link")</f>
        <v/>
      </c>
      <c r="N243" s="6">
        <f>HYPERLINK("https://www.eum.go.kr/web/mp/mpMapDet.jsp?pnu=3611011200112930000&amp;isNoScr=script&amp;mode=search",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333</v>
      </c>
      <c r="H244" s="4" t="n">
        <v>101</v>
      </c>
      <c r="I244" s="5" t="n">
        <v>940.6</v>
      </c>
      <c r="J244" s="5" t="n">
        <v>336.5</v>
      </c>
      <c r="K244" s="3" t="inlineStr">
        <is>
          <t>총 100p, 실개천 주변으로 위치좋은 토지</t>
        </is>
      </c>
      <c r="L244" s="6">
        <f>HYPERLINK("https://fin.land.naver.com/articles/2649013264", "매물Link")</f>
        <v/>
      </c>
      <c r="M244" s="6">
        <f>HYPERLINK("https://map.naver.com/p/search/고운동 1293", "지도Link")</f>
        <v/>
      </c>
      <c r="N244" s="6">
        <f>HYPERLINK("https://www.eum.go.kr/web/mp/mpMapDet.jsp?pnu=3611011200112930000&amp;isNoScr=script&amp;mode=search",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HYPERLINK("https://www.eum.go.kr/web/mp/mpMapDet.jsp?pnu=3611011200112970000&amp;isNoScr=script&amp;mode=search",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총 106.3p, 공원바로 옆, 도로인접 위치 좋은 전원주택지</t>
        </is>
      </c>
      <c r="L246" s="6">
        <f>HYPERLINK("https://fin.land.naver.com/articles/2648899207", "매물Link")</f>
        <v/>
      </c>
      <c r="M246" s="6">
        <f>HYPERLINK("https://map.naver.com/p/search/고운동 1302", "지도Link")</f>
        <v/>
      </c>
      <c r="N246" s="6">
        <f>HYPERLINK("https://www.eum.go.kr/web/mp/mpMapDet.jsp?pnu=3611011200113020000&amp;isNoScr=script&amp;mode=search",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106.3p, 실개천 앞, 공원인근</t>
        </is>
      </c>
      <c r="L247" s="6">
        <f>HYPERLINK("https://fin.land.naver.com/articles/2650427456", "매물Link")</f>
        <v/>
      </c>
      <c r="M247" s="6">
        <f>HYPERLINK("https://map.naver.com/p/search/고운동 1302", "지도Link")</f>
        <v/>
      </c>
      <c r="N247" s="6">
        <f>HYPERLINK("https://www.eum.go.kr/web/mp/mpMapDet.jsp?pnu=3611011200113020000&amp;isNoScr=script&amp;mode=search",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HYPERLINK("https://www.eum.go.kr/web/mp/mpMapDet.jsp?pnu=3611011200113100000&amp;isNoScr=script&amp;mode=search",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HYPERLINK("https://www.eum.go.kr/web/mp/mpMapDet.jsp?pnu=3611011200113190000&amp;isNoScr=script&amp;mode=search",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위치좋고 저렴한 단독주택 용지 추천드립니다</t>
        </is>
      </c>
      <c r="L250" s="6">
        <f>HYPERLINK("https://fin.land.naver.com/articles/2644677580", "매물Link")</f>
        <v/>
      </c>
      <c r="M250" s="6">
        <f>HYPERLINK("https://map.naver.com/p/search/고운동 1319", "지도Link")</f>
        <v/>
      </c>
      <c r="N250" s="6">
        <f>HYPERLINK("https://www.eum.go.kr/web/mp/mpMapDet.jsp?pnu=3611011200113190000&amp;isNoScr=script&amp;mode=search", "토지이음")</f>
        <v/>
      </c>
      <c r="O250" s="3" t="inlineStr">
        <is>
          <t>골드클래스</t>
        </is>
      </c>
      <c r="P250" s="4" t="n">
        <v>2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HYPERLINK("https://www.eum.go.kr/web/mp/mpMapDet.jsp?pnu=3611011200113200000&amp;isNoScr=script&amp;mode=search",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107p, 삼거리 코너자리</t>
        </is>
      </c>
      <c r="L252" s="6">
        <f>HYPERLINK("https://fin.land.naver.com/articles/2648840359", "매물Link")</f>
        <v/>
      </c>
      <c r="M252" s="6">
        <f>HYPERLINK("https://map.naver.com/p/search/고운동 1320", "지도Link")</f>
        <v/>
      </c>
      <c r="N252" s="6">
        <f>HYPERLINK("https://www.eum.go.kr/web/mp/mpMapDet.jsp?pnu=3611011200113200000&amp;isNoScr=script&amp;mode=search",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급매 추가조율가능 넓은평수 뒤로보행로접</t>
        </is>
      </c>
      <c r="L253" s="6">
        <f>HYPERLINK("https://fin.land.naver.com/articles/2645801552", "매물Link")</f>
        <v/>
      </c>
      <c r="M253" s="6">
        <f>HYPERLINK("https://map.naver.com/p/search/고운동 1323", "지도Link")</f>
        <v/>
      </c>
      <c r="N253" s="6">
        <f>HYPERLINK("https://www.eum.go.kr/web/mp/mpMapDet.jsp?pnu=3611011200113230000&amp;isNoScr=script&amp;mode=search",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총 109.3p, 위치 좋은 단독주택지, 공원인근</t>
        </is>
      </c>
      <c r="L254" s="6">
        <f>HYPERLINK("https://fin.land.naver.com/articles/2649613023", "매물Link")</f>
        <v/>
      </c>
      <c r="M254" s="6">
        <f>HYPERLINK("https://map.naver.com/p/search/고운동 1323", "지도Link")</f>
        <v/>
      </c>
      <c r="N254" s="6">
        <f>HYPERLINK("https://www.eum.go.kr/web/mp/mpMapDet.jsp?pnu=3611011200113230000&amp;isNoScr=script&amp;mode=search",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HYPERLINK("https://fin.land.naver.com/articles/2645495836", "매물Link")</f>
        <v/>
      </c>
      <c r="M255" s="6">
        <f>HYPERLINK("https://map.naver.com/p/search/고운동 1323", "지도Link")</f>
        <v/>
      </c>
      <c r="N255" s="6">
        <f>HYPERLINK("https://www.eum.go.kr/web/mp/mpMapDet.jsp?pnu=3611011200113230000&amp;isNoScr=script&amp;mode=search",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HYPERLINK("https://fin.land.naver.com/articles/2649699066", "매물Link")</f>
        <v/>
      </c>
      <c r="M256" s="6">
        <f>HYPERLINK("https://map.naver.com/p/search/고운동 1328", "지도Link")</f>
        <v/>
      </c>
      <c r="N256" s="6">
        <f>HYPERLINK("https://www.eum.go.kr/web/mp/mpMapDet.jsp?pnu=3611011200113280000&amp;isNoScr=script&amp;mode=search",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HYPERLINK("https://www.eum.go.kr/web/mp/mpMapDet.jsp?pnu=3611011200113280000&amp;isNoScr=script&amp;mode=search",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HYPERLINK("https://fin.land.naver.com/articles/2647421174", "매물Link")</f>
        <v/>
      </c>
      <c r="M258" s="6">
        <f>HYPERLINK("https://map.naver.com/p/search/고운동 1328", "지도Link")</f>
        <v/>
      </c>
      <c r="N258" s="6">
        <f>HYPERLINK("https://www.eum.go.kr/web/mp/mpMapDet.jsp?pnu=3611011200113280000&amp;isNoScr=script&amp;mode=search",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공원바로옆 실개천품은단독택지학교상가이용편리</t>
        </is>
      </c>
      <c r="L259" s="6">
        <f>HYPERLINK("https://fin.land.naver.com/articles/2645694568", "매물Link")</f>
        <v/>
      </c>
      <c r="M259" s="6">
        <f>HYPERLINK("https://map.naver.com/p/search/고운동 1328", "지도Link")</f>
        <v/>
      </c>
      <c r="N259" s="6">
        <f>HYPERLINK("https://www.eum.go.kr/web/mp/mpMapDet.jsp?pnu=3611011200113280000&amp;isNoScr=script&amp;mode=search", "토지이음")</f>
        <v/>
      </c>
      <c r="O259" s="3" t="inlineStr">
        <is>
          <t>세종시토지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HYPERLINK("https://www.eum.go.kr/web/mp/mpMapDet.jsp?pnu=3611011200113300000&amp;isNoScr=script&amp;mode=search",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HYPERLINK("https://fin.land.naver.com/articles/2649698053", "매물Link")</f>
        <v/>
      </c>
      <c r="M261" s="6">
        <f>HYPERLINK("https://map.naver.com/p/search/고운동 1331", "지도Link")</f>
        <v/>
      </c>
      <c r="N261" s="6">
        <f>HYPERLINK("https://www.eum.go.kr/web/mp/mpMapDet.jsp?pnu=3611011200113310000&amp;isNoScr=script&amp;mode=search",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HYPERLINK("https://fin.land.naver.com/articles/2644917611", "매물Link")</f>
        <v/>
      </c>
      <c r="M262" s="6">
        <f>HYPERLINK("https://map.naver.com/p/search/고운동 1331", "지도Link")</f>
        <v/>
      </c>
      <c r="N262" s="6">
        <f>HYPERLINK("https://www.eum.go.kr/web/mp/mpMapDet.jsp?pnu=3611011200113310000&amp;isNoScr=script&amp;mode=search",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HYPERLINK("https://www.eum.go.kr/web/mp/mpMapDet.jsp?pnu=3611011200113340000&amp;isNoScr=script&amp;mode=search",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HYPERLINK("https://www.eum.go.kr/web/mp/mpMapDet.jsp?pnu=3611011200113430000&amp;isNoScr=script&amp;mode=search",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넓은 평수 3면 도로접 개방감 최고, 학교 아파트 상가 가까워 생활편리</t>
        </is>
      </c>
      <c r="L265" s="6">
        <f>HYPERLINK("https://fin.land.naver.com/articles/2649698505", "매물Link")</f>
        <v/>
      </c>
      <c r="M265" s="6">
        <f>HYPERLINK("https://map.naver.com/p/search/고운동 1343", "지도Link")</f>
        <v/>
      </c>
      <c r="N265" s="6">
        <f>HYPERLINK("https://www.eum.go.kr/web/mp/mpMapDet.jsp?pnu=3611011200113430000&amp;isNoScr=script&amp;mode=search",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HYPERLINK("https://www.eum.go.kr/web/mp/mpMapDet.jsp?pnu=3611011200113440000&amp;isNoScr=script&amp;mode=search",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348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HYPERLINK("https://www.eum.go.kr/web/mp/mpMapDet.jsp?pnu=3611011200113440000&amp;isNoScr=script&amp;mode=search",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HYPERLINK("https://www.eum.go.kr/web/mp/mpMapDet.jsp?pnu=3611011200114330000&amp;isNoScr=script&amp;mode=search",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HYPERLINK("https://www.eum.go.kr/web/mp/mpMapDet.jsp?pnu=3611011200114620000&amp;isNoScr=script&amp;mode=search",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HYPERLINK("https://www.eum.go.kr/web/mp/mpMapDet.jsp?pnu=3611011200114630000&amp;isNoScr=script&amp;mode=search",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HYPERLINK("https://www.eum.go.kr/web/mp/mpMapDet.jsp?pnu=3611011200114640000&amp;isNoScr=script&amp;mode=search",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HYPERLINK("https://www.eum.go.kr/web/mp/mpMapDet.jsp?pnu=3611011200114910000&amp;isNoScr=script&amp;mode=search",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HYPERLINK("https://www.eum.go.kr/web/mp/mpMapDet.jsp?pnu=3611011200115240000&amp;isNoScr=script&amp;mode=search",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HYPERLINK("https://www.eum.go.kr/web/mp/mpMapDet.jsp?pnu=3611011200115310000&amp;isNoScr=script&amp;mode=search",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110000</v>
      </c>
      <c r="G275" s="4" t="n">
        <v>361</v>
      </c>
      <c r="H275" s="4" t="n">
        <v>109</v>
      </c>
      <c r="I275" s="5" t="n">
        <v>1009.2</v>
      </c>
      <c r="J275" s="5" t="n">
        <v>771.9</v>
      </c>
      <c r="K275" s="3" t="inlineStr">
        <is>
          <t>대로변 근생부지 매매</t>
        </is>
      </c>
      <c r="L275" s="6">
        <f>HYPERLINK("https://fin.land.naver.com/articles/2646339339", "매물Link")</f>
        <v/>
      </c>
      <c r="M275" s="6">
        <f>HYPERLINK("https://map.naver.com/p/search/고운동 1531", "지도Link")</f>
        <v/>
      </c>
      <c r="N275" s="6">
        <f>HYPERLINK("https://www.eum.go.kr/web/mp/mpMapDet.jsp?pnu=3611011200115310000&amp;isNoScr=script&amp;mode=search", "토지이음")</f>
        <v/>
      </c>
      <c r="O275" s="3" t="inlineStr">
        <is>
          <t>창고의여왕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HYPERLINK("https://www.eum.go.kr/web/mp/mpMapDet.jsp?pnu=3611011200115390000&amp;isNoScr=script&amp;mode=search",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HYPERLINK("https://fin.land.naver.com/articles/2646696906", "매물Link")</f>
        <v/>
      </c>
      <c r="M277" s="6">
        <f>HYPERLINK("https://map.naver.com/p/search/고운동 1551", "지도Link")</f>
        <v/>
      </c>
      <c r="N277" s="6">
        <f>HYPERLINK("https://www.eum.go.kr/web/mp/mpMapDet.jsp?pnu=3611011200115510000&amp;isNoScr=script&amp;mode=search",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HYPERLINK("https://www.eum.go.kr/web/mp/mpMapDet.jsp?pnu=3611011200115510000&amp;isNoScr=script&amp;mode=search",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HYPERLINK("https://www.eum.go.kr/web/mp/mpMapDet.jsp?pnu=3611011200115510000&amp;isNoScr=script&amp;mode=search",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급매,복합커뮤니티센터,중심상권,학군도보가능 생활권 편리</t>
        </is>
      </c>
      <c r="L280" s="6">
        <f>HYPERLINK("https://fin.land.naver.com/articles/2644708794", "매물Link")</f>
        <v/>
      </c>
      <c r="M280" s="6">
        <f>HYPERLINK("https://map.naver.com/p/search/고운동 1551", "지도Link")</f>
        <v/>
      </c>
      <c r="N280" s="6">
        <f>HYPERLINK("https://www.eum.go.kr/web/mp/mpMapDet.jsp?pnu=3611011200115510000&amp;isNoScr=script&amp;mode=search",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HYPERLINK("https://www.eum.go.kr/web/mp/mpMapDet.jsp?pnu=3611011200115560000&amp;isNoScr=script&amp;mode=search",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HYPERLINK("https://www.eum.go.kr/web/mp/mpMapDet.jsp?pnu=3611011200115600000&amp;isNoScr=script&amp;mode=search",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HYPERLINK("https://www.eum.go.kr/web/mp/mpMapDet.jsp?pnu=3611011200115680000&amp;isNoScr=script&amp;mode=search",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HYPERLINK("https://www.eum.go.kr/web/mp/mpMapDet.jsp?pnu=3611011200115680000&amp;isNoScr=script&amp;mode=search",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HYPERLINK("https://www.eum.go.kr/web/mp/mpMapDet.jsp?pnu=3611011200115780000&amp;isNoScr=script&amp;mode=search",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HYPERLINK("https://www.eum.go.kr/web/mp/mpMapDet.jsp?pnu=3611011200115950000&amp;isNoScr=script&amp;mode=search",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HYPERLINK("https://www.eum.go.kr/web/mp/mpMapDet.jsp?pnu=3611011200115980000&amp;isNoScr=script&amp;mode=search",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HYPERLINK("https://www.eum.go.kr/web/mp/mpMapDet.jsp?pnu=3611011200116180000&amp;isNoScr=script&amp;mode=search",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HYPERLINK("https://www.eum.go.kr/web/mp/mpMapDet.jsp?pnu=3611011200116290000&amp;isNoScr=script&amp;mode=search",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HYPERLINK("https://www.eum.go.kr/web/mp/mpMapDet.jsp?pnu=3611011200116420000&amp;isNoScr=script&amp;mode=search",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HYPERLINK("https://www.eum.go.kr/web/mp/mpMapDet.jsp?pnu=3611011200116530000&amp;isNoScr=script&amp;mode=search",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총 105.5p, 공원 앞, 위치좋은 토지</t>
        </is>
      </c>
      <c r="L292" s="6">
        <f>HYPERLINK("https://fin.land.naver.com/articles/2646693588", "매물Link")</f>
        <v/>
      </c>
      <c r="M292" s="6">
        <f>HYPERLINK("https://map.naver.com/p/search/고운동 1664", "지도Link")</f>
        <v/>
      </c>
      <c r="N292" s="6">
        <f>HYPERLINK("https://www.eum.go.kr/web/mp/mpMapDet.jsp?pnu=3611011200116640000&amp;isNoScr=script&amp;mode=search",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105.5p, 공원 옆 전망 좋은 단독주택 토지 매매</t>
        </is>
      </c>
      <c r="L293" s="6">
        <f>HYPERLINK("https://fin.land.naver.com/articles/2648127338", "매물Link")</f>
        <v/>
      </c>
      <c r="M293" s="6">
        <f>HYPERLINK("https://map.naver.com/p/search/고운동 1664", "지도Link")</f>
        <v/>
      </c>
      <c r="N293" s="6">
        <f>HYPERLINK("https://www.eum.go.kr/web/mp/mpMapDet.jsp?pnu=3611011200116640000&amp;isNoScr=script&amp;mode=search",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HYPERLINK("https://www.eum.go.kr/web/mp/mpMapDet.jsp?pnu=3611011200116640000&amp;isNoScr=script&amp;mode=search",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HYPERLINK("https://www.eum.go.kr/web/mp/mpMapDet.jsp?pnu=3611011200116820000&amp;isNoScr=script&amp;mode=search",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HYPERLINK("https://www.eum.go.kr/web/mp/mpMapDet.jsp?pnu=3611011200116840000&amp;isNoScr=script&amp;mode=search",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HYPERLINK("https://www.eum.go.kr/web/mp/mpMapDet.jsp?pnu=3611011200117020000&amp;isNoScr=script&amp;mode=search",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HYPERLINK("https://www.eum.go.kr/web/mp/mpMapDet.jsp?pnu=3611011200117420000&amp;isNoScr=script&amp;mode=search",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HYPERLINK("https://www.eum.go.kr/web/mp/mpMapDet.jsp?pnu=3611011200117600000&amp;isNoScr=script&amp;mode=search",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HYPERLINK("https://www.eum.go.kr/web/mp/mpMapDet.jsp?pnu=3611011200117610000&amp;isNoScr=script&amp;mode=search",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333</v>
      </c>
      <c r="H301" s="4" t="n">
        <v>101</v>
      </c>
      <c r="I301" s="5" t="n">
        <v>564.4</v>
      </c>
      <c r="J301" s="5" t="n">
        <v>297.1</v>
      </c>
      <c r="K301" s="3" t="inlineStr">
        <is>
          <t>저렴하게 나온 매물 , 예쁜집 지을수 있는 토지 . 쌀때 사서 집지으세요</t>
        </is>
      </c>
      <c r="L301" s="6">
        <f>HYPERLINK("https://fin.land.naver.com/articles/2647139766", "매물Link")</f>
        <v/>
      </c>
      <c r="M301" s="6">
        <f>HYPERLINK("https://map.naver.com/p/search/고운동 1767", "지도Link")</f>
        <v/>
      </c>
      <c r="N301" s="6">
        <f>HYPERLINK("https://www.eum.go.kr/web/mp/mpMapDet.jsp?pnu=3611011200117670000&amp;isNoScr=script&amp;mode=search",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HYPERLINK("https://www.eum.go.kr/web/mp/mpMapDet.jsp?pnu=3611011200117670000&amp;isNoScr=script&amp;mode=search",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HYPERLINK("https://www.eum.go.kr/web/mp/mpMapDet.jsp?pnu=3611011200117680000&amp;isNoScr=script&amp;mode=search",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HYPERLINK("https://www.eum.go.kr/web/mp/mpMapDet.jsp?pnu=3611011200117800000&amp;isNoScr=script&amp;mode=search",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HYPERLINK("https://www.eum.go.kr/web/mp/mpMapDet.jsp?pnu=3611011200118270000&amp;isNoScr=script&amp;mode=search",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급매 대형면적 공원접한 위치최상</t>
        </is>
      </c>
      <c r="L306" s="6">
        <f>HYPERLINK("https://fin.land.naver.com/articles/2650369741", "매물Link")</f>
        <v/>
      </c>
      <c r="M306" s="6">
        <f>HYPERLINK("https://map.naver.com/p/search/고운동 1830", "지도Link")</f>
        <v/>
      </c>
      <c r="N306" s="6">
        <f>HYPERLINK("https://www.eum.go.kr/web/mp/mpMapDet.jsp?pnu=3611011200118300000&amp;isNoScr=script&amp;mode=search",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HYPERLINK("https://www.eum.go.kr/web/mp/mpMapDet.jsp?pnu=3611011200118300000&amp;isNoScr=script&amp;mode=search",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HYPERLINK("https://www.eum.go.kr/web/mp/mpMapDet.jsp?pnu=3611011200118350000&amp;isNoScr=script&amp;mode=search",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HYPERLINK("https://www.eum.go.kr/web/mp/mpMapDet.jsp?pnu=3611011200118500000&amp;isNoScr=script&amp;mode=search",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HYPERLINK("https://www.eum.go.kr/web/mp/mpMapDet.jsp?pnu=3611011200119060000&amp;isNoScr=script&amp;mode=search",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HYPERLINK("https://www.eum.go.kr/web/mp/mpMapDet.jsp?pnu=3611011200119340000&amp;isNoScr=script&amp;mode=search",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HYPERLINK("https://www.eum.go.kr/web/mp/mpMapDet.jsp?pnu=3611011200119400000&amp;isNoScr=script&amp;mode=search",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52000</v>
      </c>
      <c r="G313" s="4" t="n">
        <v>334</v>
      </c>
      <c r="H313" s="4" t="n">
        <v>101</v>
      </c>
      <c r="I313" s="5" t="n">
        <v>514.9</v>
      </c>
      <c r="J313" s="5" t="n">
        <v>308.7</v>
      </c>
      <c r="K313" s="3" t="inlineStr">
        <is>
          <t>코너각지에 보행자도로 접하고 남향으로 반듯한 단독주택부지, 가격조정 가능</t>
        </is>
      </c>
      <c r="L313" s="6">
        <f>HYPERLINK("https://fin.land.naver.com/articles/2649697362", "매물Link")</f>
        <v/>
      </c>
      <c r="M313" s="6">
        <f>HYPERLINK("https://map.naver.com/p/search/고운동 1951", "지도Link")</f>
        <v/>
      </c>
      <c r="N313" s="6">
        <f>HYPERLINK("https://www.eum.go.kr/web/mp/mpMapDet.jsp?pnu=3611011200119510000&amp;isNoScr=script&amp;mode=search",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HYPERLINK("https://www.eum.go.kr/web/mp/mpMapDet.jsp?pnu=3611011200119510000&amp;isNoScr=script&amp;mode=search",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HYPERLINK("https://fin.land.naver.com/articles/2644714013", "매물Link")</f>
        <v/>
      </c>
      <c r="M315" s="6">
        <f>HYPERLINK("https://map.naver.com/p/search/고운동 1951", "지도Link")</f>
        <v/>
      </c>
      <c r="N315" s="6">
        <f>HYPERLINK("https://www.eum.go.kr/web/mp/mpMapDet.jsp?pnu=3611011200119510000&amp;isNoScr=script&amp;mode=search",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HYPERLINK("https://www.eum.go.kr/web/mp/mpMapDet.jsp?pnu=3611011200119540000&amp;isNoScr=script&amp;mode=search",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HYPERLINK("https://www.eum.go.kr/web/mp/mpMapDet.jsp?pnu=3611011200119550000&amp;isNoScr=script&amp;mode=search",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HYPERLINK("https://www.eum.go.kr/web/mp/mpMapDet.jsp?pnu=3611011200119590000&amp;isNoScr=script&amp;mode=search",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HYPERLINK("https://www.eum.go.kr/web/mp/mpMapDet.jsp?pnu=3611011200119670000&amp;isNoScr=script&amp;mode=search",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HYPERLINK("https://www.eum.go.kr/web/mp/mpMapDet.jsp?pnu=3611011200119800000&amp;isNoScr=script&amp;mode=search",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HYPERLINK("https://www.eum.go.kr/web/mp/mpMapDet.jsp?pnu=3611011200120140000&amp;isNoScr=script&amp;mode=search",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HYPERLINK("https://www.eum.go.kr/web/mp/mpMapDet.jsp?pnu=3611011200120250000&amp;isNoScr=script&amp;mode=search",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HYPERLINK("https://www.eum.go.kr/web/mp/mpMapDet.jsp?pnu=3611011200120250000&amp;isNoScr=script&amp;mode=search",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HYPERLINK("https://www.eum.go.kr/web/mp/mpMapDet.jsp?pnu=3611011200120250000&amp;isNoScr=script&amp;mode=search",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HYPERLINK("https://www.eum.go.kr/web/mp/mpMapDet.jsp?pnu=3611011200120350000&amp;isNoScr=script&amp;mode=search",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HYPERLINK("https://www.eum.go.kr/web/mp/mpMapDet.jsp?pnu=3611011200120430000&amp;isNoScr=script&amp;mode=search",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HYPERLINK("https://www.eum.go.kr/web/mp/mpMapDet.jsp?pnu=3611011200120520000&amp;isNoScr=script&amp;mode=search",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HYPERLINK("https://www.eum.go.kr/web/mp/mpMapDet.jsp?pnu=3611011200120980000&amp;isNoScr=script&amp;mode=search",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HYPERLINK("https://fin.land.naver.com/articles/2646054776", "매물Link")</f>
        <v/>
      </c>
      <c r="M329" s="6">
        <f>HYPERLINK("https://map.naver.com/p/search/고운동 2098", "지도Link")</f>
        <v/>
      </c>
      <c r="N329" s="6">
        <f>HYPERLINK("https://www.eum.go.kr/web/mp/mpMapDet.jsp?pnu=3611011200120980000&amp;isNoScr=script&amp;mode=search", "토지이음")</f>
        <v/>
      </c>
      <c r="O329" s="3" t="inlineStr">
        <is>
          <t>세종특별시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일반상업지 토지, 메디컬 및 상가빌딩 건축부지 추천</t>
        </is>
      </c>
      <c r="L330" s="6">
        <f>HYPERLINK("https://fin.land.naver.com/articles/2646662918", "매물Link")</f>
        <v/>
      </c>
      <c r="M330" s="6">
        <f>HYPERLINK("https://map.naver.com/p/search/고운동 2098", "지도Link")</f>
        <v/>
      </c>
      <c r="N330" s="6">
        <f>HYPERLINK("https://www.eum.go.kr/web/mp/mpMapDet.jsp?pnu=3611011200120980000&amp;isNoScr=script&amp;mode=search", "토지이음")</f>
        <v/>
      </c>
      <c r="O330" s="3" t="inlineStr">
        <is>
          <t>혜성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세종시립도서관 인근에 위치한 대로변에 접한 위치좋은 대지 입니다.</t>
        </is>
      </c>
      <c r="L331" s="6">
        <f>HYPERLINK("https://fin.land.naver.com/articles/2649493417", "매물Link")</f>
        <v/>
      </c>
      <c r="M331" s="6">
        <f>HYPERLINK("https://map.naver.com/p/search/고운동 2098", "지도Link")</f>
        <v/>
      </c>
      <c r="N331" s="6">
        <f>HYPERLINK("https://www.eum.go.kr/web/mp/mpMapDet.jsp?pnu=3611011200120980000&amp;isNoScr=script&amp;mode=search", "토지이음")</f>
        <v/>
      </c>
      <c r="O331" s="3" t="inlineStr">
        <is>
          <t>가람</t>
        </is>
      </c>
      <c r="P331" s="4" t="n">
        <v>4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HYPERLINK("https://www.eum.go.kr/web/mp/mpMapDet.jsp?pnu=3611011200120980000&amp;isNoScr=script&amp;mode=search",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HYPERLINK("https://fin.land.naver.com/articles/2648833625", "매물Link")</f>
        <v/>
      </c>
      <c r="M333" s="6">
        <f>HYPERLINK("https://map.naver.com/p/search/고운동 2106-12", "지도Link")</f>
        <v/>
      </c>
      <c r="N333" s="6">
        <f>HYPERLINK("https://www.eum.go.kr/web/mp/mpMapDet.jsp?pnu=3611011200121060012&amp;isNoScr=script&amp;mode=search",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HYPERLINK("https://fin.land.naver.com/articles/2648414195", "매물Link")</f>
        <v/>
      </c>
      <c r="M334" s="6">
        <f>HYPERLINK("https://map.naver.com/p/search/고운동 2106-12", "지도Link")</f>
        <v/>
      </c>
      <c r="N334" s="6">
        <f>HYPERLINK("https://www.eum.go.kr/web/mp/mpMapDet.jsp?pnu=3611011200121060012&amp;isNoScr=script&amp;mode=search",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HYPERLINK("https://fin.land.naver.com/articles/2644494734", "매물Link")</f>
        <v/>
      </c>
      <c r="M335" s="6">
        <f>HYPERLINK("https://map.naver.com/p/search/고운동 2106-19", "지도Link")</f>
        <v/>
      </c>
      <c r="N335" s="6">
        <f>HYPERLINK("https://www.eum.go.kr/web/mp/mpMapDet.jsp?pnu=3611011200121060019&amp;isNoScr=script&amp;mode=search",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HYPERLINK("https://www.eum.go.kr/web/mp/mpMapDet.jsp?pnu=3611011200121060019&amp;isNoScr=script&amp;mode=search",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398</v>
      </c>
      <c r="H337" s="4" t="n">
        <v>120</v>
      </c>
      <c r="I337" s="5" t="n">
        <v>666.7</v>
      </c>
      <c r="J337" s="5" t="n">
        <v>293.4</v>
      </c>
      <c r="K337" s="3" t="inlineStr">
        <is>
          <t>타운하우스내 대지, 고운뜰공원산책로 및 상권 인접</t>
        </is>
      </c>
      <c r="L337" s="6">
        <f>HYPERLINK("https://fin.land.naver.com/articles/2649399557", "매물Link")</f>
        <v/>
      </c>
      <c r="M337" s="6">
        <f>HYPERLINK("https://map.naver.com/p/search/고운동 2106-19", "지도Link")</f>
        <v/>
      </c>
      <c r="N337" s="6">
        <f>HYPERLINK("https://www.eum.go.kr/web/mp/mpMapDet.jsp?pnu=3611011200121060019&amp;isNoScr=script&amp;mode=search", "토지이음")</f>
        <v/>
      </c>
      <c r="O337" s="3" t="inlineStr">
        <is>
          <t>세종해비치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HYPERLINK("https://www.eum.go.kr/web/mp/mpMapDet.jsp?pnu=3611011200121060002&amp;isNoScr=script&amp;mode=search",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HYPERLINK("https://www.eum.go.kr/web/mp/mpMapDet.jsp?pnu=3611011200121060024&amp;isNoScr=script&amp;mode=search",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HYPERLINK("https://www.eum.go.kr/web/mp/mpMapDet.jsp?pnu=3611011200121060026&amp;isNoScr=script&amp;mode=search",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HYPERLINK("https://www.eum.go.kr/web/mp/mpMapDet.jsp?pnu=3611011200121060008&amp;isNoScr=script&amp;mode=search",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HYPERLINK("https://www.eum.go.kr/web/mp/mpMapDet.jsp?pnu=3611011200121060008&amp;isNoScr=script&amp;mode=search",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HYPERLINK("https://www.eum.go.kr/web/mp/mpMapDet.jsp?pnu=3611011200121080011&amp;isNoScr=script&amp;mode=search",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HYPERLINK("https://www.eum.go.kr/web/mp/mpMapDet.jsp?pnu=3611011200121080038&amp;isNoScr=script&amp;mode=search", "토지이음")</f>
        <v/>
      </c>
      <c r="O344" s="3" t="inlineStr">
        <is>
          <t>부엉이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HYPERLINK("https://www.eum.go.kr/web/mp/mpMapDet.jsp?pnu=3611011200121080038&amp;isNoScr=script&amp;mode=search",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HYPERLINK("https://www.eum.go.kr/web/mp/mpMapDet.jsp?pnu=3611011200121080038&amp;isNoScr=script&amp;mode=search",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HYPERLINK("https://www.eum.go.kr/web/mp/mpMapDet.jsp?pnu=3611011200121080045&amp;isNoScr=script&amp;mode=search",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HYPERLINK("https://www.eum.go.kr/web/mp/mpMapDet.jsp?pnu=3611011200121080045&amp;isNoScr=script&amp;mode=search",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HYPERLINK("https://www.eum.go.kr/web/mp/mpMapDet.jsp?pnu=3611011200121080051&amp;isNoScr=script&amp;mode=search",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HYPERLINK("https://fin.land.naver.com/articles/2649020706", "매물Link")</f>
        <v/>
      </c>
      <c r="M350" s="6">
        <f>HYPERLINK("https://map.naver.com/p/search/고운동 2110-6", "지도Link")</f>
        <v/>
      </c>
      <c r="N350" s="6">
        <f>HYPERLINK("https://www.eum.go.kr/web/mp/mpMapDet.jsp?pnu=3611011200121100006&amp;isNoScr=script&amp;mode=search",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HYPERLINK("https://www.eum.go.kr/web/mp/mpMapDet.jsp?pnu=3611011200121100006&amp;isNoScr=script&amp;mode=search",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HYPERLINK("https://fin.land.naver.com/articles/2644480765", "매물Link")</f>
        <v/>
      </c>
      <c r="M352" s="6">
        <f>HYPERLINK("https://map.naver.com/p/search/고운동 2110-6", "지도Link")</f>
        <v/>
      </c>
      <c r="N352" s="6">
        <f>HYPERLINK("https://www.eum.go.kr/web/mp/mpMapDet.jsp?pnu=3611011200121100006&amp;isNoScr=script&amp;mode=search",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HYPERLINK("https://fin.land.naver.com/articles/2648345702", "매물Link")</f>
        <v/>
      </c>
      <c r="M353" s="6">
        <f>HYPERLINK("https://map.naver.com/p/search/고운동 2110-7", "지도Link")</f>
        <v/>
      </c>
      <c r="N353" s="6">
        <f>HYPERLINK("https://www.eum.go.kr/web/mp/mpMapDet.jsp?pnu=3611011200121100007&amp;isNoScr=script&amp;mode=search",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HYPERLINK("https://fin.land.naver.com/articles/2644480955", "매물Link")</f>
        <v/>
      </c>
      <c r="M354" s="6">
        <f>HYPERLINK("https://map.naver.com/p/search/고운동 2110-7", "지도Link")</f>
        <v/>
      </c>
      <c r="N354" s="6">
        <f>HYPERLINK("https://www.eum.go.kr/web/mp/mpMapDet.jsp?pnu=3611011200121100007&amp;isNoScr=script&amp;mode=search",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HYPERLINK("https://www.eum.go.kr/web/mp/mpMapDet.jsp?pnu=3611011200121100008&amp;isNoScr=script&amp;mode=search",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급매,고운동 최상의 고급택지 타운하우스,저렴한 단독주택지</t>
        </is>
      </c>
      <c r="L356" s="6">
        <f>HYPERLINK("https://fin.land.naver.com/articles/2646658111", "매물Link")</f>
        <v/>
      </c>
      <c r="M356" s="6">
        <f>HYPERLINK("https://map.naver.com/p/search/고운동 2110-9", "지도Link")</f>
        <v/>
      </c>
      <c r="N356" s="6">
        <f>HYPERLINK("https://www.eum.go.kr/web/mp/mpMapDet.jsp?pnu=3611011200121100009&amp;isNoScr=script&amp;mode=search",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108.3P, 노블테라스, 도로변으로 앞쪽에 위치함</t>
        </is>
      </c>
      <c r="L357" s="6">
        <f>HYPERLINK("https://fin.land.naver.com/articles/2647420346", "매물Link")</f>
        <v/>
      </c>
      <c r="M357" s="6">
        <f>HYPERLINK("https://map.naver.com/p/search/고운동 2110-9", "지도Link")</f>
        <v/>
      </c>
      <c r="N357" s="6">
        <f>HYPERLINK("https://www.eum.go.kr/web/mp/mpMapDet.jsp?pnu=3611011200121100009&amp;isNoScr=script&amp;mode=search",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HYPERLINK("https://fin.land.naver.com/articles/2644481187", "매물Link")</f>
        <v/>
      </c>
      <c r="M358" s="6">
        <f>HYPERLINK("https://map.naver.com/p/search/고운동 2128", "지도Link")</f>
        <v/>
      </c>
      <c r="N358" s="6">
        <f>HYPERLINK("https://www.eum.go.kr/web/mp/mpMapDet.jsp?pnu=3611011200121280000&amp;isNoScr=script&amp;mode=search",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코너각지 지대높음 정자조망</t>
        </is>
      </c>
      <c r="L359" s="6">
        <f>HYPERLINK("https://fin.land.naver.com/articles/2646479186", "매물Link")</f>
        <v/>
      </c>
      <c r="M359" s="6">
        <f>HYPERLINK("https://map.naver.com/p/search/고운동 2128", "지도Link")</f>
        <v/>
      </c>
      <c r="N359" s="6">
        <f>HYPERLINK("https://www.eum.go.kr/web/mp/mpMapDet.jsp?pnu=3611011200121280000&amp;isNoScr=script&amp;mode=search",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HYPERLINK("https://fin.land.naver.com/articles/2649424986", "매물Link")</f>
        <v/>
      </c>
      <c r="M360" s="6">
        <f>HYPERLINK("https://map.naver.com/p/search/고운동 2137", "지도Link")</f>
        <v/>
      </c>
      <c r="N360" s="6">
        <f>HYPERLINK("https://www.eum.go.kr/web/mp/mpMapDet.jsp?pnu=3611011200121370000&amp;isNoScr=script&amp;mode=search",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HYPERLINK("https://www.eum.go.kr/web/mp/mpMapDet.jsp?pnu=3611011200121370000&amp;isNoScr=script&amp;mode=search",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HYPERLINK("https://www.eum.go.kr/web/mp/mpMapDet.jsp?pnu=3611011200121370000&amp;isNoScr=script&amp;mode=search",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HYPERLINK("https://www.eum.go.kr/web/mp/mpMapDet.jsp?pnu=3611011200121610000&amp;isNoScr=script&amp;mode=search",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HYPERLINK("https://www.eum.go.kr/web/mp/mpMapDet.jsp?pnu=3611011200121620000&amp;isNoScr=script&amp;mode=search",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HYPERLINK("https://www.eum.go.kr/web/mp/mpMapDet.jsp?pnu=3611011200121620000&amp;isNoScr=script&amp;mode=search",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HYPERLINK("https://fin.land.naver.com/articles/2644461299", "매물Link")</f>
        <v/>
      </c>
      <c r="M366" s="6">
        <f>HYPERLINK("https://map.naver.com/p/search/고운동 2162", "지도Link")</f>
        <v/>
      </c>
      <c r="N366" s="6">
        <f>HYPERLINK("https://www.eum.go.kr/web/mp/mpMapDet.jsp?pnu=3611011200121620000&amp;isNoScr=script&amp;mode=search",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HYPERLINK("https://www.eum.go.kr/web/mp/mpMapDet.jsp?pnu=3611011200122020000&amp;isNoScr=script&amp;mode=search",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HYPERLINK("https://www.eum.go.kr/web/mp/mpMapDet.jsp?pnu=3611011200108930010&amp;isNoScr=script&amp;mode=search",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HYPERLINK("https://www.eum.go.kr/web/mp/mpMapDet.jsp?pnu=3611011200108930010&amp;isNoScr=script&amp;mode=search",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HYPERLINK("https://www.eum.go.kr/web/mp/mpMapDet.jsp?pnu=3611011200108930010&amp;isNoScr=script&amp;mode=search",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HYPERLINK("https://www.eum.go.kr/web/mp/mpMapDet.jsp?pnu=3611011200108930020&amp;isNoScr=script&amp;mode=search",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HYPERLINK("https://www.eum.go.kr/web/mp/mpMapDet.jsp?pnu=3611011200108930027&amp;isNoScr=script&amp;mode=search",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HYPERLINK("https://www.eum.go.kr/web/mp/mpMapDet.jsp?pnu=3611011200108930027&amp;isNoScr=script&amp;mode=search",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HYPERLINK("https://www.eum.go.kr/web/mp/mpMapDet.jsp?pnu=3611011200108930007&amp;isNoScr=script&amp;mode=search",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고운동 사진O 고운동 코지빌 타운하우스 내 A타입 건축가능토지 매매</t>
        </is>
      </c>
      <c r="L375" s="6">
        <f>HYPERLINK("https://fin.land.naver.com/articles/2649499148", "매물Link")</f>
        <v/>
      </c>
      <c r="M375" s="6">
        <f>HYPERLINK("https://map.naver.com/p/search/고운동 894-1", "지도Link")</f>
        <v/>
      </c>
      <c r="N375" s="6">
        <f>HYPERLINK("https://www.eum.go.kr/web/mp/mpMapDet.jsp?pnu=3611011200108940001&amp;isNoScr=script&amp;mode=search", "토지이음")</f>
        <v/>
      </c>
      <c r="O375" s="3" t="inlineStr">
        <is>
          <t>리슈빌대주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HYPERLINK("https://fin.land.naver.com/articles/2648877685", "매물Link")</f>
        <v/>
      </c>
      <c r="M376" s="6">
        <f>HYPERLINK("https://map.naver.com/p/search/고운동 894-1", "지도Link")</f>
        <v/>
      </c>
      <c r="N376" s="6">
        <f>HYPERLINK("https://www.eum.go.kr/web/mp/mpMapDet.jsp?pnu=3611011200108940001&amp;isNoScr=script&amp;mode=search",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HYPERLINK("https://fin.land.naver.com/articles/2647319640", "매물Link")</f>
        <v/>
      </c>
      <c r="M377" s="6">
        <f>HYPERLINK("https://map.naver.com/p/search/고운동 894-1", "지도Link")</f>
        <v/>
      </c>
      <c r="N377" s="6">
        <f>HYPERLINK("https://www.eum.go.kr/web/mp/mpMapDet.jsp?pnu=3611011200108940001&amp;isNoScr=script&amp;mode=search",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HYPERLINK("https://www.eum.go.kr/web/mp/mpMapDet.jsp?pnu=3611011200108940017&amp;isNoScr=script&amp;mode=search",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HYPERLINK("https://www.eum.go.kr/web/mp/mpMapDet.jsp?pnu=3611011200108940021&amp;isNoScr=script&amp;mode=search",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HYPERLINK("https://www.eum.go.kr/web/mp/mpMapDet.jsp?pnu=3611011200108940025&amp;isNoScr=script&amp;mode=search",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HYPERLINK("https://www.eum.go.kr/web/mp/mpMapDet.jsp?pnu=3611011200108940026&amp;isNoScr=script&amp;mode=search",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HYPERLINK("https://fin.land.naver.com/articles/2644701452", "매물Link")</f>
        <v/>
      </c>
      <c r="M382" s="6">
        <f>HYPERLINK("https://map.naver.com/p/search/고운동 894-35", "지도Link")</f>
        <v/>
      </c>
      <c r="N382" s="6">
        <f>HYPERLINK("https://www.eum.go.kr/web/mp/mpMapDet.jsp?pnu=3611011200108940035&amp;isNoScr=script&amp;mode=search",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HYPERLINK("https://www.eum.go.kr/web/mp/mpMapDet.jsp?pnu=3611011200108940035&amp;isNoScr=script&amp;mode=search",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HYPERLINK("https://fin.land.naver.com/articles/2645493715", "매물Link")</f>
        <v/>
      </c>
      <c r="M384" s="6">
        <f>HYPERLINK("https://map.naver.com/p/search/고운동 894-35", "지도Link")</f>
        <v/>
      </c>
      <c r="N384" s="6">
        <f>HYPERLINK("https://www.eum.go.kr/web/mp/mpMapDet.jsp?pnu=3611011200108940035&amp;isNoScr=script&amp;mode=search",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HYPERLINK("https://www.eum.go.kr/web/mp/mpMapDet.jsp?pnu=3611011200108940037&amp;isNoScr=script&amp;mode=search",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HYPERLINK("https://www.eum.go.kr/web/mp/mpMapDet.jsp?pnu=3611011200108940042&amp;isNoScr=script&amp;mode=search",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HYPERLINK("https://www.eum.go.kr/web/mp/mpMapDet.jsp?pnu=3611011200108940042&amp;isNoScr=script&amp;mode=search",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HYPERLINK("https://www.eum.go.kr/web/mp/mpMapDet.jsp?pnu=3611011200109040000&amp;isNoScr=script&amp;mode=search",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HYPERLINK("https://www.eum.go.kr/web/mp/mpMapDet.jsp?pnu=3611011200109110000&amp;isNoScr=script&amp;mode=search",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HYPERLINK("https://www.eum.go.kr/web/mp/mpMapDet.jsp?pnu=3611011200109120000&amp;isNoScr=script&amp;mode=search",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344</v>
      </c>
      <c r="H391" s="4" t="n">
        <v>104</v>
      </c>
      <c r="I391" s="5" t="n">
        <v>548.1</v>
      </c>
      <c r="J391" s="5" t="n">
        <v>315.1</v>
      </c>
      <c r="K391" s="3" t="inlineStr">
        <is>
          <t>고운동아파트옆으로 생활하기 편리 학군상권가까움</t>
        </is>
      </c>
      <c r="L391" s="6">
        <f>HYPERLINK("https://fin.land.naver.com/articles/2645690159", "매물Link")</f>
        <v/>
      </c>
      <c r="M391" s="6">
        <f>HYPERLINK("https://map.naver.com/p/search/고운동 916", "지도Link")</f>
        <v/>
      </c>
      <c r="N391" s="6">
        <f>HYPERLINK("https://www.eum.go.kr/web/mp/mpMapDet.jsp?pnu=3611011200109160000&amp;isNoScr=script&amp;mode=search", "토지이음")</f>
        <v/>
      </c>
      <c r="O391" s="3" t="inlineStr">
        <is>
          <t>세종시토지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HYPERLINK("https://fin.land.naver.com/articles/2644946431", "매물Link")</f>
        <v/>
      </c>
      <c r="M392" s="6">
        <f>HYPERLINK("https://map.naver.com/p/search/고운동 916", "지도Link")</f>
        <v/>
      </c>
      <c r="N392" s="6">
        <f>HYPERLINK("https://www.eum.go.kr/web/mp/mpMapDet.jsp?pnu=3611011200109160000&amp;isNoScr=script&amp;mode=search",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HYPERLINK("https://www.eum.go.kr/web/mp/mpMapDet.jsp?pnu=3611011200109160000&amp;isNoScr=script&amp;mode=search",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아파트 단지 바로 옆, 생활 인프라 좋은 토지매매</t>
        </is>
      </c>
      <c r="L394" s="6">
        <f>HYPERLINK("https://fin.land.naver.com/articles/2647421682", "매물Link")</f>
        <v/>
      </c>
      <c r="M394" s="6">
        <f>HYPERLINK("https://map.naver.com/p/search/고운동 916", "지도Link")</f>
        <v/>
      </c>
      <c r="N394" s="6">
        <f>HYPERLINK("https://www.eum.go.kr/web/mp/mpMapDet.jsp?pnu=3611011200109160000&amp;isNoScr=script&amp;mode=search",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HYPERLINK("https://www.eum.go.kr/web/mp/mpMapDet.jsp?pnu=3611011200109170000&amp;isNoScr=script&amp;mode=search",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106.85p, 고운동 공원인근</t>
        </is>
      </c>
      <c r="L396" s="6">
        <f>HYPERLINK("https://fin.land.naver.com/articles/2648840016", "매물Link")</f>
        <v/>
      </c>
      <c r="M396" s="6">
        <f>HYPERLINK("https://map.naver.com/p/search/고운동 920", "지도Link")</f>
        <v/>
      </c>
      <c r="N396" s="6">
        <f>HYPERLINK("https://www.eum.go.kr/web/mp/mpMapDet.jsp?pnu=3611011200109200000&amp;isNoScr=script&amp;mode=search",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HYPERLINK("https://www.eum.go.kr/web/mp/mpMapDet.jsp?pnu=3611011200109200000&amp;isNoScr=script&amp;mode=search",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345</v>
      </c>
      <c r="H398" s="4" t="n">
        <v>104</v>
      </c>
      <c r="I398" s="5" t="n">
        <v>625</v>
      </c>
      <c r="J398" s="5" t="n">
        <v>328.2</v>
      </c>
      <c r="K398" s="3" t="inlineStr">
        <is>
          <t>코너 입주 우수. 남향. 생활 편리.</t>
        </is>
      </c>
      <c r="L398" s="6">
        <f>HYPERLINK("https://fin.land.naver.com/articles/2648524088", "매물Link")</f>
        <v/>
      </c>
      <c r="M398" s="6">
        <f>HYPERLINK("https://map.naver.com/p/search/고운동 927", "지도Link")</f>
        <v/>
      </c>
      <c r="N398" s="6">
        <f>HYPERLINK("https://www.eum.go.kr/web/mp/mpMapDet.jsp?pnu=3611011200109270000&amp;isNoScr=script&amp;mode=search", "토지이음")</f>
        <v/>
      </c>
      <c r="O398" s="3" t="inlineStr">
        <is>
          <t>세종썬사사무소</t>
        </is>
      </c>
      <c r="P398" s="4" t="n">
        <v>1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344</v>
      </c>
      <c r="H399" s="4" t="n">
        <v>104</v>
      </c>
      <c r="I399" s="5" t="n">
        <v>528.8</v>
      </c>
      <c r="J399" s="5" t="n">
        <v>328.2</v>
      </c>
      <c r="K399" s="3" t="inlineStr">
        <is>
          <t>가락마을18단지 인접 단독주택지, 상권 인접한 코너로 위치 최상</t>
        </is>
      </c>
      <c r="L399" s="6">
        <f>HYPERLINK("https://fin.land.naver.com/articles/2648966696", "매물Link")</f>
        <v/>
      </c>
      <c r="M399" s="6">
        <f>HYPERLINK("https://map.naver.com/p/search/고운동 927", "지도Link")</f>
        <v/>
      </c>
      <c r="N399" s="6">
        <f>HYPERLINK("https://www.eum.go.kr/web/mp/mpMapDet.jsp?pnu=3611011200109270000&amp;isNoScr=script&amp;mode=search", "토지이음")</f>
        <v/>
      </c>
      <c r="O399" s="3" t="inlineStr">
        <is>
          <t>힐스테이트으뜸원</t>
        </is>
      </c>
      <c r="P399" s="4" t="n">
        <v>5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학교 상가 대중교통이용편리,지하벙커주차장가능,측량완료</t>
        </is>
      </c>
      <c r="L400" s="6">
        <f>HYPERLINK("https://fin.land.naver.com/articles/2644712937", "매물Link")</f>
        <v/>
      </c>
      <c r="M400" s="6">
        <f>HYPERLINK("https://map.naver.com/p/search/고운동 935", "지도Link")</f>
        <v/>
      </c>
      <c r="N400" s="6">
        <f>HYPERLINK("https://www.eum.go.kr/web/mp/mpMapDet.jsp?pnu=3611011200109350000&amp;isNoScr=script&amp;mode=search", "토지이음")</f>
        <v/>
      </c>
      <c r="O400" s="3" t="inlineStr">
        <is>
          <t>세종제일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조율가능O 학군좋고 교통편리한곳 벙커주차가능한 귀한택지 측량완료</t>
        </is>
      </c>
      <c r="L401" s="6">
        <f>HYPERLINK("https://fin.land.naver.com/articles/2644604851", "매물Link")</f>
        <v/>
      </c>
      <c r="M401" s="6">
        <f>HYPERLINK("https://map.naver.com/p/search/고운동 935", "지도Link")</f>
        <v/>
      </c>
      <c r="N401" s="6">
        <f>HYPERLINK("https://www.eum.go.kr/web/mp/mpMapDet.jsp?pnu=3611011200109350000&amp;isNoScr=script&amp;mode=search", "토지이음")</f>
        <v/>
      </c>
      <c r="O401" s="3" t="inlineStr">
        <is>
          <t>현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도로에서단차가있는토지로벙커주차장가능한귀한땅,측량완료,상가,학교가까움</t>
        </is>
      </c>
      <c r="L402" s="6">
        <f>HYPERLINK("https://fin.land.naver.com/articles/2648318178", "매물Link")</f>
        <v/>
      </c>
      <c r="M402" s="6">
        <f>HYPERLINK("https://map.naver.com/p/search/고운동 935", "지도Link")</f>
        <v/>
      </c>
      <c r="N402" s="6">
        <f>HYPERLINK("https://www.eum.go.kr/web/mp/mpMapDet.jsp?pnu=3611011200109350000&amp;isNoScr=script&amp;mode=search", "토지이음")</f>
        <v/>
      </c>
      <c r="O402" s="3" t="inlineStr">
        <is>
          <t>김하나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HYPERLINK("https://www.eum.go.kr/web/mp/mpMapDet.jsp?pnu=3611011200109350000&amp;isNoScr=script&amp;mode=search",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HYPERLINK("https://www.eum.go.kr/web/mp/mpMapDet.jsp?pnu=3611011200109510000&amp;isNoScr=script&amp;mode=search",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지대높아 전망좋은 토지</t>
        </is>
      </c>
      <c r="L405" s="6">
        <f>HYPERLINK("https://fin.land.naver.com/articles/2649578017", "매물Link")</f>
        <v/>
      </c>
      <c r="M405" s="6">
        <f>HYPERLINK("https://map.naver.com/p/search/고운동 954", "지도Link")</f>
        <v/>
      </c>
      <c r="N405" s="6">
        <f>HYPERLINK("https://www.eum.go.kr/web/mp/mpMapDet.jsp?pnu=3611011200109540000&amp;isNoScr=script&amp;mode=search", "토지이음")</f>
        <v/>
      </c>
      <c r="O405" s="3" t="inlineStr">
        <is>
          <t>킹세종</t>
        </is>
      </c>
      <c r="P405" s="4" t="n">
        <v>2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111.2p, 최대 조율가능한 대형평형 토지매매</t>
        </is>
      </c>
      <c r="L406" s="6">
        <f>HYPERLINK("https://fin.land.naver.com/articles/2649610616", "매물Link")</f>
        <v/>
      </c>
      <c r="M406" s="6">
        <f>HYPERLINK("https://map.naver.com/p/search/고운동 954", "지도Link")</f>
        <v/>
      </c>
      <c r="N406" s="6">
        <f>HYPERLINK("https://www.eum.go.kr/web/mp/mpMapDet.jsp?pnu=3611011200109540000&amp;isNoScr=script&amp;mode=search",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366</v>
      </c>
      <c r="H407" s="4" t="n">
        <v>111</v>
      </c>
      <c r="I407" s="5" t="n">
        <v>540.5</v>
      </c>
      <c r="J407" s="5" t="n">
        <v>358.7</v>
      </c>
      <c r="K407" s="3" t="inlineStr">
        <is>
          <t>고운동 단독주택지, 최대 조율가능, 입지 좋은 넓은 평형</t>
        </is>
      </c>
      <c r="L407" s="6">
        <f>HYPERLINK("https://fin.land.naver.com/articles/2647421229", "매물Link")</f>
        <v/>
      </c>
      <c r="M407" s="6">
        <f>HYPERLINK("https://map.naver.com/p/search/고운동 954", "지도Link")</f>
        <v/>
      </c>
      <c r="N407" s="6">
        <f>HYPERLINK("https://www.eum.go.kr/web/mp/mpMapDet.jsp?pnu=3611011200109540000&amp;isNoScr=script&amp;mode=search",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급매,넓은평수,복합커뮤니티센터,항아리중심상권 생활권 편리</t>
        </is>
      </c>
      <c r="L408" s="6">
        <f>HYPERLINK("https://fin.land.naver.com/articles/2644767351", "매물Link")</f>
        <v/>
      </c>
      <c r="M408" s="6">
        <f>HYPERLINK("https://map.naver.com/p/search/고운동 954", "지도Link")</f>
        <v/>
      </c>
      <c r="N408" s="6">
        <f>HYPERLINK("https://www.eum.go.kr/web/mp/mpMapDet.jsp?pnu=3611011200109540000&amp;isNoScr=script&amp;mode=search", "토지이음")</f>
        <v/>
      </c>
      <c r="O408" s="3" t="inlineStr">
        <is>
          <t>고운맘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코너각지,복합커뮤니티센터,항아리중심상권 생활권 편리,가격조정가능</t>
        </is>
      </c>
      <c r="L409" s="6">
        <f>HYPERLINK("https://fin.land.naver.com/articles/2644949503", "매물Link")</f>
        <v/>
      </c>
      <c r="M409" s="6">
        <f>HYPERLINK("https://map.naver.com/p/search/고운동 969", "지도Link")</f>
        <v/>
      </c>
      <c r="N409" s="6">
        <f>HYPERLINK("https://www.eum.go.kr/web/mp/mpMapDet.jsp?pnu=3611011200109690000&amp;isNoScr=script&amp;mode=search", "토지이음")</f>
        <v/>
      </c>
      <c r="O409" s="3" t="inlineStr">
        <is>
          <t>고운맘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HYPERLINK("https://www.eum.go.kr/web/mp/mpMapDet.jsp?pnu=3611011200109690000&amp;isNoScr=script&amp;mode=search",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HYPERLINK("https://fin.land.naver.com/articles/2645250423", "매물Link")</f>
        <v/>
      </c>
      <c r="M411" s="6">
        <f>HYPERLINK("https://map.naver.com/p/search/고운동 969", "지도Link")</f>
        <v/>
      </c>
      <c r="N411" s="6">
        <f>HYPERLINK("https://www.eum.go.kr/web/mp/mpMapDet.jsp?pnu=3611011200109690000&amp;isNoScr=script&amp;mode=search",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HYPERLINK("https://www.eum.go.kr/web/mp/mpMapDet.jsp?pnu=3611011200109760000&amp;isNoScr=script&amp;mode=search",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HYPERLINK("https://www.eum.go.kr/web/mp/mpMapDet.jsp?pnu=3611011200109780000&amp;isNoScr=script&amp;mode=search",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HYPERLINK("https://www.eum.go.kr/web/mp/mpMapDet.jsp?pnu=3611011200109940000&amp;isNoScr=script&amp;mode=search",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HYPERLINK("https://www.eum.go.kr/web/mp/mpMapDet.jsp?pnu=3611010900106410000&amp;isNoScr=script&amp;mode=search",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643</v>
      </c>
      <c r="H416" s="4" t="n">
        <v>195</v>
      </c>
      <c r="I416" s="5" t="n">
        <v>348.7</v>
      </c>
      <c r="J416" s="5" t="n">
        <v>278</v>
      </c>
      <c r="K416" s="3" t="inlineStr">
        <is>
          <t>급매매 큰땅입니다</t>
        </is>
      </c>
      <c r="L416" s="6">
        <f>HYPERLINK("https://fin.land.naver.com/articles/2648362434", "매물Link")</f>
        <v/>
      </c>
      <c r="M416" s="6">
        <f>HYPERLINK("https://map.naver.com/p/search/다정동 643", "지도Link")</f>
        <v/>
      </c>
      <c r="N416" s="6">
        <f>HYPERLINK("https://www.eum.go.kr/web/mp/mpMapDet.jsp?pnu=3611010900106430000&amp;isNoScr=script&amp;mode=search", "토지이음")</f>
        <v/>
      </c>
      <c r="O416" s="3" t="inlineStr">
        <is>
          <t>킹세종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535</v>
      </c>
      <c r="H417" s="4" t="n">
        <v>162</v>
      </c>
      <c r="I417" s="5" t="n">
        <v>419.8</v>
      </c>
      <c r="J417" s="5" t="n">
        <v>278</v>
      </c>
      <c r="K417" s="3" t="inlineStr">
        <is>
          <t>162.1p, 평단가 낮은 다정동 급매 토지</t>
        </is>
      </c>
      <c r="L417" s="6">
        <f>HYPERLINK("https://fin.land.naver.com/articles/2649006160", "매물Link")</f>
        <v/>
      </c>
      <c r="M417" s="6">
        <f>HYPERLINK("https://map.naver.com/p/search/다정동 643", "지도Link")</f>
        <v/>
      </c>
      <c r="N417" s="6">
        <f>HYPERLINK("https://www.eum.go.kr/web/mp/mpMapDet.jsp?pnu=3611010900106430000&amp;isNoScr=script&amp;mode=search",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534</v>
      </c>
      <c r="H418" s="4" t="n">
        <v>162</v>
      </c>
      <c r="I418" s="5" t="n">
        <v>419.8</v>
      </c>
      <c r="J418" s="5" t="n">
        <v>278</v>
      </c>
      <c r="K418" s="3" t="inlineStr">
        <is>
          <t>공원 인근 다정동 단독주택지, 넓은 면적 추천</t>
        </is>
      </c>
      <c r="L418" s="6">
        <f>HYPERLINK("https://fin.land.naver.com/articles/2650427943", "매물Link")</f>
        <v/>
      </c>
      <c r="M418" s="6">
        <f>HYPERLINK("https://map.naver.com/p/search/다정동 643", "지도Link")</f>
        <v/>
      </c>
      <c r="N418" s="6">
        <f>HYPERLINK("https://www.eum.go.kr/web/mp/mpMapDet.jsp?pnu=3611010900106430000&amp;isNoScr=script&amp;mode=search",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HYPERLINK("https://www.eum.go.kr/web/mp/mpMapDet.jsp?pnu=3611010900106510000&amp;isNoScr=script&amp;mode=search",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총 90.9p, 다정동 가격좋은 조용한 위치 토지매매</t>
        </is>
      </c>
      <c r="L420" s="6">
        <f>HYPERLINK("https://fin.land.naver.com/articles/2648902119", "매물Link")</f>
        <v/>
      </c>
      <c r="M420" s="6">
        <f>HYPERLINK("https://map.naver.com/p/search/다정동 651", "지도Link")</f>
        <v/>
      </c>
      <c r="N420" s="6">
        <f>HYPERLINK("https://www.eum.go.kr/web/mp/mpMapDet.jsp?pnu=3611010900106510000&amp;isNoScr=script&amp;mode=search",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HYPERLINK("https://www.eum.go.kr/web/mp/mpMapDet.jsp?pnu=3611010900106510000&amp;isNoScr=script&amp;mode=search",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HYPERLINK("https://www.eum.go.kr/web/mp/mpMapDet.jsp?pnu=3611010900106550000&amp;isNoScr=script&amp;mode=search",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HYPERLINK("https://www.eum.go.kr/web/mp/mpMapDet.jsp?pnu=3611010900106670000&amp;isNoScr=script&amp;mode=search",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총 87.9p, 다정동 저렴한 단독주택지 매매</t>
        </is>
      </c>
      <c r="L424" s="6">
        <f>HYPERLINK("https://fin.land.naver.com/articles/2646694984", "매물Link")</f>
        <v/>
      </c>
      <c r="M424" s="6">
        <f>HYPERLINK("https://map.naver.com/p/search/다정동 674", "지도Link")</f>
        <v/>
      </c>
      <c r="N424" s="6">
        <f>HYPERLINK("https://www.eum.go.kr/web/mp/mpMapDet.jsp?pnu=3611010900106740000&amp;isNoScr=script&amp;mode=search",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저렴한매매 가격조정가능</t>
        </is>
      </c>
      <c r="L425" s="6">
        <f>HYPERLINK("https://fin.land.naver.com/articles/2648849052", "매물Link")</f>
        <v/>
      </c>
      <c r="M425" s="6">
        <f>HYPERLINK("https://map.naver.com/p/search/다정동 674", "지도Link")</f>
        <v/>
      </c>
      <c r="N425" s="6">
        <f>HYPERLINK("https://www.eum.go.kr/web/mp/mpMapDet.jsp?pnu=3611010900106740000&amp;isNoScr=script&amp;mode=search", "토지이음")</f>
        <v/>
      </c>
      <c r="O425" s="3" t="inlineStr">
        <is>
          <t>고운동리치세종</t>
        </is>
      </c>
      <c r="P425" s="4" t="n">
        <v>2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토지 초급매, 추천매물</t>
        </is>
      </c>
      <c r="L426" s="6">
        <f>HYPERLINK("https://fin.land.naver.com/articles/2649020955", "매물Link")</f>
        <v/>
      </c>
      <c r="M426" s="6">
        <f>HYPERLINK("https://map.naver.com/p/search/다정동 674", "지도Link")</f>
        <v/>
      </c>
      <c r="N426" s="6">
        <f>HYPERLINK("https://www.eum.go.kr/web/mp/mpMapDet.jsp?pnu=3611010900106740000&amp;isNoScr=script&amp;mode=search",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HYPERLINK("https://www.eum.go.kr/web/mp/mpMapDet.jsp?pnu=3611010900106770000&amp;isNoScr=script&amp;mode=search",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HYPERLINK("https://www.eum.go.kr/web/mp/mpMapDet.jsp?pnu=3611010900106880000&amp;isNoScr=script&amp;mode=search",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HYPERLINK("https://www.eum.go.kr/web/mp/mpMapDet.jsp?pnu=3611010900106880000&amp;isNoScr=script&amp;mode=search",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369</v>
      </c>
      <c r="H430" s="4" t="n">
        <v>112</v>
      </c>
      <c r="I430" s="5" t="n">
        <v>598.2</v>
      </c>
      <c r="J430" s="5" t="n">
        <v>341.2</v>
      </c>
      <c r="K430" s="3" t="inlineStr">
        <is>
          <t>2면도로 접,주변 60m가로 공원근접함</t>
        </is>
      </c>
      <c r="L430" s="6">
        <f>HYPERLINK("https://fin.land.naver.com/articles/2649639476", "매물Link")</f>
        <v/>
      </c>
      <c r="M430" s="6">
        <f>HYPERLINK("https://map.naver.com/p/search/다정동 729", "지도Link")</f>
        <v/>
      </c>
      <c r="N430" s="6">
        <f>HYPERLINK("https://www.eum.go.kr/web/mp/mpMapDet.jsp?pnu=3611010900107290000&amp;isNoScr=script&amp;mode=search", "토지이음")</f>
        <v/>
      </c>
      <c r="O430" s="3" t="inlineStr">
        <is>
          <t>킹세종</t>
        </is>
      </c>
      <c r="P430" s="4" t="n">
        <v>2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368</v>
      </c>
      <c r="H431" s="4" t="n">
        <v>111</v>
      </c>
      <c r="I431" s="5" t="n">
        <v>603.6</v>
      </c>
      <c r="J431" s="5" t="n">
        <v>341.2</v>
      </c>
      <c r="K431" s="3" t="inlineStr">
        <is>
          <t>111.8p, 삼거리 코너, 정남향, 다정동 단독주택 토지매매</t>
        </is>
      </c>
      <c r="L431" s="6">
        <f>HYPERLINK("https://fin.land.naver.com/articles/2648138253", "매물Link")</f>
        <v/>
      </c>
      <c r="M431" s="6">
        <f>HYPERLINK("https://map.naver.com/p/search/다정동 729", "지도Link")</f>
        <v/>
      </c>
      <c r="N431" s="6">
        <f>HYPERLINK("https://www.eum.go.kr/web/mp/mpMapDet.jsp?pnu=3611010900107290000&amp;isNoScr=script&amp;mode=search",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HYPERLINK("https://www.eum.go.kr/web/mp/mpMapDet.jsp?pnu=3611010900107290000&amp;isNoScr=script&amp;mode=search",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83000</v>
      </c>
      <c r="G433" s="4" t="n">
        <v>368</v>
      </c>
      <c r="H433" s="4" t="n">
        <v>111</v>
      </c>
      <c r="I433" s="5" t="n">
        <v>747.7</v>
      </c>
      <c r="J433" s="5" t="n">
        <v>326</v>
      </c>
      <c r="K433" s="3" t="inlineStr">
        <is>
          <t>다정동 조용한 위치 단독주택 매매, 코너위치</t>
        </is>
      </c>
      <c r="L433" s="6">
        <f>HYPERLINK("https://fin.land.naver.com/articles/2644479943", "매물Link")</f>
        <v/>
      </c>
      <c r="M433" s="6">
        <f>HYPERLINK("https://map.naver.com/p/search/다정동 756", "지도Link")</f>
        <v/>
      </c>
      <c r="N433" s="6">
        <f>HYPERLINK("https://www.eum.go.kr/web/mp/mpMapDet.jsp?pnu=3611010900107560000&amp;isNoScr=script&amp;mode=search",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83625</v>
      </c>
      <c r="G434" s="4" t="n">
        <v>368</v>
      </c>
      <c r="H434" s="4" t="n">
        <v>111</v>
      </c>
      <c r="I434" s="5" t="n">
        <v>753.4</v>
      </c>
      <c r="J434" s="5" t="n">
        <v>326</v>
      </c>
      <c r="K434" s="3" t="inlineStr">
        <is>
          <t>코너자리 위치 좋음, 넓은토지</t>
        </is>
      </c>
      <c r="L434" s="6">
        <f>HYPERLINK("https://fin.land.naver.com/articles/2648152245", "매물Link")</f>
        <v/>
      </c>
      <c r="M434" s="6">
        <f>HYPERLINK("https://map.naver.com/p/search/다정동 756", "지도Link")</f>
        <v/>
      </c>
      <c r="N434" s="6">
        <f>HYPERLINK("https://www.eum.go.kr/web/mp/mpMapDet.jsp?pnu=3611010900107560000&amp;isNoScr=script&amp;mode=search",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HYPERLINK("https://www.eum.go.kr/web/mp/mpMapDet.jsp?pnu=3611010900107690000&amp;isNoScr=script&amp;mode=search",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84.8p, 정남향, 다정동 단독주택지</t>
        </is>
      </c>
      <c r="L436" s="6">
        <f>HYPERLINK("https://fin.land.naver.com/articles/2647425898", "매물Link")</f>
        <v/>
      </c>
      <c r="M436" s="6">
        <f>HYPERLINK("https://map.naver.com/p/search/다정동 772", "지도Link")</f>
        <v/>
      </c>
      <c r="N436" s="6">
        <f>HYPERLINK("https://www.eum.go.kr/web/mp/mpMapDet.jsp?pnu=3611010900107720000&amp;isNoScr=script&amp;mode=search",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55000</v>
      </c>
      <c r="G437" s="4" t="n">
        <v>297</v>
      </c>
      <c r="H437" s="4" t="n">
        <v>90</v>
      </c>
      <c r="I437" s="5" t="n">
        <v>611.1</v>
      </c>
      <c r="J437" s="5" t="n">
        <v>304.6</v>
      </c>
      <c r="K437" s="3" t="inlineStr">
        <is>
          <t>단독주택 부지  착한 매매가로 추천드립니다.</t>
        </is>
      </c>
      <c r="L437" s="6">
        <f>HYPERLINK("https://fin.land.naver.com/articles/2648168344", "매물Link")</f>
        <v/>
      </c>
      <c r="M437" s="6">
        <f>HYPERLINK("https://map.naver.com/p/search/다정동 772", "지도Link")</f>
        <v/>
      </c>
      <c r="N437" s="6">
        <f>HYPERLINK("https://www.eum.go.kr/web/mp/mpMapDet.jsp?pnu=3611010900107720000&amp;isNoScr=script&amp;mode=search", "토지이음")</f>
        <v/>
      </c>
      <c r="O437" s="3" t="inlineStr">
        <is>
          <t>세종가온채</t>
        </is>
      </c>
      <c r="P437" s="4" t="n">
        <v>2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HYPERLINK("https://www.eum.go.kr/web/mp/mpMapDet.jsp?pnu=3611010900107720000&amp;isNoScr=script&amp;mode=search",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HYPERLINK("https://www.eum.go.kr/web/mp/mpMapDet.jsp?pnu=3611010900107730000&amp;isNoScr=script&amp;mode=search",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HYPERLINK("https://www.eum.go.kr/web/mp/mpMapDet.jsp?pnu=3611010900107740000&amp;isNoScr=script&amp;mode=search",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HYPERLINK("https://www.eum.go.kr/web/mp/mpMapDet.jsp?pnu=3611010900107790000&amp;isNoScr=script&amp;mode=search",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254</v>
      </c>
      <c r="H442" s="4" t="n">
        <v>77</v>
      </c>
      <c r="I442" s="5" t="n">
        <v>545.5</v>
      </c>
      <c r="J442" s="5" t="n">
        <v>313.8</v>
      </c>
      <c r="K442" s="3" t="inlineStr">
        <is>
          <t>급매 코너각지 정남향 최저가 조율협의가능</t>
        </is>
      </c>
      <c r="L442" s="6">
        <f>HYPERLINK("https://fin.land.naver.com/articles/2647125848", "매물Link")</f>
        <v/>
      </c>
      <c r="M442" s="6">
        <f>HYPERLINK("https://map.naver.com/p/search/다정동 781", "지도Link")</f>
        <v/>
      </c>
      <c r="N442" s="6">
        <f>HYPERLINK("https://www.eum.go.kr/web/mp/mpMapDet.jsp?pnu=3611010900107810000&amp;isNoScr=script&amp;mode=search",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254</v>
      </c>
      <c r="H443" s="4" t="n">
        <v>77</v>
      </c>
      <c r="I443" s="5" t="n">
        <v>584.4</v>
      </c>
      <c r="J443" s="5" t="n">
        <v>313.8</v>
      </c>
      <c r="K443" s="3" t="inlineStr">
        <is>
          <t>nan</t>
        </is>
      </c>
      <c r="L443" s="6">
        <f>HYPERLINK("https://fin.land.naver.com/articles/2647198355", "매물Link")</f>
        <v/>
      </c>
      <c r="M443" s="6">
        <f>HYPERLINK("https://map.naver.com/p/search/다정동 781", "지도Link")</f>
        <v/>
      </c>
      <c r="N443" s="6">
        <f>HYPERLINK("https://www.eum.go.kr/web/mp/mpMapDet.jsp?pnu=3611010900107810000&amp;isNoScr=script&amp;mode=search",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HYPERLINK("https://www.eum.go.kr/web/mp/mpMapDet.jsp?pnu=3611010900107830000&amp;isNoScr=script&amp;mode=search",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HYPERLINK("https://www.eum.go.kr/web/mp/mpMapDet.jsp?pnu=3611010900107930000&amp;isNoScr=script&amp;mode=search",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HYPERLINK("https://www.eum.go.kr/web/mp/mpMapDet.jsp?pnu=3611010900107940000&amp;isNoScr=script&amp;mode=search",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HYPERLINK("https://www.eum.go.kr/web/mp/mpMapDet.jsp?pnu=3611010900108100000&amp;isNoScr=script&amp;mode=search",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HYPERLINK("https://www.eum.go.kr/web/mp/mpMapDet.jsp?pnu=3611010900108180000&amp;isNoScr=script&amp;mode=search",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95.5p, 유치원 맞은편, 가운데 토지</t>
        </is>
      </c>
      <c r="L449" s="6">
        <f>HYPERLINK("https://fin.land.naver.com/articles/2648833463", "매물Link")</f>
        <v/>
      </c>
      <c r="M449" s="6">
        <f>HYPERLINK("https://map.naver.com/p/search/다정동 823", "지도Link")</f>
        <v/>
      </c>
      <c r="N449" s="6">
        <f>HYPERLINK("https://www.eum.go.kr/web/mp/mpMapDet.jsp?pnu=3611010900108230000&amp;isNoScr=script&amp;mode=search",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총 95.5p, 조율가능, 다정동 단독주택지</t>
        </is>
      </c>
      <c r="L450" s="6">
        <f>HYPERLINK("https://fin.land.naver.com/articles/2649022530", "매물Link")</f>
        <v/>
      </c>
      <c r="M450" s="6">
        <f>HYPERLINK("https://map.naver.com/p/search/다정동 823", "지도Link")</f>
        <v/>
      </c>
      <c r="N450" s="6">
        <f>HYPERLINK("https://www.eum.go.kr/web/mp/mpMapDet.jsp?pnu=3611010900108230000&amp;isNoScr=script&amp;mode=search",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nan</t>
        </is>
      </c>
      <c r="L451" s="6">
        <f>HYPERLINK("https://fin.land.naver.com/articles/2647198457", "매물Link")</f>
        <v/>
      </c>
      <c r="M451" s="6">
        <f>HYPERLINK("https://map.naver.com/p/search/다정동 823", "지도Link")</f>
        <v/>
      </c>
      <c r="N451" s="6">
        <f>HYPERLINK("https://www.eum.go.kr/web/mp/mpMapDet.jsp?pnu=3611010900108230000&amp;isNoScr=script&amp;mode=search", "토지이음")</f>
        <v/>
      </c>
      <c r="O451" s="3" t="inlineStr">
        <is>
          <t>디아트성심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유치원 인근 다정동 토지매매</t>
        </is>
      </c>
      <c r="L452" s="6">
        <f>HYPERLINK("https://fin.land.naver.com/articles/2649571368", "매물Link")</f>
        <v/>
      </c>
      <c r="M452" s="6">
        <f>HYPERLINK("https://map.naver.com/p/search/다정동 842", "지도Link")</f>
        <v/>
      </c>
      <c r="N452" s="6">
        <f>HYPERLINK("https://www.eum.go.kr/web/mp/mpMapDet.jsp?pnu=3611010900108420000&amp;isNoScr=script&amp;mode=search",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49000</v>
      </c>
      <c r="G453" s="4" t="n">
        <v>315</v>
      </c>
      <c r="H453" s="4" t="n">
        <v>95</v>
      </c>
      <c r="I453" s="5" t="n">
        <v>515.8</v>
      </c>
      <c r="J453" s="5" t="n">
        <v>318.9</v>
      </c>
      <c r="K453" s="3" t="inlineStr">
        <is>
          <t>급매 조율가능 조용한 선호하는 안쪽위치</t>
        </is>
      </c>
      <c r="L453" s="6">
        <f>HYPERLINK("https://fin.land.naver.com/articles/2646479232", "매물Link")</f>
        <v/>
      </c>
      <c r="M453" s="6">
        <f>HYPERLINK("https://map.naver.com/p/search/다정동 842", "지도Link")</f>
        <v/>
      </c>
      <c r="N453" s="6">
        <f>HYPERLINK("https://www.eum.go.kr/web/mp/mpMapDet.jsp?pnu=3611010900108420000&amp;isNoScr=script&amp;mode=search", "토지이음")</f>
        <v/>
      </c>
      <c r="O453" s="3" t="inlineStr">
        <is>
          <t>세종스타</t>
        </is>
      </c>
      <c r="P453" s="4" t="n">
        <v>3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새솔유치원인근, 가운데 토지</t>
        </is>
      </c>
      <c r="L454" s="6">
        <f>HYPERLINK("https://fin.land.naver.com/articles/2649005944", "매물Link")</f>
        <v/>
      </c>
      <c r="M454" s="6">
        <f>HYPERLINK("https://map.naver.com/p/search/다정동 842", "지도Link")</f>
        <v/>
      </c>
      <c r="N454" s="6">
        <f>HYPERLINK("https://www.eum.go.kr/web/mp/mpMapDet.jsp?pnu=3611010900108420000&amp;isNoScr=script&amp;mode=search",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HYPERLINK("https://www.eum.go.kr/web/mp/mpMapDet.jsp?pnu=3611010900108420000&amp;isNoScr=script&amp;mode=search",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HYPERLINK("https://www.eum.go.kr/web/mp/mpMapDet.jsp?pnu=3611010900108520000&amp;isNoScr=script&amp;mode=search",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다정동 3면 도로 접한 1종전용주거 대지, 초급매, 코너각지</t>
        </is>
      </c>
      <c r="L457" s="6">
        <f>HYPERLINK("https://fin.land.naver.com/articles/2647315489", "매물Link")</f>
        <v/>
      </c>
      <c r="M457" s="6">
        <f>HYPERLINK("https://map.naver.com/p/search/다정동 885", "지도Link")</f>
        <v/>
      </c>
      <c r="N457" s="6">
        <f>HYPERLINK("https://www.eum.go.kr/web/mp/mpMapDet.jsp?pnu=3611010900108850000&amp;isNoScr=script&amp;mode=search",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nan</t>
        </is>
      </c>
      <c r="L458" s="6">
        <f>HYPERLINK("https://fin.land.naver.com/articles/2647198581", "매물Link")</f>
        <v/>
      </c>
      <c r="M458" s="6">
        <f>HYPERLINK("https://map.naver.com/p/search/다정동 885", "지도Link")</f>
        <v/>
      </c>
      <c r="N458" s="6">
        <f>HYPERLINK("https://www.eum.go.kr/web/mp/mpMapDet.jsp?pnu=3611010900108850000&amp;isNoScr=script&amp;mode=search", "토지이음")</f>
        <v/>
      </c>
      <c r="O458" s="3" t="inlineStr">
        <is>
          <t>디아트성심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374</v>
      </c>
      <c r="H459" s="4" t="n">
        <v>113</v>
      </c>
      <c r="I459" s="5" t="n">
        <v>477.9</v>
      </c>
      <c r="J459" s="5" t="n">
        <v>353.7</v>
      </c>
      <c r="K459" s="3" t="inlineStr">
        <is>
          <t>급매 다정동 전원주택토지임.</t>
        </is>
      </c>
      <c r="L459" s="6">
        <f>HYPERLINK("https://fin.land.naver.com/articles/2647387576", "매물Link")</f>
        <v/>
      </c>
      <c r="M459" s="6">
        <f>HYPERLINK("https://map.naver.com/p/search/다정동 887", "지도Link")</f>
        <v/>
      </c>
      <c r="N459" s="6">
        <f>HYPERLINK("https://www.eum.go.kr/web/mp/mpMapDet.jsp?pnu=3611010900108870000&amp;isNoScr=script&amp;mode=search", "토지이음")</f>
        <v/>
      </c>
      <c r="O459" s="3" t="inlineStr">
        <is>
          <t>태흥</t>
        </is>
      </c>
      <c r="P459" s="4" t="n">
        <v>1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HYPERLINK("https://www.eum.go.kr/web/mp/mpMapDet.jsp?pnu=3611010900108870000&amp;isNoScr=script&amp;mode=search",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59000</v>
      </c>
      <c r="G461" s="4" t="n">
        <v>374</v>
      </c>
      <c r="H461" s="4" t="n">
        <v>113</v>
      </c>
      <c r="I461" s="5" t="n">
        <v>522.1</v>
      </c>
      <c r="J461" s="5" t="n">
        <v>353.7</v>
      </c>
      <c r="K461" s="3" t="inlineStr">
        <is>
          <t>급매매 단독택지입지최고 가격조정가능</t>
        </is>
      </c>
      <c r="L461" s="6">
        <f>HYPERLINK("https://fin.land.naver.com/articles/2648996441", "매물Link")</f>
        <v/>
      </c>
      <c r="M461" s="6">
        <f>HYPERLINK("https://map.naver.com/p/search/다정동 887", "지도Link")</f>
        <v/>
      </c>
      <c r="N461" s="6">
        <f>HYPERLINK("https://www.eum.go.kr/web/mp/mpMapDet.jsp?pnu=3611010900108870000&amp;isNoScr=script&amp;mode=search", "토지이음")</f>
        <v/>
      </c>
      <c r="O461" s="3" t="inlineStr">
        <is>
          <t>고운동리치세종</t>
        </is>
      </c>
      <c r="P461" s="4" t="n">
        <v>2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HYPERLINK("https://www.eum.go.kr/web/mp/mpMapDet.jsp?pnu=3611010900108870000&amp;isNoScr=script&amp;mode=search",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3면코너각지 지하건축가능 귀한큰필지 큰생부지</t>
        </is>
      </c>
      <c r="L463" s="6">
        <f>HYPERLINK("https://fin.land.naver.com/articles/2650366482", "매물Link")</f>
        <v/>
      </c>
      <c r="M463" s="6">
        <f>HYPERLINK("https://map.naver.com/p/search/다정동 897", "지도Link")</f>
        <v/>
      </c>
      <c r="N463" s="6">
        <f>HYPERLINK("https://www.eum.go.kr/web/mp/mpMapDet.jsp?pnu=3611010900108970000&amp;isNoScr=script&amp;mode=search", "토지이음")</f>
        <v/>
      </c>
      <c r="O463" s="3" t="inlineStr">
        <is>
          <t>세종스타</t>
        </is>
      </c>
      <c r="P463" s="4" t="n">
        <v>4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총 194.2p, 코너자리, 다정동 위치좋은 근생토지</t>
        </is>
      </c>
      <c r="L464" s="6">
        <f>HYPERLINK("https://fin.land.naver.com/articles/2646747500", "매물Link")</f>
        <v/>
      </c>
      <c r="M464" s="6">
        <f>HYPERLINK("https://map.naver.com/p/search/다정동 897", "지도Link")</f>
        <v/>
      </c>
      <c r="N464" s="6">
        <f>HYPERLINK("https://www.eum.go.kr/web/mp/mpMapDet.jsp?pnu=3611010900108970000&amp;isNoScr=script&amp;mode=search",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다정동 코너 위치한 근생 토지매매, 조율가능, 입지 최고</t>
        </is>
      </c>
      <c r="L465" s="6">
        <f>HYPERLINK("https://fin.land.naver.com/articles/2649608618", "매물Link")</f>
        <v/>
      </c>
      <c r="M465" s="6">
        <f>HYPERLINK("https://map.naver.com/p/search/다정동 897", "지도Link")</f>
        <v/>
      </c>
      <c r="N465" s="6">
        <f>HYPERLINK("https://www.eum.go.kr/web/mp/mpMapDet.jsp?pnu=3611010900108970000&amp;isNoScr=script&amp;mode=search",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HYPERLINK("https://www.eum.go.kr/web/mp/mpMapDet.jsp?pnu=3611010900109000000&amp;isNoScr=script&amp;mode=search",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HYPERLINK("https://www.eum.go.kr/web/mp/mpMapDet.jsp?pnu=3611010900109020000&amp;isNoScr=script&amp;mode=search",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HYPERLINK("https://fin.land.naver.com/articles/2649789570", "매물Link")</f>
        <v/>
      </c>
      <c r="M468" s="6">
        <f>HYPERLINK("https://map.naver.com/p/search/다정동 902", "지도Link")</f>
        <v/>
      </c>
      <c r="N468" s="6">
        <f>HYPERLINK("https://www.eum.go.kr/web/mp/mpMapDet.jsp?pnu=3611010900109020000&amp;isNoScr=script&amp;mode=search",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HYPERLINK("https://www.eum.go.kr/web/mp/mpMapDet.jsp?pnu=3611011400104100000&amp;isNoScr=script&amp;mode=search",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총 100p, 주민휴게광장옆, 위치좋은 토지</t>
        </is>
      </c>
      <c r="L470" s="6">
        <f>HYPERLINK("https://fin.land.naver.com/articles/2648902958", "매물Link")</f>
        <v/>
      </c>
      <c r="M470" s="6">
        <f>HYPERLINK("https://map.naver.com/p/search/도담동 410", "지도Link")</f>
        <v/>
      </c>
      <c r="N470" s="6">
        <f>HYPERLINK("https://www.eum.go.kr/web/mp/mpMapDet.jsp?pnu=3611011400104100000&amp;isNoScr=script&amp;mode=search",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조율가능 남향 코너각지 천조망가능 최상입지</t>
        </is>
      </c>
      <c r="L471" s="6">
        <f>HYPERLINK("https://fin.land.naver.com/articles/2649296102", "매물Link")</f>
        <v/>
      </c>
      <c r="M471" s="6">
        <f>HYPERLINK("https://map.naver.com/p/search/도담동 410", "지도Link")</f>
        <v/>
      </c>
      <c r="N471" s="6">
        <f>HYPERLINK("https://www.eum.go.kr/web/mp/mpMapDet.jsp?pnu=3611011400104100000&amp;isNoScr=script&amp;mode=search",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99.1p, 도담동 말발굽 토지, 공원 보행로 접해 있음</t>
        </is>
      </c>
      <c r="L472" s="6">
        <f>HYPERLINK("https://fin.land.naver.com/articles/2647428982", "매물Link")</f>
        <v/>
      </c>
      <c r="M472" s="6">
        <f>HYPERLINK("https://map.naver.com/p/search/도담동 419", "지도Link")</f>
        <v/>
      </c>
      <c r="N472" s="6">
        <f>HYPERLINK("https://www.eum.go.kr/web/mp/mpMapDet.jsp?pnu=3611011400104190000&amp;isNoScr=script&amp;mode=search",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말발굽지에 정남향 위치좋음, 조율가능</t>
        </is>
      </c>
      <c r="L473" s="6">
        <f>HYPERLINK("https://fin.land.naver.com/articles/2650178437", "매물Link")</f>
        <v/>
      </c>
      <c r="M473" s="6">
        <f>HYPERLINK("https://map.naver.com/p/search/도담동 419", "지도Link")</f>
        <v/>
      </c>
      <c r="N473" s="6">
        <f>HYPERLINK("https://www.eum.go.kr/web/mp/mpMapDet.jsp?pnu=3611011400104190000&amp;isNoScr=script&amp;mode=search", "토지이음")</f>
        <v/>
      </c>
      <c r="O473" s="3" t="inlineStr">
        <is>
          <t>연동스카이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HYPERLINK("https://www.eum.go.kr/web/mp/mpMapDet.jsp?pnu=3611011400104190000&amp;isNoScr=script&amp;mode=search",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HYPERLINK("https://www.eum.go.kr/web/mp/mpMapDet.jsp?pnu=3611011400104240000&amp;isNoScr=script&amp;mode=search",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조율가능 도담동 말발굽내 반달모양 최선호위치</t>
        </is>
      </c>
      <c r="L476" s="6">
        <f>HYPERLINK("https://fin.land.naver.com/articles/2649479522", "매물Link")</f>
        <v/>
      </c>
      <c r="M476" s="6">
        <f>HYPERLINK("https://map.naver.com/p/search/도담동 425", "지도Link")</f>
        <v/>
      </c>
      <c r="N476" s="6">
        <f>HYPERLINK("https://www.eum.go.kr/web/mp/mpMapDet.jsp?pnu=3611011400104250000&amp;isNoScr=script&amp;mode=search", "토지이음")</f>
        <v/>
      </c>
      <c r="O476" s="3" t="inlineStr">
        <is>
          <t>세종스타</t>
        </is>
      </c>
      <c r="P476" s="4" t="n">
        <v>3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HYPERLINK("https://fin.land.naver.com/articles/2650427607", "매물Link")</f>
        <v/>
      </c>
      <c r="M477" s="6">
        <f>HYPERLINK("https://map.naver.com/p/search/도담동 425", "지도Link")</f>
        <v/>
      </c>
      <c r="N477" s="6">
        <f>HYPERLINK("https://www.eum.go.kr/web/mp/mpMapDet.jsp?pnu=3611011400104250000&amp;isNoScr=script&amp;mode=search",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HYPERLINK("https://www.eum.go.kr/web/mp/mpMapDet.jsp?pnu=3611011400104250000&amp;isNoScr=script&amp;mode=search",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조율가능 반원호내 좋은위치</t>
        </is>
      </c>
      <c r="L479" s="6">
        <f>HYPERLINK("https://fin.land.naver.com/articles/2649296288", "매물Link")</f>
        <v/>
      </c>
      <c r="M479" s="6">
        <f>HYPERLINK("https://map.naver.com/p/search/도담동 455", "지도Link")</f>
        <v/>
      </c>
      <c r="N479" s="6">
        <f>HYPERLINK("https://www.eum.go.kr/web/mp/mpMapDet.jsp?pnu=3611011400104550000&amp;isNoScr=script&amp;mode=search",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HYPERLINK("https://www.eum.go.kr/web/mp/mpMapDet.jsp?pnu=3611011400104550000&amp;isNoScr=script&amp;mode=search",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335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HYPERLINK("https://fin.land.naver.com/articles/2650427728", "매물Link")</f>
        <v/>
      </c>
      <c r="M481" s="6">
        <f>HYPERLINK("https://map.naver.com/p/search/도담동 455", "지도Link")</f>
        <v/>
      </c>
      <c r="N481" s="6">
        <f>HYPERLINK("https://www.eum.go.kr/web/mp/mpMapDet.jsp?pnu=3611011400104550000&amp;isNoScr=script&amp;mode=search",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HYPERLINK("https://www.eum.go.kr/web/mp/mpMapDet.jsp?pnu=3611011400104960000&amp;isNoScr=script&amp;mode=search",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HYPERLINK("https://www.eum.go.kr/web/mp/mpMapDet.jsp?pnu=3611011400104960000&amp;isNoScr=script&amp;mode=search",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330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HYPERLINK("https://fin.land.naver.com/articles/2649479494", "매물Link")</f>
        <v/>
      </c>
      <c r="M484" s="6">
        <f>HYPERLINK("https://map.naver.com/p/search/도담동 546", "지도Link")</f>
        <v/>
      </c>
      <c r="N484" s="6">
        <f>HYPERLINK("https://www.eum.go.kr/web/mp/mpMapDet.jsp?pnu=3611011400105460000&amp;isNoScr=script&amp;mode=search",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329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HYPERLINK("https://fin.land.naver.com/articles/2649021645", "매물Link")</f>
        <v/>
      </c>
      <c r="M485" s="6">
        <f>HYPERLINK("https://map.naver.com/p/search/도담동 546", "지도Link")</f>
        <v/>
      </c>
      <c r="N485" s="6">
        <f>HYPERLINK("https://www.eum.go.kr/web/mp/mpMapDet.jsp?pnu=3611011400105460000&amp;isNoScr=script&amp;mode=search",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HYPERLINK("https://www.eum.go.kr/web/mp/mpMapDet.jsp?pnu=3611011400105460000&amp;isNoScr=script&amp;mode=search",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HYPERLINK("https://www.eum.go.kr/web/mp/mpMapDet.jsp?pnu=3611011400105610000&amp;isNoScr=script&amp;mode=search",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HYPERLINK("https://www.eum.go.kr/web/mp/mpMapDet.jsp?pnu=3611011400105610000&amp;isNoScr=script&amp;mode=search",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HYPERLINK("https://www.eum.go.kr/web/mp/mpMapDet.jsp?pnu=3611011400105610000&amp;isNoScr=script&amp;mode=search",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HYPERLINK("https://www.eum.go.kr/web/mp/mpMapDet.jsp?pnu=3611011400105620000&amp;isNoScr=script&amp;mode=search",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HYPERLINK("https://www.eum.go.kr/web/mp/mpMapDet.jsp?pnu=3611011400105660000&amp;isNoScr=script&amp;mode=search",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HYPERLINK("https://www.eum.go.kr/web/mp/mpMapDet.jsp?pnu=3611011400105800000&amp;isNoScr=script&amp;mode=search",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500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HYPERLINK("https://fin.land.naver.com/articles/2649607332", "매물Link")</f>
        <v/>
      </c>
      <c r="M493" s="6">
        <f>HYPERLINK("https://map.naver.com/p/search/도담동 580", "지도Link")</f>
        <v/>
      </c>
      <c r="N493" s="6">
        <f>HYPERLINK("https://www.eum.go.kr/web/mp/mpMapDet.jsp?pnu=3611011400105800000&amp;isNoScr=script&amp;mode=search",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320000</v>
      </c>
      <c r="G494" s="4" t="n">
        <v>500</v>
      </c>
      <c r="H494" s="4" t="n">
        <v>151</v>
      </c>
      <c r="I494" s="5" t="n">
        <v>2119.2</v>
      </c>
      <c r="J494" s="5" t="n">
        <v>735.9</v>
      </c>
      <c r="K494" s="3" t="inlineStr">
        <is>
          <t>명성공인, 도담동 근생용지 추천 매물</t>
        </is>
      </c>
      <c r="L494" s="6">
        <f>HYPERLINK("https://fin.land.naver.com/articles/2646317788", "매물Link")</f>
        <v/>
      </c>
      <c r="M494" s="6">
        <f>HYPERLINK("https://map.naver.com/p/search/도담동 580", "지도Link")</f>
        <v/>
      </c>
      <c r="N494" s="6">
        <f>HYPERLINK("https://www.eum.go.kr/web/mp/mpMapDet.jsp?pnu=3611011400105800000&amp;isNoScr=script&amp;mode=search",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HYPERLINK("https://www.eum.go.kr/web/mp/mpMapDet.jsp?pnu=3611011400105880000&amp;isNoScr=script&amp;mode=search",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HYPERLINK("https://fin.land.naver.com/articles/2649012828", "매물Link")</f>
        <v/>
      </c>
      <c r="M496" s="6">
        <f>HYPERLINK("https://map.naver.com/p/search/도담동 620", "지도Link")</f>
        <v/>
      </c>
      <c r="N496" s="6">
        <f>HYPERLINK("https://www.eum.go.kr/web/mp/mpMapDet.jsp?pnu=3611011400106200000&amp;isNoScr=script&amp;mode=search",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HYPERLINK("https://www.eum.go.kr/web/mp/mpMapDet.jsp?pnu=3611011400106200000&amp;isNoScr=script&amp;mode=search", "토지이음")</f>
        <v/>
      </c>
      <c r="O497" s="3" t="inlineStr">
        <is>
          <t>OK세종</t>
        </is>
      </c>
      <c r="P497" s="4" t="n">
        <v>2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HYPERLINK("https://www.eum.go.kr/web/mp/mpMapDet.jsp?pnu=3611011400106200000&amp;isNoScr=script&amp;mode=search",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HYPERLINK("https://www.eum.go.kr/web/mp/mpMapDet.jsp?pnu=3611011400106930000&amp;isNoScr=script&amp;mode=search",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HYPERLINK("https://www.eum.go.kr/web/mp/mpMapDet.jsp?pnu=3611011400107050000&amp;isNoScr=script&amp;mode=search",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도담동 입지 좋은 단독주택지 토지매매</t>
        </is>
      </c>
      <c r="L501" s="6">
        <f>HYPERLINK("https://fin.land.naver.com/articles/2648297361", "매물Link")</f>
        <v/>
      </c>
      <c r="M501" s="6">
        <f>HYPERLINK("https://map.naver.com/p/search/도담동 712", "지도Link")</f>
        <v/>
      </c>
      <c r="N501" s="6">
        <f>HYPERLINK("https://www.eum.go.kr/web/mp/mpMapDet.jsp?pnu=3611011400107120000&amp;isNoScr=script&amp;mode=search",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HYPERLINK("https://www.eum.go.kr/web/mp/mpMapDet.jsp?pnu=3611011400107120000&amp;isNoScr=script&amp;mode=search",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산조망 코너각지 정남향 입지최상</t>
        </is>
      </c>
      <c r="L503" s="6">
        <f>HYPERLINK("https://fin.land.naver.com/articles/2649479678", "매물Link")</f>
        <v/>
      </c>
      <c r="M503" s="6">
        <f>HYPERLINK("https://map.naver.com/p/search/도담동 712", "지도Link")</f>
        <v/>
      </c>
      <c r="N503" s="6">
        <f>HYPERLINK("https://www.eum.go.kr/web/mp/mpMapDet.jsp?pnu=3611011400107120000&amp;isNoScr=script&amp;mode=search",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도담동 입지우수한 근생 용지 부지, 매매의사 확실,가격조율가능</t>
        </is>
      </c>
      <c r="L504" s="6">
        <f>HYPERLINK("https://fin.land.naver.com/articles/2647797836", "매물Link")</f>
        <v/>
      </c>
      <c r="M504" s="6">
        <f>HYPERLINK("https://map.naver.com/p/search/도담동 716", "지도Link")</f>
        <v/>
      </c>
      <c r="N504" s="6">
        <f>HYPERLINK("https://www.eum.go.kr/web/mp/mpMapDet.jsp?pnu=3611011400107160000&amp;isNoScr=script&amp;mode=search", "토지이음")</f>
        <v/>
      </c>
      <c r="O504" s="3" t="inlineStr">
        <is>
          <t>짱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HYPERLINK("https://fin.land.naver.com/articles/2650454199", "매물Link")</f>
        <v/>
      </c>
      <c r="M505" s="6">
        <f>HYPERLINK("https://map.naver.com/p/search/도담동 716", "지도Link")</f>
        <v/>
      </c>
      <c r="N505" s="6">
        <f>HYPERLINK("https://www.eum.go.kr/web/mp/mpMapDet.jsp?pnu=3611011400107160000&amp;isNoScr=script&amp;mode=search",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HYPERLINK("https://fin.land.naver.com/articles/2649607976", "매물Link")</f>
        <v/>
      </c>
      <c r="M506" s="6">
        <f>HYPERLINK("https://map.naver.com/p/search/도담동 716", "지도Link")</f>
        <v/>
      </c>
      <c r="N506" s="6">
        <f>HYPERLINK("https://www.eum.go.kr/web/mp/mpMapDet.jsp?pnu=3611011400107160000&amp;isNoScr=script&amp;mode=search",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2단지 단독주택지 앞 상가용 토지.가격 최대조율,연락 주세요.</t>
        </is>
      </c>
      <c r="L507" s="6">
        <f>HYPERLINK("https://fin.land.naver.com/articles/2646521378", "매물Link")</f>
        <v/>
      </c>
      <c r="M507" s="6">
        <f>HYPERLINK("https://map.naver.com/p/search/도담동 716", "지도Link")</f>
        <v/>
      </c>
      <c r="N507" s="6">
        <f>HYPERLINK("https://www.eum.go.kr/web/mp/mpMapDet.jsp?pnu=3611011400107160000&amp;isNoScr=script&amp;mode=search", "토지이음")</f>
        <v/>
      </c>
      <c r="O507" s="3" t="inlineStr">
        <is>
          <t>다정현대</t>
        </is>
      </c>
      <c r="P507" s="4" t="n">
        <v>2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HYPERLINK("https://www.eum.go.kr/web/mp/mpMapDet.jsp?pnu=3611011400107300000&amp;isNoScr=script&amp;mode=search",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HYPERLINK("https://www.eum.go.kr/web/mp/mpMapDet.jsp?pnu=3611011400107570000&amp;isNoScr=script&amp;mode=search",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교통환경이 우수한 3면도로 접한 토지</t>
        </is>
      </c>
      <c r="L510" s="6">
        <f>HYPERLINK("https://fin.land.naver.com/articles/2650436565", "매물Link")</f>
        <v/>
      </c>
      <c r="M510" s="6">
        <f>HYPERLINK("https://map.naver.com/p/search/도담동 763", "지도Link")</f>
        <v/>
      </c>
      <c r="N510" s="6">
        <f>HYPERLINK("https://www.eum.go.kr/web/mp/mpMapDet.jsp?pnu=3611011400107630000&amp;isNoScr=script&amp;mode=search", "토지이음")</f>
        <v/>
      </c>
      <c r="O510" s="3" t="inlineStr">
        <is>
          <t>킹세종</t>
        </is>
      </c>
      <c r="P510" s="4" t="n">
        <v>3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HYPERLINK("https://www.eum.go.kr/web/mp/mpMapDet.jsp?pnu=3611011400107630000&amp;isNoScr=script&amp;mode=search",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HYPERLINK("https://fin.land.naver.com/articles/2650427773", "매물Link")</f>
        <v/>
      </c>
      <c r="M512" s="6">
        <f>HYPERLINK("https://map.naver.com/p/search/도담동 763", "지도Link")</f>
        <v/>
      </c>
      <c r="N512" s="6">
        <f>HYPERLINK("https://www.eum.go.kr/web/mp/mpMapDet.jsp?pnu=3611011400107630000&amp;isNoScr=script&amp;mode=search",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HYPERLINK("https://www.eum.go.kr/web/mp/mpMapDet.jsp?pnu=3611011400107790000&amp;isNoScr=script&amp;mode=search",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코너 유치원 홈플러스 늘봄초인근 조율가능</t>
        </is>
      </c>
      <c r="L514" s="6">
        <f>HYPERLINK("https://fin.land.naver.com/articles/2649812078", "매물Link")</f>
        <v/>
      </c>
      <c r="M514" s="6">
        <f>HYPERLINK("https://map.naver.com/p/search/도담동 784", "지도Link")</f>
        <v/>
      </c>
      <c r="N514" s="6">
        <f>HYPERLINK("https://www.eum.go.kr/web/mp/mpMapDet.jsp?pnu=3611011400107840000&amp;isNoScr=script&amp;mode=search",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도담동 생활권 입지 좋은 단독주택지 매매</t>
        </is>
      </c>
      <c r="L515" s="6">
        <f>HYPERLINK("https://fin.land.naver.com/articles/2647429882", "매물Link")</f>
        <v/>
      </c>
      <c r="M515" s="6">
        <f>HYPERLINK("https://map.naver.com/p/search/도담동 784", "지도Link")</f>
        <v/>
      </c>
      <c r="N515" s="6">
        <f>HYPERLINK("https://www.eum.go.kr/web/mp/mpMapDet.jsp?pnu=3611011400107840000&amp;isNoScr=script&amp;mode=search",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HYPERLINK("https://www.eum.go.kr/web/mp/mpMapDet.jsp?pnu=3611011400107840000&amp;isNoScr=script&amp;mode=search",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총 103.7p, 정남향, 충대병원 홈플러스 인근</t>
        </is>
      </c>
      <c r="L517" s="6">
        <f>HYPERLINK("https://fin.land.naver.com/articles/2647422061", "매물Link")</f>
        <v/>
      </c>
      <c r="M517" s="6">
        <f>HYPERLINK("https://map.naver.com/p/search/도담동 790", "지도Link")</f>
        <v/>
      </c>
      <c r="N517" s="6">
        <f>HYPERLINK("https://www.eum.go.kr/web/mp/mpMapDet.jsp?pnu=3611011400107900000&amp;isNoScr=script&amp;mode=search",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HYPERLINK("https://fin.land.naver.com/articles/2648833697", "매물Link")</f>
        <v/>
      </c>
      <c r="M518" s="6">
        <f>HYPERLINK("https://map.naver.com/p/search/도담동 790", "지도Link")</f>
        <v/>
      </c>
      <c r="N518" s="6">
        <f>HYPERLINK("https://www.eum.go.kr/web/mp/mpMapDet.jsp?pnu=3611011400107900000&amp;isNoScr=script&amp;mode=search",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정남향, 단지 맞은편, 가운데 입지</t>
        </is>
      </c>
      <c r="L519" s="6">
        <f>HYPERLINK("https://fin.land.naver.com/articles/2648837413", "매물Link")</f>
        <v/>
      </c>
      <c r="M519" s="6">
        <f>HYPERLINK("https://map.naver.com/p/search/도담동 807", "지도Link")</f>
        <v/>
      </c>
      <c r="N519" s="6">
        <f>HYPERLINK("https://www.eum.go.kr/web/mp/mpMapDet.jsp?pnu=3611011400108070000&amp;isNoScr=script&amp;mode=search",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도담동 아파트단지 인근 단독주택지</t>
        </is>
      </c>
      <c r="L520" s="6">
        <f>HYPERLINK("https://fin.land.naver.com/articles/2648909375", "매물Link")</f>
        <v/>
      </c>
      <c r="M520" s="6">
        <f>HYPERLINK("https://map.naver.com/p/search/도담동 807", "지도Link")</f>
        <v/>
      </c>
      <c r="N520" s="6">
        <f>HYPERLINK("https://www.eum.go.kr/web/mp/mpMapDet.jsp?pnu=3611011400108070000&amp;isNoScr=script&amp;mode=search",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HYPERLINK("https://www.eum.go.kr/web/mp/mpMapDet.jsp?pnu=3611011400108080000&amp;isNoScr=script&amp;mode=search",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HYPERLINK("https://www.eum.go.kr/web/mp/mpMapDet.jsp?pnu=3611011400108240000&amp;isNoScr=script&amp;mode=search",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도담동 위치 좋은 단독주택, 홈플러스 인근</t>
        </is>
      </c>
      <c r="L523" s="6">
        <f>HYPERLINK("https://fin.land.naver.com/articles/2644495119", "매물Link")</f>
        <v/>
      </c>
      <c r="M523" s="6">
        <f>HYPERLINK("https://map.naver.com/p/search/도담동 837", "지도Link")</f>
        <v/>
      </c>
      <c r="N523" s="6">
        <f>HYPERLINK("https://www.eum.go.kr/web/mp/mpMapDet.jsp?pnu=3611011400108370000&amp;isNoScr=script&amp;mode=search",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95.7p, 도담동 홈플러스인근, 단독주택 토지매매</t>
        </is>
      </c>
      <c r="L524" s="6">
        <f>HYPERLINK("https://fin.land.naver.com/articles/2648899707", "매물Link")</f>
        <v/>
      </c>
      <c r="M524" s="6">
        <f>HYPERLINK("https://map.naver.com/p/search/도담동 837", "지도Link")</f>
        <v/>
      </c>
      <c r="N524" s="6">
        <f>HYPERLINK("https://www.eum.go.kr/web/mp/mpMapDet.jsp?pnu=3611011400108370000&amp;isNoScr=script&amp;mode=search",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HYPERLINK("https://www.eum.go.kr/web/mp/mpMapDet.jsp?pnu=3611011400108970001&amp;isNoScr=script&amp;mode=search",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HYPERLINK("https://www.eum.go.kr/web/mp/mpMapDet.jsp?pnu=3611011400108970018&amp;isNoScr=script&amp;mode=search",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HYPERLINK("https://www.eum.go.kr/web/mp/mpMapDet.jsp?pnu=3611011400108970020&amp;isNoScr=script&amp;mode=search",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HYPERLINK("https://www.eum.go.kr/web/mp/mpMapDet.jsp?pnu=3611011400108970024&amp;isNoScr=script&amp;mode=search",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HYPERLINK("https://www.eum.go.kr/web/mp/mpMapDet.jsp?pnu=3611010100110030000&amp;isNoScr=script&amp;mode=search",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반곡동 토지매매, 대형평형</t>
        </is>
      </c>
      <c r="L530" s="6">
        <f>HYPERLINK("https://fin.land.naver.com/articles/2649001111", "매물Link")</f>
        <v/>
      </c>
      <c r="M530" s="6">
        <f>HYPERLINK("https://map.naver.com/p/search/반곡동 1061", "지도Link")</f>
        <v/>
      </c>
      <c r="N530" s="6">
        <f>HYPERLINK("https://www.eum.go.kr/web/mp/mpMapDet.jsp?pnu=3611010100110610000&amp;isNoScr=script&amp;mode=search", "토지이음")</f>
        <v/>
      </c>
      <c r="O530" s="3" t="inlineStr">
        <is>
          <t>세종무지개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급매 KDI옆 반곡동D2 넓은평수 144.71p</t>
        </is>
      </c>
      <c r="L531" s="6">
        <f>HYPERLINK("https://fin.land.naver.com/articles/2649626883", "매물Link")</f>
        <v/>
      </c>
      <c r="M531" s="6">
        <f>HYPERLINK("https://map.naver.com/p/search/반곡동 1061", "지도Link")</f>
        <v/>
      </c>
      <c r="N531" s="6">
        <f>HYPERLINK("https://www.eum.go.kr/web/mp/mpMapDet.jsp?pnu=3611010100110610000&amp;isNoScr=script&amp;mode=search",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445</v>
      </c>
      <c r="H532" s="4" t="n">
        <v>135</v>
      </c>
      <c r="I532" s="5" t="n">
        <v>592.6</v>
      </c>
      <c r="J532" s="5" t="n">
        <v>308</v>
      </c>
      <c r="K532" s="3" t="inlineStr">
        <is>
          <t>135p, 넓은 단독주택 토지매매, 공원앞, 입지 굿</t>
        </is>
      </c>
      <c r="L532" s="6">
        <f>HYPERLINK("https://fin.land.naver.com/articles/2647421791", "매물Link")</f>
        <v/>
      </c>
      <c r="M532" s="6">
        <f>HYPERLINK("https://map.naver.com/p/search/반곡동 1077", "지도Link")</f>
        <v/>
      </c>
      <c r="N532" s="6">
        <f>HYPERLINK("https://www.eum.go.kr/web/mp/mpMapDet.jsp?pnu=3611010100110770000&amp;isNoScr=script&amp;mode=search", "토지이음")</f>
        <v/>
      </c>
      <c r="O532" s="3" t="inlineStr">
        <is>
          <t>명진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공원 앞, 사거리 코너 각지 위치, 입지 좋은 토지</t>
        </is>
      </c>
      <c r="L533" s="6">
        <f>HYPERLINK("https://fin.land.naver.com/articles/2647427000", "매물Link")</f>
        <v/>
      </c>
      <c r="M533" s="6">
        <f>HYPERLINK("https://map.naver.com/p/search/반곡동 1077", "지도Link")</f>
        <v/>
      </c>
      <c r="N533" s="6">
        <f>HYPERLINK("https://www.eum.go.kr/web/mp/mpMapDet.jsp?pnu=3611010100110770000&amp;isNoScr=script&amp;mode=search",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445</v>
      </c>
      <c r="H534" s="4" t="n">
        <v>135</v>
      </c>
      <c r="I534" s="5" t="n">
        <v>481.5</v>
      </c>
      <c r="J534" s="5" t="n">
        <v>308</v>
      </c>
      <c r="K534" s="3" t="inlineStr">
        <is>
          <t>적극조율가능 공원앞 코너각지 135p</t>
        </is>
      </c>
      <c r="L534" s="6">
        <f>HYPERLINK("https://fin.land.naver.com/articles/2648758746", "매물Link")</f>
        <v/>
      </c>
      <c r="M534" s="6">
        <f>HYPERLINK("https://map.naver.com/p/search/반곡동 1077", "지도Link")</f>
        <v/>
      </c>
      <c r="N534" s="6">
        <f>HYPERLINK("https://www.eum.go.kr/web/mp/mpMapDet.jsp?pnu=3611010100110770000&amp;isNoScr=script&amp;mode=search", "토지이음")</f>
        <v/>
      </c>
      <c r="O534" s="3" t="inlineStr">
        <is>
          <t>세종스타</t>
        </is>
      </c>
      <c r="P534" s="4" t="n">
        <v>2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HYPERLINK("https://www.eum.go.kr/web/mp/mpMapDet.jsp?pnu=3611010100110900000&amp;isNoScr=script&amp;mode=search",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HYPERLINK("https://www.eum.go.kr/web/mp/mpMapDet.jsp?pnu=3611010100110960000&amp;isNoScr=script&amp;mode=search",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HYPERLINK("https://www.eum.go.kr/web/mp/mpMapDet.jsp?pnu=3611010100111070000&amp;isNoScr=script&amp;mode=search",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삼거리 코너, 위치 좋은 반곡동 토지매매</t>
        </is>
      </c>
      <c r="L538" s="6">
        <f>HYPERLINK("https://fin.land.naver.com/articles/2648999169", "매물Link")</f>
        <v/>
      </c>
      <c r="M538" s="6">
        <f>HYPERLINK("https://map.naver.com/p/search/반곡동 1107", "지도Link")</f>
        <v/>
      </c>
      <c r="N538" s="6">
        <f>HYPERLINK("https://www.eum.go.kr/web/mp/mpMapDet.jsp?pnu=3611010100111070000&amp;isNoScr=script&amp;mode=search",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HYPERLINK("https://www.eum.go.kr/web/mp/mpMapDet.jsp?pnu=3611010100111290000&amp;isNoScr=script&amp;mode=search",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HYPERLINK("https://www.eum.go.kr/web/mp/mpMapDet.jsp?pnu=3611010100111300000&amp;isNoScr=script&amp;mode=search",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nan</t>
        </is>
      </c>
      <c r="L541" s="6">
        <f>HYPERLINK("https://fin.land.naver.com/articles/2644433409", "매물Link")</f>
        <v/>
      </c>
      <c r="M541" s="6">
        <f>HYPERLINK("https://map.naver.com/p/search/반곡동 1156", "지도Link")</f>
        <v/>
      </c>
      <c r="N541" s="6">
        <f>HYPERLINK("https://www.eum.go.kr/web/mp/mpMapDet.jsp?pnu=3611010100111560000&amp;isNoScr=script&amp;mode=search", "토지이음")</f>
        <v/>
      </c>
      <c r="O541" s="3" t="inlineStr">
        <is>
          <t>국제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명성공인, 전용186.64, 근생용지 추천 매물</t>
        </is>
      </c>
      <c r="L542" s="6">
        <f>HYPERLINK("https://fin.land.naver.com/articles/2646317246", "매물Link")</f>
        <v/>
      </c>
      <c r="M542" s="6">
        <f>HYPERLINK("https://map.naver.com/p/search/반곡동 1156", "지도Link")</f>
        <v/>
      </c>
      <c r="N542" s="6">
        <f>HYPERLINK("https://www.eum.go.kr/web/mp/mpMapDet.jsp?pnu=3611010100111560000&amp;isNoScr=script&amp;mode=search", "토지이음")</f>
        <v/>
      </c>
      <c r="O542" s="3" t="inlineStr">
        <is>
          <t>명성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HYPERLINK("https://www.eum.go.kr/web/mp/mpMapDet.jsp?pnu=3611010100109010000&amp;isNoScr=script&amp;mode=search",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지대높고 옆조망 뒷조망 잘나오는곳 초등학교 인접 BRT 인접</t>
        </is>
      </c>
      <c r="L544" s="6">
        <f>HYPERLINK("https://fin.land.naver.com/articles/2648716234", "매물Link")</f>
        <v/>
      </c>
      <c r="M544" s="6">
        <f>HYPERLINK("https://map.naver.com/p/search/반곡동 901", "지도Link")</f>
        <v/>
      </c>
      <c r="N544" s="6">
        <f>HYPERLINK("https://www.eum.go.kr/web/mp/mpMapDet.jsp?pnu=3611010100109010000&amp;isNoScr=script&amp;mode=search",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HYPERLINK("https://www.eum.go.kr/web/mp/mpMapDet.jsp?pnu=3611010100109080000&amp;isNoScr=script&amp;mode=search",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HYPERLINK("https://fin.land.naver.com/articles/2649625832", "매물Link")</f>
        <v/>
      </c>
      <c r="M546" s="6">
        <f>HYPERLINK("https://map.naver.com/p/search/반곡동 908", "지도Link")</f>
        <v/>
      </c>
      <c r="N546" s="6">
        <f>HYPERLINK("https://www.eum.go.kr/web/mp/mpMapDet.jsp?pnu=3611010100109080000&amp;isNoScr=script&amp;mode=search",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HYPERLINK("https://www.eum.go.kr/web/mp/mpMapDet.jsp?pnu=3611010100109130000&amp;isNoScr=script&amp;mode=search",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HYPERLINK("https://www.eum.go.kr/web/mp/mpMapDet.jsp?pnu=3611010100109150000&amp;isNoScr=script&amp;mode=search",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유치원. 초등학교 인근, 조용한 입지 토지</t>
        </is>
      </c>
      <c r="L549" s="6">
        <f>HYPERLINK("https://fin.land.naver.com/articles/2649002989", "매물Link")</f>
        <v/>
      </c>
      <c r="M549" s="6">
        <f>HYPERLINK("https://map.naver.com/p/search/반곡동 915", "지도Link")</f>
        <v/>
      </c>
      <c r="N549" s="6">
        <f>HYPERLINK("https://www.eum.go.kr/web/mp/mpMapDet.jsp?pnu=3611010100109150000&amp;isNoScr=script&amp;mode=search",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시유지접한 코너각지 조용한위치 조율가능</t>
        </is>
      </c>
      <c r="L550" s="6">
        <f>HYPERLINK("https://fin.land.naver.com/articles/2644917557", "매물Link")</f>
        <v/>
      </c>
      <c r="M550" s="6">
        <f>HYPERLINK("https://map.naver.com/p/search/반곡동 932", "지도Link")</f>
        <v/>
      </c>
      <c r="N550" s="6">
        <f>HYPERLINK("https://www.eum.go.kr/web/mp/mpMapDet.jsp?pnu=3611010100109320000&amp;isNoScr=script&amp;mode=search",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위치좋은 지대높은 토지, 97.2p, 시유지 40p 사용가능</t>
        </is>
      </c>
      <c r="L551" s="6">
        <f>HYPERLINK("https://fin.land.naver.com/articles/2645253146", "매물Link")</f>
        <v/>
      </c>
      <c r="M551" s="6">
        <f>HYPERLINK("https://map.naver.com/p/search/반곡동 932", "지도Link")</f>
        <v/>
      </c>
      <c r="N551" s="6">
        <f>HYPERLINK("https://www.eum.go.kr/web/mp/mpMapDet.jsp?pnu=3611010100109320000&amp;isNoScr=script&amp;mode=search",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HYPERLINK("https://www.eum.go.kr/web/mp/mpMapDet.jsp?pnu=3611010100109430000&amp;isNoScr=script&amp;mode=search",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HYPERLINK("https://www.eum.go.kr/web/mp/mpMapDet.jsp?pnu=3611010100109430000&amp;isNoScr=script&amp;mode=search",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HYPERLINK("https://www.eum.go.kr/web/mp/mpMapDet.jsp?pnu=3611010100109590000&amp;isNoScr=script&amp;mode=search",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HYPERLINK("https://www.eum.go.kr/web/mp/mpMapDet.jsp?pnu=3611010100109620000&amp;isNoScr=script&amp;mode=search",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HYPERLINK("https://fin.land.naver.com/articles/2650422992", "매물Link")</f>
        <v/>
      </c>
      <c r="M556" s="6">
        <f>HYPERLINK("https://map.naver.com/p/search/반곡동 963", "지도Link")</f>
        <v/>
      </c>
      <c r="N556" s="6">
        <f>HYPERLINK("https://www.eum.go.kr/web/mp/mpMapDet.jsp?pnu=3611010100109630000&amp;isNoScr=script&amp;mode=search",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I 신한 I  국회 집무실 인근  BRT 상권 학교 모두 품은 귀한 택지</t>
        </is>
      </c>
      <c r="L557" s="6">
        <f>HYPERLINK("https://fin.land.naver.com/articles/2650547909", "매물Link")</f>
        <v/>
      </c>
      <c r="M557" s="6">
        <f>HYPERLINK("https://map.naver.com/p/search/반곡동 963", "지도Link")</f>
        <v/>
      </c>
      <c r="N557" s="6">
        <f>HYPERLINK("https://www.eum.go.kr/web/mp/mpMapDet.jsp?pnu=3611010100109630000&amp;isNoScr=script&amp;mode=search", "토지이음")</f>
        <v/>
      </c>
      <c r="O557" s="3" t="inlineStr">
        <is>
          <t>세종신한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HYPERLINK("https://www.eum.go.kr/web/mp/mpMapDet.jsp?pnu=3611010100109790000&amp;isNoScr=script&amp;mode=search",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반곡동 위치 좋은 단독주택, 코너입지</t>
        </is>
      </c>
      <c r="L559" s="6">
        <f>HYPERLINK("https://fin.land.naver.com/articles/2648962092", "매물Link")</f>
        <v/>
      </c>
      <c r="M559" s="6">
        <f>HYPERLINK("https://map.naver.com/p/search/반곡동 979", "지도Link")</f>
        <v/>
      </c>
      <c r="N559" s="6">
        <f>HYPERLINK("https://www.eum.go.kr/web/mp/mpMapDet.jsp?pnu=3611010100109790000&amp;isNoScr=script&amp;mode=search",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HYPERLINK("https://www.eum.go.kr/web/mp/mpMapDet.jsp?pnu=3611010100109950000&amp;isNoScr=script&amp;mode=search",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HYPERLINK("https://www.eum.go.kr/web/mp/mpMapDet.jsp?pnu=3611033024101620002&amp;isNoScr=script&amp;mode=search",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HYPERLINK("https://www.eum.go.kr/web/mp/mpMapDet.jsp?pnu=3611033024101630002&amp;isNoScr=script&amp;mode=search",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HYPERLINK("https://www.eum.go.kr/web/mp/mpMapDet.jsp?pnu=3611033024101760003&amp;isNoScr=script&amp;mode=search",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HYPERLINK("https://www.eum.go.kr/web/mp/mpMapDet.jsp?pnu=3611033024102310005&amp;isNoScr=script&amp;mode=search",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HYPERLINK("https://www.eum.go.kr/web/mp/mpMapDet.jsp?pnu=3611033024102600000&amp;isNoScr=script&amp;mode=search",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HYPERLINK("https://www.eum.go.kr/web/mp/mpMapDet.jsp?pnu=3611033024103950000&amp;isNoScr=script&amp;mode=search",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HYPERLINK("https://www.eum.go.kr/web/mp/mpMapDet.jsp?pnu=3611033024103950000&amp;isNoScr=script&amp;mode=search",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HYPERLINK("https://www.eum.go.kr/web/mp/mpMapDet.jsp?pnu=3611033024103980004&amp;isNoScr=script&amp;mode=search",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HYPERLINK("https://www.eum.go.kr/web/mp/mpMapDet.jsp?pnu=3611033024104510002&amp;isNoScr=script&amp;mode=search",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HYPERLINK("https://www.eum.go.kr/web/mp/mpMapDet.jsp?pnu=3611033024200180001&amp;isNoScr=script&amp;mode=search",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HYPERLINK("https://www.eum.go.kr/web/mp/mpMapDet.jsp?pnu=3611033024200180008&amp;isNoScr=script&amp;mode=search",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HYPERLINK("https://www.eum.go.kr/web/mp/mpMapDet.jsp?pnu=3611033028101000000&amp;isNoScr=script&amp;mode=search",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HYPERLINK("https://www.eum.go.kr/web/mp/mpMapDet.jsp?pnu=3611033028101080000&amp;isNoScr=script&amp;mode=search",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HYPERLINK("https://www.eum.go.kr/web/mp/mpMapDet.jsp?pnu=3611033028101100000&amp;isNoScr=script&amp;mode=search",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HYPERLINK("https://www.eum.go.kr/web/mp/mpMapDet.jsp?pnu=3611033028101550005&amp;isNoScr=script&amp;mode=search",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HYPERLINK("https://www.eum.go.kr/web/mp/mpMapDet.jsp?pnu=3611033028101570001&amp;isNoScr=script&amp;mode=search",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HYPERLINK("https://www.eum.go.kr/web/mp/mpMapDet.jsp?pnu=3611033028101650001&amp;isNoScr=script&amp;mode=search",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HYPERLINK("https://www.eum.go.kr/web/mp/mpMapDet.jsp?pnu=3611033028101720000&amp;isNoScr=script&amp;mode=search",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HYPERLINK("https://www.eum.go.kr/web/mp/mpMapDet.jsp?pnu=3611033028101880002&amp;isNoScr=script&amp;mode=search",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HYPERLINK("https://www.eum.go.kr/web/mp/mpMapDet.jsp?pnu=3611033028102070003&amp;isNoScr=script&amp;mode=search",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HYPERLINK("https://www.eum.go.kr/web/mp/mpMapDet.jsp?pnu=3611033028102340005&amp;isNoScr=script&amp;mode=search",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HYPERLINK("https://www.eum.go.kr/web/mp/mpMapDet.jsp?pnu=3611033028102400010&amp;isNoScr=script&amp;mode=search",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HYPERLINK("https://www.eum.go.kr/web/mp/mpMapDet.jsp?pnu=3611033028100300002&amp;isNoScr=script&amp;mode=search",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1263</v>
      </c>
      <c r="H584" s="4" t="n">
        <v>382</v>
      </c>
      <c r="I584" s="5" t="n">
        <v>65.40000000000001</v>
      </c>
      <c r="J584" s="5" t="n">
        <v>5.2</v>
      </c>
      <c r="K584" s="3" t="inlineStr">
        <is>
          <t>즉시 신축 가능 매매 급매물 상.하수도 전기 기반공사 완료돼있고 건축허가</t>
        </is>
      </c>
      <c r="L584" s="6">
        <f>HYPERLINK("https://fin.land.naver.com/articles/2648082259", "매물Link")</f>
        <v/>
      </c>
      <c r="M584" s="6">
        <f>HYPERLINK("https://map.naver.com/p/search/부강면 금호리 358-4", "지도Link")</f>
        <v/>
      </c>
      <c r="N584" s="6">
        <f>HYPERLINK("https://www.eum.go.kr/web/mp/mpMapDet.jsp?pnu=3611033028103580004&amp;isNoScr=script&amp;mode=search", "토지이음")</f>
        <v/>
      </c>
      <c r="O584" s="3" t="inlineStr">
        <is>
          <t>세종시삼성래미안</t>
        </is>
      </c>
      <c r="P584" s="4" t="n">
        <v>1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60000</v>
      </c>
      <c r="G585" s="4" t="n">
        <v>995</v>
      </c>
      <c r="H585" s="4" t="n">
        <v>301</v>
      </c>
      <c r="I585" s="5" t="n">
        <v>199.3</v>
      </c>
      <c r="J585" s="5" t="n">
        <v>5.2</v>
      </c>
      <c r="K585" s="3" t="inlineStr">
        <is>
          <t>건축허가 되어 있고 수도 오수 시설도 완비됨 전원주택지로 적합</t>
        </is>
      </c>
      <c r="L585" s="6">
        <f>HYPERLINK("https://fin.land.naver.com/articles/2648927634", "매물Link")</f>
        <v/>
      </c>
      <c r="M585" s="6">
        <f>HYPERLINK("https://map.naver.com/p/search/부강면 금호리 358-4", "지도Link")</f>
        <v/>
      </c>
      <c r="N585" s="6">
        <f>HYPERLINK("https://www.eum.go.kr/web/mp/mpMapDet.jsp?pnu=3611033028103580004&amp;isNoScr=script&amp;mode=search", "토지이음")</f>
        <v/>
      </c>
      <c r="O585" s="3" t="inlineStr">
        <is>
          <t>도램마을</t>
        </is>
      </c>
      <c r="P585" s="4" t="n">
        <v>2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HYPERLINK("https://www.eum.go.kr/web/mp/mpMapDet.jsp?pnu=3611033028103770008&amp;isNoScr=script&amp;mode=search",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HYPERLINK("https://www.eum.go.kr/web/mp/mpMapDet.jsp?pnu=3611033028103890001&amp;isNoScr=script&amp;mode=search",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HYPERLINK("https://www.eum.go.kr/web/mp/mpMapDet.jsp?pnu=3611033028103890010&amp;isNoScr=script&amp;mode=search",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112000</v>
      </c>
      <c r="G589" s="4" t="n">
        <v>1058</v>
      </c>
      <c r="H589" s="4" t="n">
        <v>320</v>
      </c>
      <c r="I589" s="5" t="n">
        <v>350</v>
      </c>
      <c r="J589" s="5" t="n">
        <v>53.4</v>
      </c>
      <c r="K589" s="3" t="inlineStr">
        <is>
          <t>정남향 도로접한 계획관리.성장관리지역 알토란 토지,가격조정가능</t>
        </is>
      </c>
      <c r="L589" s="6">
        <f>HYPERLINK("https://fin.land.naver.com/articles/2649493705", "매물Link")</f>
        <v/>
      </c>
      <c r="M589" s="6">
        <f>HYPERLINK("https://map.naver.com/p/search/부강면 금호리 389-6", "지도Link")</f>
        <v/>
      </c>
      <c r="N589" s="6">
        <f>HYPERLINK("https://www.eum.go.kr/web/mp/mpMapDet.jsp?pnu=3611033028103890006&amp;isNoScr=script&amp;mode=search", "토지이음")</f>
        <v/>
      </c>
      <c r="O589" s="3" t="inlineStr">
        <is>
          <t>고운맘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60000</v>
      </c>
      <c r="G590" s="4" t="n">
        <v>529</v>
      </c>
      <c r="H590" s="4" t="n">
        <v>160</v>
      </c>
      <c r="I590" s="5" t="n">
        <v>375</v>
      </c>
      <c r="J590" s="5" t="n">
        <v>53.4</v>
      </c>
      <c r="K590" s="3" t="inlineStr">
        <is>
          <t>부강면 계획관리 토지. 남청주IC 10분중반소요.옆 토지와 같이매매가능</t>
        </is>
      </c>
      <c r="L590" s="6">
        <f>HYPERLINK("https://fin.land.naver.com/articles/2647166173", "매물Link")</f>
        <v/>
      </c>
      <c r="M590" s="6">
        <f>HYPERLINK("https://map.naver.com/p/search/부강면 금호리 389-6", "지도Link")</f>
        <v/>
      </c>
      <c r="N590" s="6">
        <f>HYPERLINK("https://www.eum.go.kr/web/mp/mpMapDet.jsp?pnu=3611033028103890006&amp;isNoScr=script&amp;mode=search", "토지이음")</f>
        <v/>
      </c>
      <c r="O590" s="3" t="inlineStr">
        <is>
          <t>구암양지</t>
        </is>
      </c>
      <c r="P590" s="4" t="n">
        <v>2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1058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HYPERLINK("https://www.eum.go.kr/web/mp/mpMapDet.jsp?pnu=3611033028103890006&amp;isNoScr=script&amp;mode=search", "토지이음")</f>
        <v/>
      </c>
      <c r="O591" s="3" t="inlineStr">
        <is>
          <t>원내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금강 조망 가능한 도로접 계획관리 전원형 토지</t>
        </is>
      </c>
      <c r="L592" s="6">
        <f>HYPERLINK("https://fin.land.naver.com/articles/2648834433", "매물Link")</f>
        <v/>
      </c>
      <c r="M592" s="6">
        <f>HYPERLINK("https://map.naver.com/p/search/부강면 금호리 389-6", "지도Link")</f>
        <v/>
      </c>
      <c r="N592" s="6">
        <f>HYPERLINK("https://www.eum.go.kr/web/mp/mpMapDet.jsp?pnu=3611033028103890006&amp;isNoScr=script&amp;mode=search", "토지이음")</f>
        <v/>
      </c>
      <c r="O592" s="3" t="inlineStr">
        <is>
          <t>세종소담황금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HYPERLINK("https://www.eum.go.kr/web/mp/mpMapDet.jsp?pnu=3611033028104360000&amp;isNoScr=script&amp;mode=search",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남향의 반듯한 계획관리 토지. 투자용추천</t>
        </is>
      </c>
      <c r="L594" s="6">
        <f>HYPERLINK("https://fin.land.naver.com/articles/2645394522", "매물Link")</f>
        <v/>
      </c>
      <c r="M594" s="6">
        <f>HYPERLINK("https://map.naver.com/p/search/부강면 금호리 442", "지도Link")</f>
        <v/>
      </c>
      <c r="N594" s="6">
        <f>HYPERLINK("https://www.eum.go.kr/web/mp/mpMapDet.jsp?pnu=3611033028104420000&amp;isNoScr=script&amp;mode=search", "토지이음")</f>
        <v/>
      </c>
      <c r="O594" s="3" t="inlineStr">
        <is>
          <t>세종금밭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HYPERLINK("https://fin.land.naver.com/articles/2650433611", "매물Link")</f>
        <v/>
      </c>
      <c r="M595" s="6">
        <f>HYPERLINK("https://map.naver.com/p/search/부강면 금호리 442", "지도Link")</f>
        <v/>
      </c>
      <c r="N595" s="6">
        <f>HYPERLINK("https://www.eum.go.kr/web/mp/mpMapDet.jsp?pnu=3611033028104420000&amp;isNoScr=script&amp;mode=search",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HYPERLINK("https://www.eum.go.kr/web/mp/mpMapDet.jsp?pnu=3611033028104470001&amp;isNoScr=script&amp;mode=search",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HYPERLINK("https://www.eum.go.kr/web/mp/mpMapDet.jsp?pnu=3611033028106130000&amp;isNoScr=script&amp;mode=search",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HYPERLINK("https://www.eum.go.kr/web/mp/mpMapDet.jsp?pnu=3611033028106140001&amp;isNoScr=script&amp;mode=search",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HYPERLINK("https://www.eum.go.kr/web/mp/mpMapDet.jsp?pnu=3611033028107000017&amp;isNoScr=script&amp;mode=search",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HYPERLINK("https://www.eum.go.kr/web/mp/mpMapDet.jsp?pnu=3611033028107080002&amp;isNoScr=script&amp;mode=search",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남청주IC 자동차로 약17분거리10km</t>
        </is>
      </c>
      <c r="L601" s="6">
        <f>HYPERLINK("https://fin.land.naver.com/articles/2648088822", "매물Link")</f>
        <v/>
      </c>
      <c r="M601" s="6">
        <f>HYPERLINK("https://map.naver.com/p/search/부강면 금호리 712-16", "지도Link")</f>
        <v/>
      </c>
      <c r="N601" s="6">
        <f>HYPERLINK("https://www.eum.go.kr/web/mp/mpMapDet.jsp?pnu=3611033028107120016&amp;isNoScr=script&amp;mode=search", "토지이음")</f>
        <v/>
      </c>
      <c r="O601" s="3" t="inlineStr">
        <is>
          <t>지장고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HYPERLINK("https://www.eum.go.kr/web/mp/mpMapDet.jsp?pnu=3611033028107120016&amp;isNoScr=script&amp;mode=search", "토지이음")</f>
        <v/>
      </c>
      <c r="O602" s="3" t="inlineStr">
        <is>
          <t>세종소담황금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HYPERLINK("https://www.eum.go.kr/web/mp/mpMapDet.jsp?pnu=3611033028107120016&amp;isNoScr=script&amp;mode=search", "토지이음")</f>
        <v/>
      </c>
      <c r="O603" s="3" t="inlineStr">
        <is>
          <t>세종복댕이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HYPERLINK("https://www.eum.go.kr/web/mp/mpMapDet.jsp?pnu=3611033028107250001&amp;isNoScr=script&amp;mode=search",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HYPERLINK("https://www.eum.go.kr/web/mp/mpMapDet.jsp?pnu=3611033028107310000&amp;isNoScr=script&amp;mode=search",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HYPERLINK("https://www.eum.go.kr/web/mp/mpMapDet.jsp?pnu=3611033028200100001&amp;isNoScr=script&amp;mode=search",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HYPERLINK("https://www.eum.go.kr/web/mp/mpMapDet.jsp?pnu=3611033028200460004&amp;isNoScr=script&amp;mode=search",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HYPERLINK("https://www.eum.go.kr/web/mp/mpMapDet.jsp?pnu=3611033027100240000&amp;isNoScr=script&amp;mode=search",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HYPERLINK("https://www.eum.go.kr/web/mp/mpMapDet.jsp?pnu=3611033027102870000&amp;isNoScr=script&amp;mode=search",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HYPERLINK("https://www.eum.go.kr/web/mp/mpMapDet.jsp?pnu=3611033027102970000&amp;isNoScr=script&amp;mode=search",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HYPERLINK("https://www.eum.go.kr/web/mp/mpMapDet.jsp?pnu=3611033027103340000&amp;isNoScr=script&amp;mode=search",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71930</v>
      </c>
      <c r="G612" s="4" t="n">
        <v>3963</v>
      </c>
      <c r="H612" s="4" t="n">
        <v>1199</v>
      </c>
      <c r="I612" s="5" t="n">
        <v>60</v>
      </c>
      <c r="J612" s="5" t="n">
        <v>25.8</v>
      </c>
      <c r="K612" s="3" t="inlineStr">
        <is>
          <t>매포역 인근 금강 변, 국도 인접 생산관리지역, 개발호재 많은 투자 물건</t>
        </is>
      </c>
      <c r="L612" s="6">
        <f>HYPERLINK("https://fin.land.naver.com/articles/2650180451", "매물Link")</f>
        <v/>
      </c>
      <c r="M612" s="6">
        <f>HYPERLINK("https://map.naver.com/p/search/부강면 노호리 356-1", "지도Link")</f>
        <v/>
      </c>
      <c r="N612" s="6">
        <f>HYPERLINK("https://www.eum.go.kr/web/mp/mpMapDet.jsp?pnu=3611033027103560001&amp;isNoScr=script&amp;mode=search", "토지이음")</f>
        <v/>
      </c>
      <c r="O612" s="3" t="inlineStr">
        <is>
          <t>오송3산단  사무소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72000</v>
      </c>
      <c r="G613" s="4" t="n">
        <v>3963</v>
      </c>
      <c r="H613" s="4" t="n">
        <v>1199</v>
      </c>
      <c r="I613" s="5" t="n">
        <v>60.1</v>
      </c>
      <c r="J613" s="5" t="n">
        <v>25.8</v>
      </c>
      <c r="K613" s="3" t="inlineStr">
        <is>
          <t>부강면노호리 생산관리지역 마을인접 가격조정가능</t>
        </is>
      </c>
      <c r="L613" s="6">
        <f>HYPERLINK("https://fin.land.naver.com/articles/2649144191", "매물Link")</f>
        <v/>
      </c>
      <c r="M613" s="6">
        <f>HYPERLINK("https://map.naver.com/p/search/부강면 노호리 356-1", "지도Link")</f>
        <v/>
      </c>
      <c r="N613" s="6">
        <f>HYPERLINK("https://www.eum.go.kr/web/mp/mpMapDet.jsp?pnu=3611033027103560001&amp;isNoScr=script&amp;mode=search", "토지이음")</f>
        <v/>
      </c>
      <c r="O613" s="3" t="inlineStr">
        <is>
          <t>고운동리치세종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 노호리 도로접한 토지매매.</t>
        </is>
      </c>
      <c r="L614" s="6">
        <f>HYPERLINK("https://fin.land.naver.com/articles/2647631268", "매물Link")</f>
        <v/>
      </c>
      <c r="M614" s="6">
        <f>HYPERLINK("https://map.naver.com/p/search/부강면 노호리 356-1", "지도Link")</f>
        <v/>
      </c>
      <c r="N614" s="6">
        <f>HYPERLINK("https://www.eum.go.kr/web/mp/mpMapDet.jsp?pnu=3611033027103560001&amp;isNoScr=script&amp;mode=search", "토지이음")</f>
        <v/>
      </c>
      <c r="O614" s="3" t="inlineStr">
        <is>
          <t>방서에이스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71200</v>
      </c>
      <c r="G615" s="4" t="n">
        <v>3920</v>
      </c>
      <c r="H615" s="4" t="n">
        <v>1186</v>
      </c>
      <c r="I615" s="5" t="n">
        <v>60</v>
      </c>
      <c r="J615" s="5" t="n">
        <v>25.8</v>
      </c>
      <c r="K615" s="3" t="inlineStr">
        <is>
          <t>부강 매포역에서 차량 3분 마을 인접, 전원주택, 세컨하우스 수요많음</t>
        </is>
      </c>
      <c r="L615" s="6">
        <f>HYPERLINK("https://fin.land.naver.com/articles/2649098611", "매물Link")</f>
        <v/>
      </c>
      <c r="M615" s="6">
        <f>HYPERLINK("https://map.naver.com/p/search/부강면 노호리 356-1", "지도Link")</f>
        <v/>
      </c>
      <c r="N615" s="6">
        <f>HYPERLINK("https://www.eum.go.kr/web/mp/mpMapDet.jsp?pnu=3611033027103560001&amp;isNoScr=script&amp;mode=search", "토지이음")</f>
        <v/>
      </c>
      <c r="O615" s="3" t="inlineStr">
        <is>
          <t>114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HYPERLINK("https://www.eum.go.kr/web/mp/mpMapDet.jsp?pnu=3611033027100550003&amp;isNoScr=script&amp;mode=search",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HYPERLINK("https://www.eum.go.kr/web/mp/mpMapDet.jsp?pnu=3611033027100630004&amp;isNoScr=script&amp;mode=search",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HYPERLINK("https://www.eum.go.kr/web/mp/mpMapDet.jsp?pnu=3611033027200660016&amp;isNoScr=script&amp;mode=search",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HYPERLINK("https://www.eum.go.kr/web/mp/mpMapDet.jsp?pnu=3611033026101780000&amp;isNoScr=script&amp;mode=search",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HYPERLINK("https://www.eum.go.kr/web/mp/mpMapDet.jsp?pnu=3611033026104520000&amp;isNoScr=script&amp;mode=search",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HYPERLINK("https://www.eum.go.kr/web/mp/mpMapDet.jsp?pnu=3611033026100550000&amp;isNoScr=script&amp;mode=search",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HYPERLINK("https://www.eum.go.kr/web/mp/mpMapDet.jsp?pnu=3611033025110600003&amp;isNoScr=script&amp;mode=search",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HYPERLINK("https://www.eum.go.kr/web/mp/mpMapDet.jsp?pnu=3611033025110640000&amp;isNoScr=script&amp;mode=search",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HYPERLINK("https://www.eum.go.kr/web/mp/mpMapDet.jsp?pnu=3611033025110640001&amp;isNoScr=script&amp;mode=search",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HYPERLINK("https://www.eum.go.kr/web/mp/mpMapDet.jsp?pnu=3611033025110660000&amp;isNoScr=script&amp;mode=search",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HYPERLINK("https://www.eum.go.kr/web/mp/mpMapDet.jsp?pnu=3611033025101140000&amp;isNoScr=script&amp;mode=search",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HYPERLINK("https://www.eum.go.kr/web/mp/mpMapDet.jsp?pnu=3611033025102400001&amp;isNoScr=script&amp;mode=search",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HYPERLINK("https://www.eum.go.kr/web/mp/mpMapDet.jsp?pnu=3611033025103640000&amp;isNoScr=script&amp;mode=search",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HYPERLINK("https://www.eum.go.kr/web/mp/mpMapDet.jsp?pnu=3611033025103640000&amp;isNoScr=script&amp;mode=search",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HYPERLINK("https://www.eum.go.kr/web/mp/mpMapDet.jsp?pnu=3611033025103840000&amp;isNoScr=script&amp;mode=search",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HYPERLINK("https://www.eum.go.kr/web/mp/mpMapDet.jsp?pnu=3611033025104370000&amp;isNoScr=script&amp;mode=search",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HYPERLINK("https://www.eum.go.kr/web/mp/mpMapDet.jsp?pnu=3611033025104460000&amp;isNoScr=script&amp;mode=search",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HYPERLINK("https://www.eum.go.kr/web/mp/mpMapDet.jsp?pnu=3611033025107260000&amp;isNoScr=script&amp;mode=search",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HYPERLINK("https://www.eum.go.kr/web/mp/mpMapDet.jsp?pnu=3611033025107590000&amp;isNoScr=script&amp;mode=search",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37000</v>
      </c>
      <c r="G635" s="4" t="n">
        <v>2079</v>
      </c>
      <c r="H635" s="4" t="n">
        <v>629</v>
      </c>
      <c r="I635" s="5" t="n">
        <v>58.8</v>
      </c>
      <c r="J635" s="5" t="n">
        <v>44.2</v>
      </c>
      <c r="K635" s="3" t="inlineStr">
        <is>
          <t>nan</t>
        </is>
      </c>
      <c r="L635" s="6">
        <f>HYPERLINK("https://fin.land.naver.com/articles/2649292434", "매물Link")</f>
        <v/>
      </c>
      <c r="M635" s="6">
        <f>HYPERLINK("https://map.naver.com/p/search/부강면 문곡리 802", "지도Link")</f>
        <v/>
      </c>
      <c r="N635" s="6">
        <f>HYPERLINK("https://www.eum.go.kr/web/mp/mpMapDet.jsp?pnu=3611033025108020000&amp;isNoScr=script&amp;mode=search", "토지이음")</f>
        <v/>
      </c>
      <c r="O635" s="3" t="inlineStr">
        <is>
          <t>갤러리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629</v>
      </c>
      <c r="I636" s="5" t="n">
        <v>63.6</v>
      </c>
      <c r="J636" s="5" t="n">
        <v>44.2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HYPERLINK("https://www.eum.go.kr/web/mp/mpMapDet.jsp?pnu=3611033025108020000&amp;isNoScr=script&amp;mode=search",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HYPERLINK("https://www.eum.go.kr/web/mp/mpMapDet.jsp?pnu=3611033025100810000&amp;isNoScr=script&amp;mode=search",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1815</v>
      </c>
      <c r="H638" s="4" t="n">
        <v>549</v>
      </c>
      <c r="I638" s="5" t="n">
        <v>91.09999999999999</v>
      </c>
      <c r="J638" s="5" t="n">
        <v>25.9</v>
      </c>
      <c r="K638" s="3" t="inlineStr">
        <is>
          <t>계획관리지역,  세종에서 10분이내거리</t>
        </is>
      </c>
      <c r="L638" s="6">
        <f>HYPERLINK("https://fin.land.naver.com/articles/2649059214", "매물Link")</f>
        <v/>
      </c>
      <c r="M638" s="6">
        <f>HYPERLINK("https://map.naver.com/p/search/부강면 문곡리 836-2", "지도Link")</f>
        <v/>
      </c>
      <c r="N638" s="6">
        <f>HYPERLINK("https://www.eum.go.kr/web/mp/mpMapDet.jsp?pnu=3611033025108360002&amp;isNoScr=script&amp;mode=search", "토지이음")</f>
        <v/>
      </c>
      <c r="O638" s="3" t="inlineStr">
        <is>
          <t>이담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47000</v>
      </c>
      <c r="G639" s="4" t="n">
        <v>1815</v>
      </c>
      <c r="H639" s="4" t="n">
        <v>549</v>
      </c>
      <c r="I639" s="5" t="n">
        <v>85.59999999999999</v>
      </c>
      <c r="J639" s="5" t="n">
        <v>25.9</v>
      </c>
      <c r="K639" s="3" t="inlineStr">
        <is>
          <t>세종시 부강면 문곡리  토지 매매</t>
        </is>
      </c>
      <c r="L639" s="6">
        <f>HYPERLINK("https://fin.land.naver.com/articles/2647497030", "매물Link")</f>
        <v/>
      </c>
      <c r="M639" s="6">
        <f>HYPERLINK("https://map.naver.com/p/search/부강면 문곡리 836-2", "지도Link")</f>
        <v/>
      </c>
      <c r="N639" s="6">
        <f>HYPERLINK("https://www.eum.go.kr/web/mp/mpMapDet.jsp?pnu=3611033025108360002&amp;isNoScr=script&amp;mode=search", "토지이음")</f>
        <v/>
      </c>
      <c r="O639" s="3" t="inlineStr">
        <is>
          <t>주식회사넥서스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HYPERLINK("https://www.eum.go.kr/web/mp/mpMapDet.jsp?pnu=3611033025109010000&amp;isNoScr=script&amp;mode=search",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HYPERLINK("https://www.eum.go.kr/web/mp/mpMapDet.jsp?pnu=3611033025109020001&amp;isNoScr=script&amp;mode=search",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남청주IC와 가까워 물류센터,공장 추천,계획관리지역의 토지</t>
        </is>
      </c>
      <c r="L642" s="6">
        <f>HYPERLINK("https://fin.land.naver.com/articles/2649253784", "매물Link")</f>
        <v/>
      </c>
      <c r="M642" s="6">
        <f>HYPERLINK("https://map.naver.com/p/search/부강면 문곡리 903-3", "지도Link")</f>
        <v/>
      </c>
      <c r="N642" s="6">
        <f>HYPERLINK("https://www.eum.go.kr/web/mp/mpMapDet.jsp?pnu=3611033025109030003&amp;isNoScr=script&amp;mode=search", "토지이음")</f>
        <v/>
      </c>
      <c r="O642" s="3" t="inlineStr">
        <is>
          <t>(주)미르</t>
        </is>
      </c>
      <c r="P642" s="4" t="n">
        <v>2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즉시 건축 가능한 공장 및 창고부지 계획관리지역 남청주 IC인근</t>
        </is>
      </c>
      <c r="L643" s="6">
        <f>HYPERLINK("https://fin.land.naver.com/articles/2646279919", "매물Link")</f>
        <v/>
      </c>
      <c r="M643" s="6">
        <f>HYPERLINK("https://map.naver.com/p/search/부강면 문곡리 903-3", "지도Link")</f>
        <v/>
      </c>
      <c r="N643" s="6">
        <f>HYPERLINK("https://www.eum.go.kr/web/mp/mpMapDet.jsp?pnu=3611033025109030003&amp;isNoScr=script&amp;mode=search", "토지이음")</f>
        <v/>
      </c>
      <c r="O643" s="3" t="inlineStr">
        <is>
          <t>대전토지로무소</t>
        </is>
      </c>
      <c r="P643" s="4" t="n">
        <v>1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HYPERLINK("https://www.eum.go.kr/web/mp/mpMapDet.jsp?pnu=3611033025109180001&amp;isNoScr=script&amp;mode=search",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HYPERLINK("https://www.eum.go.kr/web/mp/mpMapDet.jsp?pnu=3611033025200730008&amp;isNoScr=script&amp;mode=search",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HYPERLINK("https://www.eum.go.kr/web/mp/mpMapDet.jsp?pnu=3611033025200790000&amp;isNoScr=script&amp;mode=search",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HYPERLINK("https://www.eum.go.kr/web/mp/mpMapDet.jsp?pnu=3611033021110150000&amp;isNoScr=script&amp;mode=search",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HYPERLINK("https://www.eum.go.kr/web/mp/mpMapDet.jsp?pnu=3611033021110460001&amp;isNoScr=script&amp;mode=search",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HYPERLINK("https://www.eum.go.kr/web/mp/mpMapDet.jsp?pnu=3611033021110460004&amp;isNoScr=script&amp;mode=search",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HYPERLINK("https://www.eum.go.kr/web/mp/mpMapDet.jsp?pnu=3611033021110600004&amp;isNoScr=script&amp;mode=search",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HYPERLINK("https://www.eum.go.kr/web/mp/mpMapDet.jsp?pnu=3611033021110940001&amp;isNoScr=script&amp;mode=search",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HYPERLINK("https://www.eum.go.kr/web/mp/mpMapDet.jsp?pnu=3611033021101130002&amp;isNoScr=script&amp;mode=search",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HYPERLINK("https://www.eum.go.kr/web/mp/mpMapDet.jsp?pnu=3611033021112150002&amp;isNoScr=script&amp;mode=search",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HYPERLINK("https://www.eum.go.kr/web/mp/mpMapDet.jsp?pnu=3611033021112300000&amp;isNoScr=script&amp;mode=search",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HYPERLINK("https://www.eum.go.kr/web/mp/mpMapDet.jsp?pnu=3611033021103430001&amp;isNoScr=script&amp;mode=search",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부강면 나대지 매매, 부강역, 부강면사무소 인근, 근생 및 단독주택 건축</t>
        </is>
      </c>
      <c r="L656" s="6">
        <f>HYPERLINK("https://fin.land.naver.com/articles/2645576373", "매물Link")</f>
        <v/>
      </c>
      <c r="M656" s="6">
        <f>HYPERLINK("https://map.naver.com/p/search/부강면 부강리 386", "지도Link")</f>
        <v/>
      </c>
      <c r="N656" s="6">
        <f>HYPERLINK("https://www.eum.go.kr/web/mp/mpMapDet.jsp?pnu=3611033021103860000&amp;isNoScr=script&amp;mode=search", "토지이음")</f>
        <v/>
      </c>
      <c r="O656" s="3" t="inlineStr">
        <is>
          <t>스카이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HYPERLINK("https://www.eum.go.kr/web/mp/mpMapDet.jsp?pnu=3611033021103860000&amp;isNoScr=script&amp;mode=search",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HYPERLINK("https://www.eum.go.kr/web/mp/mpMapDet.jsp?pnu=3611033021104460013&amp;isNoScr=script&amp;mode=search",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HYPERLINK("https://www.eum.go.kr/web/mp/mpMapDet.jsp?pnu=3611033021104570003&amp;isNoScr=script&amp;mode=search",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HYPERLINK("https://www.eum.go.kr/web/mp/mpMapDet.jsp?pnu=3611033021104860003&amp;isNoScr=script&amp;mode=search",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HYPERLINK("https://www.eum.go.kr/web/mp/mpMapDet.jsp?pnu=3611033021105060009&amp;isNoScr=script&amp;mode=search",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HYPERLINK("https://www.eum.go.kr/web/mp/mpMapDet.jsp?pnu=3611033021105800001&amp;isNoScr=script&amp;mode=search",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HYPERLINK("https://www.eum.go.kr/web/mp/mpMapDet.jsp?pnu=3611033021105800001&amp;isNoScr=script&amp;mode=search",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HYPERLINK("https://www.eum.go.kr/web/mp/mpMapDet.jsp?pnu=3611033021107170000&amp;isNoScr=script&amp;mode=search",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HYPERLINK("https://www.eum.go.kr/web/mp/mpMapDet.jsp?pnu=3611033021107290000&amp;isNoScr=script&amp;mode=search",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HYPERLINK("https://www.eum.go.kr/web/mp/mpMapDet.jsp?pnu=3611033021107450000&amp;isNoScr=script&amp;mode=search",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HYPERLINK("https://www.eum.go.kr/web/mp/mpMapDet.jsp?pnu=3611033021107580000&amp;isNoScr=script&amp;mode=search",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HYPERLINK("https://www.eum.go.kr/web/mp/mpMapDet.jsp?pnu=3611033021108250004&amp;isNoScr=script&amp;mode=search",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HYPERLINK("https://www.eum.go.kr/web/mp/mpMapDet.jsp?pnu=3611033021108850000&amp;isNoScr=script&amp;mode=search",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HYPERLINK("https://www.eum.go.kr/web/mp/mpMapDet.jsp?pnu=3611033021108940000&amp;isNoScr=script&amp;mode=search",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HYPERLINK("https://www.eum.go.kr/web/mp/mpMapDet.jsp?pnu=3611033021109330007&amp;isNoScr=script&amp;mode=search",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HYPERLINK("https://www.eum.go.kr/web/mp/mpMapDet.jsp?pnu=3611033021109510000&amp;isNoScr=script&amp;mode=search",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HYPERLINK("https://www.eum.go.kr/web/mp/mpMapDet.jsp?pnu=3611033021109550001&amp;isNoScr=script&amp;mode=search",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HYPERLINK("https://www.eum.go.kr/web/mp/mpMapDet.jsp?pnu=3611033021109610001&amp;isNoScr=script&amp;mode=search",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HYPERLINK("https://www.eum.go.kr/web/mp/mpMapDet.jsp?pnu=3611033021109670004&amp;isNoScr=script&amp;mode=search",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HYPERLINK("https://www.eum.go.kr/web/mp/mpMapDet.jsp?pnu=3611033021109730026&amp;isNoScr=script&amp;mode=search",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HYPERLINK("https://www.eum.go.kr/web/mp/mpMapDet.jsp?pnu=3611033021109730003&amp;isNoScr=script&amp;mode=search",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HYPERLINK("https://www.eum.go.kr/web/mp/mpMapDet.jsp?pnu=3611033023101280000&amp;isNoScr=script&amp;mode=search",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HYPERLINK("https://www.eum.go.kr/web/mp/mpMapDet.jsp?pnu=3611033023102070000&amp;isNoScr=script&amp;mode=search",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주택허가축사경작지 일괄, 축산승계귀농농장 추천</t>
        </is>
      </c>
      <c r="L680" s="6">
        <f>HYPERLINK("https://fin.land.naver.com/articles/2649836388", "매물Link")</f>
        <v/>
      </c>
      <c r="M680" s="6">
        <f>HYPERLINK("https://map.naver.com/p/search/부강면 산수리 243", "지도Link")</f>
        <v/>
      </c>
      <c r="N680" s="6">
        <f>HYPERLINK("https://www.eum.go.kr/web/mp/mpMapDet.jsp?pnu=3611033023102430000&amp;isNoScr=script&amp;mode=search",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HYPERLINK("https://www.eum.go.kr/web/mp/mpMapDet.jsp?pnu=3611033023102430000&amp;isNoScr=script&amp;mode=search", "토지이음")</f>
        <v/>
      </c>
      <c r="O681" s="3" t="inlineStr">
        <is>
          <t>세종</t>
        </is>
      </c>
      <c r="P681" s="4" t="n">
        <v>2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100000</v>
      </c>
      <c r="G682" s="4" t="n">
        <v>5429</v>
      </c>
      <c r="H682" s="4" t="n">
        <v>1642</v>
      </c>
      <c r="I682" s="5" t="n">
        <v>60.9</v>
      </c>
      <c r="J682" s="5" t="n">
        <v>33.6</v>
      </c>
      <c r="K682" s="3" t="inlineStr">
        <is>
          <t>세종시 부강면 목장용지, 단독주택, 전으로 구성된 4필지 통매매가 10억</t>
        </is>
      </c>
      <c r="L682" s="6">
        <f>HYPERLINK("https://fin.land.naver.com/articles/2650228512", "매물Link")</f>
        <v/>
      </c>
      <c r="M682" s="6">
        <f>HYPERLINK("https://map.naver.com/p/search/부강면 산수리 243-2", "지도Link")</f>
        <v/>
      </c>
      <c r="N682" s="6">
        <f>HYPERLINK("https://www.eum.go.kr/web/mp/mpMapDet.jsp?pnu=3611033023102430002&amp;isNoScr=script&amp;mode=search", "토지이음")</f>
        <v/>
      </c>
      <c r="O682" s="3" t="inlineStr">
        <is>
          <t>5프로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HYPERLINK("https://www.eum.go.kr/web/mp/mpMapDet.jsp?pnu=3611033023102430002&amp;isNoScr=script&amp;mode=search",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HYPERLINK("https://www.eum.go.kr/web/mp/mpMapDet.jsp?pnu=3611033023100350007&amp;isNoScr=script&amp;mode=search",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HYPERLINK("https://www.eum.go.kr/web/mp/mpMapDet.jsp?pnu=3611033023103660000&amp;isNoScr=script&amp;mode=search",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HYPERLINK("https://www.eum.go.kr/web/mp/mpMapDet.jsp?pnu=3611033023103970000&amp;isNoScr=script&amp;mode=search",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HYPERLINK("https://www.eum.go.kr/web/mp/mpMapDet.jsp?pnu=3611033023105390000&amp;isNoScr=script&amp;mode=search",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HYPERLINK("https://www.eum.go.kr/web/mp/mpMapDet.jsp?pnu=3611033023100920002&amp;isNoScr=script&amp;mode=search",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HYPERLINK("https://www.eum.go.kr/web/mp/mpMapDet.jsp?pnu=3611033023100920002&amp;isNoScr=script&amp;mode=search",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HYPERLINK("https://www.eum.go.kr/web/mp/mpMapDet.jsp?pnu=3611033022101180011&amp;isNoScr=script&amp;mode=search",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HYPERLINK("https://www.eum.go.kr/web/mp/mpMapDet.jsp?pnu=3611033022101410011&amp;isNoScr=script&amp;mode=search",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HYPERLINK("https://www.eum.go.kr/web/mp/mpMapDet.jsp?pnu=3611033022101620003&amp;isNoScr=script&amp;mode=search",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HYPERLINK("https://www.eum.go.kr/web/mp/mpMapDet.jsp?pnu=3611033022101630000&amp;isNoScr=script&amp;mode=search",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HYPERLINK("https://www.eum.go.kr/web/mp/mpMapDet.jsp?pnu=3611033022102230000&amp;isNoScr=script&amp;mode=search",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HYPERLINK("https://www.eum.go.kr/web/mp/mpMapDet.jsp?pnu=3611033022102960000&amp;isNoScr=script&amp;mode=search",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1725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HYPERLINK("https://fin.land.naver.com/articles/2648843558", "매물Link")</f>
        <v/>
      </c>
      <c r="M696" s="6">
        <f>HYPERLINK("https://map.naver.com/p/search/부강면 행산리 389", "지도Link")</f>
        <v/>
      </c>
      <c r="N696" s="6">
        <f>HYPERLINK("https://www.eum.go.kr/web/mp/mpMapDet.jsp?pnu=3611033022103890000&amp;isNoScr=script&amp;mode=search",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HYPERLINK("https://www.eum.go.kr/web/mp/mpMapDet.jsp?pnu=3611033022103890000&amp;isNoScr=script&amp;mode=search",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90000</v>
      </c>
      <c r="G698" s="4" t="n">
        <v>2998</v>
      </c>
      <c r="H698" s="4" t="n">
        <v>907</v>
      </c>
      <c r="I698" s="5" t="n">
        <v>99.2</v>
      </c>
      <c r="J698" s="5" t="n">
        <v>24.8</v>
      </c>
      <c r="K698" s="3" t="inlineStr">
        <is>
          <t>세종시 부강면 5생활권 10분거리 각 3필지(149, 235, 522)</t>
        </is>
      </c>
      <c r="L698" s="6">
        <f>HYPERLINK("https://fin.land.naver.com/articles/2649158860", "매물Link")</f>
        <v/>
      </c>
      <c r="M698" s="6">
        <f>HYPERLINK("https://map.naver.com/p/search/부강면 행산리 389", "지도Link")</f>
        <v/>
      </c>
      <c r="N698" s="6">
        <f>HYPERLINK("https://www.eum.go.kr/web/mp/mpMapDet.jsp?pnu=3611033022103890000&amp;isNoScr=script&amp;mode=search", "토지이음")</f>
        <v/>
      </c>
      <c r="O698" s="3" t="inlineStr">
        <is>
          <t>오송k랜드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52000</v>
      </c>
      <c r="G699" s="4" t="n">
        <v>1725</v>
      </c>
      <c r="H699" s="4" t="n">
        <v>522</v>
      </c>
      <c r="I699" s="5" t="n">
        <v>99.59999999999999</v>
      </c>
      <c r="J699" s="5" t="n">
        <v>24.8</v>
      </c>
      <c r="K699" s="3" t="inlineStr">
        <is>
          <t>계획관리지역의 과수원으로 전기 및 인터넷, 상수도 배수시설이 완비된 토지</t>
        </is>
      </c>
      <c r="L699" s="6">
        <f>HYPERLINK("https://fin.land.naver.com/articles/2649861654", "매물Link")</f>
        <v/>
      </c>
      <c r="M699" s="6">
        <f>HYPERLINK("https://map.naver.com/p/search/부강면 행산리 389", "지도Link")</f>
        <v/>
      </c>
      <c r="N699" s="6">
        <f>HYPERLINK("https://www.eum.go.kr/web/mp/mpMapDet.jsp?pnu=3611033022103890000&amp;isNoScr=script&amp;mode=search", "토지이음")</f>
        <v/>
      </c>
      <c r="O699" s="3" t="inlineStr">
        <is>
          <t>스마일세종</t>
        </is>
      </c>
      <c r="P699" s="4" t="n">
        <v>2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1273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HYPERLINK("https://www.eum.go.kr/web/mp/mpMapDet.jsp?pnu=3611033022103890003&amp;isNoScr=script&amp;mode=search", "토지이음")</f>
        <v/>
      </c>
      <c r="O700" s="3" t="inlineStr">
        <is>
          <t>지성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HYPERLINK("https://www.eum.go.kr/web/mp/mpMapDet.jsp?pnu=3611033022103890003&amp;isNoScr=script&amp;mode=search",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HYPERLINK("https://fin.land.naver.com/articles/2650242112", "매물Link")</f>
        <v/>
      </c>
      <c r="M702" s="6">
        <f>HYPERLINK("https://map.naver.com/p/search/부강면 행산리 389-3", "지도Link")</f>
        <v/>
      </c>
      <c r="N702" s="6">
        <f>HYPERLINK("https://www.eum.go.kr/web/mp/mpMapDet.jsp?pnu=3611033022103890003&amp;isNoScr=script&amp;mode=search",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HYPERLINK("https://fin.land.naver.com/articles/2649114004", "매물Link")</f>
        <v/>
      </c>
      <c r="M703" s="6">
        <f>HYPERLINK("https://map.naver.com/p/search/부강면 행산리 389-4", "지도Link")</f>
        <v/>
      </c>
      <c r="N703" s="6">
        <f>HYPERLINK("https://www.eum.go.kr/web/mp/mpMapDet.jsp?pnu=3611033022103890004&amp;isNoScr=script&amp;mode=search", "토지이음")</f>
        <v/>
      </c>
      <c r="O703" s="3" t="inlineStr">
        <is>
          <t>고운맘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 계획관리지역의 과수원으로 전원주택이나 체류형쉼터 공방 등으로 이용</t>
        </is>
      </c>
      <c r="L704" s="6">
        <f>HYPERLINK("https://fin.land.naver.com/articles/2650250528", "매물Link")</f>
        <v/>
      </c>
      <c r="M704" s="6">
        <f>HYPERLINK("https://map.naver.com/p/search/부강면 행산리 389-4", "지도Link")</f>
        <v/>
      </c>
      <c r="N704" s="6">
        <f>HYPERLINK("https://www.eum.go.kr/web/mp/mpMapDet.jsp?pnu=3611033022103890004&amp;isNoScr=script&amp;mode=search", "토지이음")</f>
        <v/>
      </c>
      <c r="O704" s="3" t="inlineStr">
        <is>
          <t>스마일세종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HYPERLINK("https://www.eum.go.kr/web/mp/mpMapDet.jsp?pnu=3611033022103930000&amp;isNoScr=script&amp;mode=search",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HYPERLINK("https://www.eum.go.kr/web/mp/mpMapDet.jsp?pnu=3611033022104470000&amp;isNoScr=script&amp;mode=search",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141000</v>
      </c>
      <c r="G707" s="4" t="n">
        <v>7790</v>
      </c>
      <c r="H707" s="4" t="n">
        <v>2356</v>
      </c>
      <c r="I707" s="5" t="n">
        <v>59.8</v>
      </c>
      <c r="J707" s="5" t="n">
        <v>18.3</v>
      </c>
      <c r="K707" s="3" t="inlineStr">
        <is>
          <t>2차선 도로 인접 토지 매매</t>
        </is>
      </c>
      <c r="L707" s="6">
        <f>HYPERLINK("https://fin.land.naver.com/articles/2647502475", "매물Link")</f>
        <v/>
      </c>
      <c r="M707" s="6">
        <f>HYPERLINK("https://map.naver.com/p/search/부강면 행산리 448", "지도Link")</f>
        <v/>
      </c>
      <c r="N707" s="6">
        <f>HYPERLINK("https://www.eum.go.kr/web/mp/mpMapDet.jsp?pnu=3611033022104480000&amp;isNoScr=script&amp;mode=search", "토지이음")</f>
        <v/>
      </c>
      <c r="O707" s="3" t="inlineStr">
        <is>
          <t>주식회사넥서스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130000</v>
      </c>
      <c r="G708" s="4" t="n">
        <v>7791</v>
      </c>
      <c r="H708" s="4" t="n">
        <v>2357</v>
      </c>
      <c r="I708" s="5" t="n">
        <v>55.2</v>
      </c>
      <c r="J708" s="5" t="n">
        <v>18.3</v>
      </c>
      <c r="K708" s="3" t="inlineStr">
        <is>
          <t>세종시5생활권입접.대규모농지.인접447번지와동시매매가능.장기투자목적</t>
        </is>
      </c>
      <c r="L708" s="6">
        <f>HYPERLINK("https://fin.land.naver.com/articles/2649221277", "매물Link")</f>
        <v/>
      </c>
      <c r="M708" s="6">
        <f>HYPERLINK("https://map.naver.com/p/search/부강면 행산리 448", "지도Link")</f>
        <v/>
      </c>
      <c r="N708" s="6">
        <f>HYPERLINK("https://www.eum.go.kr/web/mp/mpMapDet.jsp?pnu=3611033022104480000&amp;isNoScr=script&amp;mode=search", "토지이음")</f>
        <v/>
      </c>
      <c r="O708" s="3" t="inlineStr">
        <is>
          <t>돈방석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HYPERLINK("https://www.eum.go.kr/web/mp/mpMapDet.jsp?pnu=3611033022105520000&amp;isNoScr=script&amp;mode=search",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2차선변 위치,마을인접,토지바로앞에 버스정류장 있어요</t>
        </is>
      </c>
      <c r="L710" s="6">
        <f>HYPERLINK("https://fin.land.naver.com/articles/2646799670", "매물Link")</f>
        <v/>
      </c>
      <c r="M710" s="6">
        <f>HYPERLINK("https://map.naver.com/p/search/부강면 행산리 615", "지도Link")</f>
        <v/>
      </c>
      <c r="N710" s="6">
        <f>HYPERLINK("https://www.eum.go.kr/web/mp/mpMapDet.jsp?pnu=3611033022106150000&amp;isNoScr=script&amp;mode=search", "토지이음")</f>
        <v/>
      </c>
      <c r="O710" s="3" t="inlineStr">
        <is>
          <t>가치잇는</t>
        </is>
      </c>
      <c r="P710" s="4" t="n">
        <v>5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HYPERLINK("https://www.eum.go.kr/web/mp/mpMapDet.jsp?pnu=3611033022106150000&amp;isNoScr=script&amp;mode=search",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HYPERLINK("https://www.eum.go.kr/web/mp/mpMapDet.jsp?pnu=3611033022200650000&amp;isNoScr=script&amp;mode=search",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HYPERLINK("https://www.eum.go.kr/web/mp/mpMapDet.jsp?pnu=3611011300110160000&amp;isNoScr=script&amp;mode=search",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전용100.5p, 국제고인근, 아름동 단독주택지</t>
        </is>
      </c>
      <c r="L714" s="6">
        <f>HYPERLINK("https://fin.land.naver.com/articles/2646694903", "매물Link")</f>
        <v/>
      </c>
      <c r="M714" s="6">
        <f>HYPERLINK("https://map.naver.com/p/search/아름동 1037", "지도Link")</f>
        <v/>
      </c>
      <c r="N714" s="6">
        <f>HYPERLINK("https://www.eum.go.kr/web/mp/mpMapDet.jsp?pnu=3611011300110370000&amp;isNoScr=script&amp;mode=search",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총 100.5p, 위치좋은 아름동 단독주택지 토지</t>
        </is>
      </c>
      <c r="L715" s="6">
        <f>HYPERLINK("https://fin.land.naver.com/articles/2649022307", "매물Link")</f>
        <v/>
      </c>
      <c r="M715" s="6">
        <f>HYPERLINK("https://map.naver.com/p/search/아름동 1037", "지도Link")</f>
        <v/>
      </c>
      <c r="N715" s="6">
        <f>HYPERLINK("https://www.eum.go.kr/web/mp/mpMapDet.jsp?pnu=3611011300110370000&amp;isNoScr=script&amp;mode=search",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HYPERLINK("https://www.eum.go.kr/web/mp/mpMapDet.jsp?pnu=3611011300110490000&amp;isNoScr=script&amp;mode=search",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HYPERLINK("https://www.eum.go.kr/web/mp/mpMapDet.jsp?pnu=3611011300110700000&amp;isNoScr=script&amp;mode=search",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HYPERLINK("https://www.eum.go.kr/web/mp/mpMapDet.jsp?pnu=3611011300110790000&amp;isNoScr=script&amp;mode=search",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108.9p, 사거리 코너자리, 아름동 최고입지</t>
        </is>
      </c>
      <c r="L719" s="6">
        <f>HYPERLINK("https://fin.land.naver.com/articles/2648835394", "매물Link")</f>
        <v/>
      </c>
      <c r="M719" s="6">
        <f>HYPERLINK("https://map.naver.com/p/search/아름동 1116", "지도Link")</f>
        <v/>
      </c>
      <c r="N719" s="6">
        <f>HYPERLINK("https://www.eum.go.kr/web/mp/mpMapDet.jsp?pnu=3611011300111160000&amp;isNoScr=script&amp;mode=search",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총 108.9p, 사거리코너 위치좋은 입지</t>
        </is>
      </c>
      <c r="L720" s="6">
        <f>HYPERLINK("https://fin.land.naver.com/articles/2647422006", "매물Link")</f>
        <v/>
      </c>
      <c r="M720" s="6">
        <f>HYPERLINK("https://map.naver.com/p/search/아름동 1116", "지도Link")</f>
        <v/>
      </c>
      <c r="N720" s="6">
        <f>HYPERLINK("https://www.eum.go.kr/web/mp/mpMapDet.jsp?pnu=3611011300111160000&amp;isNoScr=script&amp;mode=search",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HYPERLINK("https://www.eum.go.kr/web/mp/mpMapDet.jsp?pnu=3611011300111160000&amp;isNoScr=script&amp;mode=search",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HYPERLINK("https://www.eum.go.kr/web/mp/mpMapDet.jsp?pnu=3611011300111180000&amp;isNoScr=script&amp;mode=search",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HYPERLINK("https://www.eum.go.kr/web/mp/mpMapDet.jsp?pnu=3611011300111210000&amp;isNoScr=script&amp;mode=search",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HYPERLINK("https://www.eum.go.kr/web/mp/mpMapDet.jsp?pnu=3611011300111350000&amp;isNoScr=script&amp;mode=search",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충대병원 인근 가격 좋은 토지, 조율도 가능</t>
        </is>
      </c>
      <c r="L725" s="6">
        <f>HYPERLINK("https://fin.land.naver.com/articles/2650429475", "매물Link")</f>
        <v/>
      </c>
      <c r="M725" s="6">
        <f>HYPERLINK("https://map.naver.com/p/search/아름동 1142", "지도Link")</f>
        <v/>
      </c>
      <c r="N725" s="6">
        <f>HYPERLINK("https://www.eum.go.kr/web/mp/mpMapDet.jsp?pnu=3611011300111420000&amp;isNoScr=script&amp;mode=search",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급매 추가조율가능 입지좋은 충대병원인근</t>
        </is>
      </c>
      <c r="L726" s="6">
        <f>HYPERLINK("https://fin.land.naver.com/articles/2648040028", "매물Link")</f>
        <v/>
      </c>
      <c r="M726" s="6">
        <f>HYPERLINK("https://map.naver.com/p/search/아름동 1142", "지도Link")</f>
        <v/>
      </c>
      <c r="N726" s="6">
        <f>HYPERLINK("https://www.eum.go.kr/web/mp/mpMapDet.jsp?pnu=3611011300111420000&amp;isNoScr=script&amp;mode=search",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97.6p, 충대병원 인근 토지 급매, 조율도가능</t>
        </is>
      </c>
      <c r="L727" s="6">
        <f>HYPERLINK("https://fin.land.naver.com/articles/2647420786", "매물Link")</f>
        <v/>
      </c>
      <c r="M727" s="6">
        <f>HYPERLINK("https://map.naver.com/p/search/아름동 1142", "지도Link")</f>
        <v/>
      </c>
      <c r="N727" s="6">
        <f>HYPERLINK("https://www.eum.go.kr/web/mp/mpMapDet.jsp?pnu=3611011300111420000&amp;isNoScr=script&amp;mode=search",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HYPERLINK("https://www.eum.go.kr/web/mp/mpMapDet.jsp?pnu=3611011300111440000&amp;isNoScr=script&amp;mode=search",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야산을 품은 아름동 단독주택지</t>
        </is>
      </c>
      <c r="L729" s="6">
        <f>HYPERLINK("https://fin.land.naver.com/articles/2647620395", "매물Link")</f>
        <v/>
      </c>
      <c r="M729" s="6">
        <f>HYPERLINK("https://map.naver.com/p/search/아름동 1154", "지도Link")</f>
        <v/>
      </c>
      <c r="N729" s="6">
        <f>HYPERLINK("https://www.eum.go.kr/web/mp/mpMapDet.jsp?pnu=3611011300111540000&amp;isNoScr=script&amp;mode=search", "토지이음")</f>
        <v/>
      </c>
      <c r="O729" s="3" t="inlineStr">
        <is>
          <t>킹세종</t>
        </is>
      </c>
      <c r="P729" s="4" t="n">
        <v>2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조용한 단독주택지, 공원 인근, 높은 지대</t>
        </is>
      </c>
      <c r="L730" s="6">
        <f>HYPERLINK("https://fin.land.naver.com/articles/2645653281", "매물Link")</f>
        <v/>
      </c>
      <c r="M730" s="6">
        <f>HYPERLINK("https://map.naver.com/p/search/아름동 1154", "지도Link")</f>
        <v/>
      </c>
      <c r="N730" s="6">
        <f>HYPERLINK("https://www.eum.go.kr/web/mp/mpMapDet.jsp?pnu=3611011300111540000&amp;isNoScr=script&amp;mode=search",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HYPERLINK("https://www.eum.go.kr/web/mp/mpMapDet.jsp?pnu=3611011300111600000&amp;isNoScr=script&amp;mode=search",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대로변 코너 노출 좋은 입지좋은 근생 토지 매매</t>
        </is>
      </c>
      <c r="L732" s="6">
        <f>HYPERLINK("https://fin.land.naver.com/articles/2645544961", "매물Link")</f>
        <v/>
      </c>
      <c r="M732" s="6">
        <f>HYPERLINK("https://map.naver.com/p/search/아름동 1163", "지도Link")</f>
        <v/>
      </c>
      <c r="N732" s="6">
        <f>HYPERLINK("https://www.eum.go.kr/web/mp/mpMapDet.jsp?pnu=3611011300111630000&amp;isNoScr=script&amp;mode=search",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HYPERLINK("https://www.eum.go.kr/web/mp/mpMapDet.jsp?pnu=3611011300111630000&amp;isNoScr=script&amp;mode=search",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HYPERLINK("https://www.eum.go.kr/web/mp/mpMapDet.jsp?pnu=3611011300111820000&amp;isNoScr=script&amp;mode=search",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724</v>
      </c>
      <c r="K735" s="3" t="inlineStr">
        <is>
          <t>96.1p, 근생용지, 도로변 위치 굿, 건축허가완료</t>
        </is>
      </c>
      <c r="L735" s="6">
        <f>HYPERLINK("https://fin.land.naver.com/articles/2647421008", "매물Link")</f>
        <v/>
      </c>
      <c r="M735" s="6">
        <f>HYPERLINK("https://map.naver.com/p/search/아름동 1183", "지도Link")</f>
        <v/>
      </c>
      <c r="N735" s="6">
        <f>HYPERLINK("https://www.eum.go.kr/web/mp/mpMapDet.jsp?pnu=3611011300111830000&amp;isNoScr=script&amp;mode=search",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317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HYPERLINK("https://www.eum.go.kr/web/mp/mpMapDet.jsp?pnu=3611011300111830000&amp;isNoScr=script&amp;mode=search", "토지이음")</f>
        <v/>
      </c>
      <c r="O736" s="3" t="inlineStr">
        <is>
          <t>대우마을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HYPERLINK("https://www.eum.go.kr/web/mp/mpMapDet.jsp?pnu=3611011300111830000&amp;isNoScr=script&amp;mode=search",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사거리 코너입지 최고, 조율도 가능</t>
        </is>
      </c>
      <c r="L738" s="6">
        <f>HYPERLINK("https://fin.land.naver.com/articles/2648832400", "매물Link")</f>
        <v/>
      </c>
      <c r="M738" s="6">
        <f>HYPERLINK("https://map.naver.com/p/search/아름동 1191", "지도Link")</f>
        <v/>
      </c>
      <c r="N738" s="6">
        <f>HYPERLINK("https://www.eum.go.kr/web/mp/mpMapDet.jsp?pnu=3611011300111910000&amp;isNoScr=script&amp;mode=search",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HYPERLINK("https://www.eum.go.kr/web/mp/mpMapDet.jsp?pnu=3611011300111910000&amp;isNoScr=script&amp;mode=search",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급매 남향 코너각지 조율가능 옆필지 연접매매가능</t>
        </is>
      </c>
      <c r="L740" s="6">
        <f>HYPERLINK("https://fin.land.naver.com/articles/2649375248", "매물Link")</f>
        <v/>
      </c>
      <c r="M740" s="6">
        <f>HYPERLINK("https://map.naver.com/p/search/아름동 1191", "지도Link")</f>
        <v/>
      </c>
      <c r="N740" s="6">
        <f>HYPERLINK("https://www.eum.go.kr/web/mp/mpMapDet.jsp?pnu=3611011300111910000&amp;isNoScr=script&amp;mode=search",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HYPERLINK("https://www.eum.go.kr/web/mp/mpMapDet.jsp?pnu=3611011300111920000&amp;isNoScr=script&amp;mode=search",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HYPERLINK("https://www.eum.go.kr/web/mp/mpMapDet.jsp?pnu=3611011300111930000&amp;isNoScr=script&amp;mode=search",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HYPERLINK("https://www.eum.go.kr/web/mp/mpMapDet.jsp?pnu=3611011300112040000&amp;isNoScr=script&amp;mode=search",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HYPERLINK("https://www.eum.go.kr/web/mp/mpMapDet.jsp?pnu=3611011300112210000&amp;isNoScr=script&amp;mode=search",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급매, 110.7p, 아름초인접, 범지기10단지인근</t>
        </is>
      </c>
      <c r="L745" s="6">
        <f>HYPERLINK("https://fin.land.naver.com/articles/2648905337", "매물Link")</f>
        <v/>
      </c>
      <c r="M745" s="6">
        <f>HYPERLINK("https://map.naver.com/p/search/아름동 1231", "지도Link")</f>
        <v/>
      </c>
      <c r="N745" s="6">
        <f>HYPERLINK("https://www.eum.go.kr/web/mp/mpMapDet.jsp?pnu=3611011300112310000&amp;isNoScr=script&amp;mode=search",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 추가조율가능 귀한큰평형 아름초도보3분 학원가도보5분 충대병원10분</t>
        </is>
      </c>
      <c r="L746" s="6">
        <f>HYPERLINK("https://fin.land.naver.com/articles/2649375287", "매물Link")</f>
        <v/>
      </c>
      <c r="M746" s="6">
        <f>HYPERLINK("https://map.naver.com/p/search/아름동 1231", "지도Link")</f>
        <v/>
      </c>
      <c r="N746" s="6">
        <f>HYPERLINK("https://www.eum.go.kr/web/mp/mpMapDet.jsp?pnu=3611011300112310000&amp;isNoScr=script&amp;mode=search", "토지이음")</f>
        <v/>
      </c>
      <c r="O746" s="3" t="inlineStr">
        <is>
          <t>세종스타</t>
        </is>
      </c>
      <c r="P746" s="4" t="n">
        <v>3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HYPERLINK("https://www.eum.go.kr/web/mp/mpMapDet.jsp?pnu=3611011300112310000&amp;isNoScr=script&amp;mode=search",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HYPERLINK("https://www.eum.go.kr/web/mp/mpMapDet.jsp?pnu=3611011300112560000&amp;isNoScr=script&amp;mode=search",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HYPERLINK("https://www.eum.go.kr/web/mp/mpMapDet.jsp?pnu=3611011300112560000&amp;isNoScr=script&amp;mode=search",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조율가능 학원가최인접 땅모양 건축하기 좋음</t>
        </is>
      </c>
      <c r="L750" s="6">
        <f>HYPERLINK("https://fin.land.naver.com/articles/2649479115", "매물Link")</f>
        <v/>
      </c>
      <c r="M750" s="6">
        <f>HYPERLINK("https://map.naver.com/p/search/아름동 1365", "지도Link")</f>
        <v/>
      </c>
      <c r="N750" s="6">
        <f>HYPERLINK("https://www.eum.go.kr/web/mp/mpMapDet.jsp?pnu=3611011300113650000&amp;isNoScr=script&amp;mode=search",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총 103.7p, 아름동 삼거리 코너, 아파트 단지 근처</t>
        </is>
      </c>
      <c r="L751" s="6">
        <f>HYPERLINK("https://fin.land.naver.com/articles/2646696239", "매물Link")</f>
        <v/>
      </c>
      <c r="M751" s="6">
        <f>HYPERLINK("https://map.naver.com/p/search/아름동 1365", "지도Link")</f>
        <v/>
      </c>
      <c r="N751" s="6">
        <f>HYPERLINK("https://www.eum.go.kr/web/mp/mpMapDet.jsp?pnu=3611011300113650000&amp;isNoScr=script&amp;mode=search",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103.7p, 삼거리 코너자리, 왼쪽 토지 활용도 높은 좋은 위치</t>
        </is>
      </c>
      <c r="L752" s="6">
        <f>HYPERLINK("https://fin.land.naver.com/articles/2648904182", "매물Link")</f>
        <v/>
      </c>
      <c r="M752" s="6">
        <f>HYPERLINK("https://map.naver.com/p/search/아름동 1365", "지도Link")</f>
        <v/>
      </c>
      <c r="N752" s="6">
        <f>HYPERLINK("https://www.eum.go.kr/web/mp/mpMapDet.jsp?pnu=3611011300113650000&amp;isNoScr=script&amp;mode=search",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66000</v>
      </c>
      <c r="G753" s="4" t="n">
        <v>365</v>
      </c>
      <c r="H753" s="4" t="n">
        <v>110</v>
      </c>
      <c r="I753" s="5" t="n">
        <v>600</v>
      </c>
      <c r="J753" s="5" t="n">
        <v>338.2</v>
      </c>
      <c r="K753" s="3" t="inlineStr">
        <is>
          <t>(급매) 단독주택 건축을 고려하시면 추천합니다.</t>
        </is>
      </c>
      <c r="L753" s="6">
        <f>HYPERLINK("https://fin.land.naver.com/articles/2650054888", "매물Link")</f>
        <v/>
      </c>
      <c r="M753" s="6">
        <f>HYPERLINK("https://map.naver.com/p/search/아름동 1370", "지도Link")</f>
        <v/>
      </c>
      <c r="N753" s="6">
        <f>HYPERLINK("https://www.eum.go.kr/web/mp/mpMapDet.jsp?pnu=3611011300113700000&amp;isNoScr=script&amp;mode=search", "토지이음")</f>
        <v/>
      </c>
      <c r="O753" s="3" t="inlineStr">
        <is>
          <t>리치빌아주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363</v>
      </c>
      <c r="H754" s="4" t="n">
        <v>110</v>
      </c>
      <c r="I754" s="5" t="n">
        <v>545.5</v>
      </c>
      <c r="J754" s="5" t="n">
        <v>338.2</v>
      </c>
      <c r="K754" s="3" t="inlineStr">
        <is>
          <t>아름동 단독주택 토지매매, 위치 좋은 자리</t>
        </is>
      </c>
      <c r="L754" s="6">
        <f>HYPERLINK("https://fin.land.naver.com/articles/2649577908", "매물Link")</f>
        <v/>
      </c>
      <c r="M754" s="6">
        <f>HYPERLINK("https://map.naver.com/p/search/아름동 1370", "지도Link")</f>
        <v/>
      </c>
      <c r="N754" s="6">
        <f>HYPERLINK("https://www.eum.go.kr/web/mp/mpMapDet.jsp?pnu=3611011300113700000&amp;isNoScr=script&amp;mode=search",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365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HYPERLINK("https://fin.land.naver.com/articles/2649878133", "매물Link")</f>
        <v/>
      </c>
      <c r="M755" s="6">
        <f>HYPERLINK("https://map.naver.com/p/search/아름동 1370", "지도Link")</f>
        <v/>
      </c>
      <c r="N755" s="6">
        <f>HYPERLINK("https://www.eum.go.kr/web/mp/mpMapDet.jsp?pnu=3611011300113700000&amp;isNoScr=script&amp;mode=search",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초중고 학군 좋고 근린공원 낀 인기 주택단지</t>
        </is>
      </c>
      <c r="L756" s="6">
        <f>HYPERLINK("https://fin.land.naver.com/articles/2646537172", "매물Link")</f>
        <v/>
      </c>
      <c r="M756" s="6">
        <f>HYPERLINK("https://map.naver.com/p/search/아름동 1380", "지도Link")</f>
        <v/>
      </c>
      <c r="N756" s="6">
        <f>HYPERLINK("https://www.eum.go.kr/web/mp/mpMapDet.jsp?pnu=3611011300113800000&amp;isNoScr=script&amp;mode=search", "토지이음")</f>
        <v/>
      </c>
      <c r="O756" s="3" t="inlineStr">
        <is>
          <t>현대탑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급매 아름동학원가, 상권이용편리로얄택지, 금액조율가능, 추천매매</t>
        </is>
      </c>
      <c r="L757" s="6">
        <f>HYPERLINK("https://fin.land.naver.com/articles/2650559948", "매물Link")</f>
        <v/>
      </c>
      <c r="M757" s="6">
        <f>HYPERLINK("https://map.naver.com/p/search/아름동 1380", "지도Link")</f>
        <v/>
      </c>
      <c r="N757" s="6">
        <f>HYPERLINK("https://www.eum.go.kr/web/mp/mpMapDet.jsp?pnu=3611011300113800000&amp;isNoScr=script&amp;mode=search", "토지이음")</f>
        <v/>
      </c>
      <c r="O757" s="3" t="inlineStr">
        <is>
          <t>한방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D8중 최저가.네고 가능.초,중,고 가깝고,마트.교통까지 편리</t>
        </is>
      </c>
      <c r="L758" s="6">
        <f>HYPERLINK("https://fin.land.naver.com/articles/2644953939", "매물Link")</f>
        <v/>
      </c>
      <c r="M758" s="6">
        <f>HYPERLINK("https://map.naver.com/p/search/아름동 1380", "지도Link")</f>
        <v/>
      </c>
      <c r="N758" s="6">
        <f>HYPERLINK("https://www.eum.go.kr/web/mp/mpMapDet.jsp?pnu=3611011300113800000&amp;isNoScr=script&amp;mode=search", "토지이음")</f>
        <v/>
      </c>
      <c r="O758" s="3" t="inlineStr">
        <is>
          <t>수자인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아름동 영무예다음아파트 앞에 위치,하루종일 햇볕 받을수 있는 곳,주택지</t>
        </is>
      </c>
      <c r="L759" s="6">
        <f>HYPERLINK("https://fin.land.naver.com/articles/2648233324", "매물Link")</f>
        <v/>
      </c>
      <c r="M759" s="6">
        <f>HYPERLINK("https://map.naver.com/p/search/아름동 1380", "지도Link")</f>
        <v/>
      </c>
      <c r="N759" s="6">
        <f>HYPERLINK("https://www.eum.go.kr/web/mp/mpMapDet.jsp?pnu=3611011300113800000&amp;isNoScr=script&amp;mode=search", "토지이음")</f>
        <v/>
      </c>
      <c r="O759" s="3" t="inlineStr">
        <is>
          <t>어반통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HYPERLINK("https://www.eum.go.kr/web/mp/mpMapDet.jsp?pnu=3611011300113800000&amp;isNoScr=script&amp;mode=search", "토지이음")</f>
        <v/>
      </c>
      <c r="O760" s="3" t="inlineStr">
        <is>
          <t>다정현대</t>
        </is>
      </c>
      <c r="P760" s="4" t="n">
        <v>2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HYPERLINK("https://www.eum.go.kr/web/mp/mpMapDet.jsp?pnu=3611011300113800000&amp;isNoScr=script&amp;mode=search",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급매, 학교, 편의시설, 정부청사 가까워 생활편리, 보행도로접 코너각지</t>
        </is>
      </c>
      <c r="L762" s="6">
        <f>HYPERLINK("https://fin.land.naver.com/articles/2649697166", "매물Link")</f>
        <v/>
      </c>
      <c r="M762" s="6">
        <f>HYPERLINK("https://map.naver.com/p/search/아름동 1380", "지도Link")</f>
        <v/>
      </c>
      <c r="N762" s="6">
        <f>HYPERLINK("https://www.eum.go.kr/web/mp/mpMapDet.jsp?pnu=3611011300113800000&amp;isNoScr=script&amp;mode=search", "토지이음")</f>
        <v/>
      </c>
      <c r="O762" s="3" t="inlineStr">
        <is>
          <t>온뜰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급매, 총 91p, 삼거리코너, 아파트 단지 밑</t>
        </is>
      </c>
      <c r="L763" s="6">
        <f>HYPERLINK("https://fin.land.naver.com/articles/2646695404", "매물Link")</f>
        <v/>
      </c>
      <c r="M763" s="6">
        <f>HYPERLINK("https://map.naver.com/p/search/아름동 1380", "지도Link")</f>
        <v/>
      </c>
      <c r="N763" s="6">
        <f>HYPERLINK("https://www.eum.go.kr/web/mp/mpMapDet.jsp?pnu=3611011300113800000&amp;isNoScr=script&amp;mode=search",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HYPERLINK("https://www.eum.go.kr/web/mp/mpMapDet.jsp?pnu=3611011300113800000&amp;isNoScr=script&amp;mode=search",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HYPERLINK("https://www.eum.go.kr/web/mp/mpMapDet.jsp?pnu=3611011300114110000&amp;isNoScr=script&amp;mode=search",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아름동 최상의 택지,학군,상권,충남대병원 생활권 편리,밀마루전망대  인근</t>
        </is>
      </c>
      <c r="L766" s="6">
        <f>HYPERLINK("https://fin.land.naver.com/articles/2647931377", "매물Link")</f>
        <v/>
      </c>
      <c r="M766" s="6">
        <f>HYPERLINK("https://map.naver.com/p/search/아름동 1418", "지도Link")</f>
        <v/>
      </c>
      <c r="N766" s="6">
        <f>HYPERLINK("https://www.eum.go.kr/web/mp/mpMapDet.jsp?pnu=3611011300114180000&amp;isNoScr=script&amp;mode=search",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HYPERLINK("https://fin.land.naver.com/articles/2649024607", "매물Link")</f>
        <v/>
      </c>
      <c r="M767" s="6">
        <f>HYPERLINK("https://map.naver.com/p/search/아름동 1418", "지도Link")</f>
        <v/>
      </c>
      <c r="N767" s="6">
        <f>HYPERLINK("https://www.eum.go.kr/web/mp/mpMapDet.jsp?pnu=3611011300114180000&amp;isNoScr=script&amp;mode=search",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코너각지 홈플러스인근 아름동학원가 인접 조율가능</t>
        </is>
      </c>
      <c r="L768" s="6">
        <f>HYPERLINK("https://fin.land.naver.com/articles/2648615417", "매물Link")</f>
        <v/>
      </c>
      <c r="M768" s="6">
        <f>HYPERLINK("https://map.naver.com/p/search/아름동 1418", "지도Link")</f>
        <v/>
      </c>
      <c r="N768" s="6">
        <f>HYPERLINK("https://www.eum.go.kr/web/mp/mpMapDet.jsp?pnu=3611011300114180000&amp;isNoScr=script&amp;mode=search",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HYPERLINK("https://www.eum.go.kr/web/mp/mpMapDet.jsp?pnu=3611011300114200000&amp;isNoScr=script&amp;mode=search",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92.1p, 단지 바로 옆, 아름동 단독주택지</t>
        </is>
      </c>
      <c r="L770" s="6">
        <f>HYPERLINK("https://fin.land.naver.com/articles/2649008450", "매물Link")</f>
        <v/>
      </c>
      <c r="M770" s="6">
        <f>HYPERLINK("https://map.naver.com/p/search/아름동 1420", "지도Link")</f>
        <v/>
      </c>
      <c r="N770" s="6">
        <f>HYPERLINK("https://www.eum.go.kr/web/mp/mpMapDet.jsp?pnu=3611011300114200000&amp;isNoScr=script&amp;mode=search",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접근성 좋은 아름동 택지</t>
        </is>
      </c>
      <c r="L771" s="6">
        <f>HYPERLINK("https://fin.land.naver.com/articles/2646824248", "매물Link")</f>
        <v/>
      </c>
      <c r="M771" s="6">
        <f>HYPERLINK("https://map.naver.com/p/search/아름동 1443", "지도Link")</f>
        <v/>
      </c>
      <c r="N771" s="6">
        <f>HYPERLINK("https://www.eum.go.kr/web/mp/mpMapDet.jsp?pnu=3611011300114430000&amp;isNoScr=script&amp;mode=search", "토지이음")</f>
        <v/>
      </c>
      <c r="O771" s="3" t="inlineStr">
        <is>
          <t>강아지풀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HYPERLINK("https://www.eum.go.kr/web/mp/mpMapDet.jsp?pnu=3611011300114430000&amp;isNoScr=script&amp;mode=search",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HYPERLINK("https://www.eum.go.kr/web/mp/mpMapDet.jsp?pnu=3611011300114520000&amp;isNoScr=script&amp;mode=search",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HYPERLINK("https://www.eum.go.kr/web/mp/mpMapDet.jsp?pnu=3611011300114520000&amp;isNoScr=script&amp;mode=search",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데이터센터, 방송국 사옥부지, 조율가능, 정보통신업 추천</t>
        </is>
      </c>
      <c r="L775" s="6">
        <f>HYPERLINK("https://fin.land.naver.com/articles/2647424416", "매물Link")</f>
        <v/>
      </c>
      <c r="M775" s="6">
        <f>HYPERLINK("https://map.naver.com/p/search/아름동 815", "지도Link")</f>
        <v/>
      </c>
      <c r="N775" s="6">
        <f>HYPERLINK("https://www.eum.go.kr/web/mp/mpMapDet.jsp?pnu=3611011300108150000&amp;isNoScr=script&amp;mode=search",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151.5p, 데이터센터, 방송관련 사옥 추천, 조율가능, 입지좋은 토지</t>
        </is>
      </c>
      <c r="L776" s="6">
        <f>HYPERLINK("https://fin.land.naver.com/articles/2649023062", "매물Link")</f>
        <v/>
      </c>
      <c r="M776" s="6">
        <f>HYPERLINK("https://map.naver.com/p/search/아름동 815", "지도Link")</f>
        <v/>
      </c>
      <c r="N776" s="6">
        <f>HYPERLINK("https://www.eum.go.kr/web/mp/mpMapDet.jsp?pnu=3611011300108150000&amp;isNoScr=script&amp;mode=search",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HYPERLINK("https://www.eum.go.kr/web/mp/mpMapDet.jsp?pnu=3611011300108150000&amp;isNoScr=script&amp;mode=search",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국제고 인근, 충대병원 가까운 아름동 단독주택 토지매매</t>
        </is>
      </c>
      <c r="L778" s="6">
        <f>HYPERLINK("https://fin.land.naver.com/articles/2646695052", "매물Link")</f>
        <v/>
      </c>
      <c r="M778" s="6">
        <f>HYPERLINK("https://map.naver.com/p/search/아름동 826", "지도Link")</f>
        <v/>
      </c>
      <c r="N778" s="6">
        <f>HYPERLINK("https://www.eum.go.kr/web/mp/mpMapDet.jsp?pnu=3611011300108260000&amp;isNoScr=script&amp;mode=search",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HYPERLINK("https://www.eum.go.kr/web/mp/mpMapDet.jsp?pnu=3611011300108260000&amp;isNoScr=script&amp;mode=search",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HYPERLINK("https://www.eum.go.kr/web/mp/mpMapDet.jsp?pnu=3611011300108470000&amp;isNoScr=script&amp;mode=search",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HYPERLINK("https://www.eum.go.kr/web/mp/mpMapDet.jsp?pnu=3611011300108630000&amp;isNoScr=script&amp;mode=search",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HYPERLINK("https://www.eum.go.kr/web/mp/mpMapDet.jsp?pnu=3611011300108720000&amp;isNoScr=script&amp;mode=search",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HYPERLINK("https://www.eum.go.kr/web/mp/mpMapDet.jsp?pnu=3611011300108740000&amp;isNoScr=script&amp;mode=search",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HYPERLINK("https://www.eum.go.kr/web/mp/mpMapDet.jsp?pnu=3611011300108790000&amp;isNoScr=script&amp;mode=search", "토지이음")</f>
        <v/>
      </c>
      <c r="O784" s="3" t="inlineStr">
        <is>
          <t>고운맘</t>
        </is>
      </c>
      <c r="P784" s="4" t="n">
        <v>1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HYPERLINK("https://www.eum.go.kr/web/mp/mpMapDet.jsp?pnu=3611011300108790000&amp;isNoScr=script&amp;mode=search",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HYPERLINK("https://www.eum.go.kr/web/mp/mpMapDet.jsp?pnu=3611011300108810000&amp;isNoScr=script&amp;mode=search",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HYPERLINK("https://www.eum.go.kr/web/mp/mpMapDet.jsp?pnu=3611011300109140000&amp;isNoScr=script&amp;mode=search",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국제고 인근, 공원인접, 조율가능</t>
        </is>
      </c>
      <c r="L788" s="6">
        <f>HYPERLINK("https://fin.land.naver.com/articles/2650427336", "매물Link")</f>
        <v/>
      </c>
      <c r="M788" s="6">
        <f>HYPERLINK("https://map.naver.com/p/search/아름동 925", "지도Link")</f>
        <v/>
      </c>
      <c r="N788" s="6">
        <f>HYPERLINK("https://www.eum.go.kr/web/mp/mpMapDet.jsp?pnu=3611011300109250000&amp;isNoScr=script&amp;mode=search",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HYPERLINK("https://www.eum.go.kr/web/mp/mpMapDet.jsp?pnu=3611011300109250000&amp;isNoScr=script&amp;mode=search",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아름동 국제고 인근 위치 좋은 토지 매매</t>
        </is>
      </c>
      <c r="L790" s="6">
        <f>HYPERLINK("https://fin.land.naver.com/articles/2645495174", "매물Link")</f>
        <v/>
      </c>
      <c r="M790" s="6">
        <f>HYPERLINK("https://map.naver.com/p/search/아름동 925", "지도Link")</f>
        <v/>
      </c>
      <c r="N790" s="6">
        <f>HYPERLINK("https://www.eum.go.kr/web/mp/mpMapDet.jsp?pnu=3611011300109250000&amp;isNoScr=script&amp;mode=search",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급매매,앞,뒤 양면도로 접한  토지</t>
        </is>
      </c>
      <c r="L791" s="6">
        <f>HYPERLINK("https://fin.land.naver.com/articles/2649757754", "매물Link")</f>
        <v/>
      </c>
      <c r="M791" s="6">
        <f>HYPERLINK("https://map.naver.com/p/search/아름동 929", "지도Link")</f>
        <v/>
      </c>
      <c r="N791" s="6">
        <f>HYPERLINK("https://www.eum.go.kr/web/mp/mpMapDet.jsp?pnu=3611011300109290000&amp;isNoScr=script&amp;mode=search", "토지이음")</f>
        <v/>
      </c>
      <c r="O791" s="3" t="inlineStr">
        <is>
          <t>킹세종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HYPERLINK("https://fin.land.naver.com/articles/2648905732", "매물Link")</f>
        <v/>
      </c>
      <c r="M792" s="6">
        <f>HYPERLINK("https://map.naver.com/p/search/아름동 929", "지도Link")</f>
        <v/>
      </c>
      <c r="N792" s="6">
        <f>HYPERLINK("https://www.eum.go.kr/web/mp/mpMapDet.jsp?pnu=3611011300109290000&amp;isNoScr=script&amp;mode=search",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총 90.6p, 국제고인근 단독주택 토지매매</t>
        </is>
      </c>
      <c r="L793" s="6">
        <f>HYPERLINK("https://fin.land.naver.com/articles/2646693683", "매물Link")</f>
        <v/>
      </c>
      <c r="M793" s="6">
        <f>HYPERLINK("https://map.naver.com/p/search/아름동 929", "지도Link")</f>
        <v/>
      </c>
      <c r="N793" s="6">
        <f>HYPERLINK("https://www.eum.go.kr/web/mp/mpMapDet.jsp?pnu=3611011300109290000&amp;isNoScr=script&amp;mode=search",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HYPERLINK("https://www.eum.go.kr/web/mp/mpMapDet.jsp?pnu=3611011300109610000&amp;isNoScr=script&amp;mode=search",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HYPERLINK("https://www.eum.go.kr/web/mp/mpMapDet.jsp?pnu=3611011300109610000&amp;isNoScr=script&amp;mode=search",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HYPERLINK("https://www.eum.go.kr/web/mp/mpMapDet.jsp?pnu=3611011300109620000&amp;isNoScr=script&amp;mode=search",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HYPERLINK("https://www.eum.go.kr/web/mp/mpMapDet.jsp?pnu=3611011300109630000&amp;isNoScr=script&amp;mode=search",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급매,전원주택지로 충대병원 인접, 교통 및 학군 편리한 생활권</t>
        </is>
      </c>
      <c r="L798" s="6">
        <f>HYPERLINK("https://fin.land.naver.com/articles/2644766386", "매물Link")</f>
        <v/>
      </c>
      <c r="M798" s="6">
        <f>HYPERLINK("https://map.naver.com/p/search/아름동 963", "지도Link")</f>
        <v/>
      </c>
      <c r="N798" s="6">
        <f>HYPERLINK("https://www.eum.go.kr/web/mp/mpMapDet.jsp?pnu=3611011300109630000&amp;isNoScr=script&amp;mode=search", "토지이음")</f>
        <v/>
      </c>
      <c r="O798" s="3" t="inlineStr">
        <is>
          <t>고운맘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조율가능, 급매, 아름동 위치좋은 단독주택지</t>
        </is>
      </c>
      <c r="L799" s="6">
        <f>HYPERLINK("https://fin.land.naver.com/articles/2649873097", "매물Link")</f>
        <v/>
      </c>
      <c r="M799" s="6">
        <f>HYPERLINK("https://map.naver.com/p/search/아름동 963", "지도Link")</f>
        <v/>
      </c>
      <c r="N799" s="6">
        <f>HYPERLINK("https://www.eum.go.kr/web/mp/mpMapDet.jsp?pnu=3611011300109630000&amp;isNoScr=script&amp;mode=search", "토지이음")</f>
        <v/>
      </c>
      <c r="O799" s="3" t="inlineStr">
        <is>
          <t>명진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국제고인근.코너각지. 충대병원인접. 위치,교통 편리한 지역.조정가능</t>
        </is>
      </c>
      <c r="L800" s="6">
        <f>HYPERLINK("https://fin.land.naver.com/articles/2646141675", "매물Link")</f>
        <v/>
      </c>
      <c r="M800" s="6">
        <f>HYPERLINK("https://map.naver.com/p/search/아름동 964", "지도Link")</f>
        <v/>
      </c>
      <c r="N800" s="6">
        <f>HYPERLINK("https://www.eum.go.kr/web/mp/mpMapDet.jsp?pnu=3611011300109640000&amp;isNoScr=script&amp;mode=search", "토지이음")</f>
        <v/>
      </c>
      <c r="O800" s="3" t="inlineStr">
        <is>
          <t>새롬삼둥이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총 90.6p, 조율가능, 아름동 단독주택지, 국제고 인근</t>
        </is>
      </c>
      <c r="L801" s="6">
        <f>HYPERLINK("https://fin.land.naver.com/articles/2646692307", "매물Link")</f>
        <v/>
      </c>
      <c r="M801" s="6">
        <f>HYPERLINK("https://map.naver.com/p/search/아름동 964", "지도Link")</f>
        <v/>
      </c>
      <c r="N801" s="6">
        <f>HYPERLINK("https://www.eum.go.kr/web/mp/mpMapDet.jsp?pnu=3611011300109640000&amp;isNoScr=script&amp;mode=search",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사거리 코너 입지, 가격 최대 조율가능</t>
        </is>
      </c>
      <c r="L802" s="6">
        <f>HYPERLINK("https://fin.land.naver.com/articles/2647421860", "매물Link")</f>
        <v/>
      </c>
      <c r="M802" s="6">
        <f>HYPERLINK("https://map.naver.com/p/search/아름동 964", "지도Link")</f>
        <v/>
      </c>
      <c r="N802" s="6">
        <f>HYPERLINK("https://www.eum.go.kr/web/mp/mpMapDet.jsp?pnu=3611011300109640000&amp;isNoScr=script&amp;mode=search", "토지이음")</f>
        <v/>
      </c>
      <c r="O802" s="3" t="inlineStr">
        <is>
          <t>명진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총 107.2p, 국제고, 충남대병원인근</t>
        </is>
      </c>
      <c r="L803" s="6">
        <f>HYPERLINK("https://fin.land.naver.com/articles/2648127229", "매물Link")</f>
        <v/>
      </c>
      <c r="M803" s="6">
        <f>HYPERLINK("https://map.naver.com/p/search/아름동 966", "지도Link")</f>
        <v/>
      </c>
      <c r="N803" s="6">
        <f>HYPERLINK("https://www.eum.go.kr/web/mp/mpMapDet.jsp?pnu=3611011300109660000&amp;isNoScr=script&amp;mode=search",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국제고, 영재고, 충대병원인근, IC인접 107.2p</t>
        </is>
      </c>
      <c r="L804" s="6">
        <f>HYPERLINK("https://fin.land.naver.com/articles/2646690781", "매물Link")</f>
        <v/>
      </c>
      <c r="M804" s="6">
        <f>HYPERLINK("https://map.naver.com/p/search/아름동 966", "지도Link")</f>
        <v/>
      </c>
      <c r="N804" s="6">
        <f>HYPERLINK("https://www.eum.go.kr/web/mp/mpMapDet.jsp?pnu=3611011300109660000&amp;isNoScr=script&amp;mode=search",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HYPERLINK("https://www.eum.go.kr/web/mp/mpMapDet.jsp?pnu=3611011300109710000&amp;isNoScr=script&amp;mode=search",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HYPERLINK("https://www.eum.go.kr/web/mp/mpMapDet.jsp?pnu=3611011300109940000&amp;isNoScr=script&amp;mode=search",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330</v>
      </c>
      <c r="H807" s="4" t="n">
        <v>100</v>
      </c>
      <c r="I807" s="5" t="n">
        <v>360</v>
      </c>
      <c r="J807" s="5" t="n">
        <v>106.7</v>
      </c>
      <c r="K807" s="3" t="inlineStr">
        <is>
          <t>세종 내판리 토지 매매.지목 대지구단위계획구역</t>
        </is>
      </c>
      <c r="L807" s="6">
        <f>HYPERLINK("https://fin.land.naver.com/articles/2648747196", "매물Link")</f>
        <v/>
      </c>
      <c r="M807" s="6">
        <f>HYPERLINK("https://map.naver.com/p/search/연동면 내판리 10-1", "지도Link")</f>
        <v/>
      </c>
      <c r="N807" s="6">
        <f>HYPERLINK("https://www.eum.go.kr/web/mp/mpMapDet.jsp?pnu=3611032021100100001&amp;isNoScr=script&amp;mode=search", "토지이음")</f>
        <v/>
      </c>
      <c r="O807" s="3" t="inlineStr">
        <is>
          <t>세종몽땅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329</v>
      </c>
      <c r="H808" s="4" t="n">
        <v>100</v>
      </c>
      <c r="I808" s="5" t="n">
        <v>360</v>
      </c>
      <c r="J808" s="5" t="n">
        <v>106.7</v>
      </c>
      <c r="K808" s="3" t="inlineStr">
        <is>
          <t>nan</t>
        </is>
      </c>
      <c r="L808" s="6">
        <f>HYPERLINK("https://fin.land.naver.com/articles/2649512630", "매물Link")</f>
        <v/>
      </c>
      <c r="M808" s="6">
        <f>HYPERLINK("https://map.naver.com/p/search/연동면 내판리 10-1", "지도Link")</f>
        <v/>
      </c>
      <c r="N808" s="6">
        <f>HYPERLINK("https://www.eum.go.kr/web/mp/mpMapDet.jsp?pnu=3611032021100100001&amp;isNoScr=script&amp;mode=search", "토지이음")</f>
        <v/>
      </c>
      <c r="O808" s="3" t="inlineStr">
        <is>
          <t>세종지평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HYPERLINK("https://www.eum.go.kr/web/mp/mpMapDet.jsp?pnu=3611032021100100008&amp;isNoScr=script&amp;mode=search",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HYPERLINK("https://www.eum.go.kr/web/mp/mpMapDet.jsp?pnu=3611032021101040000&amp;isNoScr=script&amp;mode=search",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HYPERLINK("https://www.eum.go.kr/web/mp/mpMapDet.jsp?pnu=3611032021101750001&amp;isNoScr=script&amp;mode=search",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HYPERLINK("https://www.eum.go.kr/web/mp/mpMapDet.jsp?pnu=3611032021101820001&amp;isNoScr=script&amp;mode=search",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HYPERLINK("https://www.eum.go.kr/web/mp/mpMapDet.jsp?pnu=3611032021102540000&amp;isNoScr=script&amp;mode=search",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HYPERLINK("https://www.eum.go.kr/web/mp/mpMapDet.jsp?pnu=3611032021102670003&amp;isNoScr=script&amp;mode=search",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HYPERLINK("https://www.eum.go.kr/web/mp/mpMapDet.jsp?pnu=3611032021103370001&amp;isNoScr=script&amp;mode=search",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HYPERLINK("https://www.eum.go.kr/web/mp/mpMapDet.jsp?pnu=3611032021103370042&amp;isNoScr=script&amp;mode=search",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HYPERLINK("https://www.eum.go.kr/web/mp/mpMapDet.jsp?pnu=3611032021103370008&amp;isNoScr=script&amp;mode=search",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HYPERLINK("https://www.eum.go.kr/web/mp/mpMapDet.jsp?pnu=3611032021103370009&amp;isNoScr=script&amp;mode=search",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217000</v>
      </c>
      <c r="G819" s="4" t="n">
        <v>5683</v>
      </c>
      <c r="H819" s="4" t="n">
        <v>1719</v>
      </c>
      <c r="I819" s="5" t="n">
        <v>126.2</v>
      </c>
      <c r="J819" s="5" t="n">
        <v>41.8</v>
      </c>
      <c r="K819" s="3" t="inlineStr">
        <is>
          <t>계획관리지역 건축부지 시세이하가격</t>
        </is>
      </c>
      <c r="L819" s="6">
        <f>HYPERLINK("https://fin.land.naver.com/articles/2644684717", "매물Link")</f>
        <v/>
      </c>
      <c r="M819" s="6">
        <f>HYPERLINK("https://map.naver.com/p/search/연동면 내판리 35-5", "지도Link")</f>
        <v/>
      </c>
      <c r="N819" s="6">
        <f>HYPERLINK("https://www.eum.go.kr/web/mp/mpMapDet.jsp?pnu=3611032021100350005&amp;isNoScr=script&amp;mode=search", "토지이음")</f>
        <v/>
      </c>
      <c r="O819" s="3" t="inlineStr">
        <is>
          <t>(주)경진컨설팅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224000</v>
      </c>
      <c r="G820" s="4" t="n">
        <v>5683</v>
      </c>
      <c r="H820" s="4" t="n">
        <v>1719</v>
      </c>
      <c r="I820" s="5" t="n">
        <v>130.3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HYPERLINK("https://fin.land.naver.com/articles/2644914099", "매물Link")</f>
        <v/>
      </c>
      <c r="M820" s="6">
        <f>HYPERLINK("https://map.naver.com/p/search/연동면 내판리 35-5", "지도Link")</f>
        <v/>
      </c>
      <c r="N820" s="6">
        <f>HYPERLINK("https://www.eum.go.kr/web/mp/mpMapDet.jsp?pnu=3611032021100350005&amp;isNoScr=script&amp;mode=search",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220000</v>
      </c>
      <c r="G821" s="4" t="n">
        <v>5683</v>
      </c>
      <c r="H821" s="4" t="n">
        <v>1719</v>
      </c>
      <c r="I821" s="5" t="n">
        <v>128</v>
      </c>
      <c r="J821" s="5" t="n">
        <v>41.8</v>
      </c>
      <c r="K821" s="3" t="inlineStr">
        <is>
          <t>급매 시세보다 저렴한 토지 추천매물입니다</t>
        </is>
      </c>
      <c r="L821" s="6">
        <f>HYPERLINK("https://fin.land.naver.com/articles/2649005969", "매물Link")</f>
        <v/>
      </c>
      <c r="M821" s="6">
        <f>HYPERLINK("https://map.naver.com/p/search/연동면 내판리 35-5", "지도Link")</f>
        <v/>
      </c>
      <c r="N821" s="6">
        <f>HYPERLINK("https://www.eum.go.kr/web/mp/mpMapDet.jsp?pnu=3611032021100350005&amp;isNoScr=script&amp;mode=search", "토지이음")</f>
        <v/>
      </c>
      <c r="O821" s="3" t="inlineStr">
        <is>
          <t>세종푸르지오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HYPERLINK("https://www.eum.go.kr/web/mp/mpMapDet.jsp?pnu=3611032021103630006&amp;isNoScr=script&amp;mode=search",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HYPERLINK("https://www.eum.go.kr/web/mp/mpMapDet.jsp?pnu=3611032021103650005&amp;isNoScr=script&amp;mode=search",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HYPERLINK("https://www.eum.go.kr/web/mp/mpMapDet.jsp?pnu=3611032021104150000&amp;isNoScr=script&amp;mode=search",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HYPERLINK("https://www.eum.go.kr/web/mp/mpMapDet.jsp?pnu=3611032021104180000&amp;isNoScr=script&amp;mode=search",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HYPERLINK("https://www.eum.go.kr/web/mp/mpMapDet.jsp?pnu=3611032021104190000&amp;isNoScr=script&amp;mode=search",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HYPERLINK("https://www.eum.go.kr/web/mp/mpMapDet.jsp?pnu=3611032021104200000&amp;isNoScr=script&amp;mode=search",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HYPERLINK("https://www.eum.go.kr/web/mp/mpMapDet.jsp?pnu=3611032021104220000&amp;isNoScr=script&amp;mode=search",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HYPERLINK("https://www.eum.go.kr/web/mp/mpMapDet.jsp?pnu=3611032021100500003&amp;isNoScr=script&amp;mode=search",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HYPERLINK("https://www.eum.go.kr/web/mp/mpMapDet.jsp?pnu=3611032021105560000&amp;isNoScr=script&amp;mode=search",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HYPERLINK("https://www.eum.go.kr/web/mp/mpMapDet.jsp?pnu=3611032021105720001&amp;isNoScr=script&amp;mode=search",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HYPERLINK("https://www.eum.go.kr/web/mp/mpMapDet.jsp?pnu=3611032021100630001&amp;isNoScr=script&amp;mode=search",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HYPERLINK("https://www.eum.go.kr/web/mp/mpMapDet.jsp?pnu=3611032021100640001&amp;isNoScr=script&amp;mode=search",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HYPERLINK("https://www.eum.go.kr/web/mp/mpMapDet.jsp?pnu=3611032021100650001&amp;isNoScr=script&amp;mode=search",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HYPERLINK("https://www.eum.go.kr/web/mp/mpMapDet.jsp?pnu=3611032021100650001&amp;isNoScr=script&amp;mode=search",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HYPERLINK("https://www.eum.go.kr/web/mp/mpMapDet.jsp?pnu=3611032021200020000&amp;isNoScr=script&amp;mode=search",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HYPERLINK("https://www.eum.go.kr/web/mp/mpMapDet.jsp?pnu=3611032025100120000&amp;isNoScr=script&amp;mode=search",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HYPERLINK("https://www.eum.go.kr/web/mp/mpMapDet.jsp?pnu=3611032025102210000&amp;isNoScr=script&amp;mode=search",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HYPERLINK("https://www.eum.go.kr/web/mp/mpMapDet.jsp?pnu=3611032025102340001&amp;isNoScr=script&amp;mode=search",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HYPERLINK("https://www.eum.go.kr/web/mp/mpMapDet.jsp?pnu=3611032025100240000&amp;isNoScr=script&amp;mode=search",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HYPERLINK("https://www.eum.go.kr/web/mp/mpMapDet.jsp?pnu=3611032025102750000&amp;isNoScr=script&amp;mode=search",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HYPERLINK("https://www.eum.go.kr/web/mp/mpMapDet.jsp?pnu=3611032025100280000&amp;isNoScr=script&amp;mode=search",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바로 건축할수 있는 나대지,3미터 포장도로 진입가능</t>
        </is>
      </c>
      <c r="L843" s="6">
        <f>HYPERLINK("https://fin.land.naver.com/articles/2648645998", "매물Link")</f>
        <v/>
      </c>
      <c r="M843" s="6">
        <f>HYPERLINK("https://map.naver.com/p/search/연동면 노송리 28-6", "지도Link")</f>
        <v/>
      </c>
      <c r="N843" s="6">
        <f>HYPERLINK("https://www.eum.go.kr/web/mp/mpMapDet.jsp?pnu=3611032025100280006&amp;isNoScr=script&amp;mode=search", "토지이음")</f>
        <v/>
      </c>
      <c r="O843" s="3" t="inlineStr">
        <is>
          <t>보람최고</t>
        </is>
      </c>
      <c r="P843" s="4" t="n">
        <v>2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지목 대 계획관리 자연취락지구 진입도로있음</t>
        </is>
      </c>
      <c r="L844" s="6">
        <f>HYPERLINK("https://fin.land.naver.com/articles/2645721058", "매물Link")</f>
        <v/>
      </c>
      <c r="M844" s="6">
        <f>HYPERLINK("https://map.naver.com/p/search/연동면 노송리 28-6", "지도Link")</f>
        <v/>
      </c>
      <c r="N844" s="6">
        <f>HYPERLINK("https://www.eum.go.kr/web/mp/mpMapDet.jsp?pnu=3611032025100280006&amp;isNoScr=script&amp;mode=search", "토지이음")</f>
        <v/>
      </c>
      <c r="O844" s="3" t="inlineStr">
        <is>
          <t>레몬</t>
        </is>
      </c>
      <c r="P844" s="4" t="n">
        <v>1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HYPERLINK("https://www.eum.go.kr/web/mp/mpMapDet.jsp?pnu=3611032025103020001&amp;isNoScr=script&amp;mode=search",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HYPERLINK("https://www.eum.go.kr/web/mp/mpMapDet.jsp?pnu=3611032025103100010&amp;isNoScr=script&amp;mode=search",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HYPERLINK("https://www.eum.go.kr/web/mp/mpMapDet.jsp?pnu=3611032025103270002&amp;isNoScr=script&amp;mode=search",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HYPERLINK("https://www.eum.go.kr/web/mp/mpMapDet.jsp?pnu=3611032025103290005&amp;isNoScr=script&amp;mode=search",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HYPERLINK("https://www.eum.go.kr/web/mp/mpMapDet.jsp?pnu=3611032025103840000&amp;isNoScr=script&amp;mode=search",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HYPERLINK("https://www.eum.go.kr/web/mp/mpMapDet.jsp?pnu=3611032025104120000&amp;isNoScr=script&amp;mode=search",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HYPERLINK("https://www.eum.go.kr/web/mp/mpMapDet.jsp?pnu=3611032025104490001&amp;isNoScr=script&amp;mode=search",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HYPERLINK("https://fin.land.naver.com/articles/2644486433", "매물Link")</f>
        <v/>
      </c>
      <c r="M852" s="6">
        <f>HYPERLINK("https://map.naver.com/p/search/연동면 노송리 50", "지도Link")</f>
        <v/>
      </c>
      <c r="N852" s="6">
        <f>HYPERLINK("https://www.eum.go.kr/web/mp/mpMapDet.jsp?pnu=3611032025100500000&amp;isNoScr=script&amp;mode=search",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155000</v>
      </c>
      <c r="G853" s="4" t="n">
        <v>1982</v>
      </c>
      <c r="H853" s="4" t="n">
        <v>600</v>
      </c>
      <c r="I853" s="5" t="n">
        <v>258.3</v>
      </c>
      <c r="J853" s="5" t="n">
        <v>53.2</v>
      </c>
      <c r="K853" s="3" t="inlineStr">
        <is>
          <t>nan</t>
        </is>
      </c>
      <c r="L853" s="6">
        <f>HYPERLINK("https://fin.land.naver.com/articles/2645064190", "매물Link")</f>
        <v/>
      </c>
      <c r="M853" s="6">
        <f>HYPERLINK("https://map.naver.com/p/search/연동면 노송리 50", "지도Link")</f>
        <v/>
      </c>
      <c r="N853" s="6">
        <f>HYPERLINK("https://www.eum.go.kr/web/mp/mpMapDet.jsp?pnu=3611032025100500000&amp;isNoScr=script&amp;mode=search", "토지이음")</f>
        <v/>
      </c>
      <c r="O853" s="3" t="inlineStr">
        <is>
          <t>노은역</t>
        </is>
      </c>
      <c r="P853" s="4" t="n">
        <v>2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HYPERLINK("https://www.eum.go.kr/web/mp/mpMapDet.jsp?pnu=3611032025105000001&amp;isNoScr=script&amp;mode=search",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HYPERLINK("https://www.eum.go.kr/web/mp/mpMapDet.jsp?pnu=3611032023101010007&amp;isNoScr=script&amp;mode=search",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nan</t>
        </is>
      </c>
      <c r="L856" s="6">
        <f>HYPERLINK("https://fin.land.naver.com/articles/2646190272", "매물Link")</f>
        <v/>
      </c>
      <c r="M856" s="6">
        <f>HYPERLINK("https://map.naver.com/p/search/연동면 명학리 101-7", "지도Link")</f>
        <v/>
      </c>
      <c r="N856" s="6">
        <f>HYPERLINK("https://www.eum.go.kr/web/mp/mpMapDet.jsp?pnu=3611032023101010007&amp;isNoScr=script&amp;mode=search", "토지이음")</f>
        <v/>
      </c>
      <c r="O856" s="3" t="inlineStr">
        <is>
          <t>세종몽땅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500000</v>
      </c>
      <c r="G857" s="4" t="n">
        <v>3700</v>
      </c>
      <c r="H857" s="4" t="n">
        <v>1119</v>
      </c>
      <c r="I857" s="5" t="n">
        <v>446.8</v>
      </c>
      <c r="J857" s="5" t="n">
        <v>25.1</v>
      </c>
      <c r="K857" s="3" t="inlineStr">
        <is>
          <t>2차선 도로접한 금강이 보이는 지대 높은 토지,분할매매 가능,</t>
        </is>
      </c>
      <c r="L857" s="6">
        <f>HYPERLINK("https://fin.land.naver.com/articles/2648917205", "매물Link")</f>
        <v/>
      </c>
      <c r="M857" s="6">
        <f>HYPERLINK("https://map.naver.com/p/search/연동면 명학리 101-7", "지도Link")</f>
        <v/>
      </c>
      <c r="N857" s="6">
        <f>HYPERLINK("https://www.eum.go.kr/web/mp/mpMapDet.jsp?pnu=3611032023101010007&amp;isNoScr=script&amp;mode=search", "토지이음")</f>
        <v/>
      </c>
      <c r="O857" s="3" t="inlineStr">
        <is>
          <t>담뜰</t>
        </is>
      </c>
      <c r="P857" s="4" t="n">
        <v>5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HYPERLINK("https://www.eum.go.kr/web/mp/mpMapDet.jsp?pnu=3611032023101040008&amp;isNoScr=script&amp;mode=search",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HYPERLINK("https://www.eum.go.kr/web/mp/mpMapDet.jsp?pnu=3611032023101370000&amp;isNoScr=script&amp;mode=search",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HYPERLINK("https://www.eum.go.kr/web/mp/mpMapDet.jsp?pnu=3611032023101370000&amp;isNoScr=script&amp;mode=search",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HYPERLINK("https://www.eum.go.kr/web/mp/mpMapDet.jsp?pnu=3611032023101480003&amp;isNoScr=script&amp;mode=search",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HYPERLINK("https://www.eum.go.kr/web/mp/mpMapDet.jsp?pnu=3611032023101950003&amp;isNoScr=script&amp;mode=search",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HYPERLINK("https://www.eum.go.kr/web/mp/mpMapDet.jsp?pnu=3611032023102200000&amp;isNoScr=script&amp;mode=search",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HYPERLINK("https://www.eum.go.kr/web/mp/mpMapDet.jsp?pnu=3611032023102210000&amp;isNoScr=script&amp;mode=search",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HYPERLINK("https://www.eum.go.kr/web/mp/mpMapDet.jsp?pnu=3611032023103070001&amp;isNoScr=script&amp;mode=search",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HYPERLINK("https://www.eum.go.kr/web/mp/mpMapDet.jsp?pnu=3611032023103630000&amp;isNoScr=script&amp;mode=search",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HYPERLINK("https://www.eum.go.kr/web/mp/mpMapDet.jsp?pnu=3611032023103760003&amp;isNoScr=script&amp;mode=search",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HYPERLINK("https://www.eum.go.kr/web/mp/mpMapDet.jsp?pnu=3611032023103830008&amp;isNoScr=script&amp;mode=search",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HYPERLINK("https://www.eum.go.kr/web/mp/mpMapDet.jsp?pnu=3611032023103840027&amp;isNoScr=script&amp;mode=search",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82460</v>
      </c>
      <c r="G870" s="4" t="n">
        <v>720</v>
      </c>
      <c r="H870" s="4" t="n">
        <v>218</v>
      </c>
      <c r="I870" s="5" t="n">
        <v>378.3</v>
      </c>
      <c r="J870" s="5" t="n">
        <v>52.8</v>
      </c>
      <c r="K870" s="3" t="inlineStr">
        <is>
          <t>명성공인, 명학리 계획관리지역 추천 매물</t>
        </is>
      </c>
      <c r="L870" s="6">
        <f>HYPERLINK("https://fin.land.naver.com/articles/2648045385", "매물Link")</f>
        <v/>
      </c>
      <c r="M870" s="6">
        <f>HYPERLINK("https://map.naver.com/p/search/연동면 명학리 385", "지도Link")</f>
        <v/>
      </c>
      <c r="N870" s="6">
        <f>HYPERLINK("https://www.eum.go.kr/web/mp/mpMapDet.jsp?pnu=3611032023103850000&amp;isNoScr=script&amp;mode=search", "토지이음")</f>
        <v/>
      </c>
      <c r="O870" s="3" t="inlineStr">
        <is>
          <t>명성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HYPERLINK("https://www.eum.go.kr/web/mp/mpMapDet.jsp?pnu=3611032023103850000&amp;isNoScr=script&amp;mode=search",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HYPERLINK("https://www.eum.go.kr/web/mp/mpMapDet.jsp?pnu=3611032023103890002&amp;isNoScr=script&amp;mode=search",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HYPERLINK("https://www.eum.go.kr/web/mp/mpMapDet.jsp?pnu=3611032023103910012&amp;isNoScr=script&amp;mode=search",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HYPERLINK("https://www.eum.go.kr/web/mp/mpMapDet.jsp?pnu=3611032023107050000&amp;isNoScr=script&amp;mode=search",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HYPERLINK("https://www.eum.go.kr/web/mp/mpMapDet.jsp?pnu=3611032023107140000&amp;isNoScr=script&amp;mode=search",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HYPERLINK("https://www.eum.go.kr/web/mp/mpMapDet.jsp?pnu=3611032023107310000&amp;isNoScr=script&amp;mode=search",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HYPERLINK("https://www.eum.go.kr/web/mp/mpMapDet.jsp?pnu=3611032023107960000&amp;isNoScr=script&amp;mode=search",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HYPERLINK("https://www.eum.go.kr/web/mp/mpMapDet.jsp?pnu=3611032023108440000&amp;isNoScr=script&amp;mode=search",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HYPERLINK("https://www.eum.go.kr/web/mp/mpMapDet.jsp?pnu=3611032023108440000&amp;isNoScr=script&amp;mode=search",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HYPERLINK("https://www.eum.go.kr/web/mp/mpMapDet.jsp?pnu=3611032023108440000&amp;isNoScr=script&amp;mode=search",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HYPERLINK("https://www.eum.go.kr/web/mp/mpMapDet.jsp?pnu=3611032023100930004&amp;isNoScr=script&amp;mode=search",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HYPERLINK("https://www.eum.go.kr/web/mp/mpMapDet.jsp?pnu=3611032023109550000&amp;isNoScr=script&amp;mode=search",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HYPERLINK("https://www.eum.go.kr/web/mp/mpMapDet.jsp?pnu=3611032022101450008&amp;isNoScr=script&amp;mode=search",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HYPERLINK("https://www.eum.go.kr/web/mp/mpMapDet.jsp?pnu=3611032022109560003&amp;isNoScr=script&amp;mode=search",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HYPERLINK("https://www.eum.go.kr/web/mp/mpMapDet.jsp?pnu=3611032022109670007&amp;isNoScr=script&amp;mode=search",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HYPERLINK("https://www.eum.go.kr/web/mp/mpMapDet.jsp?pnu=3611032022109680013&amp;isNoScr=script&amp;mode=search",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HYPERLINK("https://www.eum.go.kr/web/mp/mpMapDet.jsp?pnu=3611032022109800010&amp;isNoScr=script&amp;mode=search",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주변 시세대비 아주저렴</t>
        </is>
      </c>
      <c r="L888" s="6">
        <f>HYPERLINK("https://fin.land.naver.com/articles/2648462411", "매물Link")</f>
        <v/>
      </c>
      <c r="M888" s="6">
        <f>HYPERLINK("https://map.naver.com/p/search/연동면 송용리 1025-4", "지도Link")</f>
        <v/>
      </c>
      <c r="N888" s="6">
        <f>HYPERLINK("https://www.eum.go.kr/web/mp/mpMapDet.jsp?pnu=3611032027110250004&amp;isNoScr=script&amp;mode=search",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가격저렴한 대토 및 장기투자</t>
        </is>
      </c>
      <c r="L889" s="6">
        <f>HYPERLINK("https://fin.land.naver.com/articles/2650179155", "매물Link")</f>
        <v/>
      </c>
      <c r="M889" s="6">
        <f>HYPERLINK("https://map.naver.com/p/search/연동면 송용리 1025-4", "지도Link")</f>
        <v/>
      </c>
      <c r="N889" s="6">
        <f>HYPERLINK("https://www.eum.go.kr/web/mp/mpMapDet.jsp?pnu=3611032027110250004&amp;isNoScr=script&amp;mode=search", "토지이음")</f>
        <v/>
      </c>
      <c r="O889" s="3" t="inlineStr">
        <is>
          <t>연동스카이</t>
        </is>
      </c>
      <c r="P889" s="4" t="n">
        <v>2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HYPERLINK("https://www.eum.go.kr/web/mp/mpMapDet.jsp?pnu=3611032027110300009&amp;isNoScr=script&amp;mode=search",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HYPERLINK("https://www.eum.go.kr/web/mp/mpMapDet.jsp?pnu=3611032027110390005&amp;isNoScr=script&amp;mode=search",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HYPERLINK("https://www.eum.go.kr/web/mp/mpMapDet.jsp?pnu=3611032027101790002&amp;isNoScr=script&amp;mode=search",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HYPERLINK("https://www.eum.go.kr/web/mp/mpMapDet.jsp?pnu=3611032027102130004&amp;isNoScr=script&amp;mode=search",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HYPERLINK("https://www.eum.go.kr/web/mp/mpMapDet.jsp?pnu=3611032027102130006&amp;isNoScr=script&amp;mode=search",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HYPERLINK("https://www.eum.go.kr/web/mp/mpMapDet.jsp?pnu=3611032027102610034&amp;isNoScr=script&amp;mode=search",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HYPERLINK("https://www.eum.go.kr/web/mp/mpMapDet.jsp?pnu=3611032027102610008&amp;isNoScr=script&amp;mode=search",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HYPERLINK("https://www.eum.go.kr/web/mp/mpMapDet.jsp?pnu=3611032027100040001&amp;isNoScr=script&amp;mode=search",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HYPERLINK("https://www.eum.go.kr/web/mp/mpMapDet.jsp?pnu=3611032027100820001&amp;isNoScr=script&amp;mode=search",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세종시 토지로 적은 금액으로 투자하기 좋은 곳</t>
        </is>
      </c>
      <c r="L899" s="6">
        <f>HYPERLINK("https://fin.land.naver.com/articles/2644762013", "매물Link")</f>
        <v/>
      </c>
      <c r="M899" s="6">
        <f>HYPERLINK("https://map.naver.com/p/search/연동면 송용리 940-3", "지도Link")</f>
        <v/>
      </c>
      <c r="N899" s="6">
        <f>HYPERLINK("https://www.eum.go.kr/web/mp/mpMapDet.jsp?pnu=3611032027109400003&amp;isNoScr=script&amp;mode=search", "토지이음")</f>
        <v/>
      </c>
      <c r="O899" s="3" t="inlineStr">
        <is>
          <t>오송이가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가격절충</t>
        </is>
      </c>
      <c r="L900" s="6">
        <f>HYPERLINK("https://fin.land.naver.com/articles/2645908294", "매물Link")</f>
        <v/>
      </c>
      <c r="M900" s="6">
        <f>HYPERLINK("https://map.naver.com/p/search/연동면 송용리 940-3", "지도Link")</f>
        <v/>
      </c>
      <c r="N900" s="6">
        <f>HYPERLINK("https://www.eum.go.kr/web/mp/mpMapDet.jsp?pnu=3611032027109400003&amp;isNoScr=script&amp;mode=search", "토지이음")</f>
        <v/>
      </c>
      <c r="O900" s="3" t="inlineStr">
        <is>
          <t>세종땅전문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HYPERLINK("https://www.eum.go.kr/web/mp/mpMapDet.jsp?pnu=3611032027109400005&amp;isNoScr=script&amp;mode=search",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HYPERLINK("https://www.eum.go.kr/web/mp/mpMapDet.jsp?pnu=3611032027109630010&amp;isNoScr=script&amp;mode=search",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HYPERLINK("https://www.eum.go.kr/web/mp/mpMapDet.jsp?pnu=3611032027109740001&amp;isNoScr=script&amp;mode=search",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HYPERLINK("https://www.eum.go.kr/web/mp/mpMapDet.jsp?pnu=3611032026100250001&amp;isNoScr=script&amp;mode=search",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HYPERLINK("https://www.eum.go.kr/web/mp/mpMapDet.jsp?pnu=3611032026100660003&amp;isNoScr=script&amp;mode=search",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HYPERLINK("https://www.eum.go.kr/web/mp/mpMapDet.jsp?pnu=3611032026107950004&amp;isNoScr=script&amp;mode=search",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HYPERLINK("https://www.eum.go.kr/web/mp/mpMapDet.jsp?pnu=3611032026108280001&amp;isNoScr=script&amp;mode=search",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HYPERLINK("https://www.eum.go.kr/web/mp/mpMapDet.jsp?pnu=3611032026108380002&amp;isNoScr=script&amp;mode=search",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HYPERLINK("https://www.eum.go.kr/web/mp/mpMapDet.jsp?pnu=3611032026100990005&amp;isNoScr=script&amp;mode=search",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HYPERLINK("https://www.eum.go.kr/web/mp/mpMapDet.jsp?pnu=3611032024101210004&amp;isNoScr=script&amp;mode=search",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HYPERLINK("https://www.eum.go.kr/web/mp/mpMapDet.jsp?pnu=3611032024101990001&amp;isNoScr=script&amp;mode=search",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HYPERLINK("https://www.eum.go.kr/web/mp/mpMapDet.jsp?pnu=3611032024102530005&amp;isNoScr=script&amp;mode=search",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HYPERLINK("https://www.eum.go.kr/web/mp/mpMapDet.jsp?pnu=3611032024102570005&amp;isNoScr=script&amp;mode=search",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1.2차선 도로에서 바로진입 2.남청주IC 7KM소요시간 10분이내</t>
        </is>
      </c>
      <c r="L914" s="6">
        <f>HYPERLINK("https://fin.land.naver.com/articles/2650176467", "매물Link")</f>
        <v/>
      </c>
      <c r="M914" s="6">
        <f>HYPERLINK("https://map.naver.com/p/search/연동면 응암리 317", "지도Link")</f>
        <v/>
      </c>
      <c r="N914" s="6">
        <f>HYPERLINK("https://www.eum.go.kr/web/mp/mpMapDet.jsp?pnu=3611032024103170000&amp;isNoScr=script&amp;mode=search",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HYPERLINK("https://www.eum.go.kr/web/mp/mpMapDet.jsp?pnu=3611032024103170000&amp;isNoScr=script&amp;mode=search",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HYPERLINK("https://www.eum.go.kr/web/mp/mpMapDet.jsp?pnu=3611032024100470003&amp;isNoScr=script&amp;mode=search",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HYPERLINK("https://www.eum.go.kr/web/mp/mpMapDet.jsp?pnu=3611032024104790008&amp;isNoScr=script&amp;mode=search",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HYPERLINK("https://www.eum.go.kr/web/mp/mpMapDet.jsp?pnu=3611032024104810001&amp;isNoScr=script&amp;mode=search",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HYPERLINK("https://www.eum.go.kr/web/mp/mpMapDet.jsp?pnu=3611032024105550001&amp;isNoScr=script&amp;mode=search",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HYPERLINK("https://www.eum.go.kr/web/mp/mpMapDet.jsp?pnu=3611032024105840013&amp;isNoScr=script&amp;mode=search", "토지이음")</f>
        <v/>
      </c>
      <c r="O920" s="3" t="inlineStr">
        <is>
          <t>해밀탑</t>
        </is>
      </c>
      <c r="P920" s="4" t="n">
        <v>2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HYPERLINK("https://www.eum.go.kr/web/mp/mpMapDet.jsp?pnu=3611032024105840013&amp;isNoScr=script&amp;mode=search",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1. 2차선도로 접한 직사각형토지 급매토지 2. 오송역 남청주IC 1</t>
        </is>
      </c>
      <c r="L922" s="6">
        <f>HYPERLINK("https://fin.land.naver.com/articles/2646950261", "매물Link")</f>
        <v/>
      </c>
      <c r="M922" s="6">
        <f>HYPERLINK("https://map.naver.com/p/search/연동면 응암리 584-13", "지도Link")</f>
        <v/>
      </c>
      <c r="N922" s="6">
        <f>HYPERLINK("https://www.eum.go.kr/web/mp/mpMapDet.jsp?pnu=3611032024105840013&amp;isNoScr=script&amp;mode=search",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HYPERLINK("https://www.eum.go.kr/web/mp/mpMapDet.jsp?pnu=3611032024106020003&amp;isNoScr=script&amp;mode=search",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HYPERLINK("https://www.eum.go.kr/web/mp/mpMapDet.jsp?pnu=3611032024106940000&amp;isNoScr=script&amp;mode=search",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HYPERLINK("https://www.eum.go.kr/web/mp/mpMapDet.jsp?pnu=3611032024107380008&amp;isNoScr=script&amp;mode=search",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HYPERLINK("https://www.eum.go.kr/web/mp/mpMapDet.jsp?pnu=3611032024107490002&amp;isNoScr=script&amp;mode=search",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HYPERLINK("https://www.eum.go.kr/web/mp/mpMapDet.jsp?pnu=3611032024107520002&amp;isNoScr=script&amp;mode=search",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HYPERLINK("https://www.eum.go.kr/web/mp/mpMapDet.jsp?pnu=3611032024108710000&amp;isNoScr=script&amp;mode=search",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HYPERLINK("https://www.eum.go.kr/web/mp/mpMapDet.jsp?pnu=3611032024200420006&amp;isNoScr=script&amp;mode=search",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HYPERLINK("https://www.eum.go.kr/web/mp/mpMapDet.jsp?pnu=3611032024200060001&amp;isNoScr=script&amp;mode=search",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HYPERLINK("https://www.eum.go.kr/web/mp/mpMapDet.jsp?pnu=3611032028104850010&amp;isNoScr=script&amp;mode=search",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HYPERLINK("https://www.eum.go.kr/web/mp/mpMapDet.jsp?pnu=3611032028104860041&amp;isNoScr=script&amp;mode=search",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HYPERLINK("https://www.eum.go.kr/web/mp/mpMapDet.jsp?pnu=3611032028104860041&amp;isNoScr=script&amp;mode=search",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nan</t>
        </is>
      </c>
      <c r="L934" s="6">
        <f>HYPERLINK("https://fin.land.naver.com/articles/2650048011", "매물Link")</f>
        <v/>
      </c>
      <c r="M934" s="6">
        <f>HYPERLINK("https://map.naver.com/p/search/연동면 합강리 486-41", "지도Link")</f>
        <v/>
      </c>
      <c r="N934" s="6">
        <f>HYPERLINK("https://www.eum.go.kr/web/mp/mpMapDet.jsp?pnu=3611032028104860041&amp;isNoScr=script&amp;mode=search", "토지이음")</f>
        <v/>
      </c>
      <c r="O934" s="3" t="inlineStr">
        <is>
          <t>하이엔드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HYPERLINK("https://www.eum.go.kr/web/mp/mpMapDet.jsp?pnu=3611032028104900014&amp;isNoScr=script&amp;mode=search",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HYPERLINK("https://www.eum.go.kr/web/mp/mpMapDet.jsp?pnu=3611032028104900025&amp;isNoScr=script&amp;mode=search",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HYPERLINK("https://www.eum.go.kr/web/mp/mpMapDet.jsp?pnu=3611032028104910000&amp;isNoScr=script&amp;mode=search",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HYPERLINK("https://www.eum.go.kr/web/mp/mpMapDet.jsp?pnu=3611032028104920004&amp;isNoScr=script&amp;mode=search",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HYPERLINK("https://www.eum.go.kr/web/mp/mpMapDet.jsp?pnu=3611032028105000024&amp;isNoScr=script&amp;mode=search",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HYPERLINK("https://www.eum.go.kr/web/mp/mpMapDet.jsp?pnu=3611036024101120001&amp;isNoScr=script&amp;mode=search",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HYPERLINK("https://www.eum.go.kr/web/mp/mpMapDet.jsp?pnu=3611036024101170000&amp;isNoScr=script&amp;mode=search",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HYPERLINK("https://www.eum.go.kr/web/mp/mpMapDet.jsp?pnu=3611036024101740001&amp;isNoScr=script&amp;mode=search",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HYPERLINK("https://www.eum.go.kr/web/mp/mpMapDet.jsp?pnu=3611036024101860001&amp;isNoScr=script&amp;mode=search",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HYPERLINK("https://www.eum.go.kr/web/mp/mpMapDet.jsp?pnu=3611036024102910003&amp;isNoScr=script&amp;mode=search",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HYPERLINK("https://www.eum.go.kr/web/mp/mpMapDet.jsp?pnu=3611036024102940000&amp;isNoScr=script&amp;mode=search",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HYPERLINK("https://www.eum.go.kr/web/mp/mpMapDet.jsp?pnu=3611036024103730000&amp;isNoScr=script&amp;mode=search",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HYPERLINK("https://www.eum.go.kr/web/mp/mpMapDet.jsp?pnu=3611036024103950000&amp;isNoScr=script&amp;mode=search",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HYPERLINK("https://www.eum.go.kr/web/mp/mpMapDet.jsp?pnu=3611036024104150034&amp;isNoScr=script&amp;mode=search",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HYPERLINK("https://www.eum.go.kr/web/mp/mpMapDet.jsp?pnu=3611036024104150054&amp;isNoScr=script&amp;mode=search",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HYPERLINK("https://www.eum.go.kr/web/mp/mpMapDet.jsp?pnu=3611036024100420007&amp;isNoScr=script&amp;mode=search",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HYPERLINK("https://www.eum.go.kr/web/mp/mpMapDet.jsp?pnu=3611036024100450004&amp;isNoScr=script&amp;mode=search",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HYPERLINK("https://www.eum.go.kr/web/mp/mpMapDet.jsp?pnu=3611036024100460005&amp;isNoScr=script&amp;mode=search",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HYPERLINK("https://www.eum.go.kr/web/mp/mpMapDet.jsp?pnu=3611036024104690002&amp;isNoScr=script&amp;mode=search",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HYPERLINK("https://www.eum.go.kr/web/mp/mpMapDet.jsp?pnu=3611036024105480016&amp;isNoScr=script&amp;mode=search",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HYPERLINK("https://www.eum.go.kr/web/mp/mpMapDet.jsp?pnu=3611036024105480003&amp;isNoScr=script&amp;mode=search",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HYPERLINK("https://www.eum.go.kr/web/mp/mpMapDet.jsp?pnu=3611036024105560012&amp;isNoScr=script&amp;mode=search",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HYPERLINK("https://www.eum.go.kr/web/mp/mpMapDet.jsp?pnu=3611036024105560028&amp;isNoScr=script&amp;mode=search",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HYPERLINK("https://www.eum.go.kr/web/mp/mpMapDet.jsp?pnu=3611036024105570004&amp;isNoScr=script&amp;mode=search",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HYPERLINK("https://www.eum.go.kr/web/mp/mpMapDet.jsp?pnu=3611036024100560010&amp;isNoScr=script&amp;mode=search",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21000</v>
      </c>
      <c r="G960" s="4" t="n">
        <v>2010</v>
      </c>
      <c r="H960" s="4" t="n">
        <v>608</v>
      </c>
      <c r="I960" s="5" t="n">
        <v>34.5</v>
      </c>
      <c r="J960" s="5" t="n">
        <v>22</v>
      </c>
      <c r="K960" s="3" t="inlineStr">
        <is>
          <t>투자용, 주말 농장용으로 추천 합니다</t>
        </is>
      </c>
      <c r="L960" s="6">
        <f>HYPERLINK("https://fin.land.naver.com/articles/2644444568", "매물Link")</f>
        <v/>
      </c>
      <c r="M960" s="6">
        <f>HYPERLINK("https://map.naver.com/p/search/연서면 고복리 56-10", "지도Link")</f>
        <v/>
      </c>
      <c r="N960" s="6">
        <f>HYPERLINK("https://www.eum.go.kr/web/mp/mpMapDet.jsp?pnu=3611036024100560010&amp;isNoScr=script&amp;mode=search", "토지이음")</f>
        <v/>
      </c>
      <c r="O960" s="3" t="inlineStr">
        <is>
          <t>세종대박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HYPERLINK("https://www.eum.go.kr/web/mp/mpMapDet.jsp?pnu=3611036024105890000&amp;isNoScr=script&amp;mode=search",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HYPERLINK("https://www.eum.go.kr/web/mp/mpMapDet.jsp?pnu=3611036024100970004&amp;isNoScr=script&amp;mode=search",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HYPERLINK("https://www.eum.go.kr/web/mp/mpMapDet.jsp?pnu=3611036024200030000&amp;isNoScr=script&amp;mode=search",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HYPERLINK("https://www.eum.go.kr/web/mp/mpMapDet.jsp?pnu=3611036024201020001&amp;isNoScr=script&amp;mode=search",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HYPERLINK("https://www.eum.go.kr/web/mp/mpMapDet.jsp?pnu=3611036024200340006&amp;isNoScr=script&amp;mode=search",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HYPERLINK("https://www.eum.go.kr/web/mp/mpMapDet.jsp?pnu=3611036024200960006&amp;isNoScr=script&amp;mode=search",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HYPERLINK("https://www.eum.go.kr/web/mp/mpMapDet.jsp?pnu=3611036030101660029&amp;isNoScr=script&amp;mode=search",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급매,도로접한 계획관리지역,알토란 토지,가격조정가능</t>
        </is>
      </c>
      <c r="L968" s="6">
        <f>HYPERLINK("https://fin.land.naver.com/articles/2645370986", "매물Link")</f>
        <v/>
      </c>
      <c r="M968" s="6">
        <f>HYPERLINK("https://map.naver.com/p/search/연서면 국촌리 24", "지도Link")</f>
        <v/>
      </c>
      <c r="N968" s="6">
        <f>HYPERLINK("https://www.eum.go.kr/web/mp/mpMapDet.jsp?pnu=3611036030100240000&amp;isNoScr=script&amp;mode=search",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스마트국가산업단지와 북세종IC 인근 계획관리지역 토지로 지가상승 예상.</t>
        </is>
      </c>
      <c r="L969" s="6">
        <f>HYPERLINK("https://fin.land.naver.com/articles/2644820086", "매물Link")</f>
        <v/>
      </c>
      <c r="M969" s="6">
        <f>HYPERLINK("https://map.naver.com/p/search/연서면 국촌리 24", "지도Link")</f>
        <v/>
      </c>
      <c r="N969" s="6">
        <f>HYPERLINK("https://www.eum.go.kr/web/mp/mpMapDet.jsp?pnu=3611036030100240000&amp;isNoScr=script&amp;mode=search", "토지이음")</f>
        <v/>
      </c>
      <c r="O969" s="3" t="inlineStr">
        <is>
          <t>세종대장</t>
        </is>
      </c>
      <c r="P969" s="4" t="n">
        <v>2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HYPERLINK("https://www.eum.go.kr/web/mp/mpMapDet.jsp?pnu=3611036030103210008&amp;isNoScr=script&amp;mode=search",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HYPERLINK("https://www.eum.go.kr/web/mp/mpMapDet.jsp?pnu=3611036030103220044&amp;isNoScr=script&amp;mode=search",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HYPERLINK("https://www.eum.go.kr/web/mp/mpMapDet.jsp?pnu=3611036030100530004&amp;isNoScr=script&amp;mode=search",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HYPERLINK("https://www.eum.go.kr/web/mp/mpMapDet.jsp?pnu=3611036030100530005&amp;isNoScr=script&amp;mode=search",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HYPERLINK("https://www.eum.go.kr/web/mp/mpMapDet.jsp?pnu=3611036030100590009&amp;isNoScr=script&amp;mode=search",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HYPERLINK("https://www.eum.go.kr/web/mp/mpMapDet.jsp?pnu=3611036028101370001&amp;isNoScr=script&amp;mode=search",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HYPERLINK("https://www.eum.go.kr/web/mp/mpMapDet.jsp?pnu=3611036028101370003&amp;isNoScr=script&amp;mode=search",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HYPERLINK("https://www.eum.go.kr/web/mp/mpMapDet.jsp?pnu=3611036028101410000&amp;isNoScr=script&amp;mode=search",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HYPERLINK("https://www.eum.go.kr/web/mp/mpMapDet.jsp?pnu=3611036028101430000&amp;isNoScr=script&amp;mode=search",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HYPERLINK("https://www.eum.go.kr/web/mp/mpMapDet.jsp?pnu=3611036028101450000&amp;isNoScr=script&amp;mode=search",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HYPERLINK("https://www.eum.go.kr/web/mp/mpMapDet.jsp?pnu=3611036028101560003&amp;isNoScr=script&amp;mode=search",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HYPERLINK("https://www.eum.go.kr/web/mp/mpMapDet.jsp?pnu=3611036028101560004&amp;isNoScr=script&amp;mode=search",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HYPERLINK("https://www.eum.go.kr/web/mp/mpMapDet.jsp?pnu=3611036028100170000&amp;isNoScr=script&amp;mode=search",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HYPERLINK("https://www.eum.go.kr/web/mp/mpMapDet.jsp?pnu=3611036028101700001&amp;isNoScr=script&amp;mode=search",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HYPERLINK("https://www.eum.go.kr/web/mp/mpMapDet.jsp?pnu=3611036028102770001&amp;isNoScr=script&amp;mode=search",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HYPERLINK("https://www.eum.go.kr/web/mp/mpMapDet.jsp?pnu=3611036028103320002&amp;isNoScr=script&amp;mode=search",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HYPERLINK("https://www.eum.go.kr/web/mp/mpMapDet.jsp?pnu=3611036028104250000&amp;isNoScr=script&amp;mode=search",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HYPERLINK("https://www.eum.go.kr/web/mp/mpMapDet.jsp?pnu=3611036028104260000&amp;isNoScr=script&amp;mode=search",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HYPERLINK("https://www.eum.go.kr/web/mp/mpMapDet.jsp?pnu=3611036028104310001&amp;isNoScr=script&amp;mode=search",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HYPERLINK("https://www.eum.go.kr/web/mp/mpMapDet.jsp?pnu=3611036028104440000&amp;isNoScr=script&amp;mode=search",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HYPERLINK("https://www.eum.go.kr/web/mp/mpMapDet.jsp?pnu=3611036028104840000&amp;isNoScr=script&amp;mode=search",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HYPERLINK("https://www.eum.go.kr/web/mp/mpMapDet.jsp?pnu=3611036028100510002&amp;isNoScr=script&amp;mode=search",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HYPERLINK("https://www.eum.go.kr/web/mp/mpMapDet.jsp?pnu=3611036028100520012&amp;isNoScr=script&amp;mode=search",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HYPERLINK("https://www.eum.go.kr/web/mp/mpMapDet.jsp?pnu=3611036028100520014&amp;isNoScr=script&amp;mode=search",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HYPERLINK("https://www.eum.go.kr/web/mp/mpMapDet.jsp?pnu=3611036028100520014&amp;isNoScr=script&amp;mode=search",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HYPERLINK("https://www.eum.go.kr/web/mp/mpMapDet.jsp?pnu=3611036028100520017&amp;isNoScr=script&amp;mode=search",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HYPERLINK("https://www.eum.go.kr/web/mp/mpMapDet.jsp?pnu=3611036028105260002&amp;isNoScr=script&amp;mode=search",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HYPERLINK("https://www.eum.go.kr/web/mp/mpMapDet.jsp?pnu=3611036028105990000&amp;isNoScr=script&amp;mode=search",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HYPERLINK("https://www.eum.go.kr/web/mp/mpMapDet.jsp?pnu=3611036028106090001&amp;isNoScr=script&amp;mode=search",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483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HYPERLINK("https://www.eum.go.kr/web/mp/mpMapDet.jsp?pnu=3611036028106510005&amp;isNoScr=script&amp;mode=search", "토지이음")</f>
        <v/>
      </c>
      <c r="O999" s="3" t="inlineStr">
        <is>
          <t>문은진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HYPERLINK("https://www.eum.go.kr/web/mp/mpMapDet.jsp?pnu=3611036028106510005&amp;isNoScr=script&amp;mode=search", "토지이음")</f>
        <v/>
      </c>
      <c r="O1000" s="3" t="inlineStr">
        <is>
          <t>제이파크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전망좋은 전원택지및 다용도,투자적지</t>
        </is>
      </c>
      <c r="L1001" s="6">
        <f>HYPERLINK("https://fin.land.naver.com/articles/2649946421", "매물Link")</f>
        <v/>
      </c>
      <c r="M1001" s="6">
        <f>HYPERLINK("https://map.naver.com/p/search/연서면 기룡리 651-5", "지도Link")</f>
        <v/>
      </c>
      <c r="N1001" s="6">
        <f>HYPERLINK("https://www.eum.go.kr/web/mp/mpMapDet.jsp?pnu=3611036028106510005&amp;isNoScr=script&amp;mode=search", "토지이음")</f>
        <v/>
      </c>
      <c r="O1001" s="3" t="inlineStr">
        <is>
          <t>행복가득한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364</v>
      </c>
      <c r="H1002" s="4" t="n">
        <v>110</v>
      </c>
      <c r="I1002" s="5" t="n">
        <v>177.3</v>
      </c>
      <c r="J1002" s="5" t="n">
        <v>66.7</v>
      </c>
      <c r="K1002" s="3" t="inlineStr">
        <is>
          <t>nan</t>
        </is>
      </c>
      <c r="L1002" s="6">
        <f>HYPERLINK("https://fin.land.naver.com/articles/2650531119", "매물Link")</f>
        <v/>
      </c>
      <c r="M1002" s="6">
        <f>HYPERLINK("https://map.naver.com/p/search/연서면 기룡리 651-5", "지도Link")</f>
        <v/>
      </c>
      <c r="N1002" s="6">
        <f>HYPERLINK("https://www.eum.go.kr/web/mp/mpMapDet.jsp?pnu=3611036028106510005&amp;isNoScr=script&amp;mode=search", "토지이음")</f>
        <v/>
      </c>
      <c r="O1002" s="3" t="inlineStr">
        <is>
          <t>돈방석</t>
        </is>
      </c>
      <c r="P1002" s="4" t="n">
        <v>11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482</v>
      </c>
      <c r="H1003" s="4" t="n">
        <v>146</v>
      </c>
      <c r="I1003" s="5" t="n">
        <v>133.6</v>
      </c>
      <c r="J1003" s="5" t="n">
        <v>66.7</v>
      </c>
      <c r="K1003" s="3" t="inlineStr">
        <is>
          <t>연서면 기룡리 토지 계획관리지역 전원주택등</t>
        </is>
      </c>
      <c r="L1003" s="6">
        <f>HYPERLINK("https://fin.land.naver.com/articles/2645841572", "매물Link")</f>
        <v/>
      </c>
      <c r="M1003" s="6">
        <f>HYPERLINK("https://map.naver.com/p/search/연서면 기룡리 651-5", "지도Link")</f>
        <v/>
      </c>
      <c r="N1003" s="6">
        <f>HYPERLINK("https://www.eum.go.kr/web/mp/mpMapDet.jsp?pnu=3611036028106510005&amp;isNoScr=script&amp;mode=search", "토지이음")</f>
        <v/>
      </c>
      <c r="O1003" s="3" t="inlineStr">
        <is>
          <t>반석원무소</t>
        </is>
      </c>
      <c r="P1003" s="4" t="n">
        <v>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nan</t>
        </is>
      </c>
      <c r="L1004" s="6">
        <f>HYPERLINK("https://fin.land.naver.com/articles/2649561507", "매물Link")</f>
        <v/>
      </c>
      <c r="M1004" s="6">
        <f>HYPERLINK("https://map.naver.com/p/search/연서면 기룡리 651-5", "지도Link")</f>
        <v/>
      </c>
      <c r="N1004" s="6">
        <f>HYPERLINK("https://www.eum.go.kr/web/mp/mpMapDet.jsp?pnu=3611036028106510005&amp;isNoScr=script&amp;mode=search", "토지이음")</f>
        <v/>
      </c>
      <c r="O1004" s="3" t="inlineStr">
        <is>
          <t>조아</t>
        </is>
      </c>
      <c r="P1004" s="4" t="n">
        <v>4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22000</v>
      </c>
      <c r="G1005" s="4" t="n">
        <v>483</v>
      </c>
      <c r="H1005" s="4" t="n">
        <v>146</v>
      </c>
      <c r="I1005" s="5" t="n">
        <v>150.7</v>
      </c>
      <c r="J1005" s="5" t="n">
        <v>66.7</v>
      </c>
      <c r="K1005" s="3" t="inlineStr">
        <is>
          <t>급매 세종스마트산단인근  지가상승지역 전원주택 세컨하우스 추천</t>
        </is>
      </c>
      <c r="L1005" s="6">
        <f>HYPERLINK("https://fin.land.naver.com/articles/2649319892", "매물Link")</f>
        <v/>
      </c>
      <c r="M1005" s="6">
        <f>HYPERLINK("https://map.naver.com/p/search/연서면 기룡리 651-5", "지도Link")</f>
        <v/>
      </c>
      <c r="N1005" s="6">
        <f>HYPERLINK("https://www.eum.go.kr/web/mp/mpMapDet.jsp?pnu=3611036028106510005&amp;isNoScr=script&amp;mode=search", "토지이음")</f>
        <v/>
      </c>
      <c r="O1005" s="3" t="inlineStr">
        <is>
          <t>더원</t>
        </is>
      </c>
      <c r="P1005" s="4" t="n">
        <v>2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146</v>
      </c>
      <c r="I1006" s="5" t="n">
        <v>133.6</v>
      </c>
      <c r="J1006" s="5" t="n">
        <v>66.7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HYPERLINK("https://www.eum.go.kr/web/mp/mpMapDet.jsp?pnu=3611036028106510005&amp;isNoScr=script&amp;mode=search",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HYPERLINK("https://www.eum.go.kr/web/mp/mpMapDet.jsp?pnu=3611036028106620001&amp;isNoScr=script&amp;mode=search",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HYPERLINK("https://www.eum.go.kr/web/mp/mpMapDet.jsp?pnu=3611036028106920001&amp;isNoScr=script&amp;mode=search",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HYPERLINK("https://www.eum.go.kr/web/mp/mpMapDet.jsp?pnu=3611036028106930005&amp;isNoScr=script&amp;mode=search",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HYPERLINK("https://www.eum.go.kr/web/mp/mpMapDet.jsp?pnu=3611036028100910002&amp;isNoScr=script&amp;mode=search",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HYPERLINK("https://www.eum.go.kr/web/mp/mpMapDet.jsp?pnu=3611036028201260000&amp;isNoScr=script&amp;mode=search",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HYPERLINK("https://www.eum.go.kr/web/mp/mpMapDet.jsp?pnu=3611036028201540001&amp;isNoScr=script&amp;mode=search",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HYPERLINK("https://www.eum.go.kr/web/mp/mpMapDet.jsp?pnu=3611036033101020008&amp;isNoScr=script&amp;mode=search",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HYPERLINK("https://www.eum.go.kr/web/mp/mpMapDet.jsp?pnu=3611036033110820000&amp;isNoScr=script&amp;mode=search",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HYPERLINK("https://www.eum.go.kr/web/mp/mpMapDet.jsp?pnu=3611036033102140013&amp;isNoScr=script&amp;mode=search",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HYPERLINK("https://www.eum.go.kr/web/mp/mpMapDet.jsp?pnu=3611036033102290021&amp;isNoScr=script&amp;mode=search",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HYPERLINK("https://www.eum.go.kr/web/mp/mpMapDet.jsp?pnu=3611036033102300060&amp;isNoScr=script&amp;mode=search",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HYPERLINK("https://www.eum.go.kr/web/mp/mpMapDet.jsp?pnu=3611036033102320000&amp;isNoScr=script&amp;mode=search",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HYPERLINK("https://www.eum.go.kr/web/mp/mpMapDet.jsp?pnu=3611036033102340032&amp;isNoScr=script&amp;mode=search",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HYPERLINK("https://www.eum.go.kr/web/mp/mpMapDet.jsp?pnu=3611036033102340043&amp;isNoScr=script&amp;mode=search",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HYPERLINK("https://www.eum.go.kr/web/mp/mpMapDet.jsp?pnu=3611036033102450005&amp;isNoScr=script&amp;mode=search",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HYPERLINK("https://www.eum.go.kr/web/mp/mpMapDet.jsp?pnu=3611036033103480000&amp;isNoScr=script&amp;mode=search",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HYPERLINK("https://www.eum.go.kr/web/mp/mpMapDet.jsp?pnu=3611036033104270012&amp;isNoScr=script&amp;mode=search",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HYPERLINK("https://www.eum.go.kr/web/mp/mpMapDet.jsp?pnu=3611036033104480000&amp;isNoScr=script&amp;mode=search",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HYPERLINK("https://www.eum.go.kr/web/mp/mpMapDet.jsp?pnu=3611036033100450000&amp;isNoScr=script&amp;mode=search",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HYPERLINK("https://www.eum.go.kr/web/mp/mpMapDet.jsp?pnu=3611036033105320002&amp;isNoScr=script&amp;mode=search",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HYPERLINK("https://www.eum.go.kr/web/mp/mpMapDet.jsp?pnu=3611036033105790001&amp;isNoScr=script&amp;mode=search",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HYPERLINK("https://www.eum.go.kr/web/mp/mpMapDet.jsp?pnu=3611036033106040003&amp;isNoScr=script&amp;mode=search",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HYPERLINK("https://www.eum.go.kr/web/mp/mpMapDet.jsp?pnu=3611036033106200022&amp;isNoScr=script&amp;mode=search",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HYPERLINK("https://www.eum.go.kr/web/mp/mpMapDet.jsp?pnu=3611036033106570013&amp;isNoScr=script&amp;mode=search",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HYPERLINK("https://www.eum.go.kr/web/mp/mpMapDet.jsp?pnu=3611036033106760010&amp;isNoScr=script&amp;mode=search",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HYPERLINK("https://www.eum.go.kr/web/mp/mpMapDet.jsp?pnu=3611036033106770002&amp;isNoScr=script&amp;mode=search",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HYPERLINK("https://www.eum.go.kr/web/mp/mpMapDet.jsp?pnu=3611036033107050002&amp;isNoScr=script&amp;mode=search",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HYPERLINK("https://www.eum.go.kr/web/mp/mpMapDet.jsp?pnu=3611036033108280000&amp;isNoScr=script&amp;mode=search",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HYPERLINK("https://www.eum.go.kr/web/mp/mpMapDet.jsp?pnu=3611036033109470000&amp;isNoScr=script&amp;mode=search",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HYPERLINK("https://www.eum.go.kr/web/mp/mpMapDet.jsp?pnu=3611036033109960000&amp;isNoScr=script&amp;mode=search",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HYPERLINK("https://www.eum.go.kr/web/mp/mpMapDet.jsp?pnu=3611036032101080001&amp;isNoScr=script&amp;mode=search",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HYPERLINK("https://www.eum.go.kr/web/mp/mpMapDet.jsp?pnu=3611036032101080002&amp;isNoScr=script&amp;mode=search",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HYPERLINK("https://www.eum.go.kr/web/mp/mpMapDet.jsp?pnu=3611036032102550001&amp;isNoScr=script&amp;mode=search",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HYPERLINK("https://www.eum.go.kr/web/mp/mpMapDet.jsp?pnu=3611036032100650000&amp;isNoScr=script&amp;mode=search",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HYPERLINK("https://www.eum.go.kr/web/mp/mpMapDet.jsp?pnu=3611036032100650000&amp;isNoScr=script&amp;mode=search",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HYPERLINK("https://www.eum.go.kr/web/mp/mpMapDet.jsp?pnu=3611036032100800002&amp;isNoScr=script&amp;mode=search",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HYPERLINK("https://www.eum.go.kr/web/mp/mpMapDet.jsp?pnu=3611036023101000001&amp;isNoScr=script&amp;mode=search",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HYPERLINK("https://www.eum.go.kr/web/mp/mpMapDet.jsp?pnu=3611036023101450014&amp;isNoScr=script&amp;mode=search",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도로변 성장관리구역 과수원</t>
        </is>
      </c>
      <c r="L1045" s="6">
        <f>HYPERLINK("https://fin.land.naver.com/articles/2650613233", "매물Link")</f>
        <v/>
      </c>
      <c r="M1045" s="6">
        <f>HYPERLINK("https://map.naver.com/p/search/연서면 성제리 145-14", "지도Link")</f>
        <v/>
      </c>
      <c r="N1045" s="6">
        <f>HYPERLINK("https://www.eum.go.kr/web/mp/mpMapDet.jsp?pnu=3611036023101450014&amp;isNoScr=script&amp;mode=search",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158-6</t>
        </is>
      </c>
      <c r="B1046" s="3" t="inlineStr">
        <is>
          <t>자연녹지지역</t>
        </is>
      </c>
      <c r="C1046" s="3" t="inlineStr">
        <is>
          <t>창고용지</t>
        </is>
      </c>
      <c r="D1046" s="3" t="inlineStr">
        <is>
          <t>창고용지</t>
        </is>
      </c>
      <c r="E1046" s="3" t="inlineStr">
        <is>
          <t>매매</t>
        </is>
      </c>
      <c r="F1046" s="4" t="n">
        <v>55000</v>
      </c>
      <c r="G1046" s="4" t="n">
        <v>850</v>
      </c>
      <c r="H1046" s="4" t="n">
        <v>257</v>
      </c>
      <c r="I1046" s="5" t="n">
        <v>214</v>
      </c>
      <c r="J1046" s="5" t="n">
        <v>63.8</v>
      </c>
      <c r="K1046" s="3" t="inlineStr">
        <is>
          <t>포장도로에 접해있는 도시지역 자연녹지지역의 농업용창고 66㎡와 전850㎡</t>
        </is>
      </c>
      <c r="L1046" s="6">
        <f>HYPERLINK("https://fin.land.naver.com/articles/2645384692", "매물Link")</f>
        <v/>
      </c>
      <c r="M1046" s="6">
        <f>HYPERLINK("https://map.naver.com/p/search/연서면 성제리 158-6", "지도Link")</f>
        <v/>
      </c>
      <c r="N1046" s="6">
        <f>HYPERLINK("https://www.eum.go.kr/web/mp/mpMapDet.jsp?pnu=3611036023101580006&amp;isNoScr=script&amp;mode=search",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440</v>
      </c>
      <c r="R1046" s="3" t="inlineStr">
        <is>
          <t>지정되지않음</t>
        </is>
      </c>
      <c r="S1046" s="3" t="inlineStr">
        <is>
          <t>전창고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80500</v>
      </c>
      <c r="G1047" s="4" t="n">
        <v>2045</v>
      </c>
      <c r="H1047" s="4" t="n">
        <v>619</v>
      </c>
      <c r="I1047" s="5" t="n">
        <v>130</v>
      </c>
      <c r="J1047" s="5" t="n">
        <v>27.3</v>
      </c>
      <c r="K1047" s="3" t="inlineStr">
        <is>
          <t>세종시근접 2차선도로접 토지,향후 개발가능성높은 토지입니다.</t>
        </is>
      </c>
      <c r="L1047" s="6">
        <f>HYPERLINK("https://fin.land.naver.com/articles/2648033562", "매물Link")</f>
        <v/>
      </c>
      <c r="M1047" s="6">
        <f>HYPERLINK("https://map.naver.com/p/search/연서면 성제리 186-5", "지도Link")</f>
        <v/>
      </c>
      <c r="N1047" s="6">
        <f>HYPERLINK("https://www.eum.go.kr/web/mp/mpMapDet.jsp?pnu=3611036023101860005&amp;isNoScr=script&amp;mode=search", "토지이음")</f>
        <v/>
      </c>
      <c r="O1047" s="3" t="inlineStr">
        <is>
          <t>담뜰</t>
        </is>
      </c>
      <c r="P1047" s="4" t="n">
        <v>3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HYPERLINK("https://fin.land.naver.com/articles/2644591685", "매물Link")</f>
        <v/>
      </c>
      <c r="M1048" s="6">
        <f>HYPERLINK("https://map.naver.com/p/search/연서면 성제리 186-5", "지도Link")</f>
        <v/>
      </c>
      <c r="N1048" s="6">
        <f>HYPERLINK("https://www.eum.go.kr/web/mp/mpMapDet.jsp?pnu=3611036023101860005&amp;isNoScr=script&amp;mode=search",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80400</v>
      </c>
      <c r="G1049" s="4" t="n">
        <v>2045</v>
      </c>
      <c r="H1049" s="4" t="n">
        <v>619</v>
      </c>
      <c r="I1049" s="5" t="n">
        <v>129.9</v>
      </c>
      <c r="J1049" s="5" t="n">
        <v>27.3</v>
      </c>
      <c r="K1049" s="3" t="inlineStr">
        <is>
          <t>2차선 도로접 북세종IC인근</t>
        </is>
      </c>
      <c r="L1049" s="6">
        <f>HYPERLINK("https://fin.land.naver.com/articles/2650478349", "매물Link")</f>
        <v/>
      </c>
      <c r="M1049" s="6">
        <f>HYPERLINK("https://map.naver.com/p/search/연서면 성제리 186-5", "지도Link")</f>
        <v/>
      </c>
      <c r="N1049" s="6">
        <f>HYPERLINK("https://www.eum.go.kr/web/mp/mpMapDet.jsp?pnu=3611036023101860005&amp;isNoScr=script&amp;mode=search", "토지이음")</f>
        <v/>
      </c>
      <c r="O1049" s="3" t="inlineStr">
        <is>
          <t>가치잇는</t>
        </is>
      </c>
      <c r="P1049" s="4" t="n">
        <v>4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HYPERLINK("https://www.eum.go.kr/web/mp/mpMapDet.jsp?pnu=3611036023101860006&amp;isNoScr=script&amp;mode=search",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HYPERLINK("https://www.eum.go.kr/web/mp/mpMapDet.jsp?pnu=3611036023101860006&amp;isNoScr=script&amp;mode=search",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93000</v>
      </c>
      <c r="G1052" s="4" t="n">
        <v>2045</v>
      </c>
      <c r="H1052" s="4" t="n">
        <v>619</v>
      </c>
      <c r="I1052" s="5" t="n">
        <v>150.2</v>
      </c>
      <c r="J1052" s="5" t="n">
        <v>27.3</v>
      </c>
      <c r="K1052" s="3" t="inlineStr">
        <is>
          <t>2차선 도로변 토지 매매</t>
        </is>
      </c>
      <c r="L1052" s="6">
        <f>HYPERLINK("https://fin.land.naver.com/articles/2647481662", "매물Link")</f>
        <v/>
      </c>
      <c r="M1052" s="6">
        <f>HYPERLINK("https://map.naver.com/p/search/연서면 성제리 186-6", "지도Link")</f>
        <v/>
      </c>
      <c r="N1052" s="6">
        <f>HYPERLINK("https://www.eum.go.kr/web/mp/mpMapDet.jsp?pnu=3611036023101860006&amp;isNoScr=script&amp;mode=search", "토지이음")</f>
        <v/>
      </c>
      <c r="O1052" s="3" t="inlineStr">
        <is>
          <t>주식회사넥서스</t>
        </is>
      </c>
      <c r="P1052" s="4" t="n">
        <v>1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188-3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69000</v>
      </c>
      <c r="G1053" s="4" t="n">
        <v>1535</v>
      </c>
      <c r="H1053" s="4" t="n">
        <v>464</v>
      </c>
      <c r="I1053" s="5" t="n">
        <v>148.7</v>
      </c>
      <c r="J1053" s="5" t="n">
        <v>26.8</v>
      </c>
      <c r="K1053" s="3" t="inlineStr">
        <is>
          <t>연서면 성제리 지목이 과수원으로 마을 포장도로에 접해 있어 이용가치 높은</t>
        </is>
      </c>
      <c r="L1053" s="6">
        <f>HYPERLINK("https://fin.land.naver.com/articles/2645998585", "매물Link")</f>
        <v/>
      </c>
      <c r="M1053" s="6">
        <f>HYPERLINK("https://map.naver.com/p/search/연서면 성제리 188-3", "지도Link")</f>
        <v/>
      </c>
      <c r="N1053" s="6">
        <f>HYPERLINK("https://www.eum.go.kr/web/mp/mpMapDet.jsp?pnu=3611036023101880003&amp;isNoScr=script&amp;mode=search",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1535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190-7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71900</v>
      </c>
      <c r="G1054" s="4" t="n">
        <v>1980</v>
      </c>
      <c r="H1054" s="4" t="n">
        <v>599</v>
      </c>
      <c r="I1054" s="5" t="n">
        <v>120</v>
      </c>
      <c r="J1054" s="5" t="n">
        <v>26.8</v>
      </c>
      <c r="K1054" s="3" t="inlineStr">
        <is>
          <t>포장농로 접한 연서면 평탄 농업용 토지</t>
        </is>
      </c>
      <c r="L1054" s="6">
        <f>HYPERLINK("https://fin.land.naver.com/articles/2647424202", "매물Link")</f>
        <v/>
      </c>
      <c r="M1054" s="6">
        <f>HYPERLINK("https://map.naver.com/p/search/연서면 성제리 190-7", "지도Link")</f>
        <v/>
      </c>
      <c r="N1054" s="6">
        <f>HYPERLINK("https://www.eum.go.kr/web/mp/mpMapDet.jsp?pnu=3611036023101900007&amp;isNoScr=script&amp;mode=search", "토지이음")</f>
        <v/>
      </c>
      <c r="O1054" s="3" t="inlineStr">
        <is>
          <t>세종소담황금</t>
        </is>
      </c>
      <c r="P1054" s="4" t="n">
        <v>1</v>
      </c>
      <c r="Q1054" s="4" t="n">
        <v>1980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202-3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54000</v>
      </c>
      <c r="G1055" s="4" t="n">
        <v>1790</v>
      </c>
      <c r="H1055" s="4" t="n">
        <v>541</v>
      </c>
      <c r="I1055" s="5" t="n">
        <v>99.8</v>
      </c>
      <c r="J1055" s="5" t="n">
        <v>25</v>
      </c>
      <c r="K1055" s="3" t="inlineStr">
        <is>
          <t>세종스마트 국가산업단지 인근에 있는 주변시세보다 저렴한 대토용 농지 급매</t>
        </is>
      </c>
      <c r="L1055" s="6">
        <f>HYPERLINK("https://fin.land.naver.com/articles/2649145962", "매물Link")</f>
        <v/>
      </c>
      <c r="M1055" s="6">
        <f>HYPERLINK("https://map.naver.com/p/search/연서면 성제리 202-3", "지도Link")</f>
        <v/>
      </c>
      <c r="N1055" s="6">
        <f>HYPERLINK("https://www.eum.go.kr/web/mp/mpMapDet.jsp?pnu=3611036023102020003&amp;isNoScr=script&amp;mode=search",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1790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217-1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35000</v>
      </c>
      <c r="G1056" s="4" t="n">
        <v>1430</v>
      </c>
      <c r="H1056" s="4" t="n">
        <v>433</v>
      </c>
      <c r="I1056" s="5" t="n">
        <v>80.8</v>
      </c>
      <c r="J1056" s="5" t="n">
        <v>25.2</v>
      </c>
      <c r="K1056" s="3" t="inlineStr">
        <is>
          <t>도로접한 농지</t>
        </is>
      </c>
      <c r="L1056" s="6">
        <f>HYPERLINK("https://fin.land.naver.com/articles/2644890063", "매물Link")</f>
        <v/>
      </c>
      <c r="M1056" s="6">
        <f>HYPERLINK("https://map.naver.com/p/search/연서면 성제리 217-1", "지도Link")</f>
        <v/>
      </c>
      <c r="N1056" s="6">
        <f>HYPERLINK("https://www.eum.go.kr/web/mp/mpMapDet.jsp?pnu=3611036023102170001&amp;isNoScr=script&amp;mode=search",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1430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273-5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투자가치 높은 도시지역내 과수원</t>
        </is>
      </c>
      <c r="L1057" s="6">
        <f>HYPERLINK("https://fin.land.naver.com/articles/2646007792", "매물Link")</f>
        <v/>
      </c>
      <c r="M1057" s="6">
        <f>HYPERLINK("https://map.naver.com/p/search/연서면 성제리 273-5", "지도Link")</f>
        <v/>
      </c>
      <c r="N1057" s="6">
        <f>HYPERLINK("https://www.eum.go.kr/web/mp/mpMapDet.jsp?pnu=3611036023102730005&amp;isNoScr=script&amp;mode=search", "토지이음")</f>
        <v/>
      </c>
      <c r="O1057" s="3" t="inlineStr">
        <is>
          <t>세종대박</t>
        </is>
      </c>
      <c r="P1057" s="4" t="n">
        <v>2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273-6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미래가치 높은 관리 잘된 투자형 과수원</t>
        </is>
      </c>
      <c r="L1058" s="6">
        <f>HYPERLINK("https://fin.land.naver.com/articles/2649629027", "매물Link")</f>
        <v/>
      </c>
      <c r="M1058" s="6">
        <f>HYPERLINK("https://map.naver.com/p/search/연서면 성제리 273-6", "지도Link")</f>
        <v/>
      </c>
      <c r="N1058" s="6">
        <f>HYPERLINK("https://www.eum.go.kr/web/mp/mpMapDet.jsp?pnu=3611036023102730006&amp;isNoScr=script&amp;mode=search",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HYPERLINK("https://www.eum.go.kr/web/mp/mpMapDet.jsp?pnu=3611036023102730009&amp;isNoScr=script&amp;mode=search",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HYPERLINK("https://www.eum.go.kr/web/mp/mpMapDet.jsp?pnu=3611036023102800009&amp;isNoScr=script&amp;mode=search",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96000</v>
      </c>
      <c r="G1061" s="4" t="n">
        <v>3193</v>
      </c>
      <c r="H1061" s="4" t="n">
        <v>966</v>
      </c>
      <c r="I1061" s="5" t="n">
        <v>99.40000000000001</v>
      </c>
      <c r="J1061" s="5" t="n">
        <v>74.8</v>
      </c>
      <c r="K1061" s="3" t="inlineStr">
        <is>
          <t>연서면행정복지센타 인근토지</t>
        </is>
      </c>
      <c r="L1061" s="6">
        <f>HYPERLINK("https://fin.land.naver.com/articles/2648029985", "매물Link")</f>
        <v/>
      </c>
      <c r="M1061" s="6">
        <f>HYPERLINK("https://map.naver.com/p/search/연서면 성제리 280-9", "지도Link")</f>
        <v/>
      </c>
      <c r="N1061" s="6">
        <f>HYPERLINK("https://www.eum.go.kr/web/mp/mpMapDet.jsp?pnu=3611036023102800009&amp;isNoScr=script&amp;mode=search", "토지이음")</f>
        <v/>
      </c>
      <c r="O1061" s="3" t="inlineStr">
        <is>
          <t>THE행복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HYPERLINK("https://www.eum.go.kr/web/mp/mpMapDet.jsp?pnu=3611036023104290000&amp;isNoScr=script&amp;mode=search",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HYPERLINK("https://www.eum.go.kr/web/mp/mpMapDet.jsp?pnu=3611036023104460000&amp;isNoScr=script&amp;mode=search",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82250</v>
      </c>
      <c r="G1064" s="4" t="n">
        <v>1087</v>
      </c>
      <c r="H1064" s="4" t="n">
        <v>329</v>
      </c>
      <c r="I1064" s="5" t="n">
        <v>250</v>
      </c>
      <c r="J1064" s="5" t="n">
        <v>65.90000000000001</v>
      </c>
      <c r="K1064" s="3" t="inlineStr">
        <is>
          <t>집짓기 좋은 정방형 토지 매매</t>
        </is>
      </c>
      <c r="L1064" s="6">
        <f>HYPERLINK("https://fin.land.naver.com/articles/2647111574", "매물Link")</f>
        <v/>
      </c>
      <c r="M1064" s="6">
        <f>HYPERLINK("https://map.naver.com/p/search/연서면 성제리 446", "지도Link")</f>
        <v/>
      </c>
      <c r="N1064" s="6">
        <f>HYPERLINK("https://www.eum.go.kr/web/mp/mpMapDet.jsp?pnu=3611036023104460000&amp;isNoScr=script&amp;mode=search",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HYPERLINK("https://www.eum.go.kr/web/mp/mpMapDet.jsp?pnu=3611036023104460000&amp;isNoScr=script&amp;mode=search",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HYPERLINK("https://www.eum.go.kr/web/mp/mpMapDet.jsp?pnu=3611036023104460001&amp;isNoScr=script&amp;mode=search",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HYPERLINK("https://www.eum.go.kr/web/mp/mpMapDet.jsp?pnu=3611036023104480005&amp;isNoScr=script&amp;mode=search",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HYPERLINK("https://www.eum.go.kr/web/mp/mpMapDet.jsp?pnu=3611036023104520000&amp;isNoScr=script&amp;mode=search",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HYPERLINK("https://www.eum.go.kr/web/mp/mpMapDet.jsp?pnu=3611036023104550008&amp;isNoScr=script&amp;mode=search",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564-3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111700</v>
      </c>
      <c r="G1070" s="4" t="n">
        <v>1320</v>
      </c>
      <c r="H1070" s="4" t="n">
        <v>399</v>
      </c>
      <c r="I1070" s="5" t="n">
        <v>279.9</v>
      </c>
      <c r="J1070" s="5" t="n">
        <v>50.8</v>
      </c>
      <c r="K1070" s="3" t="inlineStr">
        <is>
          <t>세종시 연서면 계획관리 매매.11.1억</t>
        </is>
      </c>
      <c r="L1070" s="6">
        <f>HYPERLINK("https://fin.land.naver.com/articles/2645257637", "매물Link")</f>
        <v/>
      </c>
      <c r="M1070" s="6">
        <f>HYPERLINK("https://map.naver.com/p/search/연서면 성제리 564-3", "지도Link")</f>
        <v/>
      </c>
      <c r="N1070" s="6">
        <f>HYPERLINK("https://www.eum.go.kr/web/mp/mpMapDet.jsp?pnu=3611036023105640003&amp;isNoScr=script&amp;mode=search", "토지이음")</f>
        <v/>
      </c>
      <c r="O1070" s="3" t="inlineStr">
        <is>
          <t>동원</t>
        </is>
      </c>
      <c r="P1070" s="4" t="n">
        <v>1</v>
      </c>
      <c r="Q1070" s="4" t="n">
        <v>1320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HYPERLINK("https://www.eum.go.kr/web/mp/mpMapDet.jsp?pnu=3611036023105860014&amp;isNoScr=script&amp;mode=search", "토지이음")</f>
        <v/>
      </c>
      <c r="O1071" s="3" t="inlineStr">
        <is>
          <t>길음(02-983-0110)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586-14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418</v>
      </c>
      <c r="H1072" s="4" t="n">
        <v>126</v>
      </c>
      <c r="I1072" s="5" t="n">
        <v>888.9</v>
      </c>
      <c r="J1072" s="5" t="n">
        <v>172</v>
      </c>
      <c r="K1072" s="3" t="inlineStr">
        <is>
          <t>현재132.16제곱음식점운영.인접2필지병행매매가합1204제곱.코너각지</t>
        </is>
      </c>
      <c r="L1072" s="6">
        <f>HYPERLINK("https://fin.land.naver.com/articles/2649411604", "매물Link")</f>
        <v/>
      </c>
      <c r="M1072" s="6">
        <f>HYPERLINK("https://map.naver.com/p/search/연서면 성제리 586-14", "지도Link")</f>
        <v/>
      </c>
      <c r="N1072" s="6">
        <f>HYPERLINK("https://www.eum.go.kr/web/mp/mpMapDet.jsp?pnu=3611036023105860014&amp;isNoScr=script&amp;mode=search", "토지이음")</f>
        <v/>
      </c>
      <c r="O1072" s="3" t="inlineStr">
        <is>
          <t>돈방석</t>
        </is>
      </c>
      <c r="P1072" s="4" t="n">
        <v>2</v>
      </c>
      <c r="Q1072" s="4" t="n">
        <v>418</v>
      </c>
      <c r="R1072" s="3" t="inlineStr">
        <is>
          <t>지정되지않음</t>
        </is>
      </c>
      <c r="S1072" s="3" t="inlineStr">
        <is>
          <t>주상용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소로각지</t>
        </is>
      </c>
    </row>
    <row r="1073">
      <c r="A1073" s="3" t="inlineStr">
        <is>
          <t>연서면 성제리 586-183</t>
        </is>
      </c>
      <c r="B1073" s="3" t="inlineStr">
        <is>
          <t>계획관리지역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95000</v>
      </c>
      <c r="G1073" s="4" t="n">
        <v>661</v>
      </c>
      <c r="H1073" s="4" t="n">
        <v>200</v>
      </c>
      <c r="I1073" s="5" t="n">
        <v>475</v>
      </c>
      <c r="J1073" s="5" t="n">
        <v>58.2</v>
      </c>
      <c r="K1073" s="3" t="inlineStr">
        <is>
          <t>2차선에 접한 귀한 토지.개발호재.지가상승지역.</t>
        </is>
      </c>
      <c r="L1073" s="6">
        <f>HYPERLINK("https://fin.land.naver.com/articles/2645258121", "매물Link")</f>
        <v/>
      </c>
      <c r="M1073" s="6">
        <f>HYPERLINK("https://map.naver.com/p/search/연서면 성제리 586-183", "지도Link")</f>
        <v/>
      </c>
      <c r="N1073" s="6">
        <f>HYPERLINK("https://www.eum.go.kr/web/mp/mpMapDet.jsp?pnu=3611036023105860183&amp;isNoScr=script&amp;mode=search", "토지이음")</f>
        <v/>
      </c>
      <c r="O1073" s="3" t="inlineStr">
        <is>
          <t>동원</t>
        </is>
      </c>
      <c r="P1073" s="4" t="n">
        <v>1</v>
      </c>
      <c r="Q1073" s="4" t="n">
        <v>661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연서면 성제리 77-1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310000</v>
      </c>
      <c r="G1074" s="4" t="n">
        <v>5153</v>
      </c>
      <c r="H1074" s="4" t="n">
        <v>1559</v>
      </c>
      <c r="I1074" s="5" t="n">
        <v>198.8</v>
      </c>
      <c r="J1074" s="5" t="n">
        <v>42.9</v>
      </c>
      <c r="K1074" s="3" t="inlineStr">
        <is>
          <t>성제리 도로접한 해 잘들어오는 계획관리 토지</t>
        </is>
      </c>
      <c r="L1074" s="6">
        <f>HYPERLINK("https://fin.land.naver.com/articles/2648593585", "매물Link")</f>
        <v/>
      </c>
      <c r="M1074" s="6">
        <f>HYPERLINK("https://map.naver.com/p/search/연서면 성제리 77-1", "지도Link")</f>
        <v/>
      </c>
      <c r="N1074" s="6">
        <f>HYPERLINK("https://www.eum.go.kr/web/mp/mpMapDet.jsp?pnu=3611036023100770001&amp;isNoScr=script&amp;mode=search", "토지이음")</f>
        <v/>
      </c>
      <c r="O1074" s="3" t="inlineStr">
        <is>
          <t>엄지척</t>
        </is>
      </c>
      <c r="P1074" s="4" t="n">
        <v>1</v>
      </c>
      <c r="Q1074" s="4" t="n">
        <v>4760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임야</t>
        </is>
      </c>
      <c r="L1075" s="6">
        <f>HYPERLINK("https://fin.land.naver.com/articles/2647749190", "매물Link")</f>
        <v/>
      </c>
      <c r="M1075" s="6">
        <f>HYPERLINK("https://map.naver.com/p/search/연서면 성제리 산 28-1", "지도Link")</f>
        <v/>
      </c>
      <c r="N1075" s="6">
        <f>HYPERLINK("https://www.eum.go.kr/web/mp/mpMapDet.jsp?pnu=3611036023200280001&amp;isNoScr=script&amp;mode=search",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40562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HYPERLINK("https://www.eum.go.kr/web/mp/mpMapDet.jsp?pnu=3611036023200280001&amp;isNoScr=script&amp;mode=search",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40562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신대리 115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35000</v>
      </c>
      <c r="G1077" s="4" t="n">
        <v>874</v>
      </c>
      <c r="H1077" s="4" t="n">
        <v>264</v>
      </c>
      <c r="I1077" s="5" t="n">
        <v>132.6</v>
      </c>
      <c r="J1077" s="5" t="n">
        <v>91.59999999999999</v>
      </c>
      <c r="K1077" s="3" t="inlineStr">
        <is>
          <t>연서면 신대리 계획관리 대지, 포장도로접, 조치원 국가산단 인근, 저렴</t>
        </is>
      </c>
      <c r="L1077" s="6">
        <f>HYPERLINK("https://fin.land.naver.com/articles/2647404519", "매물Link")</f>
        <v/>
      </c>
      <c r="M1077" s="6">
        <f>HYPERLINK("https://map.naver.com/p/search/연서면 신대리 115", "지도Link")</f>
        <v/>
      </c>
      <c r="N1077" s="6">
        <f>HYPERLINK("https://www.eum.go.kr/web/mp/mpMapDet.jsp?pnu=3611036029101150000&amp;isNoScr=script&amp;mode=search", "토지이음")</f>
        <v/>
      </c>
      <c r="O1077" s="3" t="inlineStr">
        <is>
          <t>스카이</t>
        </is>
      </c>
      <c r="P1077" s="4" t="n">
        <v>1</v>
      </c>
      <c r="Q1077" s="4" t="n">
        <v>874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신대리 124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2324</v>
      </c>
      <c r="H1078" s="4" t="n">
        <v>703</v>
      </c>
      <c r="I1078" s="5" t="n">
        <v>170.7</v>
      </c>
      <c r="J1078" s="5" t="n">
        <v>50.2</v>
      </c>
      <c r="K1078" s="3" t="inlineStr">
        <is>
          <t>급매, 대토용, 투자용</t>
        </is>
      </c>
      <c r="L1078" s="6">
        <f>HYPERLINK("https://fin.land.naver.com/articles/2648500554", "매물Link")</f>
        <v/>
      </c>
      <c r="M1078" s="6">
        <f>HYPERLINK("https://map.naver.com/p/search/연서면 신대리 124", "지도Link")</f>
        <v/>
      </c>
      <c r="N1078" s="6">
        <f>HYPERLINK("https://www.eum.go.kr/web/mp/mpMapDet.jsp?pnu=3611036029101240000&amp;isNoScr=script&amp;mode=search",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2324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신대리 192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163000</v>
      </c>
      <c r="G1079" s="4" t="n">
        <v>2569</v>
      </c>
      <c r="H1079" s="4" t="n">
        <v>777</v>
      </c>
      <c r="I1079" s="5" t="n">
        <v>209.8</v>
      </c>
      <c r="J1079" s="5" t="n">
        <v>62</v>
      </c>
      <c r="K1079" s="3" t="inlineStr">
        <is>
          <t>계획관리지역, 성장관리구역, 도로접합, 세종국가산단인근</t>
        </is>
      </c>
      <c r="L1079" s="6">
        <f>HYPERLINK("https://fin.land.naver.com/articles/2650333044", "매물Link")</f>
        <v/>
      </c>
      <c r="M1079" s="6">
        <f>HYPERLINK("https://map.naver.com/p/search/연서면 신대리 192", "지도Link")</f>
        <v/>
      </c>
      <c r="N1079" s="6">
        <f>HYPERLINK("https://www.eum.go.kr/web/mp/mpMapDet.jsp?pnu=3611036029101920000&amp;isNoScr=script&amp;mode=search", "토지이음")</f>
        <v/>
      </c>
      <c r="O1079" s="3" t="inlineStr">
        <is>
          <t>세종일조</t>
        </is>
      </c>
      <c r="P1079" s="4" t="n">
        <v>1</v>
      </c>
      <c r="Q1079" s="4" t="n">
        <v>2569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신대리 30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63000</v>
      </c>
      <c r="G1080" s="4" t="n">
        <v>913</v>
      </c>
      <c r="H1080" s="4" t="n">
        <v>276</v>
      </c>
      <c r="I1080" s="5" t="n">
        <v>228.3</v>
      </c>
      <c r="J1080" s="5" t="n">
        <v>73.8</v>
      </c>
      <c r="K1080" s="3" t="inlineStr">
        <is>
          <t>세종산업단지 1km이내 계획관리지역, 자연취락지구 토지매매</t>
        </is>
      </c>
      <c r="L1080" s="6">
        <f>HYPERLINK("https://fin.land.naver.com/articles/2645514771", "매물Link")</f>
        <v/>
      </c>
      <c r="M1080" s="6">
        <f>HYPERLINK("https://map.naver.com/p/search/연서면 신대리 30", "지도Link")</f>
        <v/>
      </c>
      <c r="N1080" s="6">
        <f>HYPERLINK("https://www.eum.go.kr/web/mp/mpMapDet.jsp?pnu=3611036029100300000&amp;isNoScr=script&amp;mode=search", "토지이음")</f>
        <v/>
      </c>
      <c r="O1080" s="3" t="inlineStr">
        <is>
          <t>에이스</t>
        </is>
      </c>
      <c r="P1080" s="4" t="n">
        <v>1</v>
      </c>
      <c r="Q1080" s="4" t="n">
        <v>364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신대리 320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45800</v>
      </c>
      <c r="G1081" s="4" t="n">
        <v>2013</v>
      </c>
      <c r="H1081" s="4" t="n">
        <v>609</v>
      </c>
      <c r="I1081" s="5" t="n">
        <v>75.2</v>
      </c>
      <c r="J1081" s="5" t="n">
        <v>23.9</v>
      </c>
      <c r="K1081" s="3" t="inlineStr">
        <is>
          <t>투자하기 좋은 토지</t>
        </is>
      </c>
      <c r="L1081" s="6">
        <f>HYPERLINK("https://fin.land.naver.com/articles/2646792074", "매물Link")</f>
        <v/>
      </c>
      <c r="M1081" s="6">
        <f>HYPERLINK("https://map.naver.com/p/search/연서면 신대리 320", "지도Link")</f>
        <v/>
      </c>
      <c r="N1081" s="6">
        <f>HYPERLINK("https://www.eum.go.kr/web/mp/mpMapDet.jsp?pnu=3611036029103200000&amp;isNoScr=script&amp;mode=search", "토지이음")</f>
        <v/>
      </c>
      <c r="O1081" s="3" t="inlineStr">
        <is>
          <t>이로운 사무소</t>
        </is>
      </c>
      <c r="P1081" s="4" t="n">
        <v>1</v>
      </c>
      <c r="Q1081" s="4" t="n">
        <v>2013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신대리 323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600000</v>
      </c>
      <c r="G1082" s="4" t="n">
        <v>10277</v>
      </c>
      <c r="H1082" s="4" t="n">
        <v>3109</v>
      </c>
      <c r="I1082" s="5" t="n">
        <v>193</v>
      </c>
      <c r="J1082" s="5" t="n">
        <v>22.7</v>
      </c>
      <c r="K1082" s="3" t="inlineStr">
        <is>
          <t>귀한 연서면 토지이며 인접한 3필지 일괄 매매.분할매도가능</t>
        </is>
      </c>
      <c r="L1082" s="6">
        <f>HYPERLINK("https://fin.land.naver.com/articles/2646723486", "매물Link")</f>
        <v/>
      </c>
      <c r="M1082" s="6">
        <f>HYPERLINK("https://map.naver.com/p/search/연서면 신대리 323", "지도Link")</f>
        <v/>
      </c>
      <c r="N1082" s="6">
        <f>HYPERLINK("https://www.eum.go.kr/web/mp/mpMapDet.jsp?pnu=3611036029103230000&amp;isNoScr=script&amp;mode=search", "토지이음")</f>
        <v/>
      </c>
      <c r="O1082" s="3" t="inlineStr">
        <is>
          <t>생생</t>
        </is>
      </c>
      <c r="P1082" s="4" t="n">
        <v>1</v>
      </c>
      <c r="Q1082" s="4" t="n">
        <v>2188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신대리 327-5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22500</v>
      </c>
      <c r="G1083" s="4" t="n">
        <v>941</v>
      </c>
      <c r="H1083" s="4" t="n">
        <v>285</v>
      </c>
      <c r="I1083" s="5" t="n">
        <v>78.90000000000001</v>
      </c>
      <c r="J1083" s="5" t="n">
        <v>17.8</v>
      </c>
      <c r="K1083" s="3" t="inlineStr">
        <is>
          <t>국가산단예정지 인접,전원생활과 미래가치를 동시에</t>
        </is>
      </c>
      <c r="L1083" s="6">
        <f>HYPERLINK("https://fin.land.naver.com/articles/2648185485", "매물Link")</f>
        <v/>
      </c>
      <c r="M1083" s="6">
        <f>HYPERLINK("https://map.naver.com/p/search/연서면 신대리 327-5", "지도Link")</f>
        <v/>
      </c>
      <c r="N1083" s="6">
        <f>HYPERLINK("https://www.eum.go.kr/web/mp/mpMapDet.jsp?pnu=3611036029103270005&amp;isNoScr=script&amp;mode=search", "토지이음")</f>
        <v/>
      </c>
      <c r="O1083" s="3" t="inlineStr">
        <is>
          <t>가치잇는</t>
        </is>
      </c>
      <c r="P1083" s="4" t="n">
        <v>1</v>
      </c>
      <c r="Q1083" s="4" t="n">
        <v>757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신대리 365-3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58000</v>
      </c>
      <c r="G1084" s="4" t="n">
        <v>1927</v>
      </c>
      <c r="H1084" s="4" t="n">
        <v>583</v>
      </c>
      <c r="I1084" s="5" t="n">
        <v>99.5</v>
      </c>
      <c r="J1084" s="5" t="n">
        <v>47.8</v>
      </c>
      <c r="K1084" s="3" t="inlineStr">
        <is>
          <t>연서면 신대리에 있는 계획관리지역 대지 3필지를 일괄 매매합니다</t>
        </is>
      </c>
      <c r="L1084" s="6">
        <f>HYPERLINK("https://fin.land.naver.com/articles/2650207850", "매물Link")</f>
        <v/>
      </c>
      <c r="M1084" s="6">
        <f>HYPERLINK("https://map.naver.com/p/search/연서면 신대리 365-3", "지도Link")</f>
        <v/>
      </c>
      <c r="N1084" s="6">
        <f>HYPERLINK("https://www.eum.go.kr/web/mp/mpMapDet.jsp?pnu=3611036029103650003&amp;isNoScr=script&amp;mode=search",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853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29700</v>
      </c>
      <c r="G1085" s="4" t="n">
        <v>678</v>
      </c>
      <c r="H1085" s="4" t="n">
        <v>205</v>
      </c>
      <c r="I1085" s="5" t="n">
        <v>144.9</v>
      </c>
      <c r="J1085" s="5" t="n">
        <v>66.59999999999999</v>
      </c>
      <c r="K1085" s="3" t="inlineStr">
        <is>
          <t>고복저수지인근 전원주택 단지 교통편리</t>
        </is>
      </c>
      <c r="L1085" s="6">
        <f>HYPERLINK("https://fin.land.naver.com/articles/2648855823", "매물Link")</f>
        <v/>
      </c>
      <c r="M1085" s="6">
        <f>HYPERLINK("https://map.naver.com/p/search/연서면 신대리 395-10", "지도Link")</f>
        <v/>
      </c>
      <c r="N1085" s="6">
        <f>HYPERLINK("https://www.eum.go.kr/web/mp/mpMapDet.jsp?pnu=3611036029103950010&amp;isNoScr=script&amp;mode=search",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HYPERLINK("https://www.eum.go.kr/web/mp/mpMapDet.jsp?pnu=3611036029103950010&amp;isNoScr=script&amp;mode=search",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395-62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57000</v>
      </c>
      <c r="G1087" s="4" t="n">
        <v>582</v>
      </c>
      <c r="H1087" s="4" t="n">
        <v>176</v>
      </c>
      <c r="I1087" s="5" t="n">
        <v>323.9</v>
      </c>
      <c r="J1087" s="5" t="n">
        <v>66.59999999999999</v>
      </c>
      <c r="K1087" s="3" t="inlineStr">
        <is>
          <t>nan</t>
        </is>
      </c>
      <c r="L1087" s="6">
        <f>HYPERLINK("https://fin.land.naver.com/articles/2648579809", "매물Link")</f>
        <v/>
      </c>
      <c r="M1087" s="6">
        <f>HYPERLINK("https://map.naver.com/p/search/연서면 신대리 395-62", "지도Link")</f>
        <v/>
      </c>
      <c r="N1087" s="6">
        <f>HYPERLINK("https://www.eum.go.kr/web/mp/mpMapDet.jsp?pnu=3611036029103950062&amp;isNoScr=script&amp;mode=search", "토지이음")</f>
        <v/>
      </c>
      <c r="O1087" s="3" t="inlineStr">
        <is>
          <t>대한민국</t>
        </is>
      </c>
      <c r="P1087" s="4" t="n">
        <v>2</v>
      </c>
      <c r="Q1087" s="4" t="n">
        <v>582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26000</v>
      </c>
      <c r="G1088" s="4" t="n">
        <v>662</v>
      </c>
      <c r="H1088" s="4" t="n">
        <v>200</v>
      </c>
      <c r="I1088" s="5" t="n">
        <v>130</v>
      </c>
      <c r="J1088" s="5" t="n">
        <v>66.59999999999999</v>
      </c>
      <c r="K1088" s="3" t="inlineStr">
        <is>
          <t>고복저수지근처 로얄빌리지 네모반듯한대지 오수,우수,정화조,수도기반시설완료</t>
        </is>
      </c>
      <c r="L1088" s="6">
        <f>HYPERLINK("https://fin.land.naver.com/articles/2650392071", "매물Link")</f>
        <v/>
      </c>
      <c r="M1088" s="6">
        <f>HYPERLINK("https://map.naver.com/p/search/연서면 신대리 412-25", "지도Link")</f>
        <v/>
      </c>
      <c r="N1088" s="6">
        <f>HYPERLINK("https://www.eum.go.kr/web/mp/mpMapDet.jsp?pnu=3611036029104120025&amp;isNoScr=script&amp;mode=search", "토지이음")</f>
        <v/>
      </c>
      <c r="O1088" s="3" t="inlineStr">
        <is>
          <t>담뜰</t>
        </is>
      </c>
      <c r="P1088" s="4" t="n">
        <v>2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412-25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대</t>
        </is>
      </c>
      <c r="E1089" s="3" t="inlineStr">
        <is>
          <t>매매</t>
        </is>
      </c>
      <c r="F1089" s="4" t="n">
        <v>24000</v>
      </c>
      <c r="G1089" s="4" t="n">
        <v>542</v>
      </c>
      <c r="H1089" s="4" t="n">
        <v>164</v>
      </c>
      <c r="I1089" s="5" t="n">
        <v>146.3</v>
      </c>
      <c r="J1089" s="5" t="n">
        <v>66.59999999999999</v>
      </c>
      <c r="K1089" s="3" t="inlineStr">
        <is>
          <t>급매 고복저수지근처 로얄빌리지 전원주택지매매</t>
        </is>
      </c>
      <c r="L1089" s="6">
        <f>HYPERLINK("https://fin.land.naver.com/articles/2644999408", "매물Link")</f>
        <v/>
      </c>
      <c r="M1089" s="6">
        <f>HYPERLINK("https://map.naver.com/p/search/연서면 신대리 412-25", "지도Link")</f>
        <v/>
      </c>
      <c r="N1089" s="6">
        <f>HYPERLINK("https://www.eum.go.kr/web/mp/mpMapDet.jsp?pnu=3611036029104120025&amp;isNoScr=script&amp;mode=search",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542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연서면 신대리 412-28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24000</v>
      </c>
      <c r="G1090" s="4" t="n">
        <v>563</v>
      </c>
      <c r="H1090" s="4" t="n">
        <v>170</v>
      </c>
      <c r="I1090" s="5" t="n">
        <v>141.2</v>
      </c>
      <c r="J1090" s="5" t="n">
        <v>66.59999999999999</v>
      </c>
      <c r="K1090" s="3" t="inlineStr">
        <is>
          <t>nan</t>
        </is>
      </c>
      <c r="L1090" s="6">
        <f>HYPERLINK("https://fin.land.naver.com/articles/2646534350", "매물Link")</f>
        <v/>
      </c>
      <c r="M1090" s="6">
        <f>HYPERLINK("https://map.naver.com/p/search/연서면 신대리 412-28", "지도Link")</f>
        <v/>
      </c>
      <c r="N1090" s="6">
        <f>HYPERLINK("https://www.eum.go.kr/web/mp/mpMapDet.jsp?pnu=3611036029104120028&amp;isNoScr=script&amp;mode=search", "토지이음")</f>
        <v/>
      </c>
      <c r="O1090" s="3" t="inlineStr">
        <is>
          <t>은성</t>
        </is>
      </c>
      <c r="P1090" s="4" t="n">
        <v>1</v>
      </c>
      <c r="Q1090" s="4" t="n">
        <v>563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신대리 447-3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20000</v>
      </c>
      <c r="G1091" s="4" t="n">
        <v>1316</v>
      </c>
      <c r="H1091" s="4" t="n">
        <v>398</v>
      </c>
      <c r="I1091" s="5" t="n">
        <v>50.3</v>
      </c>
      <c r="J1091" s="5" t="n">
        <v>39.3</v>
      </c>
      <c r="K1091" s="3" t="inlineStr">
        <is>
          <t>nan</t>
        </is>
      </c>
      <c r="L1091" s="6">
        <f>HYPERLINK("https://fin.land.naver.com/articles/2648596717", "매물Link")</f>
        <v/>
      </c>
      <c r="M1091" s="6">
        <f>HYPERLINK("https://map.naver.com/p/search/연서면 신대리 447-3", "지도Link")</f>
        <v/>
      </c>
      <c r="N1091" s="6">
        <f>HYPERLINK("https://www.eum.go.kr/web/mp/mpMapDet.jsp?pnu=3611036029104470003&amp;isNoScr=script&amp;mode=search",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1316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신대리 454-4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31000</v>
      </c>
      <c r="G1092" s="4" t="n">
        <v>1121</v>
      </c>
      <c r="H1092" s="4" t="n">
        <v>339</v>
      </c>
      <c r="I1092" s="5" t="n">
        <v>91.40000000000001</v>
      </c>
      <c r="J1092" s="5" t="n">
        <v>22.9</v>
      </c>
      <c r="K1092" s="3" t="inlineStr">
        <is>
          <t>고복 저수지와 전원 마을 단지 사이 신대리 토지매매</t>
        </is>
      </c>
      <c r="L1092" s="6">
        <f>HYPERLINK("https://fin.land.naver.com/articles/2645112142", "매물Link")</f>
        <v/>
      </c>
      <c r="M1092" s="6">
        <f>HYPERLINK("https://map.naver.com/p/search/연서면 신대리 454-4", "지도Link")</f>
        <v/>
      </c>
      <c r="N1092" s="6">
        <f>HYPERLINK("https://www.eum.go.kr/web/mp/mpMapDet.jsp?pnu=3611036029104540004&amp;isNoScr=script&amp;mode=search", "토지이음")</f>
        <v/>
      </c>
      <c r="O1092" s="3" t="inlineStr">
        <is>
          <t>지성</t>
        </is>
      </c>
      <c r="P1092" s="4" t="n">
        <v>1</v>
      </c>
      <c r="Q1092" s="4" t="n">
        <v>1121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세로한면(가)</t>
        </is>
      </c>
    </row>
    <row r="1093">
      <c r="A1093" s="3" t="inlineStr">
        <is>
          <t>연서면 신대리 456-2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39800</v>
      </c>
      <c r="G1093" s="4" t="n">
        <v>2632</v>
      </c>
      <c r="H1093" s="4" t="n">
        <v>796</v>
      </c>
      <c r="I1093" s="5" t="n">
        <v>50</v>
      </c>
      <c r="J1093" s="5" t="n">
        <v>22.9</v>
      </c>
      <c r="K1093" s="3" t="inlineStr">
        <is>
          <t>nan</t>
        </is>
      </c>
      <c r="L1093" s="6">
        <f>HYPERLINK("https://fin.land.naver.com/articles/2648596996", "매물Link")</f>
        <v/>
      </c>
      <c r="M1093" s="6">
        <f>HYPERLINK("https://map.naver.com/p/search/연서면 신대리 456-2", "지도Link")</f>
        <v/>
      </c>
      <c r="N1093" s="6">
        <f>HYPERLINK("https://www.eum.go.kr/web/mp/mpMapDet.jsp?pnu=3611036029104560002&amp;isNoScr=script&amp;mode=search",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2632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458-1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427000</v>
      </c>
      <c r="G1094" s="4" t="n">
        <v>10463</v>
      </c>
      <c r="H1094" s="4" t="n">
        <v>3165</v>
      </c>
      <c r="I1094" s="5" t="n">
        <v>134.9</v>
      </c>
      <c r="J1094" s="5" t="n">
        <v>63.8</v>
      </c>
      <c r="K1094" s="3" t="inlineStr">
        <is>
          <t>세종 국가산단 인근 가치 상승지역 토지 매매</t>
        </is>
      </c>
      <c r="L1094" s="6">
        <f>HYPERLINK("https://fin.land.naver.com/articles/2648383274", "매물Link")</f>
        <v/>
      </c>
      <c r="M1094" s="6">
        <f>HYPERLINK("https://map.naver.com/p/search/연서면 신대리 458-1", "지도Link")</f>
        <v/>
      </c>
      <c r="N1094" s="6">
        <f>HYPERLINK("https://www.eum.go.kr/web/mp/mpMapDet.jsp?pnu=3611036029104580001&amp;isNoScr=script&amp;mode=search", "토지이음")</f>
        <v/>
      </c>
      <c r="O1094" s="3" t="inlineStr">
        <is>
          <t>세종비전행정사</t>
        </is>
      </c>
      <c r="P1094" s="4" t="n">
        <v>1</v>
      </c>
      <c r="Q1094" s="4" t="n">
        <v>4780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신대리 469-44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41800</v>
      </c>
      <c r="G1095" s="4" t="n">
        <v>540</v>
      </c>
      <c r="H1095" s="4" t="n">
        <v>163</v>
      </c>
      <c r="I1095" s="5" t="n">
        <v>256.4</v>
      </c>
      <c r="J1095" s="5" t="n">
        <v>66</v>
      </c>
      <c r="K1095" s="3" t="inlineStr">
        <is>
          <t>남향,전원주택지추천,계획관리,고복저수지인접</t>
        </is>
      </c>
      <c r="L1095" s="6">
        <f>HYPERLINK("https://fin.land.naver.com/articles/2647028639", "매물Link")</f>
        <v/>
      </c>
      <c r="M1095" s="6">
        <f>HYPERLINK("https://map.naver.com/p/search/연서면 신대리 469-44", "지도Link")</f>
        <v/>
      </c>
      <c r="N1095" s="6">
        <f>HYPERLINK("https://www.eum.go.kr/web/mp/mpMapDet.jsp?pnu=3611036029104690044&amp;isNoScr=script&amp;mode=search", "토지이음")</f>
        <v/>
      </c>
      <c r="O1095" s="3" t="inlineStr">
        <is>
          <t>따뜻한</t>
        </is>
      </c>
      <c r="P1095" s="4" t="n">
        <v>1</v>
      </c>
      <c r="Q1095" s="4" t="n">
        <v>540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nan</t>
        </is>
      </c>
      <c r="L1096" s="6">
        <f>HYPERLINK("https://fin.land.naver.com/articles/2649736710", "매물Link")</f>
        <v/>
      </c>
      <c r="M1096" s="6">
        <f>HYPERLINK("https://map.naver.com/p/search/연서면 신대리 49-9", "지도Link")</f>
        <v/>
      </c>
      <c r="N1096" s="6">
        <f>HYPERLINK("https://www.eum.go.kr/web/mp/mpMapDet.jsp?pnu=3611036029100490009&amp;isNoScr=script&amp;mode=search",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49-9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60000</v>
      </c>
      <c r="G1097" s="4" t="n">
        <v>2512</v>
      </c>
      <c r="H1097" s="4" t="n">
        <v>760</v>
      </c>
      <c r="I1097" s="5" t="n">
        <v>78.90000000000001</v>
      </c>
      <c r="J1097" s="5" t="n">
        <v>31.4</v>
      </c>
      <c r="K1097" s="3" t="inlineStr">
        <is>
          <t>투자 위치 좋은 신대리 토지 추천</t>
        </is>
      </c>
      <c r="L1097" s="6">
        <f>HYPERLINK("https://fin.land.naver.com/articles/2645963615", "매물Link")</f>
        <v/>
      </c>
      <c r="M1097" s="6">
        <f>HYPERLINK("https://map.naver.com/p/search/연서면 신대리 49-9", "지도Link")</f>
        <v/>
      </c>
      <c r="N1097" s="6">
        <f>HYPERLINK("https://www.eum.go.kr/web/mp/mpMapDet.jsp?pnu=3611036029100490009&amp;isNoScr=script&amp;mode=search",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2512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신대리 537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대</t>
        </is>
      </c>
      <c r="E1098" s="3" t="inlineStr">
        <is>
          <t>매매</t>
        </is>
      </c>
      <c r="F1098" s="4" t="n">
        <v>60350</v>
      </c>
      <c r="G1098" s="4" t="n">
        <v>1147</v>
      </c>
      <c r="H1098" s="4" t="n">
        <v>347</v>
      </c>
      <c r="I1098" s="5" t="n">
        <v>173.9</v>
      </c>
      <c r="J1098" s="5" t="n">
        <v>38.1</v>
      </c>
      <c r="K1098" s="3" t="inlineStr">
        <is>
          <t>2차선도로에 접해있으며 인접 도로 여건이 양호</t>
        </is>
      </c>
      <c r="L1098" s="6">
        <f>HYPERLINK("https://fin.land.naver.com/articles/2648621797", "매물Link")</f>
        <v/>
      </c>
      <c r="M1098" s="6">
        <f>HYPERLINK("https://map.naver.com/p/search/연서면 신대리 537", "지도Link")</f>
        <v/>
      </c>
      <c r="N1098" s="6">
        <f>HYPERLINK("https://www.eum.go.kr/web/mp/mpMapDet.jsp?pnu=3611036029105370000&amp;isNoScr=script&amp;mode=search", "토지이음")</f>
        <v/>
      </c>
      <c r="O1098" s="3" t="inlineStr">
        <is>
          <t>더KEY</t>
        </is>
      </c>
      <c r="P1098" s="4" t="n">
        <v>1</v>
      </c>
      <c r="Q1098" s="4" t="n">
        <v>1174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HYPERLINK("https://www.eum.go.kr/web/mp/mpMapDet.jsp?pnu=3611036029100750001&amp;isNoScr=script&amp;mode=search",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75-1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120000</v>
      </c>
      <c r="G1100" s="4" t="n">
        <v>4973</v>
      </c>
      <c r="H1100" s="4" t="n">
        <v>1504</v>
      </c>
      <c r="I1100" s="5" t="n">
        <v>79.8</v>
      </c>
      <c r="J1100" s="5" t="n">
        <v>31.7</v>
      </c>
      <c r="K1100" s="3" t="inlineStr">
        <is>
          <t>연서면 국가 산단 인근 2차선접한 토지 급매</t>
        </is>
      </c>
      <c r="L1100" s="6">
        <f>HYPERLINK("https://fin.land.naver.com/articles/2648418688", "매물Link")</f>
        <v/>
      </c>
      <c r="M1100" s="6">
        <f>HYPERLINK("https://map.naver.com/p/search/연서면 신대리 75-1", "지도Link")</f>
        <v/>
      </c>
      <c r="N1100" s="6">
        <f>HYPERLINK("https://www.eum.go.kr/web/mp/mpMapDet.jsp?pnu=3611036029100750001&amp;isNoScr=script&amp;mode=search", "토지이음")</f>
        <v/>
      </c>
      <c r="O1100" s="3" t="inlineStr">
        <is>
          <t>(주)경진컨설팅</t>
        </is>
      </c>
      <c r="P1100" s="4" t="n">
        <v>1</v>
      </c>
      <c r="Q1100" s="4" t="n">
        <v>1928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75-2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69000</v>
      </c>
      <c r="G1101" s="4" t="n">
        <v>3045</v>
      </c>
      <c r="H1101" s="4" t="n">
        <v>921</v>
      </c>
      <c r="I1101" s="5" t="n">
        <v>74.90000000000001</v>
      </c>
      <c r="J1101" s="5" t="n">
        <v>31.7</v>
      </c>
      <c r="K1101" s="3" t="inlineStr">
        <is>
          <t>세종 스마트 국가산업단지가 예정 돼 있어 향후 투자가치가 높은 토지입니다</t>
        </is>
      </c>
      <c r="L1101" s="6">
        <f>HYPERLINK("https://fin.land.naver.com/articles/2649560776", "매물Link")</f>
        <v/>
      </c>
      <c r="M1101" s="6">
        <f>HYPERLINK("https://map.naver.com/p/search/연서면 신대리 75-2", "지도Link")</f>
        <v/>
      </c>
      <c r="N1101" s="6">
        <f>HYPERLINK("https://www.eum.go.kr/web/mp/mpMapDet.jsp?pnu=3611036029100750002&amp;isNoScr=script&amp;mode=search", "토지이음")</f>
        <v/>
      </c>
      <c r="O1101" s="3" t="inlineStr">
        <is>
          <t>스마일세종</t>
        </is>
      </c>
      <c r="P1101" s="4" t="n">
        <v>1</v>
      </c>
      <c r="Q1101" s="4" t="n">
        <v>3045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신대리 92-1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54200</v>
      </c>
      <c r="G1102" s="4" t="n">
        <v>896</v>
      </c>
      <c r="H1102" s="4" t="n">
        <v>271</v>
      </c>
      <c r="I1102" s="5" t="n">
        <v>200</v>
      </c>
      <c r="J1102" s="5" t="n">
        <v>55.6</v>
      </c>
      <c r="K1102" s="3" t="inlineStr">
        <is>
          <t>세종국가산단 3km이내 계획관리지역 토지매매</t>
        </is>
      </c>
      <c r="L1102" s="6">
        <f>HYPERLINK("https://fin.land.naver.com/articles/2647596631", "매물Link")</f>
        <v/>
      </c>
      <c r="M1102" s="6">
        <f>HYPERLINK("https://map.naver.com/p/search/연서면 신대리 92-1", "지도Link")</f>
        <v/>
      </c>
      <c r="N1102" s="6">
        <f>HYPERLINK("https://www.eum.go.kr/web/mp/mpMapDet.jsp?pnu=3611036029100920001&amp;isNoScr=script&amp;mode=search", "토지이음")</f>
        <v/>
      </c>
      <c r="O1102" s="3" t="inlineStr">
        <is>
          <t>에이스</t>
        </is>
      </c>
      <c r="P1102" s="4" t="n">
        <v>1</v>
      </c>
      <c r="Q1102" s="4" t="n">
        <v>896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산100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75000</v>
      </c>
      <c r="G1103" s="4" t="n">
        <v>6645</v>
      </c>
      <c r="H1103" s="4" t="n">
        <v>2010</v>
      </c>
      <c r="I1103" s="5" t="n">
        <v>37.3</v>
      </c>
      <c r="J1103" s="5" t="n">
        <v>8.5</v>
      </c>
      <c r="K1103" s="3" t="inlineStr">
        <is>
          <t>해구토말형 임야,귀한 명당 자리</t>
        </is>
      </c>
      <c r="L1103" s="6">
        <f>HYPERLINK("https://fin.land.naver.com/articles/2645984384", "매물Link")</f>
        <v/>
      </c>
      <c r="M1103" s="6">
        <f>HYPERLINK("https://map.naver.com/p/search/연서면 신대리 산100", "지도Link")</f>
        <v/>
      </c>
      <c r="N1103" s="6">
        <f>HYPERLINK("https://www.eum.go.kr/web/mp/mpMapDet.jsp?pnu=3611036029201000000&amp;isNoScr=script&amp;mode=search", "토지이음")</f>
        <v/>
      </c>
      <c r="O1103" s="3" t="inlineStr">
        <is>
          <t>가치잇는</t>
        </is>
      </c>
      <c r="P1103" s="4" t="n">
        <v>1</v>
      </c>
      <c r="Q1103" s="4" t="n">
        <v>6645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신대리 산19-5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197000</v>
      </c>
      <c r="G1104" s="4" t="n">
        <v>8142</v>
      </c>
      <c r="H1104" s="4" t="n">
        <v>2463</v>
      </c>
      <c r="I1104" s="5" t="n">
        <v>80</v>
      </c>
      <c r="J1104" s="5" t="n">
        <v>4.6</v>
      </c>
      <c r="K1104" s="3" t="inlineStr">
        <is>
          <t>전원주택및다용도</t>
        </is>
      </c>
      <c r="L1104" s="6">
        <f>HYPERLINK("https://fin.land.naver.com/articles/2649186499", "매물Link")</f>
        <v/>
      </c>
      <c r="M1104" s="6">
        <f>HYPERLINK("https://map.naver.com/p/search/연서면 신대리 산19-5", "지도Link")</f>
        <v/>
      </c>
      <c r="N1104" s="6">
        <f>HYPERLINK("https://www.eum.go.kr/web/mp/mpMapDet.jsp?pnu=3611036029200190005&amp;isNoScr=script&amp;mode=search", "토지이음")</f>
        <v/>
      </c>
      <c r="O1104" s="3" t="inlineStr">
        <is>
          <t>지성</t>
        </is>
      </c>
      <c r="P1104" s="4" t="n">
        <v>1</v>
      </c>
      <c r="Q1104" s="4" t="n">
        <v>8142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산54-1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130000</v>
      </c>
      <c r="G1105" s="4" t="n">
        <v>6171</v>
      </c>
      <c r="H1105" s="4" t="n">
        <v>1867</v>
      </c>
      <c r="I1105" s="5" t="n">
        <v>69.59999999999999</v>
      </c>
      <c r="J1105" s="5" t="n">
        <v>4.7</v>
      </c>
      <c r="K1105" s="3" t="inlineStr">
        <is>
          <t>국가산단옆,취락지구,계획관리포함됨,도로접, 가격조정가.</t>
        </is>
      </c>
      <c r="L1105" s="6">
        <f>HYPERLINK("https://fin.land.naver.com/articles/2649391412", "매물Link")</f>
        <v/>
      </c>
      <c r="M1105" s="6">
        <f>HYPERLINK("https://map.naver.com/p/search/연서면 신대리 산54-1", "지도Link")</f>
        <v/>
      </c>
      <c r="N1105" s="6">
        <f>HYPERLINK("https://www.eum.go.kr/web/mp/mpMapDet.jsp?pnu=3611036029200540001&amp;isNoScr=script&amp;mode=search", "토지이음")</f>
        <v/>
      </c>
      <c r="O1105" s="3" t="inlineStr">
        <is>
          <t>카톡</t>
        </is>
      </c>
      <c r="P1105" s="4" t="n">
        <v>1</v>
      </c>
      <c r="Q1105" s="4" t="n">
        <v>5455</v>
      </c>
      <c r="R1105" s="3" t="inlineStr">
        <is>
          <t>계획관리지역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신대리 산64-13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185400</v>
      </c>
      <c r="G1106" s="4" t="n">
        <v>3064</v>
      </c>
      <c r="H1106" s="4" t="n">
        <v>927</v>
      </c>
      <c r="I1106" s="5" t="n">
        <v>200</v>
      </c>
      <c r="J1106" s="5" t="n">
        <v>6.6</v>
      </c>
      <c r="K1106" s="3" t="inlineStr">
        <is>
          <t>연서면 신대리 토지 매매</t>
        </is>
      </c>
      <c r="L1106" s="6">
        <f>HYPERLINK("https://fin.land.naver.com/articles/2646756083", "매물Link")</f>
        <v/>
      </c>
      <c r="M1106" s="6">
        <f>HYPERLINK("https://map.naver.com/p/search/연서면 신대리 산64-13", "지도Link")</f>
        <v/>
      </c>
      <c r="N1106" s="6">
        <f>HYPERLINK("https://www.eum.go.kr/web/mp/mpMapDet.jsp?pnu=3611036029200640013&amp;isNoScr=script&amp;mode=search", "토지이음")</f>
        <v/>
      </c>
      <c r="O1106" s="3" t="inlineStr">
        <is>
          <t>주식회사넥서스</t>
        </is>
      </c>
      <c r="P1106" s="4" t="n">
        <v>1</v>
      </c>
      <c r="Q1106" s="4" t="n">
        <v>3064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신대리 산64-15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67000</v>
      </c>
      <c r="G1107" s="4" t="n">
        <v>1395</v>
      </c>
      <c r="H1107" s="4" t="n">
        <v>422</v>
      </c>
      <c r="I1107" s="5" t="n">
        <v>158.8</v>
      </c>
      <c r="J1107" s="5" t="n">
        <v>45.6</v>
      </c>
      <c r="K1107" s="3" t="inlineStr">
        <is>
          <t>계획관리 네모 반듯한 임야. 주택 근생 공장 창고 가능 넓은 도로</t>
        </is>
      </c>
      <c r="L1107" s="6">
        <f>HYPERLINK("https://fin.land.naver.com/articles/2645603303", "매물Link")</f>
        <v/>
      </c>
      <c r="M1107" s="6">
        <f>HYPERLINK("https://map.naver.com/p/search/연서면 신대리 산64-15", "지도Link")</f>
        <v/>
      </c>
      <c r="N1107" s="6">
        <f>HYPERLINK("https://www.eum.go.kr/web/mp/mpMapDet.jsp?pnu=3611036029200640015&amp;isNoScr=script&amp;mode=search",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1304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16000</v>
      </c>
      <c r="G1108" s="4" t="n">
        <v>413</v>
      </c>
      <c r="H1108" s="4" t="n">
        <v>125</v>
      </c>
      <c r="I1108" s="5" t="n">
        <v>128</v>
      </c>
      <c r="J1108" s="5" t="n">
        <v>31.2</v>
      </c>
      <c r="K1108" s="3" t="inlineStr">
        <is>
          <t>체류형쉼터강추,도로접,국유지사용가,도로지분33제곱별도면적포함가</t>
        </is>
      </c>
      <c r="L1108" s="6">
        <f>HYPERLINK("https://fin.land.naver.com/articles/2648103313", "매물Link")</f>
        <v/>
      </c>
      <c r="M1108" s="6">
        <f>HYPERLINK("https://map.naver.com/p/search/연서면 쌍류리 101-10", "지도Link")</f>
        <v/>
      </c>
      <c r="N1108" s="6">
        <f>HYPERLINK("https://www.eum.go.kr/web/mp/mpMapDet.jsp?pnu=3611036026101010010&amp;isNoScr=script&amp;mode=search",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447</v>
      </c>
      <c r="H1109" s="4" t="n">
        <v>135</v>
      </c>
      <c r="I1109" s="5" t="n">
        <v>133.3</v>
      </c>
      <c r="J1109" s="5" t="n">
        <v>31.2</v>
      </c>
      <c r="K1109" s="3" t="inlineStr">
        <is>
          <t>도로지분 포함, 전원생활,귀농,주말농장 검토 가능한 소형 과수원</t>
        </is>
      </c>
      <c r="L1109" s="6">
        <f>HYPERLINK("https://fin.land.naver.com/articles/2646380838", "매물Link")</f>
        <v/>
      </c>
      <c r="M1109" s="6">
        <f>HYPERLINK("https://map.naver.com/p/search/연서면 쌍류리 101-10", "지도Link")</f>
        <v/>
      </c>
      <c r="N1109" s="6">
        <f>HYPERLINK("https://www.eum.go.kr/web/mp/mpMapDet.jsp?pnu=3611036026101010010&amp;isNoScr=script&amp;mode=search",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101-10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16000</v>
      </c>
      <c r="G1110" s="4" t="n">
        <v>447</v>
      </c>
      <c r="H1110" s="4" t="n">
        <v>135</v>
      </c>
      <c r="I1110" s="5" t="n">
        <v>118.5</v>
      </c>
      <c r="J1110" s="5" t="n">
        <v>31.2</v>
      </c>
      <c r="K1110" s="3" t="inlineStr">
        <is>
          <t>고복저수지인근,4m도로접, 모양좋고 평탄한 농지, 주말농장,체류형쉼터,</t>
        </is>
      </c>
      <c r="L1110" s="6">
        <f>HYPERLINK("https://fin.land.naver.com/articles/2645138787", "매물Link")</f>
        <v/>
      </c>
      <c r="M1110" s="6">
        <f>HYPERLINK("https://map.naver.com/p/search/연서면 쌍류리 101-10", "지도Link")</f>
        <v/>
      </c>
      <c r="N1110" s="6">
        <f>HYPERLINK("https://www.eum.go.kr/web/mp/mpMapDet.jsp?pnu=3611036026101010010&amp;isNoScr=script&amp;mode=search", "토지이음")</f>
        <v/>
      </c>
      <c r="O1110" s="3" t="inlineStr">
        <is>
          <t>세종복댕이</t>
        </is>
      </c>
      <c r="P1110" s="4" t="n">
        <v>1</v>
      </c>
      <c r="Q1110" s="4" t="n">
        <v>413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101-15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20000</v>
      </c>
      <c r="G1111" s="4" t="n">
        <v>417</v>
      </c>
      <c r="H1111" s="4" t="n">
        <v>126</v>
      </c>
      <c r="I1111" s="5" t="n">
        <v>158.7</v>
      </c>
      <c r="J1111" s="5" t="n">
        <v>31.2</v>
      </c>
      <c r="K1111" s="3" t="inlineStr">
        <is>
          <t>고복저수지 끝자락  나만의 힐링 텃밭 조성 가능,  농막, 정화조 있음</t>
        </is>
      </c>
      <c r="L1111" s="6">
        <f>HYPERLINK("https://fin.land.naver.com/articles/2647651356", "매물Link")</f>
        <v/>
      </c>
      <c r="M1111" s="6">
        <f>HYPERLINK("https://map.naver.com/p/search/연서면 쌍류리 101-15", "지도Link")</f>
        <v/>
      </c>
      <c r="N1111" s="6">
        <f>HYPERLINK("https://www.eum.go.kr/web/mp/mpMapDet.jsp?pnu=3611036026101010015&amp;isNoScr=script&amp;mode=search", "토지이음")</f>
        <v/>
      </c>
      <c r="O1111" s="3" t="inlineStr">
        <is>
          <t>현담</t>
        </is>
      </c>
      <c r="P1111" s="4" t="n">
        <v>1</v>
      </c>
      <c r="Q1111" s="4" t="n">
        <v>417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56000</v>
      </c>
      <c r="G1112" s="4" t="n">
        <v>1475</v>
      </c>
      <c r="H1112" s="4" t="n">
        <v>446</v>
      </c>
      <c r="I1112" s="5" t="n">
        <v>125.6</v>
      </c>
      <c r="J1112" s="5" t="n">
        <v>31.8</v>
      </c>
      <c r="K1112" s="3" t="inlineStr">
        <is>
          <t>연서면 세종국가산단 인근지, 고복유원지 500m, 2차선 국도 확장 예정</t>
        </is>
      </c>
      <c r="L1112" s="6">
        <f>HYPERLINK("https://fin.land.naver.com/articles/2648088515", "매물Link")</f>
        <v/>
      </c>
      <c r="M1112" s="6">
        <f>HYPERLINK("https://map.naver.com/p/search/연서면 쌍류리 106-1", "지도Link")</f>
        <v/>
      </c>
      <c r="N1112" s="6">
        <f>HYPERLINK("https://www.eum.go.kr/web/mp/mpMapDet.jsp?pnu=3611036026101060001&amp;isNoScr=script&amp;mode=search", "토지이음")</f>
        <v/>
      </c>
      <c r="O1112" s="3" t="inlineStr">
        <is>
          <t>오송3산단  사무소</t>
        </is>
      </c>
      <c r="P1112" s="4" t="n">
        <v>1</v>
      </c>
      <c r="Q1112" s="4" t="n">
        <v>747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106-8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29000</v>
      </c>
      <c r="G1113" s="4" t="n">
        <v>728</v>
      </c>
      <c r="H1113" s="4" t="n">
        <v>220</v>
      </c>
      <c r="I1113" s="5" t="n">
        <v>131.8</v>
      </c>
      <c r="J1113" s="5" t="n">
        <v>31.8</v>
      </c>
      <c r="K1113" s="3" t="inlineStr">
        <is>
          <t>도로접한 과수원</t>
        </is>
      </c>
      <c r="L1113" s="6">
        <f>HYPERLINK("https://fin.land.naver.com/articles/2647652152", "매물Link")</f>
        <v/>
      </c>
      <c r="M1113" s="6">
        <f>HYPERLINK("https://map.naver.com/p/search/연서면 쌍류리 106-8", "지도Link")</f>
        <v/>
      </c>
      <c r="N1113" s="6">
        <f>HYPERLINK("https://www.eum.go.kr/web/mp/mpMapDet.jsp?pnu=3611036026101060008&amp;isNoScr=script&amp;mode=search", "토지이음")</f>
        <v/>
      </c>
      <c r="O1113" s="3" t="inlineStr">
        <is>
          <t>현담</t>
        </is>
      </c>
      <c r="P1113" s="4" t="n">
        <v>1</v>
      </c>
      <c r="Q1113" s="4" t="n">
        <v>728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116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23800</v>
      </c>
      <c r="G1114" s="4" t="n">
        <v>1959</v>
      </c>
      <c r="H1114" s="4" t="n">
        <v>593</v>
      </c>
      <c r="I1114" s="5" t="n">
        <v>40.1</v>
      </c>
      <c r="J1114" s="5" t="n">
        <v>25.8</v>
      </c>
      <c r="K1114" s="3" t="inlineStr">
        <is>
          <t>급매. 고복저수지 인근 소액토지</t>
        </is>
      </c>
      <c r="L1114" s="6">
        <f>HYPERLINK("https://fin.land.naver.com/articles/2648767659", "매물Link")</f>
        <v/>
      </c>
      <c r="M1114" s="6">
        <f>HYPERLINK("https://map.naver.com/p/search/연서면 쌍류리 116", "지도Link")</f>
        <v/>
      </c>
      <c r="N1114" s="6">
        <f>HYPERLINK("https://www.eum.go.kr/web/mp/mpMapDet.jsp?pnu=3611036026101160000&amp;isNoScr=script&amp;mode=search", "토지이음")</f>
        <v/>
      </c>
      <c r="O1114" s="3" t="inlineStr">
        <is>
          <t>강아지풀</t>
        </is>
      </c>
      <c r="P1114" s="4" t="n">
        <v>1</v>
      </c>
      <c r="Q1114" s="4" t="n">
        <v>1959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126-3</t>
        </is>
      </c>
      <c r="B1115" s="3" t="inlineStr">
        <is>
          <t>생산관리지역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92000</v>
      </c>
      <c r="G1115" s="4" t="n">
        <v>1909</v>
      </c>
      <c r="H1115" s="4" t="n">
        <v>577</v>
      </c>
      <c r="I1115" s="5" t="n">
        <v>159.4</v>
      </c>
      <c r="J1115" s="5" t="n">
        <v>46.6</v>
      </c>
      <c r="K1115" s="3" t="inlineStr">
        <is>
          <t>신축주택과 넓은 마당 갖춘 고복저수지 생활권</t>
        </is>
      </c>
      <c r="L1115" s="6">
        <f>HYPERLINK("https://fin.land.naver.com/articles/2647850817", "매물Link")</f>
        <v/>
      </c>
      <c r="M1115" s="6">
        <f>HYPERLINK("https://map.naver.com/p/search/연서면 쌍류리 126-3", "지도Link")</f>
        <v/>
      </c>
      <c r="N1115" s="6">
        <f>HYPERLINK("https://www.eum.go.kr/web/mp/mpMapDet.jsp?pnu=3611036026101260003&amp;isNoScr=script&amp;mode=search", "토지이음")</f>
        <v/>
      </c>
      <c r="O1115" s="3" t="inlineStr">
        <is>
          <t>세종소담황금</t>
        </is>
      </c>
      <c r="P1115" s="4" t="n">
        <v>1</v>
      </c>
      <c r="Q1115" s="4" t="n">
        <v>683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164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35000</v>
      </c>
      <c r="G1116" s="4" t="n">
        <v>1260</v>
      </c>
      <c r="H1116" s="4" t="n">
        <v>381</v>
      </c>
      <c r="I1116" s="5" t="n">
        <v>91.90000000000001</v>
      </c>
      <c r="J1116" s="5" t="n">
        <v>25</v>
      </c>
      <c r="K1116" s="3" t="inlineStr">
        <is>
          <t>nan</t>
        </is>
      </c>
      <c r="L1116" s="6">
        <f>HYPERLINK("https://fin.land.naver.com/articles/2649773331", "매물Link")</f>
        <v/>
      </c>
      <c r="M1116" s="6">
        <f>HYPERLINK("https://map.naver.com/p/search/연서면 쌍류리 164", "지도Link")</f>
        <v/>
      </c>
      <c r="N1116" s="6">
        <f>HYPERLINK("https://www.eum.go.kr/web/mp/mpMapDet.jsp?pnu=3611036026101640000&amp;isNoScr=script&amp;mode=search",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1260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쌍류리 171-3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81000</v>
      </c>
      <c r="G1117" s="4" t="n">
        <v>1978</v>
      </c>
      <c r="H1117" s="4" t="n">
        <v>598</v>
      </c>
      <c r="I1117" s="5" t="n">
        <v>135.5</v>
      </c>
      <c r="J1117" s="5" t="n">
        <v>29.7</v>
      </c>
      <c r="K1117" s="3" t="inlineStr">
        <is>
          <t>규모 있는 영농부지 찾는 분 주목</t>
        </is>
      </c>
      <c r="L1117" s="6">
        <f>HYPERLINK("https://fin.land.naver.com/articles/2649776390", "매물Link")</f>
        <v/>
      </c>
      <c r="M1117" s="6">
        <f>HYPERLINK("https://map.naver.com/p/search/연서면 쌍류리 171-3", "지도Link")</f>
        <v/>
      </c>
      <c r="N1117" s="6">
        <f>HYPERLINK("https://www.eum.go.kr/web/mp/mpMapDet.jsp?pnu=3611036026101710003&amp;isNoScr=script&amp;mode=search",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1978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110000</v>
      </c>
      <c r="G1118" s="4" t="n">
        <v>3183</v>
      </c>
      <c r="H1118" s="4" t="n">
        <v>963</v>
      </c>
      <c r="I1118" s="5" t="n">
        <v>114.2</v>
      </c>
      <c r="J1118" s="5" t="n">
        <v>35.8</v>
      </c>
      <c r="K1118" s="3" t="inlineStr">
        <is>
          <t>도로접,땅모양좋습니다,성장관리계획구역,조정가</t>
        </is>
      </c>
      <c r="L1118" s="6">
        <f>HYPERLINK("https://fin.land.naver.com/articles/2650425351", "매물Link")</f>
        <v/>
      </c>
      <c r="M1118" s="6">
        <f>HYPERLINK("https://map.naver.com/p/search/연서면 쌍류리 224", "지도Link")</f>
        <v/>
      </c>
      <c r="N1118" s="6">
        <f>HYPERLINK("https://www.eum.go.kr/web/mp/mpMapDet.jsp?pnu=3611036026102240000&amp;isNoScr=script&amp;mode=search",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224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96300</v>
      </c>
      <c r="G1119" s="4" t="n">
        <v>3183</v>
      </c>
      <c r="H1119" s="4" t="n">
        <v>963</v>
      </c>
      <c r="I1119" s="5" t="n">
        <v>100</v>
      </c>
      <c r="J1119" s="5" t="n">
        <v>35.8</v>
      </c>
      <c r="K1119" s="3" t="inlineStr">
        <is>
          <t>고복저수지, 연기휴게소예정지 인근 생산관리토지</t>
        </is>
      </c>
      <c r="L1119" s="6">
        <f>HYPERLINK("https://fin.land.naver.com/articles/2645606587", "매물Link")</f>
        <v/>
      </c>
      <c r="M1119" s="6">
        <f>HYPERLINK("https://map.naver.com/p/search/연서면 쌍류리 224", "지도Link")</f>
        <v/>
      </c>
      <c r="N1119" s="6">
        <f>HYPERLINK("https://www.eum.go.kr/web/mp/mpMapDet.jsp?pnu=3611036026102240000&amp;isNoScr=script&amp;mode=search",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3183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39600</v>
      </c>
      <c r="G1120" s="4" t="n">
        <v>1092</v>
      </c>
      <c r="H1120" s="4" t="n">
        <v>330</v>
      </c>
      <c r="I1120" s="5" t="n">
        <v>120</v>
      </c>
      <c r="J1120" s="5" t="n">
        <v>37.7</v>
      </c>
      <c r="K1120" s="3" t="inlineStr">
        <is>
          <t>도로접함 2필지 일괄매매 현재 과수원 미래가치ok</t>
        </is>
      </c>
      <c r="L1120" s="6">
        <f>HYPERLINK("https://fin.land.naver.com/articles/2650582716", "매물Link")</f>
        <v/>
      </c>
      <c r="M1120" s="6">
        <f>HYPERLINK("https://map.naver.com/p/search/연서면 쌍류리 227-1", "지도Link")</f>
        <v/>
      </c>
      <c r="N1120" s="6">
        <f>HYPERLINK("https://www.eum.go.kr/web/mp/mpMapDet.jsp?pnu=3611036026102270001&amp;isNoScr=script&amp;mode=search", "토지이음")</f>
        <v/>
      </c>
      <c r="O1120" s="3" t="inlineStr">
        <is>
          <t>신불당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227-1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160000</v>
      </c>
      <c r="G1121" s="4" t="n">
        <v>3530</v>
      </c>
      <c r="H1121" s="4" t="n">
        <v>1068</v>
      </c>
      <c r="I1121" s="5" t="n">
        <v>149.8</v>
      </c>
      <c r="J1121" s="5" t="n">
        <v>37.7</v>
      </c>
      <c r="K1121" s="3" t="inlineStr">
        <is>
          <t>고복저수지인근,2차선접,투자가치좋아요</t>
        </is>
      </c>
      <c r="L1121" s="6">
        <f>HYPERLINK("https://fin.land.naver.com/articles/2650425575", "매물Link")</f>
        <v/>
      </c>
      <c r="M1121" s="6">
        <f>HYPERLINK("https://map.naver.com/p/search/연서면 쌍류리 227-1", "지도Link")</f>
        <v/>
      </c>
      <c r="N1121" s="6">
        <f>HYPERLINK("https://www.eum.go.kr/web/mp/mpMapDet.jsp?pnu=3611036026102270001&amp;isNoScr=script&amp;mode=search", "토지이음")</f>
        <v/>
      </c>
      <c r="O1121" s="3" t="inlineStr">
        <is>
          <t>힐스테이트행복</t>
        </is>
      </c>
      <c r="P1121" s="4" t="n">
        <v>1</v>
      </c>
      <c r="Q1121" s="4" t="n">
        <v>3530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쌍류리 232-1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255000</v>
      </c>
      <c r="G1122" s="4" t="n">
        <v>5702</v>
      </c>
      <c r="H1122" s="4" t="n">
        <v>1725</v>
      </c>
      <c r="I1122" s="5" t="n">
        <v>147.8</v>
      </c>
      <c r="J1122" s="5" t="n">
        <v>28.3</v>
      </c>
      <c r="K1122" s="3" t="inlineStr">
        <is>
          <t>고복저수지인근 토지 매매</t>
        </is>
      </c>
      <c r="L1122" s="6">
        <f>HYPERLINK("https://fin.land.naver.com/articles/2648030320", "매물Link")</f>
        <v/>
      </c>
      <c r="M1122" s="6">
        <f>HYPERLINK("https://map.naver.com/p/search/연서면 쌍류리 232-1", "지도Link")</f>
        <v/>
      </c>
      <c r="N1122" s="6">
        <f>HYPERLINK("https://www.eum.go.kr/web/mp/mpMapDet.jsp?pnu=3611036026102320001&amp;isNoScr=script&amp;mode=search", "토지이음")</f>
        <v/>
      </c>
      <c r="O1122" s="3" t="inlineStr">
        <is>
          <t>THE행복</t>
        </is>
      </c>
      <c r="P1122" s="4" t="n">
        <v>1</v>
      </c>
      <c r="Q1122" s="4" t="n">
        <v>5605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250</t>
        </is>
      </c>
      <c r="B1123" s="3" t="inlineStr">
        <is>
          <t>계획관리지역</t>
        </is>
      </c>
      <c r="C1123" s="3" t="inlineStr">
        <is>
          <t>과수원</t>
        </is>
      </c>
      <c r="D1123" s="3" t="inlineStr">
        <is>
          <t>전</t>
        </is>
      </c>
      <c r="E1123" s="3" t="inlineStr">
        <is>
          <t>매매</t>
        </is>
      </c>
      <c r="F1123" s="4" t="n">
        <v>80000</v>
      </c>
      <c r="G1123" s="4" t="n">
        <v>2499</v>
      </c>
      <c r="H1123" s="4" t="n">
        <v>756</v>
      </c>
      <c r="I1123" s="5" t="n">
        <v>105.8</v>
      </c>
      <c r="J1123" s="5" t="n">
        <v>37.1</v>
      </c>
      <c r="K1123" s="3" t="inlineStr">
        <is>
          <t>계획관리 양지바른 남향 탁트인 개방감 국가산단 인근으로 투자용추천</t>
        </is>
      </c>
      <c r="L1123" s="6">
        <f>HYPERLINK("https://fin.land.naver.com/articles/2650281221", "매물Link")</f>
        <v/>
      </c>
      <c r="M1123" s="6">
        <f>HYPERLINK("https://map.naver.com/p/search/연서면 쌍류리 250", "지도Link")</f>
        <v/>
      </c>
      <c r="N1123" s="6">
        <f>HYPERLINK("https://www.eum.go.kr/web/mp/mpMapDet.jsp?pnu=3611036026102500000&amp;isNoScr=script&amp;mode=search", "토지이음")</f>
        <v/>
      </c>
      <c r="O1123" s="3" t="inlineStr">
        <is>
          <t>더샵엘리프원탑</t>
        </is>
      </c>
      <c r="P1123" s="4" t="n">
        <v>2</v>
      </c>
      <c r="Q1123" s="4" t="n">
        <v>2499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253-1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39300</v>
      </c>
      <c r="G1124" s="4" t="n">
        <v>1002</v>
      </c>
      <c r="H1124" s="4" t="n">
        <v>303</v>
      </c>
      <c r="I1124" s="5" t="n">
        <v>129.7</v>
      </c>
      <c r="J1124" s="5" t="n">
        <v>30.9</v>
      </c>
      <c r="K1124" s="3" t="inlineStr">
        <is>
          <t>고복저수지인근의 도로길게 접한 생산관리 농지, 전원생활,투자를 겸한 자경</t>
        </is>
      </c>
      <c r="L1124" s="6">
        <f>HYPERLINK("https://fin.land.naver.com/articles/2645140592", "매물Link")</f>
        <v/>
      </c>
      <c r="M1124" s="6">
        <f>HYPERLINK("https://map.naver.com/p/search/연서면 쌍류리 253-1", "지도Link")</f>
        <v/>
      </c>
      <c r="N1124" s="6">
        <f>HYPERLINK("https://www.eum.go.kr/web/mp/mpMapDet.jsp?pnu=3611036026102530001&amp;isNoScr=script&amp;mode=search",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1002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연서면 쌍류리 29-1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38500</v>
      </c>
      <c r="G1125" s="4" t="n">
        <v>1590</v>
      </c>
      <c r="H1125" s="4" t="n">
        <v>481</v>
      </c>
      <c r="I1125" s="5" t="n">
        <v>80</v>
      </c>
      <c r="J1125" s="5" t="n">
        <v>24.9</v>
      </c>
      <c r="K1125" s="3" t="inlineStr">
        <is>
          <t>농막 전기 수도 등이 설치된 복숭아 과수원을 급매로  매매합니다</t>
        </is>
      </c>
      <c r="L1125" s="6">
        <f>HYPERLINK("https://fin.land.naver.com/articles/2648878841", "매물Link")</f>
        <v/>
      </c>
      <c r="M1125" s="6">
        <f>HYPERLINK("https://map.naver.com/p/search/연서면 쌍류리 29-1", "지도Link")</f>
        <v/>
      </c>
      <c r="N1125" s="6">
        <f>HYPERLINK("https://www.eum.go.kr/web/mp/mpMapDet.jsp?pnu=3611036026100290001&amp;isNoScr=script&amp;mode=search", "토지이음")</f>
        <v/>
      </c>
      <c r="O1125" s="3" t="inlineStr">
        <is>
          <t>스마일세종</t>
        </is>
      </c>
      <c r="P1125" s="4" t="n">
        <v>2</v>
      </c>
      <c r="Q1125" s="4" t="n">
        <v>1590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304-1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공장용지</t>
        </is>
      </c>
      <c r="E1126" s="3" t="inlineStr">
        <is>
          <t>매매</t>
        </is>
      </c>
      <c r="F1126" s="4" t="n">
        <v>112000</v>
      </c>
      <c r="G1126" s="4" t="n">
        <v>1851</v>
      </c>
      <c r="H1126" s="4" t="n">
        <v>560</v>
      </c>
      <c r="I1126" s="5" t="n">
        <v>200</v>
      </c>
      <c r="J1126" s="5" t="n">
        <v>63.2</v>
      </c>
      <c r="K1126" s="3" t="inlineStr">
        <is>
          <t>공장 있었으나 멸실됨, 공장 창고 또는 근생부지로도 훌륭함</t>
        </is>
      </c>
      <c r="L1126" s="6">
        <f>HYPERLINK("https://fin.land.naver.com/articles/2645606684", "매물Link")</f>
        <v/>
      </c>
      <c r="M1126" s="6">
        <f>HYPERLINK("https://map.naver.com/p/search/연서면 쌍류리 304-1", "지도Link")</f>
        <v/>
      </c>
      <c r="N1126" s="6">
        <f>HYPERLINK("https://www.eum.go.kr/web/mp/mpMapDet.jsp?pnu=3611036026103040001&amp;isNoScr=script&amp;mode=search",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818</v>
      </c>
      <c r="R1126" s="3" t="inlineStr">
        <is>
          <t>지정되지않음</t>
        </is>
      </c>
      <c r="S1126" s="3" t="inlineStr">
        <is>
          <t>공업용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연서면 쌍류리 2차선변 토지 매매</t>
        </is>
      </c>
      <c r="L1127" s="6">
        <f>HYPERLINK("https://fin.land.naver.com/articles/2649563551", "매물Link")</f>
        <v/>
      </c>
      <c r="M1127" s="6">
        <f>HYPERLINK("https://map.naver.com/p/search/연서면 쌍류리 333-1", "지도Link")</f>
        <v/>
      </c>
      <c r="N1127" s="6">
        <f>HYPERLINK("https://www.eum.go.kr/web/mp/mpMapDet.jsp?pnu=3611036026103330001&amp;isNoScr=script&amp;mode=search", "토지이음")</f>
        <v/>
      </c>
      <c r="O1127" s="3" t="inlineStr">
        <is>
          <t>길운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333-1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36500</v>
      </c>
      <c r="G1128" s="4" t="n">
        <v>1334</v>
      </c>
      <c r="H1128" s="4" t="n">
        <v>404</v>
      </c>
      <c r="I1128" s="5" t="n">
        <v>90.3</v>
      </c>
      <c r="J1128" s="5" t="n">
        <v>29.4</v>
      </c>
      <c r="K1128" s="3" t="inlineStr">
        <is>
          <t>하천, 도로접, 포도농원</t>
        </is>
      </c>
      <c r="L1128" s="6">
        <f>HYPERLINK("https://fin.land.naver.com/articles/2650024525", "매물Link")</f>
        <v/>
      </c>
      <c r="M1128" s="6">
        <f>HYPERLINK("https://map.naver.com/p/search/연서면 쌍류리 333-1", "지도Link")</f>
        <v/>
      </c>
      <c r="N1128" s="6">
        <f>HYPERLINK("https://www.eum.go.kr/web/mp/mpMapDet.jsp?pnu=3611036026103330001&amp;isNoScr=script&amp;mode=search", "토지이음")</f>
        <v/>
      </c>
      <c r="O1128" s="3" t="inlineStr">
        <is>
          <t>삼보</t>
        </is>
      </c>
      <c r="P1128" s="4" t="n">
        <v>1</v>
      </c>
      <c r="Q1128" s="4" t="n">
        <v>984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쌍류리 340-2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65000</v>
      </c>
      <c r="G1129" s="4" t="n">
        <v>1772</v>
      </c>
      <c r="H1129" s="4" t="n">
        <v>536</v>
      </c>
      <c r="I1129" s="5" t="n">
        <v>121.3</v>
      </c>
      <c r="J1129" s="5" t="n">
        <v>30.1</v>
      </c>
      <c r="K1129" s="3" t="inlineStr">
        <is>
          <t>남향토지 도로 접한 농지 초등학교 인근 전원주택지 추천</t>
        </is>
      </c>
      <c r="L1129" s="6">
        <f>HYPERLINK("https://fin.land.naver.com/articles/2646804144", "매물Link")</f>
        <v/>
      </c>
      <c r="M1129" s="6">
        <f>HYPERLINK("https://map.naver.com/p/search/연서면 쌍류리 340-2", "지도Link")</f>
        <v/>
      </c>
      <c r="N1129" s="6">
        <f>HYPERLINK("https://www.eum.go.kr/web/mp/mpMapDet.jsp?pnu=3611036026103400002&amp;isNoScr=script&amp;mode=search",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1772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쌍류리 419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196000</v>
      </c>
      <c r="G1130" s="4" t="n">
        <v>6318</v>
      </c>
      <c r="H1130" s="4" t="n">
        <v>1911</v>
      </c>
      <c r="I1130" s="5" t="n">
        <v>102.6</v>
      </c>
      <c r="J1130" s="5" t="n">
        <v>29.8</v>
      </c>
      <c r="K1130" s="3" t="inlineStr">
        <is>
          <t>과수원1필지,임야3필지 일괄매매</t>
        </is>
      </c>
      <c r="L1130" s="6">
        <f>HYPERLINK("https://fin.land.naver.com/articles/2646711526", "매물Link")</f>
        <v/>
      </c>
      <c r="M1130" s="6">
        <f>HYPERLINK("https://map.naver.com/p/search/연서면 쌍류리 419", "지도Link")</f>
        <v/>
      </c>
      <c r="N1130" s="6">
        <f>HYPERLINK("https://www.eum.go.kr/web/mp/mpMapDet.jsp?pnu=3611036026104190000&amp;isNoScr=script&amp;mode=search", "토지이음")</f>
        <v/>
      </c>
      <c r="O1130" s="3" t="inlineStr">
        <is>
          <t>빛나</t>
        </is>
      </c>
      <c r="P1130" s="4" t="n">
        <v>1</v>
      </c>
      <c r="Q1130" s="4" t="n">
        <v>711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42-1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22900</v>
      </c>
      <c r="G1131" s="4" t="n">
        <v>840</v>
      </c>
      <c r="H1131" s="4" t="n">
        <v>254</v>
      </c>
      <c r="I1131" s="5" t="n">
        <v>90.2</v>
      </c>
      <c r="J1131" s="5" t="n">
        <v>46</v>
      </c>
      <c r="K1131" s="3" t="inlineStr">
        <is>
          <t>도로확장 되는 부분과 96미터 정도로 길게 접한 좁고 길쭉한 토지</t>
        </is>
      </c>
      <c r="L1131" s="6">
        <f>HYPERLINK("https://fin.land.naver.com/articles/2649904522", "매물Link")</f>
        <v/>
      </c>
      <c r="M1131" s="6">
        <f>HYPERLINK("https://map.naver.com/p/search/연서면 쌍류리 42-1", "지도Link")</f>
        <v/>
      </c>
      <c r="N1131" s="6">
        <f>HYPERLINK("https://www.eum.go.kr/web/mp/mpMapDet.jsp?pnu=3611036026100420001&amp;isNoScr=script&amp;mode=search",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840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쌍류리 426-2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16000</v>
      </c>
      <c r="G1132" s="4" t="n">
        <v>476</v>
      </c>
      <c r="H1132" s="4" t="n">
        <v>144</v>
      </c>
      <c r="I1132" s="5" t="n">
        <v>111.1</v>
      </c>
      <c r="J1132" s="5" t="n">
        <v>55.4</v>
      </c>
      <c r="K1132" s="3" t="inlineStr">
        <is>
          <t>nan</t>
        </is>
      </c>
      <c r="L1132" s="6">
        <f>HYPERLINK("https://fin.land.naver.com/articles/2649967157", "매물Link")</f>
        <v/>
      </c>
      <c r="M1132" s="6">
        <f>HYPERLINK("https://map.naver.com/p/search/연서면 쌍류리 426-2", "지도Link")</f>
        <v/>
      </c>
      <c r="N1132" s="6">
        <f>HYPERLINK("https://www.eum.go.kr/web/mp/mpMapDet.jsp?pnu=3611036026104260002&amp;isNoScr=script&amp;mode=search",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476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쌍류리 438-1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210000</v>
      </c>
      <c r="G1133" s="4" t="n">
        <v>11425</v>
      </c>
      <c r="H1133" s="4" t="n">
        <v>3456</v>
      </c>
      <c r="I1133" s="5" t="n">
        <v>60.8</v>
      </c>
      <c r="J1133" s="5" t="n">
        <v>27.4</v>
      </c>
      <c r="K1133" s="3" t="inlineStr">
        <is>
          <t>도로있음, 매매가협의가능, 고복저수지7분거리, 분할가능</t>
        </is>
      </c>
      <c r="L1133" s="6">
        <f>HYPERLINK("https://fin.land.naver.com/articles/2649913709", "매물Link")</f>
        <v/>
      </c>
      <c r="M1133" s="6">
        <f>HYPERLINK("https://map.naver.com/p/search/연서면 쌍류리 438-1", "지도Link")</f>
        <v/>
      </c>
      <c r="N1133" s="6">
        <f>HYPERLINK("https://www.eum.go.kr/web/mp/mpMapDet.jsp?pnu=3611036026104380001&amp;isNoScr=script&amp;mode=search", "토지이음")</f>
        <v/>
      </c>
      <c r="O1133" s="3" t="inlineStr">
        <is>
          <t>미스터홈즈강남지사</t>
        </is>
      </c>
      <c r="P1133" s="4" t="n">
        <v>2</v>
      </c>
      <c r="Q1133" s="4" t="n">
        <v>11425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연서면 쌍류리 451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55680</v>
      </c>
      <c r="G1134" s="4" t="n">
        <v>1534</v>
      </c>
      <c r="H1134" s="4" t="n">
        <v>464</v>
      </c>
      <c r="I1134" s="5" t="n">
        <v>120</v>
      </c>
      <c r="J1134" s="5" t="n">
        <v>23.6</v>
      </c>
      <c r="K1134" s="3" t="inlineStr">
        <is>
          <t>평탄화 작업 완료하여, 전원생활을 위한 원형지를 찾는 분에게 추천</t>
        </is>
      </c>
      <c r="L1134" s="6">
        <f>HYPERLINK("https://fin.land.naver.com/articles/2645605797", "매물Link")</f>
        <v/>
      </c>
      <c r="M1134" s="6">
        <f>HYPERLINK("https://map.naver.com/p/search/연서면 쌍류리 451", "지도Link")</f>
        <v/>
      </c>
      <c r="N1134" s="6">
        <f>HYPERLINK("https://www.eum.go.kr/web/mp/mpMapDet.jsp?pnu=3611036026104510000&amp;isNoScr=script&amp;mode=search",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1534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쌍류리 463-2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101500</v>
      </c>
      <c r="G1135" s="4" t="n">
        <v>3355</v>
      </c>
      <c r="H1135" s="4" t="n">
        <v>1015</v>
      </c>
      <c r="I1135" s="5" t="n">
        <v>100</v>
      </c>
      <c r="J1135" s="5" t="n">
        <v>28.9</v>
      </c>
      <c r="K1135" s="3" t="inlineStr">
        <is>
          <t>추천.고복저수지 인근 농지</t>
        </is>
      </c>
      <c r="L1135" s="6">
        <f>HYPERLINK("https://fin.land.naver.com/articles/2645465767", "매물Link")</f>
        <v/>
      </c>
      <c r="M1135" s="6">
        <f>HYPERLINK("https://map.naver.com/p/search/연서면 쌍류리 463-2", "지도Link")</f>
        <v/>
      </c>
      <c r="N1135" s="6">
        <f>HYPERLINK("https://www.eum.go.kr/web/mp/mpMapDet.jsp?pnu=3611036026104630002&amp;isNoScr=script&amp;mode=search", "토지이음")</f>
        <v/>
      </c>
      <c r="O1135" s="3" t="inlineStr">
        <is>
          <t>강아지풀</t>
        </is>
      </c>
      <c r="P1135" s="4" t="n">
        <v>1</v>
      </c>
      <c r="Q1135" s="4" t="n">
        <v>3355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53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57000</v>
      </c>
      <c r="G1136" s="4" t="n">
        <v>2734</v>
      </c>
      <c r="H1136" s="4" t="n">
        <v>827</v>
      </c>
      <c r="I1136" s="5" t="n">
        <v>68.90000000000001</v>
      </c>
      <c r="J1136" s="5" t="n">
        <v>24.9</v>
      </c>
      <c r="K1136" s="3" t="inlineStr">
        <is>
          <t>명성공인, 전용827, 연서면 생산관리 추천 매물</t>
        </is>
      </c>
      <c r="L1136" s="6">
        <f>HYPERLINK("https://fin.land.naver.com/articles/2650266078", "매물Link")</f>
        <v/>
      </c>
      <c r="M1136" s="6">
        <f>HYPERLINK("https://map.naver.com/p/search/연서면 쌍류리 53", "지도Link")</f>
        <v/>
      </c>
      <c r="N1136" s="6">
        <f>HYPERLINK("https://www.eum.go.kr/web/mp/mpMapDet.jsp?pnu=3611036026100530000&amp;isNoScr=script&amp;mode=search", "토지이음")</f>
        <v/>
      </c>
      <c r="O1136" s="3" t="inlineStr">
        <is>
          <t>명성</t>
        </is>
      </c>
      <c r="P1136" s="4" t="n">
        <v>2</v>
      </c>
      <c r="Q1136" s="4" t="n">
        <v>2734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27000</v>
      </c>
      <c r="G1137" s="4" t="n">
        <v>1342</v>
      </c>
      <c r="H1137" s="4" t="n">
        <v>406</v>
      </c>
      <c r="I1137" s="5" t="n">
        <v>66.5</v>
      </c>
      <c r="J1137" s="5" t="n">
        <v>22.8</v>
      </c>
      <c r="K1137" s="3" t="inlineStr">
        <is>
          <t>명성공인, 전용406, 연서면 추천 매물</t>
        </is>
      </c>
      <c r="L1137" s="6">
        <f>HYPERLINK("https://fin.land.naver.com/articles/2648045315", "매물Link")</f>
        <v/>
      </c>
      <c r="M1137" s="6">
        <f>HYPERLINK("https://map.naver.com/p/search/연서면 쌍류리 56", "지도Link")</f>
        <v/>
      </c>
      <c r="N1137" s="6">
        <f>HYPERLINK("https://www.eum.go.kr/web/mp/mpMapDet.jsp?pnu=3611036026100560000&amp;isNoScr=script&amp;mode=search",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1011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560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31000</v>
      </c>
      <c r="G1138" s="4" t="n">
        <v>1336</v>
      </c>
      <c r="H1138" s="4" t="n">
        <v>404</v>
      </c>
      <c r="I1138" s="5" t="n">
        <v>76.7</v>
      </c>
      <c r="J1138" s="5" t="n">
        <v>24</v>
      </c>
      <c r="K1138" s="3" t="inlineStr">
        <is>
          <t>nan</t>
        </is>
      </c>
      <c r="L1138" s="6">
        <f>HYPERLINK("https://fin.land.naver.com/articles/2647537025", "매물Link")</f>
        <v/>
      </c>
      <c r="M1138" s="6">
        <f>HYPERLINK("https://map.naver.com/p/search/연서면 쌍류리 560", "지도Link")</f>
        <v/>
      </c>
      <c r="N1138" s="6">
        <f>HYPERLINK("https://www.eum.go.kr/web/mp/mpMapDet.jsp?pnu=3611036026105600000&amp;isNoScr=script&amp;mode=search", "토지이음")</f>
        <v/>
      </c>
      <c r="O1138" s="3" t="inlineStr">
        <is>
          <t>신태양</t>
        </is>
      </c>
      <c r="P1138" s="4" t="n">
        <v>1</v>
      </c>
      <c r="Q1138" s="4" t="n">
        <v>1336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564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10000</v>
      </c>
      <c r="G1139" s="4" t="n">
        <v>1127</v>
      </c>
      <c r="H1139" s="4" t="n">
        <v>341</v>
      </c>
      <c r="I1139" s="5" t="n">
        <v>29.3</v>
      </c>
      <c r="J1139" s="5" t="n">
        <v>22</v>
      </c>
      <c r="K1139" s="3" t="inlineStr">
        <is>
          <t>관리지역 토지매매</t>
        </is>
      </c>
      <c r="L1139" s="6">
        <f>HYPERLINK("https://fin.land.naver.com/articles/2648813367", "매물Link")</f>
        <v/>
      </c>
      <c r="M1139" s="6">
        <f>HYPERLINK("https://map.naver.com/p/search/연서면 쌍류리 564", "지도Link")</f>
        <v/>
      </c>
      <c r="N1139" s="6">
        <f>HYPERLINK("https://www.eum.go.kr/web/mp/mpMapDet.jsp?pnu=3611036026105640000&amp;isNoScr=script&amp;mode=search", "토지이음")</f>
        <v/>
      </c>
      <c r="O1139" s="3" t="inlineStr">
        <is>
          <t>세종대박</t>
        </is>
      </c>
      <c r="P1139" s="4" t="n">
        <v>1</v>
      </c>
      <c r="Q1139" s="4" t="n">
        <v>1127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연서면 쌍류리 584-1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19160</v>
      </c>
      <c r="G1140" s="4" t="n">
        <v>1056</v>
      </c>
      <c r="H1140" s="4" t="n">
        <v>319</v>
      </c>
      <c r="I1140" s="5" t="n">
        <v>60.1</v>
      </c>
      <c r="J1140" s="5" t="n">
        <v>28.9</v>
      </c>
      <c r="K1140" s="3" t="inlineStr">
        <is>
          <t>세종시에서 1억원대에 투자할수 있는땅</t>
        </is>
      </c>
      <c r="L1140" s="6">
        <f>HYPERLINK("https://fin.land.naver.com/articles/2647444352", "매물Link")</f>
        <v/>
      </c>
      <c r="M1140" s="6">
        <f>HYPERLINK("https://map.naver.com/p/search/연서면 쌍류리 584-1", "지도Link")</f>
        <v/>
      </c>
      <c r="N1140" s="6">
        <f>HYPERLINK("https://www.eum.go.kr/web/mp/mpMapDet.jsp?pnu=3611036026105840001&amp;isNoScr=script&amp;mode=search", "토지이음")</f>
        <v/>
      </c>
      <c r="O1140" s="3" t="inlineStr">
        <is>
          <t>킹</t>
        </is>
      </c>
      <c r="P1140" s="4" t="n">
        <v>1</v>
      </c>
      <c r="Q1140" s="4" t="n">
        <v>1056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584-3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45000</v>
      </c>
      <c r="G1141" s="4" t="n">
        <v>2463</v>
      </c>
      <c r="H1141" s="4" t="n">
        <v>745</v>
      </c>
      <c r="I1141" s="5" t="n">
        <v>60.4</v>
      </c>
      <c r="J1141" s="5" t="n">
        <v>28.9</v>
      </c>
      <c r="K1141" s="3" t="inlineStr">
        <is>
          <t>쌍류리 저렴한 토지매매</t>
        </is>
      </c>
      <c r="L1141" s="6">
        <f>HYPERLINK("https://fin.land.naver.com/articles/2646861698", "매물Link")</f>
        <v/>
      </c>
      <c r="M1141" s="6">
        <f>HYPERLINK("https://map.naver.com/p/search/연서면 쌍류리 584-3", "지도Link")</f>
        <v/>
      </c>
      <c r="N1141" s="6">
        <f>HYPERLINK("https://www.eum.go.kr/web/mp/mpMapDet.jsp?pnu=3611036026105840003&amp;isNoScr=script&amp;mode=search", "토지이음")</f>
        <v/>
      </c>
      <c r="O1141" s="3" t="inlineStr">
        <is>
          <t>세종땅사랑</t>
        </is>
      </c>
      <c r="P1141" s="4" t="n">
        <v>1</v>
      </c>
      <c r="Q1141" s="4" t="n">
        <v>1435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598-1</t>
        </is>
      </c>
      <c r="B1142" s="3" t="inlineStr">
        <is>
          <t>생산관리지역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78000</v>
      </c>
      <c r="G1142" s="4" t="n">
        <v>1572</v>
      </c>
      <c r="H1142" s="4" t="n">
        <v>476</v>
      </c>
      <c r="I1142" s="5" t="n">
        <v>163.9</v>
      </c>
      <c r="J1142" s="5" t="n">
        <v>48</v>
      </c>
      <c r="K1142" s="3" t="inlineStr">
        <is>
          <t>2차선 도로 접 하고 있는매물</t>
        </is>
      </c>
      <c r="L1142" s="6">
        <f>HYPERLINK("https://fin.land.naver.com/articles/2647765926", "매물Link")</f>
        <v/>
      </c>
      <c r="M1142" s="6">
        <f>HYPERLINK("https://map.naver.com/p/search/연서면 쌍류리 598-1", "지도Link")</f>
        <v/>
      </c>
      <c r="N1142" s="6">
        <f>HYPERLINK("https://www.eum.go.kr/web/mp/mpMapDet.jsp?pnu=3611036026105980001&amp;isNoScr=script&amp;mode=search", "토지이음")</f>
        <v/>
      </c>
      <c r="O1142" s="3" t="inlineStr">
        <is>
          <t>지호주식회사</t>
        </is>
      </c>
      <c r="P1142" s="4" t="n">
        <v>1</v>
      </c>
      <c r="Q1142" s="4" t="n">
        <v>1126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소로각지</t>
        </is>
      </c>
    </row>
    <row r="1143">
      <c r="A1143" s="3" t="inlineStr">
        <is>
          <t>연서면 쌍류리 6-11</t>
        </is>
      </c>
      <c r="B1143" s="3" t="inlineStr">
        <is>
          <t>농림지역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46000</v>
      </c>
      <c r="G1143" s="4" t="n">
        <v>6289</v>
      </c>
      <c r="H1143" s="4" t="n">
        <v>1902</v>
      </c>
      <c r="I1143" s="5" t="n">
        <v>24.2</v>
      </c>
      <c r="J1143" s="5" t="n">
        <v>3</v>
      </c>
      <c r="K1143" s="3" t="inlineStr">
        <is>
          <t>연서면 2차선변 야산</t>
        </is>
      </c>
      <c r="L1143" s="6">
        <f>HYPERLINK("https://fin.land.naver.com/articles/2647576378", "매물Link")</f>
        <v/>
      </c>
      <c r="M1143" s="6">
        <f>HYPERLINK("https://map.naver.com/p/search/연서면 쌍류리 6-11", "지도Link")</f>
        <v/>
      </c>
      <c r="N1143" s="6">
        <f>HYPERLINK("https://www.eum.go.kr/web/mp/mpMapDet.jsp?pnu=3611036026100060011&amp;isNoScr=script&amp;mode=search", "토지이음")</f>
        <v/>
      </c>
      <c r="O1143" s="3" t="inlineStr">
        <is>
          <t>KB세종</t>
        </is>
      </c>
      <c r="P1143" s="4" t="n">
        <v>1</v>
      </c>
      <c r="Q1143" s="4" t="n">
        <v>6289</v>
      </c>
      <c r="R1143" s="3" t="inlineStr">
        <is>
          <t>보전관리지역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쌍류리 608-4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18000</v>
      </c>
      <c r="G1144" s="4" t="n">
        <v>500</v>
      </c>
      <c r="H1144" s="4" t="n">
        <v>151</v>
      </c>
      <c r="I1144" s="5" t="n">
        <v>119.2</v>
      </c>
      <c r="J1144" s="5" t="n">
        <v>25.4</v>
      </c>
      <c r="K1144" s="3" t="inlineStr">
        <is>
          <t>세종에서 1억원대에 투자할수 있는땅</t>
        </is>
      </c>
      <c r="L1144" s="6">
        <f>HYPERLINK("https://fin.land.naver.com/articles/2647444081", "매물Link")</f>
        <v/>
      </c>
      <c r="M1144" s="6">
        <f>HYPERLINK("https://map.naver.com/p/search/연서면 쌍류리 608-4", "지도Link")</f>
        <v/>
      </c>
      <c r="N1144" s="6">
        <f>HYPERLINK("https://www.eum.go.kr/web/mp/mpMapDet.jsp?pnu=3611036026106080004&amp;isNoScr=script&amp;mode=search", "토지이음")</f>
        <v/>
      </c>
      <c r="O1144" s="3" t="inlineStr">
        <is>
          <t>킹</t>
        </is>
      </c>
      <c r="P1144" s="4" t="n">
        <v>1</v>
      </c>
      <c r="Q1144" s="4" t="n">
        <v>500</v>
      </c>
      <c r="R1144" s="3" t="inlineStr">
        <is>
          <t>생산관리지역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HYPERLINK("https://www.eum.go.kr/web/mp/mpMapDet.jsp?pnu=3611036026107060099&amp;isNoScr=script&amp;mode=search",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706-99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17000</v>
      </c>
      <c r="G1146" s="4" t="n">
        <v>522</v>
      </c>
      <c r="H1146" s="4" t="n">
        <v>158</v>
      </c>
      <c r="I1146" s="5" t="n">
        <v>107.6</v>
      </c>
      <c r="J1146" s="5" t="n">
        <v>32.8</v>
      </c>
      <c r="K1146" s="3" t="inlineStr">
        <is>
          <t>쌍류리 2차선길게 접한 코너각지 위치좋고 저렴한 토지</t>
        </is>
      </c>
      <c r="L1146" s="6">
        <f>HYPERLINK("https://fin.land.naver.com/articles/2644770034", "매물Link")</f>
        <v/>
      </c>
      <c r="M1146" s="6">
        <f>HYPERLINK("https://map.naver.com/p/search/연서면 쌍류리 706-99", "지도Link")</f>
        <v/>
      </c>
      <c r="N1146" s="6">
        <f>HYPERLINK("https://www.eum.go.kr/web/mp/mpMapDet.jsp?pnu=3611036026107060099&amp;isNoScr=script&amp;mode=search",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314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쌍류리 72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150000</v>
      </c>
      <c r="G1147" s="4" t="n">
        <v>2088</v>
      </c>
      <c r="H1147" s="4" t="n">
        <v>632</v>
      </c>
      <c r="I1147" s="5" t="n">
        <v>237.3</v>
      </c>
      <c r="J1147" s="5" t="n">
        <v>83.09999999999999</v>
      </c>
      <c r="K1147" s="3" t="inlineStr">
        <is>
          <t>인근에서 보기 두문 계획관리 부지</t>
        </is>
      </c>
      <c r="L1147" s="6">
        <f>HYPERLINK("https://fin.land.naver.com/articles/2650344547", "매물Link")</f>
        <v/>
      </c>
      <c r="M1147" s="6">
        <f>HYPERLINK("https://map.naver.com/p/search/연서면 쌍류리 72", "지도Link")</f>
        <v/>
      </c>
      <c r="N1147" s="6">
        <f>HYPERLINK("https://www.eum.go.kr/web/mp/mpMapDet.jsp?pnu=3611036026100720000&amp;isNoScr=script&amp;mode=search", "토지이음")</f>
        <v/>
      </c>
      <c r="O1147" s="3" t="inlineStr">
        <is>
          <t>비전</t>
        </is>
      </c>
      <c r="P1147" s="4" t="n">
        <v>1</v>
      </c>
      <c r="Q1147" s="4" t="n">
        <v>650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26000</v>
      </c>
      <c r="G1148" s="4" t="n">
        <v>477</v>
      </c>
      <c r="H1148" s="4" t="n">
        <v>144</v>
      </c>
      <c r="I1148" s="5" t="n">
        <v>180.6</v>
      </c>
      <c r="J1148" s="5" t="n">
        <v>30.2</v>
      </c>
      <c r="K1148" s="3" t="inlineStr">
        <is>
          <t>근생 건축허가 및 전기,수도,통신 등 지하와 완료 즉시 신축가능</t>
        </is>
      </c>
      <c r="L1148" s="6">
        <f>HYPERLINK("https://fin.land.naver.com/articles/2649398240", "매물Link")</f>
        <v/>
      </c>
      <c r="M1148" s="6">
        <f>HYPERLINK("https://map.naver.com/p/search/연서면 쌍류리 94-12", "지도Link")</f>
        <v/>
      </c>
      <c r="N1148" s="6">
        <f>HYPERLINK("https://www.eum.go.kr/web/mp/mpMapDet.jsp?pnu=3611036026100940012&amp;isNoScr=script&amp;mode=search", "토지이음")</f>
        <v/>
      </c>
      <c r="O1148" s="3" t="inlineStr">
        <is>
          <t>세종나라</t>
        </is>
      </c>
      <c r="P1148" s="4" t="n">
        <v>2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94-12</t>
        </is>
      </c>
      <c r="B1149" s="3" t="inlineStr">
        <is>
          <t>생산관리지역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26560</v>
      </c>
      <c r="G1149" s="4" t="n">
        <v>477</v>
      </c>
      <c r="H1149" s="4" t="n">
        <v>144</v>
      </c>
      <c r="I1149" s="5" t="n">
        <v>184.4</v>
      </c>
      <c r="J1149" s="5" t="n">
        <v>30.2</v>
      </c>
      <c r="K1149" s="3" t="inlineStr">
        <is>
          <t>nan</t>
        </is>
      </c>
      <c r="L1149" s="6">
        <f>HYPERLINK("https://fin.land.naver.com/articles/2650436505", "매물Link")</f>
        <v/>
      </c>
      <c r="M1149" s="6">
        <f>HYPERLINK("https://map.naver.com/p/search/연서면 쌍류리 94-12", "지도Link")</f>
        <v/>
      </c>
      <c r="N1149" s="6">
        <f>HYPERLINK("https://www.eum.go.kr/web/mp/mpMapDet.jsp?pnu=3611036026100940012&amp;isNoScr=script&amp;mode=search",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477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쌍전리 136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34000</v>
      </c>
      <c r="G1150" s="4" t="n">
        <v>562</v>
      </c>
      <c r="H1150" s="4" t="n">
        <v>170</v>
      </c>
      <c r="I1150" s="5" t="n">
        <v>200</v>
      </c>
      <c r="J1150" s="5" t="n">
        <v>57.1</v>
      </c>
      <c r="K1150" s="3" t="inlineStr">
        <is>
          <t>nan</t>
        </is>
      </c>
      <c r="L1150" s="6">
        <f>HYPERLINK("https://fin.land.naver.com/articles/2646589357", "매물Link")</f>
        <v/>
      </c>
      <c r="M1150" s="6">
        <f>HYPERLINK("https://map.naver.com/p/search/연서면 쌍전리 136", "지도Link")</f>
        <v/>
      </c>
      <c r="N1150" s="6">
        <f>HYPERLINK("https://www.eum.go.kr/web/mp/mpMapDet.jsp?pnu=3611036022101360000&amp;isNoScr=script&amp;mode=search", "토지이음")</f>
        <v/>
      </c>
      <c r="O1150" s="3" t="inlineStr">
        <is>
          <t>이순이</t>
        </is>
      </c>
      <c r="P1150" s="4" t="n">
        <v>1</v>
      </c>
      <c r="Q1150" s="4" t="n">
        <v>562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맹지</t>
        </is>
      </c>
    </row>
    <row r="1151">
      <c r="A1151" s="3" t="inlineStr">
        <is>
          <t>연서면 쌍전리 140-2</t>
        </is>
      </c>
      <c r="B1151" s="3" t="inlineStr">
        <is>
          <t>자연녹지지역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27400</v>
      </c>
      <c r="G1151" s="4" t="n">
        <v>700</v>
      </c>
      <c r="H1151" s="4" t="n">
        <v>212</v>
      </c>
      <c r="I1151" s="5" t="n">
        <v>129.2</v>
      </c>
      <c r="J1151" s="5" t="n">
        <v>55.9</v>
      </c>
      <c r="K1151" s="3" t="inlineStr">
        <is>
          <t>토지거래허가구역에서 제외된 토지. 향후 미래가치가 높은 소액투자로 추천.</t>
        </is>
      </c>
      <c r="L1151" s="6">
        <f>HYPERLINK("https://fin.land.naver.com/articles/2649342650", "매물Link")</f>
        <v/>
      </c>
      <c r="M1151" s="6">
        <f>HYPERLINK("https://map.naver.com/p/search/연서면 쌍전리 140-2", "지도Link")</f>
        <v/>
      </c>
      <c r="N1151" s="6">
        <f>HYPERLINK("https://www.eum.go.kr/web/mp/mpMapDet.jsp?pnu=3611036022101400002&amp;isNoScr=script&amp;mode=search", "토지이음")</f>
        <v/>
      </c>
      <c r="O1151" s="3" t="inlineStr">
        <is>
          <t>세종대장</t>
        </is>
      </c>
      <c r="P1151" s="4" t="n">
        <v>2</v>
      </c>
      <c r="Q1151" s="4" t="n">
        <v>510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150-3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60000</v>
      </c>
      <c r="G1152" s="4" t="n">
        <v>1006</v>
      </c>
      <c r="H1152" s="4" t="n">
        <v>304</v>
      </c>
      <c r="I1152" s="5" t="n">
        <v>197.4</v>
      </c>
      <c r="J1152" s="5" t="n">
        <v>55.9</v>
      </c>
      <c r="K1152" s="3" t="inlineStr">
        <is>
          <t>세종국가산단 인접 토지</t>
        </is>
      </c>
      <c r="L1152" s="6">
        <f>HYPERLINK("https://fin.land.naver.com/articles/2645464603", "매물Link")</f>
        <v/>
      </c>
      <c r="M1152" s="6">
        <f>HYPERLINK("https://map.naver.com/p/search/연서면 쌍전리 150-3", "지도Link")</f>
        <v/>
      </c>
      <c r="N1152" s="6">
        <f>HYPERLINK("https://www.eum.go.kr/web/mp/mpMapDet.jsp?pnu=3611036022101500003&amp;isNoScr=script&amp;mode=search",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1006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쌍전리 151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67730</v>
      </c>
      <c r="G1153" s="4" t="n">
        <v>1722</v>
      </c>
      <c r="H1153" s="4" t="n">
        <v>521</v>
      </c>
      <c r="I1153" s="5" t="n">
        <v>130</v>
      </c>
      <c r="J1153" s="5" t="n">
        <v>59.5</v>
      </c>
      <c r="K1153" s="3" t="inlineStr">
        <is>
          <t>시세 대비 저렴한 물건으로 대토나 주말농장용 농지로 추천</t>
        </is>
      </c>
      <c r="L1153" s="6">
        <f>HYPERLINK("https://fin.land.naver.com/articles/2647392151", "매물Link")</f>
        <v/>
      </c>
      <c r="M1153" s="6">
        <f>HYPERLINK("https://map.naver.com/p/search/연서면 쌍전리 151", "지도Link")</f>
        <v/>
      </c>
      <c r="N1153" s="6">
        <f>HYPERLINK("https://www.eum.go.kr/web/mp/mpMapDet.jsp?pnu=3611036022101510000&amp;isNoScr=script&amp;mode=search", "토지이음")</f>
        <v/>
      </c>
      <c r="O1153" s="3" t="inlineStr">
        <is>
          <t>신와촌</t>
        </is>
      </c>
      <c r="P1153" s="4" t="n">
        <v>1</v>
      </c>
      <c r="Q1153" s="4" t="n">
        <v>1722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쌍전리 154-2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20000</v>
      </c>
      <c r="G1154" s="4" t="n">
        <v>522</v>
      </c>
      <c r="H1154" s="4" t="n">
        <v>158</v>
      </c>
      <c r="I1154" s="5" t="n">
        <v>126.6</v>
      </c>
      <c r="J1154" s="5" t="n">
        <v>62.5</v>
      </c>
      <c r="K1154" s="3" t="inlineStr">
        <is>
          <t>nan</t>
        </is>
      </c>
      <c r="L1154" s="6">
        <f>HYPERLINK("https://fin.land.naver.com/articles/2645005219", "매물Link")</f>
        <v/>
      </c>
      <c r="M1154" s="6">
        <f>HYPERLINK("https://map.naver.com/p/search/연서면 쌍전리 154-2", "지도Link")</f>
        <v/>
      </c>
      <c r="N1154" s="6">
        <f>HYPERLINK("https://www.eum.go.kr/web/mp/mpMapDet.jsp?pnu=3611036022101540002&amp;isNoScr=script&amp;mode=search", "토지이음")</f>
        <v/>
      </c>
      <c r="O1154" s="3" t="inlineStr">
        <is>
          <t>세종가온채</t>
        </is>
      </c>
      <c r="P1154" s="4" t="n">
        <v>2</v>
      </c>
      <c r="Q1154" s="4" t="n">
        <v>522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39200</v>
      </c>
      <c r="G1155" s="4" t="n">
        <v>518</v>
      </c>
      <c r="H1155" s="4" t="n">
        <v>157</v>
      </c>
      <c r="I1155" s="5" t="n">
        <v>249.7</v>
      </c>
      <c r="J1155" s="5" t="n">
        <v>66.90000000000001</v>
      </c>
      <c r="K1155" s="3" t="inlineStr">
        <is>
          <t>전원주택단지 최고의 입지  단지조성완료  협의가능  연기군아파트공급호재</t>
        </is>
      </c>
      <c r="L1155" s="6">
        <f>HYPERLINK("https://fin.land.naver.com/articles/2647888422", "매물Link")</f>
        <v/>
      </c>
      <c r="M1155" s="6">
        <f>HYPERLINK("https://map.naver.com/p/search/연서면 쌍전리 175-14", "지도Link")</f>
        <v/>
      </c>
      <c r="N1155" s="6">
        <f>HYPERLINK("https://www.eum.go.kr/web/mp/mpMapDet.jsp?pnu=3611036022101750014&amp;isNoScr=script&amp;mode=search", "토지이음")</f>
        <v/>
      </c>
      <c r="O1155" s="3" t="inlineStr">
        <is>
          <t>연세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175-14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40300</v>
      </c>
      <c r="G1156" s="4" t="n">
        <v>635</v>
      </c>
      <c r="H1156" s="4" t="n">
        <v>192</v>
      </c>
      <c r="I1156" s="5" t="n">
        <v>209.9</v>
      </c>
      <c r="J1156" s="5" t="n">
        <v>66.90000000000001</v>
      </c>
      <c r="K1156" s="3" t="inlineStr">
        <is>
          <t>도심근처 주택지 공방,찻집 등이 어울리는 호재성 좋은 토지</t>
        </is>
      </c>
      <c r="L1156" s="6">
        <f>HYPERLINK("https://fin.land.naver.com/articles/2650398102", "매물Link")</f>
        <v/>
      </c>
      <c r="M1156" s="6">
        <f>HYPERLINK("https://map.naver.com/p/search/연서면 쌍전리 175-14", "지도Link")</f>
        <v/>
      </c>
      <c r="N1156" s="6">
        <f>HYPERLINK("https://www.eum.go.kr/web/mp/mpMapDet.jsp?pnu=3611036022101750014&amp;isNoScr=script&amp;mode=search",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518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200-1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105000</v>
      </c>
      <c r="G1157" s="4" t="n">
        <v>1878</v>
      </c>
      <c r="H1157" s="4" t="n">
        <v>568</v>
      </c>
      <c r="I1157" s="5" t="n">
        <v>184.9</v>
      </c>
      <c r="J1157" s="5" t="n">
        <v>64.5</v>
      </c>
      <c r="K1157" s="3" t="inlineStr">
        <is>
          <t>급매,568P 도로접, 연서면 쌍전리 자연녹지</t>
        </is>
      </c>
      <c r="L1157" s="6">
        <f>HYPERLINK("https://fin.land.naver.com/articles/2646815489", "매물Link")</f>
        <v/>
      </c>
      <c r="M1157" s="6">
        <f>HYPERLINK("https://map.naver.com/p/search/연서면 쌍전리 200-1", "지도Link")</f>
        <v/>
      </c>
      <c r="N1157" s="6">
        <f>HYPERLINK("https://www.eum.go.kr/web/mp/mpMapDet.jsp?pnu=3611036022102000001&amp;isNoScr=script&amp;mode=search", "토지이음")</f>
        <v/>
      </c>
      <c r="O1157" s="3" t="inlineStr">
        <is>
          <t>광장</t>
        </is>
      </c>
      <c r="P1157" s="4" t="n">
        <v>1</v>
      </c>
      <c r="Q1157" s="4" t="n">
        <v>1878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쌍전리 400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57000</v>
      </c>
      <c r="G1158" s="4" t="n">
        <v>955</v>
      </c>
      <c r="H1158" s="4" t="n">
        <v>289</v>
      </c>
      <c r="I1158" s="5" t="n">
        <v>197.2</v>
      </c>
      <c r="J1158" s="5" t="n">
        <v>59.5</v>
      </c>
      <c r="K1158" s="3" t="inlineStr">
        <is>
          <t>nan</t>
        </is>
      </c>
      <c r="L1158" s="6">
        <f>HYPERLINK("https://fin.land.naver.com/articles/2646589140", "매물Link")</f>
        <v/>
      </c>
      <c r="M1158" s="6">
        <f>HYPERLINK("https://map.naver.com/p/search/연서면 쌍전리 400", "지도Link")</f>
        <v/>
      </c>
      <c r="N1158" s="6">
        <f>HYPERLINK("https://www.eum.go.kr/web/mp/mpMapDet.jsp?pnu=3611036022104000000&amp;isNoScr=script&amp;mode=search", "토지이음")</f>
        <v/>
      </c>
      <c r="O1158" s="3" t="inlineStr">
        <is>
          <t>이순이</t>
        </is>
      </c>
      <c r="P1158" s="4" t="n">
        <v>1</v>
      </c>
      <c r="Q1158" s="4" t="n">
        <v>955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세로각지(가)</t>
        </is>
      </c>
    </row>
    <row r="1159">
      <c r="A1159" s="3" t="inlineStr">
        <is>
          <t>연서면 쌍전리 405-4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81000</v>
      </c>
      <c r="G1159" s="4" t="n">
        <v>1498</v>
      </c>
      <c r="H1159" s="4" t="n">
        <v>453</v>
      </c>
      <c r="I1159" s="5" t="n">
        <v>178.8</v>
      </c>
      <c r="J1159" s="5" t="n">
        <v>24.2</v>
      </c>
      <c r="K1159" s="3" t="inlineStr">
        <is>
          <t>자연녹지 임야 매매</t>
        </is>
      </c>
      <c r="L1159" s="6">
        <f>HYPERLINK("https://fin.land.naver.com/articles/2648813384", "매물Link")</f>
        <v/>
      </c>
      <c r="M1159" s="6">
        <f>HYPERLINK("https://map.naver.com/p/search/연서면 쌍전리 405-4", "지도Link")</f>
        <v/>
      </c>
      <c r="N1159" s="6">
        <f>HYPERLINK("https://www.eum.go.kr/web/mp/mpMapDet.jsp?pnu=3611036022104050004&amp;isNoScr=script&amp;mode=search", "토지이음")</f>
        <v/>
      </c>
      <c r="O1159" s="3" t="inlineStr">
        <is>
          <t>세종대박</t>
        </is>
      </c>
      <c r="P1159" s="4" t="n">
        <v>1</v>
      </c>
      <c r="Q1159" s="4" t="n">
        <v>1498</v>
      </c>
      <c r="R1159" s="3" t="inlineStr">
        <is>
          <t>지정되지않음</t>
        </is>
      </c>
      <c r="S1159" s="3" t="inlineStr">
        <is>
          <t>자연림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쌍전리 407-3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83000</v>
      </c>
      <c r="G1160" s="4" t="n">
        <v>1831</v>
      </c>
      <c r="H1160" s="4" t="n">
        <v>554</v>
      </c>
      <c r="I1160" s="5" t="n">
        <v>149.8</v>
      </c>
      <c r="J1160" s="5" t="n">
        <v>50.6</v>
      </c>
      <c r="K1160" s="3" t="inlineStr">
        <is>
          <t>본 토지에진입로가 접하고 있으며세종시에는흔치않 은희소성 이 있는토지임</t>
        </is>
      </c>
      <c r="L1160" s="6">
        <f>HYPERLINK("https://fin.land.naver.com/articles/2648740927", "매물Link")</f>
        <v/>
      </c>
      <c r="M1160" s="6">
        <f>HYPERLINK("https://map.naver.com/p/search/연서면 쌍전리 407-3", "지도Link")</f>
        <v/>
      </c>
      <c r="N1160" s="6">
        <f>HYPERLINK("https://www.eum.go.kr/web/mp/mpMapDet.jsp?pnu=3611036022104070003&amp;isNoScr=script&amp;mode=search", "토지이음")</f>
        <v/>
      </c>
      <c r="O1160" s="3" t="inlineStr">
        <is>
          <t>대흥</t>
        </is>
      </c>
      <c r="P1160" s="4" t="n">
        <v>1</v>
      </c>
      <c r="Q1160" s="4" t="n">
        <v>1831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자루형</t>
        </is>
      </c>
      <c r="V1160" s="3" t="inlineStr">
        <is>
          <t>맹지</t>
        </is>
      </c>
    </row>
    <row r="1161">
      <c r="A1161" s="3" t="inlineStr">
        <is>
          <t>연서면 쌍전리 419-2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92500</v>
      </c>
      <c r="G1161" s="4" t="n">
        <v>2043</v>
      </c>
      <c r="H1161" s="4" t="n">
        <v>618</v>
      </c>
      <c r="I1161" s="5" t="n">
        <v>149.7</v>
      </c>
      <c r="J1161" s="5" t="n">
        <v>46.5</v>
      </c>
      <c r="K1161" s="3" t="inlineStr">
        <is>
          <t>급매 지대가 높아 조망이 좋은 전원주택지 및 과수원으로 활용</t>
        </is>
      </c>
      <c r="L1161" s="6">
        <f>HYPERLINK("https://fin.land.naver.com/articles/2649203247", "매물Link")</f>
        <v/>
      </c>
      <c r="M1161" s="6">
        <f>HYPERLINK("https://map.naver.com/p/search/연서면 쌍전리 419-2", "지도Link")</f>
        <v/>
      </c>
      <c r="N1161" s="6">
        <f>HYPERLINK("https://www.eum.go.kr/web/mp/mpMapDet.jsp?pnu=3611036022104190002&amp;isNoScr=script&amp;mode=search",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2043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쌍전리 433-1</t>
        </is>
      </c>
      <c r="B1162" s="3" t="inlineStr">
        <is>
          <t>자연녹지지역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36000</v>
      </c>
      <c r="G1162" s="4" t="n">
        <v>1230</v>
      </c>
      <c r="H1162" s="4" t="n">
        <v>372</v>
      </c>
      <c r="I1162" s="5" t="n">
        <v>96.8</v>
      </c>
      <c r="J1162" s="5" t="n">
        <v>86.3</v>
      </c>
      <c r="K1162" s="3" t="inlineStr">
        <is>
          <t>nan</t>
        </is>
      </c>
      <c r="L1162" s="6">
        <f>HYPERLINK("https://fin.land.naver.com/articles/2648997031", "매물Link")</f>
        <v/>
      </c>
      <c r="M1162" s="6">
        <f>HYPERLINK("https://map.naver.com/p/search/연서면 쌍전리 433-1", "지도Link")</f>
        <v/>
      </c>
      <c r="N1162" s="6">
        <f>HYPERLINK("https://www.eum.go.kr/web/mp/mpMapDet.jsp?pnu=3611036022104330001&amp;isNoScr=script&amp;mode=search",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1230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쌍전리 463-1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86700</v>
      </c>
      <c r="G1163" s="4" t="n">
        <v>957</v>
      </c>
      <c r="H1163" s="4" t="n">
        <v>289</v>
      </c>
      <c r="I1163" s="5" t="n">
        <v>300</v>
      </c>
      <c r="J1163" s="5" t="n">
        <v>44.1</v>
      </c>
      <c r="K1163" s="3" t="inlineStr">
        <is>
          <t>매매합니다</t>
        </is>
      </c>
      <c r="L1163" s="6">
        <f>HYPERLINK("https://fin.land.naver.com/articles/2649833628", "매물Link")</f>
        <v/>
      </c>
      <c r="M1163" s="6">
        <f>HYPERLINK("https://map.naver.com/p/search/연서면 쌍전리 463-1", "지도Link")</f>
        <v/>
      </c>
      <c r="N1163" s="6">
        <f>HYPERLINK("https://www.eum.go.kr/web/mp/mpMapDet.jsp?pnu=3611036022104630001&amp;isNoScr=script&amp;mode=search", "토지이음")</f>
        <v/>
      </c>
      <c r="O1163" s="3" t="inlineStr">
        <is>
          <t>마니</t>
        </is>
      </c>
      <c r="P1163" s="4" t="n">
        <v>1</v>
      </c>
      <c r="Q1163" s="4" t="n">
        <v>957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464-3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135000</v>
      </c>
      <c r="G1164" s="4" t="n">
        <v>2626</v>
      </c>
      <c r="H1164" s="4" t="n">
        <v>794</v>
      </c>
      <c r="I1164" s="5" t="n">
        <v>170</v>
      </c>
      <c r="J1164" s="5" t="n">
        <v>44.1</v>
      </c>
      <c r="K1164" s="3" t="inlineStr">
        <is>
          <t>2차선도로와 본 토지 사이에 국유지가 있어 점용허가를 받아 넓게 사용가능</t>
        </is>
      </c>
      <c r="L1164" s="6">
        <f>HYPERLINK("https://fin.land.naver.com/articles/2648695807", "매물Link")</f>
        <v/>
      </c>
      <c r="M1164" s="6">
        <f>HYPERLINK("https://map.naver.com/p/search/연서면 쌍전리 464-3", "지도Link")</f>
        <v/>
      </c>
      <c r="N1164" s="6">
        <f>HYPERLINK("https://www.eum.go.kr/web/mp/mpMapDet.jsp?pnu=3611036022104640003&amp;isNoScr=script&amp;mode=search",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2626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3454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HYPERLINK("https://www.eum.go.kr/web/mp/mpMapDet.jsp?pnu=3611036022105130000&amp;isNoScr=script&amp;mode=search",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3454.8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580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58000</v>
      </c>
      <c r="G1166" s="4" t="n">
        <v>2557</v>
      </c>
      <c r="H1166" s="4" t="n">
        <v>773</v>
      </c>
      <c r="I1166" s="5" t="n">
        <v>75</v>
      </c>
      <c r="J1166" s="5" t="n">
        <v>28.3</v>
      </c>
      <c r="K1166" s="3" t="inlineStr">
        <is>
          <t>도로접한 농림지역, 인근 북세종IC예정</t>
        </is>
      </c>
      <c r="L1166" s="6">
        <f>HYPERLINK("https://fin.land.naver.com/articles/2648813360", "매물Link")</f>
        <v/>
      </c>
      <c r="M1166" s="6">
        <f>HYPERLINK("https://map.naver.com/p/search/연서면 쌍전리 580", "지도Link")</f>
        <v/>
      </c>
      <c r="N1166" s="6">
        <f>HYPERLINK("https://www.eum.go.kr/web/mp/mpMapDet.jsp?pnu=3611036022105800000&amp;isNoScr=script&amp;mode=search",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2557.2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584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136000</v>
      </c>
      <c r="G1167" s="4" t="n">
        <v>5295</v>
      </c>
      <c r="H1167" s="4" t="n">
        <v>1602</v>
      </c>
      <c r="I1167" s="5" t="n">
        <v>84.90000000000001</v>
      </c>
      <c r="J1167" s="5" t="n">
        <v>28.3</v>
      </c>
      <c r="K1167" s="3" t="inlineStr">
        <is>
          <t>대토로도 좋은 도로접한 농지입니다</t>
        </is>
      </c>
      <c r="L1167" s="6">
        <f>HYPERLINK("https://fin.land.naver.com/articles/2645603430", "매물Link")</f>
        <v/>
      </c>
      <c r="M1167" s="6">
        <f>HYPERLINK("https://map.naver.com/p/search/연서면 쌍전리 584", "지도Link")</f>
        <v/>
      </c>
      <c r="N1167" s="6">
        <f>HYPERLINK("https://www.eum.go.kr/web/mp/mpMapDet.jsp?pnu=3611036022105840000&amp;isNoScr=script&amp;mode=search",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5295.3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3607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HYPERLINK("https://www.eum.go.kr/web/mp/mpMapDet.jsp?pnu=3611036022106190000&amp;isNoScr=script&amp;mode=search", "토지이음")</f>
        <v/>
      </c>
      <c r="O1168" s="3" t="inlineStr">
        <is>
          <t>세종리츠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619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3607</v>
      </c>
      <c r="H1169" s="4" t="n">
        <v>1091</v>
      </c>
      <c r="I1169" s="5" t="n">
        <v>110</v>
      </c>
      <c r="J1169" s="5" t="n">
        <v>30.3</v>
      </c>
      <c r="K1169" s="3" t="inlineStr">
        <is>
          <t>도로 접한 코너 답 토지 접근성 우수</t>
        </is>
      </c>
      <c r="L1169" s="6">
        <f>HYPERLINK("https://fin.land.naver.com/articles/2648379661", "매물Link")</f>
        <v/>
      </c>
      <c r="M1169" s="6">
        <f>HYPERLINK("https://map.naver.com/p/search/연서면 쌍전리 619", "지도Link")</f>
        <v/>
      </c>
      <c r="N1169" s="6">
        <f>HYPERLINK("https://www.eum.go.kr/web/mp/mpMapDet.jsp?pnu=3611036022106190000&amp;isNoScr=script&amp;mode=search", "토지이음")</f>
        <v/>
      </c>
      <c r="O1169" s="3" t="inlineStr">
        <is>
          <t>몬스터</t>
        </is>
      </c>
      <c r="P1169" s="4" t="n">
        <v>1</v>
      </c>
      <c r="Q1169" s="4" t="n">
        <v>3607.3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연서면 쌍전리 638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103800</v>
      </c>
      <c r="G1170" s="4" t="n">
        <v>3431</v>
      </c>
      <c r="H1170" s="4" t="n">
        <v>1038</v>
      </c>
      <c r="I1170" s="5" t="n">
        <v>100</v>
      </c>
      <c r="J1170" s="5" t="n">
        <v>28.3</v>
      </c>
      <c r="K1170" s="3" t="inlineStr">
        <is>
          <t>쌍전리 2차선도로 가까운 토지 북세종톨게이트 예정지 수혜지</t>
        </is>
      </c>
      <c r="L1170" s="6">
        <f>HYPERLINK("https://fin.land.naver.com/articles/2649964374", "매물Link")</f>
        <v/>
      </c>
      <c r="M1170" s="6">
        <f>HYPERLINK("https://map.naver.com/p/search/연서면 쌍전리 638", "지도Link")</f>
        <v/>
      </c>
      <c r="N1170" s="6">
        <f>HYPERLINK("https://www.eum.go.kr/web/mp/mpMapDet.jsp?pnu=3611036022106380000&amp;isNoScr=script&amp;mode=search", "토지이음")</f>
        <v/>
      </c>
      <c r="O1170" s="3" t="inlineStr">
        <is>
          <t>지성</t>
        </is>
      </c>
      <c r="P1170" s="4" t="n">
        <v>1</v>
      </c>
      <c r="Q1170" s="4" t="n">
        <v>3431.4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654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3980</v>
      </c>
      <c r="H1171" s="4" t="n">
        <v>1204</v>
      </c>
      <c r="I1171" s="5" t="n">
        <v>109.6</v>
      </c>
      <c r="J1171" s="5" t="n">
        <v>28</v>
      </c>
      <c r="K1171" s="3" t="inlineStr">
        <is>
          <t>도로접한 농림지역 농지. 대토추천</t>
        </is>
      </c>
      <c r="L1171" s="6">
        <f>HYPERLINK("https://fin.land.naver.com/articles/2649890122", "매물Link")</f>
        <v/>
      </c>
      <c r="M1171" s="6">
        <f>HYPERLINK("https://map.naver.com/p/search/연서면 쌍전리 654", "지도Link")</f>
        <v/>
      </c>
      <c r="N1171" s="6">
        <f>HYPERLINK("https://www.eum.go.kr/web/mp/mpMapDet.jsp?pnu=3611036022106540000&amp;isNoScr=script&amp;mode=search",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3980.6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4차선계획도로접.6미터간선도로접.북세종IC예정지앞.도로높이성토작업완료</t>
        </is>
      </c>
      <c r="L1172" s="6">
        <f>HYPERLINK("https://fin.land.naver.com/articles/2650529732", "매물Link")</f>
        <v/>
      </c>
      <c r="M1172" s="6">
        <f>HYPERLINK("https://map.naver.com/p/search/연서면 쌍전리 684", "지도Link")</f>
        <v/>
      </c>
      <c r="N1172" s="6">
        <f>HYPERLINK("https://www.eum.go.kr/web/mp/mpMapDet.jsp?pnu=3611036022106840000&amp;isNoScr=script&amp;mode=search", "토지이음")</f>
        <v/>
      </c>
      <c r="O1172" s="3" t="inlineStr">
        <is>
          <t>돈방석</t>
        </is>
      </c>
      <c r="P1172" s="4" t="n">
        <v>7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684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70000</v>
      </c>
      <c r="G1173" s="4" t="n">
        <v>1015</v>
      </c>
      <c r="H1173" s="4" t="n">
        <v>307</v>
      </c>
      <c r="I1173" s="5" t="n">
        <v>228</v>
      </c>
      <c r="J1173" s="5" t="n">
        <v>30.3</v>
      </c>
      <c r="K1173" s="3" t="inlineStr">
        <is>
          <t>2차선접,대토강추,투자가치최고</t>
        </is>
      </c>
      <c r="L1173" s="6">
        <f>HYPERLINK("https://fin.land.naver.com/articles/2648102972", "매물Link")</f>
        <v/>
      </c>
      <c r="M1173" s="6">
        <f>HYPERLINK("https://map.naver.com/p/search/연서면 쌍전리 684", "지도Link")</f>
        <v/>
      </c>
      <c r="N1173" s="6">
        <f>HYPERLINK("https://www.eum.go.kr/web/mp/mpMapDet.jsp?pnu=3611036022106840000&amp;isNoScr=script&amp;mode=search", "토지이음")</f>
        <v/>
      </c>
      <c r="O1173" s="3" t="inlineStr">
        <is>
          <t>힐스테이트행복</t>
        </is>
      </c>
      <c r="P1173" s="4" t="n">
        <v>2</v>
      </c>
      <c r="Q1173" s="4" t="n">
        <v>1015.5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78</t>
        </is>
      </c>
      <c r="B1174" s="3" t="inlineStr">
        <is>
          <t>자연녹지지역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24500</v>
      </c>
      <c r="G1174" s="4" t="n">
        <v>324</v>
      </c>
      <c r="H1174" s="4" t="n">
        <v>98</v>
      </c>
      <c r="I1174" s="5" t="n">
        <v>250</v>
      </c>
      <c r="J1174" s="5" t="n">
        <v>106.9</v>
      </c>
      <c r="K1174" s="3" t="inlineStr">
        <is>
          <t>자연녹지, 자연취락지구 내 대지. 현재는 나대지임. 건폐율 60</t>
        </is>
      </c>
      <c r="L1174" s="6">
        <f>HYPERLINK("https://fin.land.naver.com/articles/2649900081", "매물Link")</f>
        <v/>
      </c>
      <c r="M1174" s="6">
        <f>HYPERLINK("https://map.naver.com/p/search/연서면 쌍전리 78", "지도Link")</f>
        <v/>
      </c>
      <c r="N1174" s="6">
        <f>HYPERLINK("https://www.eum.go.kr/web/mp/mpMapDet.jsp?pnu=3611036022100780000&amp;isNoScr=script&amp;mode=search",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324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쌍전리 산18-6</t>
        </is>
      </c>
      <c r="B1175" s="3" t="inlineStr">
        <is>
          <t>자연녹지지역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196000</v>
      </c>
      <c r="G1175" s="4" t="n">
        <v>6318</v>
      </c>
      <c r="H1175" s="4" t="n">
        <v>1911</v>
      </c>
      <c r="I1175" s="5" t="n">
        <v>102.6</v>
      </c>
      <c r="J1175" s="5" t="n">
        <v>21.7</v>
      </c>
      <c r="K1175" s="3" t="inlineStr">
        <is>
          <t>연서면 쌍전리 임야와 과수원을 일괄하여 급매로 매매합니다</t>
        </is>
      </c>
      <c r="L1175" s="6">
        <f>HYPERLINK("https://fin.land.naver.com/articles/2649203413", "매물Link")</f>
        <v/>
      </c>
      <c r="M1175" s="6">
        <f>HYPERLINK("https://map.naver.com/p/search/연서면 쌍전리 산18-6", "지도Link")</f>
        <v/>
      </c>
      <c r="N1175" s="6">
        <f>HYPERLINK("https://www.eum.go.kr/web/mp/mpMapDet.jsp?pnu=3611036022200180006&amp;isNoScr=script&amp;mode=search",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1463</v>
      </c>
      <c r="R1175" s="3" t="inlineStr">
        <is>
          <t>지정되지않음</t>
        </is>
      </c>
      <c r="S1175" s="3" t="inlineStr">
        <is>
          <t>자연림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HYPERLINK("https://www.eum.go.kr/web/mp/mpMapDet.jsp?pnu=3611036031110750000&amp;isNoScr=script&amp;mode=search",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1075</t>
        </is>
      </c>
      <c r="B1177" s="3" t="inlineStr">
        <is>
          <t>보전관리지역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72600</v>
      </c>
      <c r="G1177" s="4" t="n">
        <v>1600</v>
      </c>
      <c r="H1177" s="4" t="n">
        <v>484</v>
      </c>
      <c r="I1177" s="5" t="n">
        <v>150</v>
      </c>
      <c r="J1177" s="5" t="n">
        <v>41.7</v>
      </c>
      <c r="K1177" s="3" t="inlineStr">
        <is>
          <t>주말농장 및 투자용</t>
        </is>
      </c>
      <c r="L1177" s="6">
        <f>HYPERLINK("https://fin.land.naver.com/articles/2647763444", "매물Link")</f>
        <v/>
      </c>
      <c r="M1177" s="6">
        <f>HYPERLINK("https://map.naver.com/p/search/연서면 와촌리 1075", "지도Link")</f>
        <v/>
      </c>
      <c r="N1177" s="6">
        <f>HYPERLINK("https://www.eum.go.kr/web/mp/mpMapDet.jsp?pnu=3611036031110750000&amp;isNoScr=script&amp;mode=search", "토지이음")</f>
        <v/>
      </c>
      <c r="O1177" s="3" t="inlineStr">
        <is>
          <t>지호주식회사</t>
        </is>
      </c>
      <c r="P1177" s="4" t="n">
        <v>1</v>
      </c>
      <c r="Q1177" s="4" t="n">
        <v>1600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와촌리 1092-4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150000</v>
      </c>
      <c r="G1178" s="4" t="n">
        <v>1661</v>
      </c>
      <c r="H1178" s="4" t="n">
        <v>502</v>
      </c>
      <c r="I1178" s="5" t="n">
        <v>298.8</v>
      </c>
      <c r="J1178" s="5" t="n">
        <v>59.2</v>
      </c>
      <c r="K1178" s="3" t="inlineStr">
        <is>
          <t>지방도 접해 있고 다양한 용도로 활용성 높은 투자가치 높은 용지</t>
        </is>
      </c>
      <c r="L1178" s="6">
        <f>HYPERLINK("https://fin.land.naver.com/articles/2649282774", "매물Link")</f>
        <v/>
      </c>
      <c r="M1178" s="6">
        <f>HYPERLINK("https://map.naver.com/p/search/연서면 와촌리 1092-4", "지도Link")</f>
        <v/>
      </c>
      <c r="N1178" s="6">
        <f>HYPERLINK("https://www.eum.go.kr/web/mp/mpMapDet.jsp?pnu=3611036031110920004&amp;isNoScr=script&amp;mode=search", "토지이음")</f>
        <v/>
      </c>
      <c r="O1178" s="3" t="inlineStr">
        <is>
          <t>반곡황금더샵</t>
        </is>
      </c>
      <c r="P1178" s="4" t="n">
        <v>2</v>
      </c>
      <c r="Q1178" s="4" t="n">
        <v>1661</v>
      </c>
      <c r="R1178" s="3" t="inlineStr">
        <is>
          <t>지정되지않음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1094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34400</v>
      </c>
      <c r="G1179" s="4" t="n">
        <v>284</v>
      </c>
      <c r="H1179" s="4" t="n">
        <v>86</v>
      </c>
      <c r="I1179" s="5" t="n">
        <v>400</v>
      </c>
      <c r="J1179" s="5" t="n">
        <v>80.09999999999999</v>
      </c>
      <c r="K1179" s="3" t="inlineStr">
        <is>
          <t>상가 신축에 아주 적합한 2차선변에 길게 접한 소액투자 토지</t>
        </is>
      </c>
      <c r="L1179" s="6">
        <f>HYPERLINK("https://fin.land.naver.com/articles/2644523576", "매물Link")</f>
        <v/>
      </c>
      <c r="M1179" s="6">
        <f>HYPERLINK("https://map.naver.com/p/search/연서면 와촌리 1094", "지도Link")</f>
        <v/>
      </c>
      <c r="N1179" s="6">
        <f>HYPERLINK("https://www.eum.go.kr/web/mp/mpMapDet.jsp?pnu=3611036031110940000&amp;isNoScr=script&amp;mode=search",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285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1109-1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87000</v>
      </c>
      <c r="G1180" s="4" t="n">
        <v>960</v>
      </c>
      <c r="H1180" s="4" t="n">
        <v>290</v>
      </c>
      <c r="I1180" s="5" t="n">
        <v>300</v>
      </c>
      <c r="J1180" s="5" t="n">
        <v>80.09999999999999</v>
      </c>
      <c r="K1180" s="3" t="inlineStr">
        <is>
          <t>도로접한 근생 건축 가능 토지</t>
        </is>
      </c>
      <c r="L1180" s="6">
        <f>HYPERLINK("https://fin.land.naver.com/articles/2647548610", "매물Link")</f>
        <v/>
      </c>
      <c r="M1180" s="6">
        <f>HYPERLINK("https://map.naver.com/p/search/연서면 와촌리 1109-1", "지도Link")</f>
        <v/>
      </c>
      <c r="N1180" s="6">
        <f>HYPERLINK("https://www.eum.go.kr/web/mp/mpMapDet.jsp?pnu=3611036031111090001&amp;isNoScr=script&amp;mode=search", "토지이음")</f>
        <v/>
      </c>
      <c r="O1180" s="3" t="inlineStr">
        <is>
          <t>강우림</t>
        </is>
      </c>
      <c r="P1180" s="4" t="n">
        <v>1</v>
      </c>
      <c r="Q1180" s="4" t="n">
        <v>960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와촌리 1175</t>
        </is>
      </c>
      <c r="B1181" s="3" t="inlineStr">
        <is>
          <t>보전관리지역</t>
        </is>
      </c>
      <c r="C1181" s="3" t="inlineStr">
        <is>
          <t>과수원</t>
        </is>
      </c>
      <c r="D1181" s="3" t="inlineStr">
        <is>
          <t>과수원</t>
        </is>
      </c>
      <c r="E1181" s="3" t="inlineStr">
        <is>
          <t>매매</t>
        </is>
      </c>
      <c r="F1181" s="4" t="n">
        <v>18000</v>
      </c>
      <c r="G1181" s="4" t="n">
        <v>744</v>
      </c>
      <c r="H1181" s="4" t="n">
        <v>225</v>
      </c>
      <c r="I1181" s="5" t="n">
        <v>80</v>
      </c>
      <c r="J1181" s="5" t="n">
        <v>23.7</v>
      </c>
      <c r="K1181" s="3" t="inlineStr">
        <is>
          <t>소액 투자나 농막 체류형쉼터용 농지</t>
        </is>
      </c>
      <c r="L1181" s="6">
        <f>HYPERLINK("https://fin.land.naver.com/articles/2644526737", "매물Link")</f>
        <v/>
      </c>
      <c r="M1181" s="6">
        <f>HYPERLINK("https://map.naver.com/p/search/연서면 와촌리 1175", "지도Link")</f>
        <v/>
      </c>
      <c r="N1181" s="6">
        <f>HYPERLINK("https://www.eum.go.kr/web/mp/mpMapDet.jsp?pnu=3611036031111750000&amp;isNoScr=script&amp;mode=search", "토지이음")</f>
        <v/>
      </c>
      <c r="O1181" s="3" t="inlineStr">
        <is>
          <t>용궁</t>
        </is>
      </c>
      <c r="P1181" s="4" t="n">
        <v>1</v>
      </c>
      <c r="Q1181" s="4" t="n">
        <v>744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HYPERLINK("https://www.eum.go.kr/web/mp/mpMapDet.jsp?pnu=3611036031111800000&amp;isNoScr=script&amp;mode=search",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1180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180000</v>
      </c>
      <c r="G1183" s="4" t="n">
        <v>2380</v>
      </c>
      <c r="H1183" s="4" t="n">
        <v>720</v>
      </c>
      <c r="I1183" s="5" t="n">
        <v>250</v>
      </c>
      <c r="J1183" s="5" t="n">
        <v>84.8</v>
      </c>
      <c r="K1183" s="3" t="inlineStr">
        <is>
          <t>세종시 인기지역, 국가산업단지 인근, 현재 축사건물있음 , 투자가치높음</t>
        </is>
      </c>
      <c r="L1183" s="6">
        <f>HYPERLINK("https://fin.land.naver.com/articles/2646426712", "매물Link")</f>
        <v/>
      </c>
      <c r="M1183" s="6">
        <f>HYPERLINK("https://map.naver.com/p/search/연서면 와촌리 1180", "지도Link")</f>
        <v/>
      </c>
      <c r="N1183" s="6">
        <f>HYPERLINK("https://www.eum.go.kr/web/mp/mpMapDet.jsp?pnu=3611036031111800000&amp;isNoScr=script&amp;mode=search", "토지이음")</f>
        <v/>
      </c>
      <c r="O1183" s="3" t="inlineStr">
        <is>
          <t>세종특별시</t>
        </is>
      </c>
      <c r="P1183" s="4" t="n">
        <v>1</v>
      </c>
      <c r="Q1183" s="4" t="n">
        <v>2380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140000</v>
      </c>
      <c r="G1184" s="4" t="n">
        <v>1689</v>
      </c>
      <c r="H1184" s="4" t="n">
        <v>511</v>
      </c>
      <c r="I1184" s="5" t="n">
        <v>274</v>
      </c>
      <c r="J1184" s="5" t="n">
        <v>85.59999999999999</v>
      </c>
      <c r="K1184" s="3" t="inlineStr">
        <is>
          <t>복숭아 나무 식재 중, 토지모양 굿, 자연취락지구, 성장관리계획구역</t>
        </is>
      </c>
      <c r="L1184" s="6">
        <f>HYPERLINK("https://fin.land.naver.com/articles/2647190456", "매물Link")</f>
        <v/>
      </c>
      <c r="M1184" s="6">
        <f>HYPERLINK("https://map.naver.com/p/search/연서면 와촌리 1182", "지도Link")</f>
        <v/>
      </c>
      <c r="N1184" s="6">
        <f>HYPERLINK("https://www.eum.go.kr/web/mp/mpMapDet.jsp?pnu=3611036031111820000&amp;isNoScr=script&amp;mode=search",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1689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세로한면(불)</t>
        </is>
      </c>
    </row>
    <row r="1185">
      <c r="A1185" s="3" t="inlineStr">
        <is>
          <t>연서면 와촌리 1185-1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240000</v>
      </c>
      <c r="G1185" s="4" t="n">
        <v>2432</v>
      </c>
      <c r="H1185" s="4" t="n">
        <v>736</v>
      </c>
      <c r="I1185" s="5" t="n">
        <v>326.1</v>
      </c>
      <c r="J1185" s="5" t="n">
        <v>77.09999999999999</v>
      </c>
      <c r="K1185" s="3" t="inlineStr">
        <is>
          <t>계획관리, 성장관리 지역, 2차선 도로 바로 옆 토지, 국가산단 5분거리</t>
        </is>
      </c>
      <c r="L1185" s="6">
        <f>HYPERLINK("https://fin.land.naver.com/articles/2647190264", "매물Link")</f>
        <v/>
      </c>
      <c r="M1185" s="6">
        <f>HYPERLINK("https://map.naver.com/p/search/연서면 와촌리 1185-1", "지도Link")</f>
        <v/>
      </c>
      <c r="N1185" s="6">
        <f>HYPERLINK("https://www.eum.go.kr/web/mp/mpMapDet.jsp?pnu=3611036031111850001&amp;isNoScr=script&amp;mode=search", "토지이음")</f>
        <v/>
      </c>
      <c r="O1185" s="3" t="inlineStr">
        <is>
          <t>올바른</t>
        </is>
      </c>
      <c r="P1185" s="4" t="n">
        <v>1</v>
      </c>
      <c r="Q1185" s="4" t="n">
        <v>1660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1194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260000</v>
      </c>
      <c r="G1186" s="4" t="n">
        <v>3554</v>
      </c>
      <c r="H1186" s="4" t="n">
        <v>1075</v>
      </c>
      <c r="I1186" s="5" t="n">
        <v>241.9</v>
      </c>
      <c r="J1186" s="5" t="n">
        <v>58.8</v>
      </c>
      <c r="K1186" s="3" t="inlineStr">
        <is>
          <t>스마트국가산업단지 초근접위치</t>
        </is>
      </c>
      <c r="L1186" s="6">
        <f>HYPERLINK("https://fin.land.naver.com/articles/2645271688", "매물Link")</f>
        <v/>
      </c>
      <c r="M1186" s="6">
        <f>HYPERLINK("https://map.naver.com/p/search/연서면 와촌리 1194", "지도Link")</f>
        <v/>
      </c>
      <c r="N1186" s="6">
        <f>HYPERLINK("https://www.eum.go.kr/web/mp/mpMapDet.jsp?pnu=3611036031111940000&amp;isNoScr=script&amp;mode=search", "토지이음")</f>
        <v/>
      </c>
      <c r="O1186" s="3" t="inlineStr">
        <is>
          <t>우장산역스타</t>
        </is>
      </c>
      <c r="P1186" s="4" t="n">
        <v>1</v>
      </c>
      <c r="Q1186" s="4" t="n">
        <v>3554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172-1</t>
        </is>
      </c>
      <c r="B1187" s="3" t="inlineStr">
        <is>
          <t>계획관리지역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270000</v>
      </c>
      <c r="G1187" s="4" t="n">
        <v>2749</v>
      </c>
      <c r="H1187" s="4" t="n">
        <v>832</v>
      </c>
      <c r="I1187" s="5" t="n">
        <v>324.5</v>
      </c>
      <c r="J1187" s="5" t="n">
        <v>57.5</v>
      </c>
      <c r="K1187" s="3" t="inlineStr">
        <is>
          <t>세종 스마트 국가산업단지 길건너 발전가능성 높은 귀한 토지 매도</t>
        </is>
      </c>
      <c r="L1187" s="6">
        <f>HYPERLINK("https://fin.land.naver.com/articles/2648901026", "매물Link")</f>
        <v/>
      </c>
      <c r="M1187" s="6">
        <f>HYPERLINK("https://map.naver.com/p/search/연서면 와촌리 172-1", "지도Link")</f>
        <v/>
      </c>
      <c r="N1187" s="6">
        <f>HYPERLINK("https://www.eum.go.kr/web/mp/mpMapDet.jsp?pnu=3611036031101720001&amp;isNoScr=script&amp;mode=search", "토지이음")</f>
        <v/>
      </c>
      <c r="O1187" s="3" t="inlineStr">
        <is>
          <t>번영</t>
        </is>
      </c>
      <c r="P1187" s="4" t="n">
        <v>1</v>
      </c>
      <c r="Q1187" s="4" t="n">
        <v>2749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자루형</t>
        </is>
      </c>
      <c r="V1187" s="3" t="inlineStr">
        <is>
          <t>맹지</t>
        </is>
      </c>
    </row>
    <row r="1188">
      <c r="A1188" s="3" t="inlineStr">
        <is>
          <t>연서면 와촌리 314-2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91683</v>
      </c>
      <c r="G1188" s="4" t="n">
        <v>1656</v>
      </c>
      <c r="H1188" s="4" t="n">
        <v>501</v>
      </c>
      <c r="I1188" s="5" t="n">
        <v>183</v>
      </c>
      <c r="J1188" s="5" t="n">
        <v>63.1</v>
      </c>
      <c r="K1188" s="3" t="inlineStr">
        <is>
          <t>와촌리 급매 투자 및 국가산단 보상 대토 강력 추천 계획관리</t>
        </is>
      </c>
      <c r="L1188" s="6">
        <f>HYPERLINK("https://fin.land.naver.com/articles/2646956103", "매물Link")</f>
        <v/>
      </c>
      <c r="M1188" s="6">
        <f>HYPERLINK("https://map.naver.com/p/search/연서면 와촌리 314-2", "지도Link")</f>
        <v/>
      </c>
      <c r="N1188" s="6">
        <f>HYPERLINK("https://www.eum.go.kr/web/mp/mpMapDet.jsp?pnu=3611036031103140002&amp;isNoScr=script&amp;mode=search", "토지이음")</f>
        <v/>
      </c>
      <c r="O1188" s="3" t="inlineStr">
        <is>
          <t>연서</t>
        </is>
      </c>
      <c r="P1188" s="4" t="n">
        <v>1</v>
      </c>
      <c r="Q1188" s="4" t="n">
        <v>1656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와촌리 430-9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109500</v>
      </c>
      <c r="G1189" s="4" t="n">
        <v>3017</v>
      </c>
      <c r="H1189" s="4" t="n">
        <v>913</v>
      </c>
      <c r="I1189" s="5" t="n">
        <v>119.9</v>
      </c>
      <c r="J1189" s="5" t="n">
        <v>40.4</v>
      </c>
      <c r="K1189" s="3" t="inlineStr">
        <is>
          <t>세종국가산업단지 인접한 토지</t>
        </is>
      </c>
      <c r="L1189" s="6">
        <f>HYPERLINK("https://fin.land.naver.com/articles/2646007789", "매물Link")</f>
        <v/>
      </c>
      <c r="M1189" s="6">
        <f>HYPERLINK("https://map.naver.com/p/search/연서면 와촌리 430-9", "지도Link")</f>
        <v/>
      </c>
      <c r="N1189" s="6">
        <f>HYPERLINK("https://www.eum.go.kr/web/mp/mpMapDet.jsp?pnu=3611036031104300009&amp;isNoScr=script&amp;mode=search", "토지이음")</f>
        <v/>
      </c>
      <c r="O1189" s="3" t="inlineStr">
        <is>
          <t>세종대박</t>
        </is>
      </c>
      <c r="P1189" s="4" t="n">
        <v>3</v>
      </c>
      <c r="Q1189" s="4" t="n">
        <v>3017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와촌리 437-2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33000</v>
      </c>
      <c r="G1190" s="4" t="n">
        <v>1092</v>
      </c>
      <c r="H1190" s="4" t="n">
        <v>330</v>
      </c>
      <c r="I1190" s="5" t="n">
        <v>100</v>
      </c>
      <c r="J1190" s="5" t="n">
        <v>40.8</v>
      </c>
      <c r="K1190" s="3" t="inlineStr">
        <is>
          <t>세종스마트 국가산업단지 옆 와촌리 토지 급매.</t>
        </is>
      </c>
      <c r="L1190" s="6">
        <f>HYPERLINK("https://fin.land.naver.com/articles/2644836588", "매물Link")</f>
        <v/>
      </c>
      <c r="M1190" s="6">
        <f>HYPERLINK("https://map.naver.com/p/search/연서면 와촌리 437-2", "지도Link")</f>
        <v/>
      </c>
      <c r="N1190" s="6">
        <f>HYPERLINK("https://www.eum.go.kr/web/mp/mpMapDet.jsp?pnu=3611036031104370002&amp;isNoScr=script&amp;mode=search",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1092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437-3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150000</v>
      </c>
      <c r="G1191" s="4" t="n">
        <v>2991</v>
      </c>
      <c r="H1191" s="4" t="n">
        <v>905</v>
      </c>
      <c r="I1191" s="5" t="n">
        <v>165.7</v>
      </c>
      <c r="J1191" s="5" t="n">
        <v>40.8</v>
      </c>
      <c r="K1191" s="3" t="inlineStr">
        <is>
          <t>조치원산단 인근 농지. 투자용으로 추천</t>
        </is>
      </c>
      <c r="L1191" s="6">
        <f>HYPERLINK("https://fin.land.naver.com/articles/2644444541", "매물Link")</f>
        <v/>
      </c>
      <c r="M1191" s="6">
        <f>HYPERLINK("https://map.naver.com/p/search/연서면 와촌리 437-3", "지도Link")</f>
        <v/>
      </c>
      <c r="N1191" s="6">
        <f>HYPERLINK("https://www.eum.go.kr/web/mp/mpMapDet.jsp?pnu=3611036031104370003&amp;isNoScr=script&amp;mode=search",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2992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438-3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1687</v>
      </c>
      <c r="H1192" s="4" t="n">
        <v>510</v>
      </c>
      <c r="I1192" s="5" t="n">
        <v>160.8</v>
      </c>
      <c r="J1192" s="5" t="n">
        <v>40.4</v>
      </c>
      <c r="K1192" s="3" t="inlineStr">
        <is>
          <t>성토된 농지, 도로접한 전현황</t>
        </is>
      </c>
      <c r="L1192" s="6">
        <f>HYPERLINK("https://fin.land.naver.com/articles/2648813655", "매물Link")</f>
        <v/>
      </c>
      <c r="M1192" s="6">
        <f>HYPERLINK("https://map.naver.com/p/search/연서면 와촌리 438-3", "지도Link")</f>
        <v/>
      </c>
      <c r="N1192" s="6">
        <f>HYPERLINK("https://www.eum.go.kr/web/mp/mpMapDet.jsp?pnu=3611036031104380003&amp;isNoScr=script&amp;mode=search",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1687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와촌리 858-1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230000</v>
      </c>
      <c r="G1193" s="4" t="n">
        <v>1264</v>
      </c>
      <c r="H1193" s="4" t="n">
        <v>382</v>
      </c>
      <c r="I1193" s="5" t="n">
        <v>602.1</v>
      </c>
      <c r="J1193" s="5" t="n">
        <v>134.5</v>
      </c>
      <c r="K1193" s="3" t="inlineStr">
        <is>
          <t>세종산업단지인근 2차선도로 계획관리지역 토지매매</t>
        </is>
      </c>
      <c r="L1193" s="6">
        <f>HYPERLINK("https://fin.land.naver.com/articles/2645513821", "매물Link")</f>
        <v/>
      </c>
      <c r="M1193" s="6">
        <f>HYPERLINK("https://map.naver.com/p/search/연서면 와촌리 858-1", "지도Link")</f>
        <v/>
      </c>
      <c r="N1193" s="6">
        <f>HYPERLINK("https://www.eum.go.kr/web/mp/mpMapDet.jsp?pnu=3611036031108580001&amp;isNoScr=script&amp;mode=search", "토지이음")</f>
        <v/>
      </c>
      <c r="O1193" s="3" t="inlineStr">
        <is>
          <t>에이스</t>
        </is>
      </c>
      <c r="P1193" s="4" t="n">
        <v>1</v>
      </c>
      <c r="Q1193" s="4" t="n">
        <v>548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862-3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90000</v>
      </c>
      <c r="G1194" s="4" t="n">
        <v>661</v>
      </c>
      <c r="H1194" s="4" t="n">
        <v>200</v>
      </c>
      <c r="I1194" s="5" t="n">
        <v>450</v>
      </c>
      <c r="J1194" s="5" t="n">
        <v>63.1</v>
      </c>
      <c r="K1194" s="3" t="inlineStr">
        <is>
          <t>연서면 와촌리 와촌보건소 인근 2차선 도로에 접한 농지 분할 매매 합니다</t>
        </is>
      </c>
      <c r="L1194" s="6">
        <f>HYPERLINK("https://fin.land.naver.com/articles/2646999752", "매물Link")</f>
        <v/>
      </c>
      <c r="M1194" s="6">
        <f>HYPERLINK("https://map.naver.com/p/search/연서면 와촌리 862-3", "지도Link")</f>
        <v/>
      </c>
      <c r="N1194" s="6">
        <f>HYPERLINK("https://www.eum.go.kr/web/mp/mpMapDet.jsp?pnu=3611036031108620003&amp;isNoScr=script&amp;mode=search", "토지이음")</f>
        <v/>
      </c>
      <c r="O1194" s="3" t="inlineStr">
        <is>
          <t>스마일세종</t>
        </is>
      </c>
      <c r="P1194" s="4" t="n">
        <v>1</v>
      </c>
      <c r="Q1194" s="4" t="n">
        <v>3171</v>
      </c>
      <c r="R1194" s="3" t="inlineStr">
        <is>
          <t>보전관리지역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와촌리 866-4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40000</v>
      </c>
      <c r="G1195" s="4" t="n">
        <v>662</v>
      </c>
      <c r="H1195" s="4" t="n">
        <v>200</v>
      </c>
      <c r="I1195" s="5" t="n">
        <v>200</v>
      </c>
      <c r="J1195" s="5" t="n">
        <v>60.6</v>
      </c>
      <c r="K1195" s="3" t="inlineStr">
        <is>
          <t>스마트국가산단 인근 생산관리 토지</t>
        </is>
      </c>
      <c r="L1195" s="6">
        <f>HYPERLINK("https://fin.land.naver.com/articles/2649915561", "매물Link")</f>
        <v/>
      </c>
      <c r="M1195" s="6">
        <f>HYPERLINK("https://map.naver.com/p/search/연서면 와촌리 866-4", "지도Link")</f>
        <v/>
      </c>
      <c r="N1195" s="6">
        <f>HYPERLINK("https://www.eum.go.kr/web/mp/mpMapDet.jsp?pnu=3611036031108660004&amp;isNoScr=script&amp;mode=search", "토지이음")</f>
        <v/>
      </c>
      <c r="O1195" s="3" t="inlineStr">
        <is>
          <t>미스터홈즈강남지사</t>
        </is>
      </c>
      <c r="P1195" s="4" t="n">
        <v>1</v>
      </c>
      <c r="Q1195" s="4" t="n">
        <v>214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250000</v>
      </c>
      <c r="G1196" s="4" t="n">
        <v>7871</v>
      </c>
      <c r="H1196" s="4" t="n">
        <v>2381</v>
      </c>
      <c r="I1196" s="5" t="n">
        <v>105</v>
      </c>
      <c r="J1196" s="5" t="n">
        <v>40.5</v>
      </c>
      <c r="K1196" s="3" t="inlineStr">
        <is>
          <t>nan</t>
        </is>
      </c>
      <c r="L1196" s="6">
        <f>HYPERLINK("https://fin.land.naver.com/articles/2645463701", "매물Link")</f>
        <v/>
      </c>
      <c r="M1196" s="6">
        <f>HYPERLINK("https://map.naver.com/p/search/연서면 와촌리 955-2", "지도Link")</f>
        <v/>
      </c>
      <c r="N1196" s="6">
        <f>HYPERLINK("https://www.eum.go.kr/web/mp/mpMapDet.jsp?pnu=3611036031109550002&amp;isNoScr=script&amp;mode=search", "토지이음")</f>
        <v/>
      </c>
      <c r="O1196" s="3" t="inlineStr">
        <is>
          <t>강아지풀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955-2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238100</v>
      </c>
      <c r="G1197" s="4" t="n">
        <v>7871</v>
      </c>
      <c r="H1197" s="4" t="n">
        <v>2381</v>
      </c>
      <c r="I1197" s="5" t="n">
        <v>100</v>
      </c>
      <c r="J1197" s="5" t="n">
        <v>40.5</v>
      </c>
      <c r="K1197" s="3" t="inlineStr">
        <is>
          <t>국가산업단지 인근의 가장 저렴한 과수원</t>
        </is>
      </c>
      <c r="L1197" s="6">
        <f>HYPERLINK("https://fin.land.naver.com/articles/2644527068", "매물Link")</f>
        <v/>
      </c>
      <c r="M1197" s="6">
        <f>HYPERLINK("https://map.naver.com/p/search/연서면 와촌리 955-2", "지도Link")</f>
        <v/>
      </c>
      <c r="N1197" s="6">
        <f>HYPERLINK("https://www.eum.go.kr/web/mp/mpMapDet.jsp?pnu=3611036031109550002&amp;isNoScr=script&amp;mode=search", "토지이음")</f>
        <v/>
      </c>
      <c r="O1197" s="3" t="inlineStr">
        <is>
          <t>용궁</t>
        </is>
      </c>
      <c r="P1197" s="4" t="n">
        <v>1</v>
      </c>
      <c r="Q1197" s="4" t="n">
        <v>2364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963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943200</v>
      </c>
      <c r="G1198" s="4" t="n">
        <v>15593</v>
      </c>
      <c r="H1198" s="4" t="n">
        <v>4717</v>
      </c>
      <c r="I1198" s="5" t="n">
        <v>200</v>
      </c>
      <c r="J1198" s="5" t="n">
        <v>50.3</v>
      </c>
      <c r="K1198" s="3" t="inlineStr">
        <is>
          <t>새종 국가산업단지  길목, 수혜지역.투자용,상업용,산업용 용도 다양</t>
        </is>
      </c>
      <c r="L1198" s="6">
        <f>HYPERLINK("https://fin.land.naver.com/articles/2644487553", "매물Link")</f>
        <v/>
      </c>
      <c r="M1198" s="6">
        <f>HYPERLINK("https://map.naver.com/p/search/연서면 와촌리 963", "지도Link")</f>
        <v/>
      </c>
      <c r="N1198" s="6">
        <f>HYPERLINK("https://www.eum.go.kr/web/mp/mpMapDet.jsp?pnu=3611036031109630000&amp;isNoScr=script&amp;mode=search", "토지이음")</f>
        <v/>
      </c>
      <c r="O1198" s="3" t="inlineStr">
        <is>
          <t>세종시해냄</t>
        </is>
      </c>
      <c r="P1198" s="4" t="n">
        <v>1</v>
      </c>
      <c r="Q1198" s="4" t="n">
        <v>2199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와촌리 산 80-1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192000</v>
      </c>
      <c r="G1199" s="4" t="n">
        <v>41058</v>
      </c>
      <c r="H1199" s="4" t="n">
        <v>12420</v>
      </c>
      <c r="I1199" s="5" t="n">
        <v>15.5</v>
      </c>
      <c r="J1199" s="5" t="n">
        <v>3.7</v>
      </c>
      <c r="K1199" s="3" t="inlineStr">
        <is>
          <t>연서면 와촌리 농림지역 임야, 국가산단 인근</t>
        </is>
      </c>
      <c r="L1199" s="6">
        <f>HYPERLINK("https://fin.land.naver.com/articles/2645316124", "매물Link")</f>
        <v/>
      </c>
      <c r="M1199" s="6">
        <f>HYPERLINK("https://map.naver.com/p/search/연서면 와촌리 산 80-1", "지도Link")</f>
        <v/>
      </c>
      <c r="N1199" s="6">
        <f>HYPERLINK("https://www.eum.go.kr/web/mp/mpMapDet.jsp?pnu=3611036031200800001&amp;isNoScr=script&amp;mode=search", "토지이음")</f>
        <v/>
      </c>
      <c r="O1199" s="3" t="inlineStr">
        <is>
          <t>스카이</t>
        </is>
      </c>
      <c r="P1199" s="4" t="n">
        <v>1</v>
      </c>
      <c r="Q1199" s="4" t="n">
        <v>41058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산112-3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140000</v>
      </c>
      <c r="G1200" s="4" t="n">
        <v>23140</v>
      </c>
      <c r="H1200" s="4" t="n">
        <v>7000</v>
      </c>
      <c r="I1200" s="5" t="n">
        <v>20</v>
      </c>
      <c r="J1200" s="5" t="n">
        <v>3.9</v>
      </c>
      <c r="K1200" s="3" t="inlineStr">
        <is>
          <t>장기투자 개발 하기 좋은 세종시 토지 매매</t>
        </is>
      </c>
      <c r="L1200" s="6">
        <f>HYPERLINK("https://fin.land.naver.com/articles/2646721829", "매물Link")</f>
        <v/>
      </c>
      <c r="M1200" s="6">
        <f>HYPERLINK("https://map.naver.com/p/search/연서면 와촌리 산112-3", "지도Link")</f>
        <v/>
      </c>
      <c r="N1200" s="6">
        <f>HYPERLINK("https://www.eum.go.kr/web/mp/mpMapDet.jsp?pnu=3611036031201120003&amp;isNoScr=script&amp;mode=search", "토지이음")</f>
        <v/>
      </c>
      <c r="O1200" s="3" t="inlineStr">
        <is>
          <t>(주)정민근</t>
        </is>
      </c>
      <c r="P1200" s="4" t="n">
        <v>1</v>
      </c>
      <c r="Q1200" s="4" t="n">
        <v>16528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산135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19500</v>
      </c>
      <c r="G1201" s="4" t="n">
        <v>6446</v>
      </c>
      <c r="H1201" s="4" t="n">
        <v>1950</v>
      </c>
      <c r="I1201" s="5" t="n">
        <v>10</v>
      </c>
      <c r="J1201" s="5" t="n">
        <v>3.5</v>
      </c>
      <c r="K1201" s="3" t="inlineStr">
        <is>
          <t>임업용산지</t>
        </is>
      </c>
      <c r="L1201" s="6">
        <f>HYPERLINK("https://fin.land.naver.com/articles/2645530400", "매물Link")</f>
        <v/>
      </c>
      <c r="M1201" s="6">
        <f>HYPERLINK("https://map.naver.com/p/search/연서면 와촌리 산135", "지도Link")</f>
        <v/>
      </c>
      <c r="N1201" s="6">
        <f>HYPERLINK("https://www.eum.go.kr/web/mp/mpMapDet.jsp?pnu=3611036031201350000&amp;isNoScr=script&amp;mode=search", "토지이음")</f>
        <v/>
      </c>
      <c r="O1201" s="3" t="inlineStr">
        <is>
          <t>세종소담114</t>
        </is>
      </c>
      <c r="P1201" s="4" t="n">
        <v>1</v>
      </c>
      <c r="Q1201" s="4" t="n">
        <v>6446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산136-2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5400</v>
      </c>
      <c r="G1202" s="4" t="n">
        <v>2347</v>
      </c>
      <c r="H1202" s="4" t="n">
        <v>710</v>
      </c>
      <c r="I1202" s="5" t="n">
        <v>7.6</v>
      </c>
      <c r="J1202" s="5" t="n">
        <v>3.2</v>
      </c>
      <c r="K1202" s="3" t="inlineStr">
        <is>
          <t>nan</t>
        </is>
      </c>
      <c r="L1202" s="6">
        <f>HYPERLINK("https://fin.land.naver.com/articles/2646485649", "매물Link")</f>
        <v/>
      </c>
      <c r="M1202" s="6">
        <f>HYPERLINK("https://map.naver.com/p/search/연서면 와촌리 산136-2", "지도Link")</f>
        <v/>
      </c>
      <c r="N1202" s="6">
        <f>HYPERLINK("https://www.eum.go.kr/web/mp/mpMapDet.jsp?pnu=3611036031201360002&amp;isNoScr=script&amp;mode=search", "토지이음")</f>
        <v/>
      </c>
      <c r="O1202" s="3" t="inlineStr">
        <is>
          <t>땅부자 사무소</t>
        </is>
      </c>
      <c r="P1202" s="4" t="n">
        <v>1</v>
      </c>
      <c r="Q1202" s="4" t="n">
        <v>7041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고지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산161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60000</v>
      </c>
      <c r="G1203" s="4" t="n">
        <v>5752</v>
      </c>
      <c r="H1203" s="4" t="n">
        <v>1740</v>
      </c>
      <c r="I1203" s="5" t="n">
        <v>34.5</v>
      </c>
      <c r="J1203" s="5" t="n">
        <v>5.7</v>
      </c>
      <c r="K1203" s="3" t="inlineStr">
        <is>
          <t>세종시 연서면 와촌리 임야매매.35만원</t>
        </is>
      </c>
      <c r="L1203" s="6">
        <f>HYPERLINK("https://fin.land.naver.com/articles/2645257534", "매물Link")</f>
        <v/>
      </c>
      <c r="M1203" s="6">
        <f>HYPERLINK("https://map.naver.com/p/search/연서면 와촌리 산161", "지도Link")</f>
        <v/>
      </c>
      <c r="N1203" s="6">
        <f>HYPERLINK("https://www.eum.go.kr/web/mp/mpMapDet.jsp?pnu=3611036031201610000&amp;isNoScr=script&amp;mode=search", "토지이음")</f>
        <v/>
      </c>
      <c r="O1203" s="3" t="inlineStr">
        <is>
          <t>동원</t>
        </is>
      </c>
      <c r="P1203" s="4" t="n">
        <v>1</v>
      </c>
      <c r="Q1203" s="4" t="n">
        <v>5752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산96-15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178790</v>
      </c>
      <c r="G1204" s="4" t="n">
        <v>6221</v>
      </c>
      <c r="H1204" s="4" t="n">
        <v>1882</v>
      </c>
      <c r="I1204" s="5" t="n">
        <v>95</v>
      </c>
      <c r="J1204" s="5" t="n">
        <v>5.6</v>
      </c>
      <c r="K1204" s="3" t="inlineStr">
        <is>
          <t>세종국가산업단지 예정지와 근접하며 향후 개발가능성 높은 임야,6생활권인접</t>
        </is>
      </c>
      <c r="L1204" s="6">
        <f>HYPERLINK("https://fin.land.naver.com/articles/2648678203", "매물Link")</f>
        <v/>
      </c>
      <c r="M1204" s="6">
        <f>HYPERLINK("https://map.naver.com/p/search/연서면 와촌리 산96-15", "지도Link")</f>
        <v/>
      </c>
      <c r="N1204" s="6">
        <f>HYPERLINK("https://www.eum.go.kr/web/mp/mpMapDet.jsp?pnu=3611036031200960015&amp;isNoScr=script&amp;mode=search",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6221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용암리 157-6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60000</v>
      </c>
      <c r="G1205" s="4" t="n">
        <v>1775</v>
      </c>
      <c r="H1205" s="4" t="n">
        <v>537</v>
      </c>
      <c r="I1205" s="5" t="n">
        <v>111.7</v>
      </c>
      <c r="J1205" s="5" t="n">
        <v>35</v>
      </c>
      <c r="K1205" s="3" t="inlineStr">
        <is>
          <t>고복저수지의 투자용 농지</t>
        </is>
      </c>
      <c r="L1205" s="6">
        <f>HYPERLINK("https://fin.land.naver.com/articles/2644518278", "매물Link")</f>
        <v/>
      </c>
      <c r="M1205" s="6">
        <f>HYPERLINK("https://map.naver.com/p/search/연서면 용암리 157-6", "지도Link")</f>
        <v/>
      </c>
      <c r="N1205" s="6">
        <f>HYPERLINK("https://www.eum.go.kr/web/mp/mpMapDet.jsp?pnu=3611036025101570006&amp;isNoScr=script&amp;mode=search", "토지이음")</f>
        <v/>
      </c>
      <c r="O1205" s="3" t="inlineStr">
        <is>
          <t>용궁</t>
        </is>
      </c>
      <c r="P1205" s="4" t="n">
        <v>1</v>
      </c>
      <c r="Q1205" s="4" t="n">
        <v>1775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166-5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304800</v>
      </c>
      <c r="G1206" s="4" t="n">
        <v>869</v>
      </c>
      <c r="H1206" s="4" t="n">
        <v>263</v>
      </c>
      <c r="I1206" s="5" t="n">
        <v>1158.9</v>
      </c>
      <c r="J1206" s="5" t="n">
        <v>220.9</v>
      </c>
      <c r="K1206" s="3" t="inlineStr">
        <is>
          <t>와촌리 국가산업단지와 가까움, 2차선변 주차용이,투자로최고</t>
        </is>
      </c>
      <c r="L1206" s="6">
        <f>HYPERLINK("https://fin.land.naver.com/articles/2647982475", "매물Link")</f>
        <v/>
      </c>
      <c r="M1206" s="6">
        <f>HYPERLINK("https://map.naver.com/p/search/연서면 용암리 166-5", "지도Link")</f>
        <v/>
      </c>
      <c r="N1206" s="6">
        <f>HYPERLINK("https://www.eum.go.kr/web/mp/mpMapDet.jsp?pnu=3611036025101660005&amp;isNoScr=script&amp;mode=search", "토지이음")</f>
        <v/>
      </c>
      <c r="O1206" s="3" t="inlineStr">
        <is>
          <t>세종공주제일</t>
        </is>
      </c>
      <c r="P1206" s="4" t="n">
        <v>1</v>
      </c>
      <c r="Q1206" s="4" t="n">
        <v>869</v>
      </c>
      <c r="R1206" s="3" t="inlineStr">
        <is>
          <t>지정되지않음</t>
        </is>
      </c>
      <c r="S1206" s="3" t="inlineStr">
        <is>
          <t>상업용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용암리 212-11</t>
        </is>
      </c>
      <c r="B1207" s="3" t="inlineStr">
        <is>
          <t>자연환경보전지역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89000</v>
      </c>
      <c r="G1207" s="4" t="n">
        <v>1484</v>
      </c>
      <c r="H1207" s="4" t="n">
        <v>449</v>
      </c>
      <c r="I1207" s="5" t="n">
        <v>198.2</v>
      </c>
      <c r="J1207" s="5" t="n">
        <v>42.3</v>
      </c>
      <c r="K1207" s="3" t="inlineStr">
        <is>
          <t>고복저수지 월하천변 농지. 경치좋은 지역. 서울세종간고속도로인근</t>
        </is>
      </c>
      <c r="L1207" s="6">
        <f>HYPERLINK("https://fin.land.naver.com/articles/2649914984", "매물Link")</f>
        <v/>
      </c>
      <c r="M1207" s="6">
        <f>HYPERLINK("https://map.naver.com/p/search/연서면 용암리 212-11", "지도Link")</f>
        <v/>
      </c>
      <c r="N1207" s="6">
        <f>HYPERLINK("https://www.eum.go.kr/web/mp/mpMapDet.jsp?pnu=3611036025102120011&amp;isNoScr=script&amp;mode=search",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1484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용암리 216-5</t>
        </is>
      </c>
      <c r="B1208" s="3" t="inlineStr">
        <is>
          <t>생산관리지역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58000</v>
      </c>
      <c r="G1208" s="4" t="n">
        <v>1059</v>
      </c>
      <c r="H1208" s="4" t="n">
        <v>320</v>
      </c>
      <c r="I1208" s="5" t="n">
        <v>181.2</v>
      </c>
      <c r="J1208" s="5" t="n">
        <v>116.5</v>
      </c>
      <c r="K1208" s="3" t="inlineStr">
        <is>
          <t>급매, 조율도가능, 건축 휴게음식점 가능</t>
        </is>
      </c>
      <c r="L1208" s="6">
        <f>HYPERLINK("https://fin.land.naver.com/articles/2644543912", "매물Link")</f>
        <v/>
      </c>
      <c r="M1208" s="6">
        <f>HYPERLINK("https://map.naver.com/p/search/연서면 용암리 216-5", "지도Link")</f>
        <v/>
      </c>
      <c r="N1208" s="6">
        <f>HYPERLINK("https://www.eum.go.kr/web/mp/mpMapDet.jsp?pnu=3611036025102160005&amp;isNoScr=script&amp;mode=search",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858</v>
      </c>
      <c r="R1208" s="3" t="inlineStr">
        <is>
          <t>자연환경보전지역</t>
        </is>
      </c>
      <c r="S1208" s="3" t="inlineStr">
        <is>
          <t>주상기타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용암리 217-46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44600</v>
      </c>
      <c r="G1209" s="4" t="n">
        <v>1489</v>
      </c>
      <c r="H1209" s="4" t="n">
        <v>450</v>
      </c>
      <c r="I1209" s="5" t="n">
        <v>99.09999999999999</v>
      </c>
      <c r="J1209" s="5" t="n">
        <v>26.6</v>
      </c>
      <c r="K1209" s="3" t="inlineStr">
        <is>
          <t>생산관리지역 2필지 포함 매매</t>
        </is>
      </c>
      <c r="L1209" s="6">
        <f>HYPERLINK("https://fin.land.naver.com/articles/2644543986", "매물Link")</f>
        <v/>
      </c>
      <c r="M1209" s="6">
        <f>HYPERLINK("https://map.naver.com/p/search/연서면 용암리 217-46", "지도Link")</f>
        <v/>
      </c>
      <c r="N1209" s="6">
        <f>HYPERLINK("https://www.eum.go.kr/web/mp/mpMapDet.jsp?pnu=3611036025102170046&amp;isNoScr=script&amp;mode=search",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813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사다리형</t>
        </is>
      </c>
      <c r="V1209" s="3" t="inlineStr">
        <is>
          <t>맹지</t>
        </is>
      </c>
    </row>
    <row r="1210">
      <c r="A1210" s="3" t="inlineStr">
        <is>
          <t>연서면 용암리 225-12</t>
        </is>
      </c>
      <c r="B1210" s="3" t="inlineStr">
        <is>
          <t>농림지역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151000</v>
      </c>
      <c r="G1210" s="4" t="n">
        <v>6254</v>
      </c>
      <c r="H1210" s="4" t="n">
        <v>1892</v>
      </c>
      <c r="I1210" s="5" t="n">
        <v>79.8</v>
      </c>
      <c r="J1210" s="5" t="n">
        <v>30</v>
      </c>
      <c r="K1210" s="3" t="inlineStr">
        <is>
          <t>고복저수지 인근 용암리 도로접한 농업보호구역 토지 급매.</t>
        </is>
      </c>
      <c r="L1210" s="6">
        <f>HYPERLINK("https://fin.land.naver.com/articles/2648906608", "매물Link")</f>
        <v/>
      </c>
      <c r="M1210" s="6">
        <f>HYPERLINK("https://map.naver.com/p/search/연서면 용암리 225-12", "지도Link")</f>
        <v/>
      </c>
      <c r="N1210" s="6">
        <f>HYPERLINK("https://www.eum.go.kr/web/mp/mpMapDet.jsp?pnu=3611036025102250012&amp;isNoScr=script&amp;mode=search",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3198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229-1</t>
        </is>
      </c>
      <c r="B1211" s="3" t="inlineStr">
        <is>
          <t>농림지역</t>
        </is>
      </c>
      <c r="C1211" s="3" t="inlineStr">
        <is>
          <t>목장용지</t>
        </is>
      </c>
      <c r="D1211" s="3" t="inlineStr">
        <is>
          <t>목장용지</t>
        </is>
      </c>
      <c r="E1211" s="3" t="inlineStr">
        <is>
          <t>매매</t>
        </is>
      </c>
      <c r="F1211" s="4" t="n">
        <v>42000</v>
      </c>
      <c r="G1211" s="4" t="n">
        <v>929</v>
      </c>
      <c r="H1211" s="4" t="n">
        <v>281</v>
      </c>
      <c r="I1211" s="5" t="n">
        <v>149.5</v>
      </c>
      <c r="J1211" s="5" t="n">
        <v>35</v>
      </c>
      <c r="K1211" s="3" t="inlineStr">
        <is>
          <t>고복저수지 인근, 연기휴게소 근처임. 넓은국유지접함</t>
        </is>
      </c>
      <c r="L1211" s="6">
        <f>HYPERLINK("https://fin.land.naver.com/articles/2645604122", "매물Link")</f>
        <v/>
      </c>
      <c r="M1211" s="6">
        <f>HYPERLINK("https://map.naver.com/p/search/연서면 용암리 229-1", "지도Link")</f>
        <v/>
      </c>
      <c r="N1211" s="6">
        <f>HYPERLINK("https://www.eum.go.kr/web/mp/mpMapDet.jsp?pnu=3611036025102290001&amp;isNoScr=script&amp;mode=search", "토지이음")</f>
        <v/>
      </c>
      <c r="O1211" s="3" t="inlineStr">
        <is>
          <t>미스터홈즈강남지사</t>
        </is>
      </c>
      <c r="P1211" s="4" t="n">
        <v>1</v>
      </c>
      <c r="Q1211" s="4" t="n">
        <v>929</v>
      </c>
      <c r="R1211" s="3" t="inlineStr">
        <is>
          <t>생산관리지역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239-11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25000</v>
      </c>
      <c r="G1212" s="4" t="n">
        <v>654</v>
      </c>
      <c r="H1212" s="4" t="n">
        <v>198</v>
      </c>
      <c r="I1212" s="5" t="n">
        <v>126.3</v>
      </c>
      <c r="J1212" s="5" t="n">
        <v>43.2</v>
      </c>
      <c r="K1212" s="3" t="inlineStr">
        <is>
          <t>도로지분포함매매,남향토지.</t>
        </is>
      </c>
      <c r="L1212" s="6">
        <f>HYPERLINK("https://fin.land.naver.com/articles/2649852384", "매물Link")</f>
        <v/>
      </c>
      <c r="M1212" s="6">
        <f>HYPERLINK("https://map.naver.com/p/search/연서면 용암리 239-11", "지도Link")</f>
        <v/>
      </c>
      <c r="N1212" s="6">
        <f>HYPERLINK("https://www.eum.go.kr/web/mp/mpMapDet.jsp?pnu=3611036025102390011&amp;isNoScr=script&amp;mode=search", "토지이음")</f>
        <v/>
      </c>
      <c r="O1212" s="3" t="inlineStr">
        <is>
          <t>담뜰</t>
        </is>
      </c>
      <c r="P1212" s="4" t="n">
        <v>2</v>
      </c>
      <c r="Q1212" s="4" t="n">
        <v>577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용암리 239-3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59000</v>
      </c>
      <c r="G1213" s="4" t="n">
        <v>1443</v>
      </c>
      <c r="H1213" s="4" t="n">
        <v>437</v>
      </c>
      <c r="I1213" s="5" t="n">
        <v>135</v>
      </c>
      <c r="J1213" s="5" t="n">
        <v>45.4</v>
      </c>
      <c r="K1213" s="3" t="inlineStr">
        <is>
          <t>nan</t>
        </is>
      </c>
      <c r="L1213" s="6">
        <f>HYPERLINK("https://fin.land.naver.com/articles/2645406875", "매물Link")</f>
        <v/>
      </c>
      <c r="M1213" s="6">
        <f>HYPERLINK("https://map.naver.com/p/search/연서면 용암리 239-3", "지도Link")</f>
        <v/>
      </c>
      <c r="N1213" s="6">
        <f>HYPERLINK("https://www.eum.go.kr/web/mp/mpMapDet.jsp?pnu=3611036025102390003&amp;isNoScr=script&amp;mode=search", "토지이음")</f>
        <v/>
      </c>
      <c r="O1213" s="3" t="inlineStr">
        <is>
          <t>그래그</t>
        </is>
      </c>
      <c r="P1213" s="4" t="n">
        <v>1</v>
      </c>
      <c r="Q1213" s="4" t="n">
        <v>1443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용암리 245-2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323000</v>
      </c>
      <c r="G1214" s="4" t="n">
        <v>17797</v>
      </c>
      <c r="H1214" s="4" t="n">
        <v>5384</v>
      </c>
      <c r="I1214" s="5" t="n">
        <v>60</v>
      </c>
      <c r="J1214" s="5" t="n">
        <v>37.9</v>
      </c>
      <c r="K1214" s="3" t="inlineStr">
        <is>
          <t>태양광 시설 및 경사도 없는 야산으로 태양광 시설을 확장할 수 있는 임야</t>
        </is>
      </c>
      <c r="L1214" s="6">
        <f>HYPERLINK("https://fin.land.naver.com/articles/2646127462", "매물Link")</f>
        <v/>
      </c>
      <c r="M1214" s="6">
        <f>HYPERLINK("https://map.naver.com/p/search/연서면 용암리 245-2", "지도Link")</f>
        <v/>
      </c>
      <c r="N1214" s="6">
        <f>HYPERLINK("https://www.eum.go.kr/web/mp/mpMapDet.jsp?pnu=3611036025102450002&amp;isNoScr=script&amp;mode=search",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4332</v>
      </c>
      <c r="R1214" s="3" t="inlineStr">
        <is>
          <t>지정되지않음</t>
        </is>
      </c>
      <c r="S1214" s="3" t="inlineStr">
        <is>
          <t>태양광발전소부지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259-1</t>
        </is>
      </c>
      <c r="B1215" s="3" t="inlineStr">
        <is>
          <t>계획관리지역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45000</v>
      </c>
      <c r="G1215" s="4" t="n">
        <v>1305</v>
      </c>
      <c r="H1215" s="4" t="n">
        <v>395</v>
      </c>
      <c r="I1215" s="5" t="n">
        <v>113.9</v>
      </c>
      <c r="J1215" s="5" t="n">
        <v>55.7</v>
      </c>
      <c r="K1215" s="3" t="inlineStr">
        <is>
          <t>연서면 용암리 고복저수지 인근 계획관리 토지, 국가산단 인근</t>
        </is>
      </c>
      <c r="L1215" s="6">
        <f>HYPERLINK("https://fin.land.naver.com/articles/2648394462", "매물Link")</f>
        <v/>
      </c>
      <c r="M1215" s="6">
        <f>HYPERLINK("https://map.naver.com/p/search/연서면 용암리 259-1", "지도Link")</f>
        <v/>
      </c>
      <c r="N1215" s="6">
        <f>HYPERLINK("https://www.eum.go.kr/web/mp/mpMapDet.jsp?pnu=3611036025102590001&amp;isNoScr=script&amp;mode=search", "토지이음")</f>
        <v/>
      </c>
      <c r="O1215" s="3" t="inlineStr">
        <is>
          <t>스카이</t>
        </is>
      </c>
      <c r="P1215" s="4" t="n">
        <v>1</v>
      </c>
      <c r="Q1215" s="4" t="n">
        <v>826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283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16300</v>
      </c>
      <c r="G1216" s="4" t="n">
        <v>770</v>
      </c>
      <c r="H1216" s="4" t="n">
        <v>233</v>
      </c>
      <c r="I1216" s="5" t="n">
        <v>70</v>
      </c>
      <c r="J1216" s="5" t="n">
        <v>20.7</v>
      </c>
      <c r="K1216" s="3" t="inlineStr">
        <is>
          <t>세종시 휴게소 예정지 인근 토지매매, 과수원매매</t>
        </is>
      </c>
      <c r="L1216" s="6">
        <f>HYPERLINK("https://fin.land.naver.com/articles/2645317868", "매물Link")</f>
        <v/>
      </c>
      <c r="M1216" s="6">
        <f>HYPERLINK("https://map.naver.com/p/search/연서면 용암리 283", "지도Link")</f>
        <v/>
      </c>
      <c r="N1216" s="6">
        <f>HYPERLINK("https://www.eum.go.kr/web/mp/mpMapDet.jsp?pnu=3611036025102830000&amp;isNoScr=script&amp;mode=search",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770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295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31150</v>
      </c>
      <c r="G1217" s="4" t="n">
        <v>1471</v>
      </c>
      <c r="H1217" s="4" t="n">
        <v>445</v>
      </c>
      <c r="I1217" s="5" t="n">
        <v>70</v>
      </c>
      <c r="J1217" s="5" t="n">
        <v>17.6</v>
      </c>
      <c r="K1217" s="3" t="inlineStr">
        <is>
          <t>세종시 고속도로 휴게소 예정지 인근 토지매매</t>
        </is>
      </c>
      <c r="L1217" s="6">
        <f>HYPERLINK("https://fin.land.naver.com/articles/2645317862", "매물Link")</f>
        <v/>
      </c>
      <c r="M1217" s="6">
        <f>HYPERLINK("https://map.naver.com/p/search/연서면 용암리 295", "지도Link")</f>
        <v/>
      </c>
      <c r="N1217" s="6">
        <f>HYPERLINK("https://www.eum.go.kr/web/mp/mpMapDet.jsp?pnu=3611036025102950000&amp;isNoScr=script&amp;mode=search",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1471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용암리 296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1921</v>
      </c>
      <c r="H1218" s="4" t="n">
        <v>581</v>
      </c>
      <c r="I1218" s="5" t="n">
        <v>70.59999999999999</v>
      </c>
      <c r="J1218" s="5" t="n">
        <v>20.7</v>
      </c>
      <c r="K1218" s="3" t="inlineStr">
        <is>
          <t>세종시 토지매매. 휴게소 예정지 인근</t>
        </is>
      </c>
      <c r="L1218" s="6">
        <f>HYPERLINK("https://fin.land.naver.com/articles/2645317252", "매물Link")</f>
        <v/>
      </c>
      <c r="M1218" s="6">
        <f>HYPERLINK("https://map.naver.com/p/search/연서면 용암리 296", "지도Link")</f>
        <v/>
      </c>
      <c r="N1218" s="6">
        <f>HYPERLINK("https://www.eum.go.kr/web/mp/mpMapDet.jsp?pnu=3611036025102960000&amp;isNoScr=script&amp;mode=search", "토지이음")</f>
        <v/>
      </c>
      <c r="O1218" s="3" t="inlineStr">
        <is>
          <t>유성대박</t>
        </is>
      </c>
      <c r="P1218" s="4" t="n">
        <v>1</v>
      </c>
      <c r="Q1218" s="4" t="n">
        <v>1921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용암리 45-23</t>
        </is>
      </c>
      <c r="B1219" s="3" t="inlineStr">
        <is>
          <t>농림지역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40000</v>
      </c>
      <c r="G1219" s="4" t="n">
        <v>335</v>
      </c>
      <c r="H1219" s="4" t="n">
        <v>101</v>
      </c>
      <c r="I1219" s="5" t="n">
        <v>396</v>
      </c>
      <c r="J1219" s="5" t="n">
        <v>35.7</v>
      </c>
      <c r="K1219" s="3" t="inlineStr">
        <is>
          <t>고복저수지 뷰 도로에접한 저렴한 토지</t>
        </is>
      </c>
      <c r="L1219" s="6">
        <f>HYPERLINK("https://fin.land.naver.com/articles/2644444576", "매물Link")</f>
        <v/>
      </c>
      <c r="M1219" s="6">
        <f>HYPERLINK("https://map.naver.com/p/search/연서면 용암리 45-23", "지도Link")</f>
        <v/>
      </c>
      <c r="N1219" s="6">
        <f>HYPERLINK("https://www.eum.go.kr/web/mp/mpMapDet.jsp?pnu=3611036025100450023&amp;isNoScr=script&amp;mode=search", "토지이음")</f>
        <v/>
      </c>
      <c r="O1219" s="3" t="inlineStr">
        <is>
          <t>세종대박</t>
        </is>
      </c>
      <c r="P1219" s="4" t="n">
        <v>1</v>
      </c>
      <c r="Q1219" s="4" t="n">
        <v>335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용암리 산28-13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24117</v>
      </c>
      <c r="H1220" s="4" t="n">
        <v>7295</v>
      </c>
      <c r="I1220" s="5" t="n">
        <v>10</v>
      </c>
      <c r="J1220" s="5" t="n">
        <v>2.2</v>
      </c>
      <c r="K1220" s="3" t="inlineStr">
        <is>
          <t>급매, 총 4필지, 임야 토지매매, 농림지역</t>
        </is>
      </c>
      <c r="L1220" s="6">
        <f>HYPERLINK("https://fin.land.naver.com/articles/2644544076", "매물Link")</f>
        <v/>
      </c>
      <c r="M1220" s="6">
        <f>HYPERLINK("https://map.naver.com/p/search/연서면 용암리 산28-13", "지도Link")</f>
        <v/>
      </c>
      <c r="N1220" s="6">
        <f>HYPERLINK("https://www.eum.go.kr/web/mp/mpMapDet.jsp?pnu=3611036025200280013&amp;isNoScr=script&amp;mode=search", "토지이음")</f>
        <v/>
      </c>
      <c r="O1220" s="3" t="inlineStr">
        <is>
          <t>세종무지개</t>
        </is>
      </c>
      <c r="P1220" s="4" t="n">
        <v>1</v>
      </c>
      <c r="Q1220" s="4" t="n">
        <v>20765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용암리 산28-16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73000</v>
      </c>
      <c r="G1221" s="4" t="n">
        <v>3377</v>
      </c>
      <c r="H1221" s="4" t="n">
        <v>1022</v>
      </c>
      <c r="I1221" s="5" t="n">
        <v>71.40000000000001</v>
      </c>
      <c r="J1221" s="5" t="n">
        <v>2.3</v>
      </c>
      <c r="K1221" s="3" t="inlineStr">
        <is>
          <t>세종 연서면 약 10만평 대규모 토지 통매매｜대단위 부지 찾는 분 주목</t>
        </is>
      </c>
      <c r="L1221" s="6">
        <f>HYPERLINK("https://fin.land.naver.com/articles/2646226640", "매물Link")</f>
        <v/>
      </c>
      <c r="M1221" s="6">
        <f>HYPERLINK("https://map.naver.com/p/search/연서면 용암리 산28-16", "지도Link")</f>
        <v/>
      </c>
      <c r="N1221" s="6">
        <f>HYPERLINK("https://www.eum.go.kr/web/mp/mpMapDet.jsp?pnu=3611036025200280016&amp;isNoScr=script&amp;mode=search",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1512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1024-2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44000</v>
      </c>
      <c r="G1222" s="4" t="n">
        <v>926</v>
      </c>
      <c r="H1222" s="4" t="n">
        <v>280</v>
      </c>
      <c r="I1222" s="5" t="n">
        <v>157.1</v>
      </c>
      <c r="J1222" s="5" t="n">
        <v>95.59999999999999</v>
      </c>
      <c r="K1222" s="3" t="inlineStr">
        <is>
          <t>도심 가까운 여유있는 텃밭 공공택지 개발지 인근</t>
        </is>
      </c>
      <c r="L1222" s="6">
        <f>HYPERLINK("https://fin.land.naver.com/articles/2645359652", "매물Link")</f>
        <v/>
      </c>
      <c r="M1222" s="6">
        <f>HYPERLINK("https://map.naver.com/p/search/연서면 월하리 1024-2", "지도Link")</f>
        <v/>
      </c>
      <c r="N1222" s="6">
        <f>HYPERLINK("https://www.eum.go.kr/web/mp/mpMapDet.jsp?pnu=3611036021110240002&amp;isNoScr=script&amp;mode=search", "토지이음")</f>
        <v/>
      </c>
      <c r="O1222" s="3" t="inlineStr">
        <is>
          <t>지성</t>
        </is>
      </c>
      <c r="P1222" s="4" t="n">
        <v>1</v>
      </c>
      <c r="Q1222" s="4" t="n">
        <v>926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연서면 월하리 1035-2</t>
        </is>
      </c>
      <c r="B1223" s="3" t="inlineStr">
        <is>
          <t>자연녹지지역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176000</v>
      </c>
      <c r="G1223" s="4" t="n">
        <v>1455</v>
      </c>
      <c r="H1223" s="4" t="n">
        <v>440</v>
      </c>
      <c r="I1223" s="5" t="n">
        <v>400</v>
      </c>
      <c r="J1223" s="5" t="n">
        <v>113</v>
      </c>
      <c r="K1223" s="3" t="inlineStr">
        <is>
          <t>연서면 월하리 2차선, 4차선 계획 예정 도로에 접한 투자가치 좋은 급매</t>
        </is>
      </c>
      <c r="L1223" s="6">
        <f>HYPERLINK("https://fin.land.naver.com/articles/2646728467", "매물Link")</f>
        <v/>
      </c>
      <c r="M1223" s="6">
        <f>HYPERLINK("https://map.naver.com/p/search/연서면 월하리 1035-2", "지도Link")</f>
        <v/>
      </c>
      <c r="N1223" s="6">
        <f>HYPERLINK("https://www.eum.go.kr/web/mp/mpMapDet.jsp?pnu=3611036021110350002&amp;isNoScr=script&amp;mode=search",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1455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자연녹지토지 분할매매가능</t>
        </is>
      </c>
      <c r="L1224" s="6">
        <f>HYPERLINK("https://fin.land.naver.com/articles/2646008031", "매물Link")</f>
        <v/>
      </c>
      <c r="M1224" s="6">
        <f>HYPERLINK("https://map.naver.com/p/search/연서면 월하리 1055-1", "지도Link")</f>
        <v/>
      </c>
      <c r="N1224" s="6">
        <f>HYPERLINK("https://www.eum.go.kr/web/mp/mpMapDet.jsp?pnu=3611036021110550001&amp;isNoScr=script&amp;mode=search", "토지이음")</f>
        <v/>
      </c>
      <c r="O1224" s="3" t="inlineStr">
        <is>
          <t>세종대박</t>
        </is>
      </c>
      <c r="P1224" s="4" t="n">
        <v>2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200000</v>
      </c>
      <c r="G1225" s="4" t="n">
        <v>1653</v>
      </c>
      <c r="H1225" s="4" t="n">
        <v>500</v>
      </c>
      <c r="I1225" s="5" t="n">
        <v>400</v>
      </c>
      <c r="J1225" s="5" t="n">
        <v>96.59999999999999</v>
      </c>
      <c r="K1225" s="3" t="inlineStr">
        <is>
          <t>nan</t>
        </is>
      </c>
      <c r="L1225" s="6">
        <f>HYPERLINK("https://fin.land.naver.com/articles/2649692747", "매물Link")</f>
        <v/>
      </c>
      <c r="M1225" s="6">
        <f>HYPERLINK("https://map.naver.com/p/search/연서면 월하리 1055-1", "지도Link")</f>
        <v/>
      </c>
      <c r="N1225" s="6">
        <f>HYPERLINK("https://www.eum.go.kr/web/mp/mpMapDet.jsp?pnu=3611036021110550001&amp;isNoScr=script&amp;mode=search", "토지이음")</f>
        <v/>
      </c>
      <c r="O1225" s="3" t="inlineStr">
        <is>
          <t>온뜰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1055-1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330000</v>
      </c>
      <c r="G1226" s="4" t="n">
        <v>3712</v>
      </c>
      <c r="H1226" s="4" t="n">
        <v>1123</v>
      </c>
      <c r="I1226" s="5" t="n">
        <v>293.9</v>
      </c>
      <c r="J1226" s="5" t="n">
        <v>96.59999999999999</v>
      </c>
      <c r="K1226" s="3" t="inlineStr">
        <is>
          <t>세종 조치원 공공주택지구 인근 투자용 토지 매매</t>
        </is>
      </c>
      <c r="L1226" s="6">
        <f>HYPERLINK("https://fin.land.naver.com/articles/2649466633", "매물Link")</f>
        <v/>
      </c>
      <c r="M1226" s="6">
        <f>HYPERLINK("https://map.naver.com/p/search/연서면 월하리 1055-1", "지도Link")</f>
        <v/>
      </c>
      <c r="N1226" s="6">
        <f>HYPERLINK("https://www.eum.go.kr/web/mp/mpMapDet.jsp?pnu=3611036021110550001&amp;isNoScr=script&amp;mode=search", "토지이음")</f>
        <v/>
      </c>
      <c r="O1226" s="3" t="inlineStr">
        <is>
          <t>(주)해뜰터</t>
        </is>
      </c>
      <c r="P1226" s="4" t="n">
        <v>1</v>
      </c>
      <c r="Q1226" s="4" t="n">
        <v>3712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1056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247000</v>
      </c>
      <c r="G1227" s="4" t="n">
        <v>4087</v>
      </c>
      <c r="H1227" s="4" t="n">
        <v>1236</v>
      </c>
      <c r="I1227" s="5" t="n">
        <v>199.8</v>
      </c>
      <c r="J1227" s="5" t="n">
        <v>96.59999999999999</v>
      </c>
      <c r="K1227" s="3" t="inlineStr">
        <is>
          <t>월하리 포장도로 접한 자연녹지지역 밭으로 이용. 총 4필지로 급매.</t>
        </is>
      </c>
      <c r="L1227" s="6">
        <f>HYPERLINK("https://fin.land.naver.com/articles/2649104014", "매물Link")</f>
        <v/>
      </c>
      <c r="M1227" s="6">
        <f>HYPERLINK("https://map.naver.com/p/search/연서면 월하리 1056", "지도Link")</f>
        <v/>
      </c>
      <c r="N1227" s="6">
        <f>HYPERLINK("https://www.eum.go.kr/web/mp/mpMapDet.jsp?pnu=3611036021110560000&amp;isNoScr=script&amp;mode=search", "토지이음")</f>
        <v/>
      </c>
      <c r="O1227" s="3" t="inlineStr">
        <is>
          <t>세종대장</t>
        </is>
      </c>
      <c r="P1227" s="4" t="n">
        <v>1</v>
      </c>
      <c r="Q1227" s="4" t="n">
        <v>2086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월하리 1103-51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150000</v>
      </c>
      <c r="G1228" s="4" t="n">
        <v>3313</v>
      </c>
      <c r="H1228" s="4" t="n">
        <v>1002</v>
      </c>
      <c r="I1228" s="5" t="n">
        <v>149.7</v>
      </c>
      <c r="J1228" s="5" t="n">
        <v>72.2</v>
      </c>
      <c r="K1228" s="3" t="inlineStr">
        <is>
          <t>조치원 공공택지 개발지 인근</t>
        </is>
      </c>
      <c r="L1228" s="6">
        <f>HYPERLINK("https://fin.land.naver.com/articles/2650022169", "매물Link")</f>
        <v/>
      </c>
      <c r="M1228" s="6">
        <f>HYPERLINK("https://map.naver.com/p/search/연서면 월하리 1103-51", "지도Link")</f>
        <v/>
      </c>
      <c r="N1228" s="6">
        <f>HYPERLINK("https://www.eum.go.kr/web/mp/mpMapDet.jsp?pnu=3611036021111030051&amp;isNoScr=script&amp;mode=search", "토지이음")</f>
        <v/>
      </c>
      <c r="O1228" s="3" t="inlineStr">
        <is>
          <t>나릿재OK</t>
        </is>
      </c>
      <c r="P1228" s="4" t="n">
        <v>1</v>
      </c>
      <c r="Q1228" s="4" t="n">
        <v>3313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월하리 1103-54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180000</v>
      </c>
      <c r="G1229" s="4" t="n">
        <v>1676</v>
      </c>
      <c r="H1229" s="4" t="n">
        <v>507</v>
      </c>
      <c r="I1229" s="5" t="n">
        <v>355</v>
      </c>
      <c r="J1229" s="5" t="n">
        <v>121.8</v>
      </c>
      <c r="K1229" s="3" t="inlineStr">
        <is>
          <t>2차선 도로에 접해 있어 근생 부지로 적합한 도시지역 자연녹지의 과수원</t>
        </is>
      </c>
      <c r="L1229" s="6">
        <f>HYPERLINK("https://fin.land.naver.com/articles/2645638593", "매물Link")</f>
        <v/>
      </c>
      <c r="M1229" s="6">
        <f>HYPERLINK("https://map.naver.com/p/search/연서면 월하리 1103-54", "지도Link")</f>
        <v/>
      </c>
      <c r="N1229" s="6">
        <f>HYPERLINK("https://www.eum.go.kr/web/mp/mpMapDet.jsp?pnu=3611036021111030054&amp;isNoScr=script&amp;mode=search",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1676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1110-1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대</t>
        </is>
      </c>
      <c r="E1230" s="3" t="inlineStr">
        <is>
          <t>매매</t>
        </is>
      </c>
      <c r="F1230" s="4" t="n">
        <v>190000</v>
      </c>
      <c r="G1230" s="4" t="n">
        <v>7242</v>
      </c>
      <c r="H1230" s="4" t="n">
        <v>2191</v>
      </c>
      <c r="I1230" s="5" t="n">
        <v>86.7</v>
      </c>
      <c r="J1230" s="5" t="n">
        <v>69.59999999999999</v>
      </c>
      <c r="K1230" s="3" t="inlineStr">
        <is>
          <t>시세저렴 공시지가 연서면 월하리 과수원 및 대지</t>
        </is>
      </c>
      <c r="L1230" s="6">
        <f>HYPERLINK("https://fin.land.naver.com/articles/2649446319", "매물Link")</f>
        <v/>
      </c>
      <c r="M1230" s="6">
        <f>HYPERLINK("https://map.naver.com/p/search/연서면 월하리 1110-1", "지도Link")</f>
        <v/>
      </c>
      <c r="N1230" s="6">
        <f>HYPERLINK("https://www.eum.go.kr/web/mp/mpMapDet.jsp?pnu=3611036021111100001&amp;isNoScr=script&amp;mode=search", "토지이음")</f>
        <v/>
      </c>
      <c r="O1230" s="3" t="inlineStr">
        <is>
          <t>명당</t>
        </is>
      </c>
      <c r="P1230" s="4" t="n">
        <v>1</v>
      </c>
      <c r="Q1230" s="4" t="n">
        <v>4326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1138-4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68000</v>
      </c>
      <c r="G1231" s="4" t="n">
        <v>1818</v>
      </c>
      <c r="H1231" s="4" t="n">
        <v>550</v>
      </c>
      <c r="I1231" s="5" t="n">
        <v>123.6</v>
      </c>
      <c r="J1231" s="5" t="n">
        <v>69.59999999999999</v>
      </c>
      <c r="K1231" s="3" t="inlineStr">
        <is>
          <t>위치가 좋은 토지</t>
        </is>
      </c>
      <c r="L1231" s="6">
        <f>HYPERLINK("https://fin.land.naver.com/articles/2648555111", "매물Link")</f>
        <v/>
      </c>
      <c r="M1231" s="6">
        <f>HYPERLINK("https://map.naver.com/p/search/연서면 월하리 1138-4", "지도Link")</f>
        <v/>
      </c>
      <c r="N1231" s="6">
        <f>HYPERLINK("https://www.eum.go.kr/web/mp/mpMapDet.jsp?pnu=3611036021111380004&amp;isNoScr=script&amp;mode=search", "토지이음")</f>
        <v/>
      </c>
      <c r="O1231" s="3" t="inlineStr">
        <is>
          <t>세종리츠</t>
        </is>
      </c>
      <c r="P1231" s="4" t="n">
        <v>1</v>
      </c>
      <c r="Q1231" s="4" t="n">
        <v>1818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HYPERLINK("https://www.eum.go.kr/web/mp/mpMapDet.jsp?pnu=3611036021111530000&amp;isNoScr=script&amp;mode=search",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1153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27500</v>
      </c>
      <c r="G1233" s="4" t="n">
        <v>828</v>
      </c>
      <c r="H1233" s="4" t="n">
        <v>250</v>
      </c>
      <c r="I1233" s="5" t="n">
        <v>110</v>
      </c>
      <c r="J1233" s="5" t="n">
        <v>113.1</v>
      </c>
      <c r="K1233" s="3" t="inlineStr">
        <is>
          <t>월하리 도시지역 자연녹지의 포장도로에 접한 농촌체류형 쉼터로 적합한 전</t>
        </is>
      </c>
      <c r="L1233" s="6">
        <f>HYPERLINK("https://fin.land.naver.com/articles/2649862201", "매물Link")</f>
        <v/>
      </c>
      <c r="M1233" s="6">
        <f>HYPERLINK("https://map.naver.com/p/search/연서면 월하리 1153", "지도Link")</f>
        <v/>
      </c>
      <c r="N1233" s="6">
        <f>HYPERLINK("https://www.eum.go.kr/web/mp/mpMapDet.jsp?pnu=3611036021111530000&amp;isNoScr=script&amp;mode=search", "토지이음")</f>
        <v/>
      </c>
      <c r="O1233" s="3" t="inlineStr">
        <is>
          <t>스마일세종</t>
        </is>
      </c>
      <c r="P1233" s="4" t="n">
        <v>4</v>
      </c>
      <c r="Q1233" s="4" t="n">
        <v>650</v>
      </c>
      <c r="R1233" s="3" t="inlineStr">
        <is>
          <t>지정되지않음</t>
        </is>
      </c>
      <c r="S1233" s="3" t="inlineStr">
        <is>
          <t>전축사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1274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3263</v>
      </c>
      <c r="H1234" s="4" t="n">
        <v>987</v>
      </c>
      <c r="I1234" s="5" t="n">
        <v>50.7</v>
      </c>
      <c r="J1234" s="5" t="n">
        <v>33</v>
      </c>
      <c r="K1234" s="3" t="inlineStr">
        <is>
          <t>농림진흥구역 농지,코너각지, 도로 양면 접, 대토추천</t>
        </is>
      </c>
      <c r="L1234" s="6">
        <f>HYPERLINK("https://fin.land.naver.com/articles/2645595709", "매물Link")</f>
        <v/>
      </c>
      <c r="M1234" s="6">
        <f>HYPERLINK("https://map.naver.com/p/search/연서면 월하리 1274", "지도Link")</f>
        <v/>
      </c>
      <c r="N1234" s="6">
        <f>HYPERLINK("https://www.eum.go.kr/web/mp/mpMapDet.jsp?pnu=3611036021112740000&amp;isNoScr=script&amp;mode=search", "토지이음")</f>
        <v/>
      </c>
      <c r="O1234" s="3" t="inlineStr">
        <is>
          <t>신안무소</t>
        </is>
      </c>
      <c r="P1234" s="4" t="n">
        <v>1</v>
      </c>
      <c r="Q1234" s="4" t="n">
        <v>3263.7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연서면 월하리 15-1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20000</v>
      </c>
      <c r="G1235" s="4" t="n">
        <v>407</v>
      </c>
      <c r="H1235" s="4" t="n">
        <v>123</v>
      </c>
      <c r="I1235" s="5" t="n">
        <v>162.6</v>
      </c>
      <c r="J1235" s="5" t="n">
        <v>105.5</v>
      </c>
      <c r="K1235" s="3" t="inlineStr">
        <is>
          <t>nan</t>
        </is>
      </c>
      <c r="L1235" s="6">
        <f>HYPERLINK("https://fin.land.naver.com/articles/2648746259", "매물Link")</f>
        <v/>
      </c>
      <c r="M1235" s="6">
        <f>HYPERLINK("https://map.naver.com/p/search/연서면 월하리 15-1", "지도Link")</f>
        <v/>
      </c>
      <c r="N1235" s="6">
        <f>HYPERLINK("https://www.eum.go.kr/web/mp/mpMapDet.jsp?pnu=3611036021100150001&amp;isNoScr=script&amp;mode=search", "토지이음")</f>
        <v/>
      </c>
      <c r="O1235" s="3" t="inlineStr">
        <is>
          <t>용궁</t>
        </is>
      </c>
      <c r="P1235" s="4" t="n">
        <v>2</v>
      </c>
      <c r="Q1235" s="4" t="n">
        <v>407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25-7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130000</v>
      </c>
      <c r="G1236" s="4" t="n">
        <v>1615</v>
      </c>
      <c r="H1236" s="4" t="n">
        <v>489</v>
      </c>
      <c r="I1236" s="5" t="n">
        <v>265.8</v>
      </c>
      <c r="J1236" s="5" t="n">
        <v>76.40000000000001</v>
      </c>
      <c r="K1236" s="3" t="inlineStr">
        <is>
          <t>미호강인근,주택부지포함,차도바로옆 금액최대협의</t>
        </is>
      </c>
      <c r="L1236" s="6">
        <f>HYPERLINK("https://fin.land.naver.com/articles/2648051944", "매물Link")</f>
        <v/>
      </c>
      <c r="M1236" s="6">
        <f>HYPERLINK("https://map.naver.com/p/search/연서면 월하리 25-7", "지도Link")</f>
        <v/>
      </c>
      <c r="N1236" s="6">
        <f>HYPERLINK("https://www.eum.go.kr/web/mp/mpMapDet.jsp?pnu=3611036021100250007&amp;isNoScr=script&amp;mode=search", "토지이음")</f>
        <v/>
      </c>
      <c r="O1236" s="3" t="inlineStr">
        <is>
          <t>세종새빛</t>
        </is>
      </c>
      <c r="P1236" s="4" t="n">
        <v>1</v>
      </c>
      <c r="Q1236" s="4" t="n">
        <v>1301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27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132000</v>
      </c>
      <c r="G1237" s="4" t="n">
        <v>1746</v>
      </c>
      <c r="H1237" s="4" t="n">
        <v>528</v>
      </c>
      <c r="I1237" s="5" t="n">
        <v>250</v>
      </c>
      <c r="J1237" s="5" t="n">
        <v>75.7</v>
      </c>
      <c r="K1237" s="3" t="inlineStr">
        <is>
          <t>미호강변 오천자전거길 옆 카페나 주택지, 근생으로 개발해도 좋음</t>
        </is>
      </c>
      <c r="L1237" s="6">
        <f>HYPERLINK("https://fin.land.naver.com/articles/2645605477", "매물Link")</f>
        <v/>
      </c>
      <c r="M1237" s="6">
        <f>HYPERLINK("https://map.naver.com/p/search/연서면 월하리 27", "지도Link")</f>
        <v/>
      </c>
      <c r="N1237" s="6">
        <f>HYPERLINK("https://www.eum.go.kr/web/mp/mpMapDet.jsp?pnu=3611036021100270000&amp;isNoScr=script&amp;mode=search",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983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월하리 35-3</t>
        </is>
      </c>
      <c r="B1238" s="3" t="inlineStr">
        <is>
          <t>계획관리지역</t>
        </is>
      </c>
      <c r="C1238" s="3" t="inlineStr">
        <is>
          <t>공장용지</t>
        </is>
      </c>
      <c r="D1238" s="3" t="inlineStr">
        <is>
          <t>공장용지</t>
        </is>
      </c>
      <c r="E1238" s="3" t="inlineStr">
        <is>
          <t>매매</t>
        </is>
      </c>
      <c r="F1238" s="4" t="n">
        <v>69000</v>
      </c>
      <c r="G1238" s="4" t="n">
        <v>987</v>
      </c>
      <c r="H1238" s="4" t="n">
        <v>299</v>
      </c>
      <c r="I1238" s="5" t="n">
        <v>230.8</v>
      </c>
      <c r="J1238" s="5" t="n">
        <v>73.3</v>
      </c>
      <c r="K1238" s="3" t="inlineStr">
        <is>
          <t>공장부지, 299P, 주차6대, 1층 공장 건물 및 부속건물</t>
        </is>
      </c>
      <c r="L1238" s="6">
        <f>HYPERLINK("https://fin.land.naver.com/articles/2644870587", "매물Link")</f>
        <v/>
      </c>
      <c r="M1238" s="6">
        <f>HYPERLINK("https://map.naver.com/p/search/연서면 월하리 35-3", "지도Link")</f>
        <v/>
      </c>
      <c r="N1238" s="6">
        <f>HYPERLINK("https://www.eum.go.kr/web/mp/mpMapDet.jsp?pnu=3611036021100350003&amp;isNoScr=script&amp;mode=search", "토지이음")</f>
        <v/>
      </c>
      <c r="O1238" s="3" t="inlineStr">
        <is>
          <t>엄마와딸</t>
        </is>
      </c>
      <c r="P1238" s="4" t="n">
        <v>1</v>
      </c>
      <c r="Q1238" s="4" t="n">
        <v>987</v>
      </c>
      <c r="R1238" s="3" t="inlineStr">
        <is>
          <t>지정되지않음</t>
        </is>
      </c>
      <c r="S1238" s="3" t="inlineStr">
        <is>
          <t>공업용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월하리 35-7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1077</v>
      </c>
      <c r="H1239" s="4" t="n">
        <v>326</v>
      </c>
      <c r="I1239" s="5" t="n">
        <v>306.7</v>
      </c>
      <c r="J1239" s="5" t="n">
        <v>62.5</v>
      </c>
      <c r="K1239" s="3" t="inlineStr">
        <is>
          <t>미호강이 흐르는 경치 좋은 곳에 카페, 식당  상업용을 추천합니다.</t>
        </is>
      </c>
      <c r="L1239" s="6">
        <f>HYPERLINK("https://fin.land.naver.com/articles/2649621498", "매물Link")</f>
        <v/>
      </c>
      <c r="M1239" s="6">
        <f>HYPERLINK("https://map.naver.com/p/search/연서면 월하리 35-7", "지도Link")</f>
        <v/>
      </c>
      <c r="N1239" s="6">
        <f>HYPERLINK("https://www.eum.go.kr/web/mp/mpMapDet.jsp?pnu=3611036021100350007&amp;isNoScr=script&amp;mode=search", "토지이음")</f>
        <v/>
      </c>
      <c r="O1239" s="3" t="inlineStr">
        <is>
          <t>효자</t>
        </is>
      </c>
      <c r="P1239" s="4" t="n">
        <v>1</v>
      </c>
      <c r="Q1239" s="4" t="n">
        <v>1077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507-2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320000</v>
      </c>
      <c r="G1240" s="4" t="n">
        <v>2647</v>
      </c>
      <c r="H1240" s="4" t="n">
        <v>801</v>
      </c>
      <c r="I1240" s="5" t="n">
        <v>399.5</v>
      </c>
      <c r="J1240" s="5" t="n">
        <v>264.4</v>
      </c>
      <c r="K1240" s="3" t="inlineStr">
        <is>
          <t>1번 국도에 인접한 근생 및 상업용 토지</t>
        </is>
      </c>
      <c r="L1240" s="6">
        <f>HYPERLINK("https://fin.land.naver.com/articles/2647392720", "매물Link")</f>
        <v/>
      </c>
      <c r="M1240" s="6">
        <f>HYPERLINK("https://map.naver.com/p/search/연서면 월하리 507-2", "지도Link")</f>
        <v/>
      </c>
      <c r="N1240" s="6">
        <f>HYPERLINK("https://www.eum.go.kr/web/mp/mpMapDet.jsp?pnu=3611036021105070002&amp;isNoScr=script&amp;mode=search", "토지이음")</f>
        <v/>
      </c>
      <c r="O1240" s="3" t="inlineStr">
        <is>
          <t>신와촌</t>
        </is>
      </c>
      <c r="P1240" s="4" t="n">
        <v>1</v>
      </c>
      <c r="Q1240" s="4" t="n">
        <v>1382</v>
      </c>
      <c r="R1240" s="3" t="inlineStr">
        <is>
          <t>지정되지않음</t>
        </is>
      </c>
      <c r="S1240" s="3" t="inlineStr">
        <is>
          <t>상업용</t>
        </is>
      </c>
      <c r="T1240" s="3" t="inlineStr">
        <is>
          <t>평지</t>
        </is>
      </c>
      <c r="U1240" s="3" t="inlineStr">
        <is>
          <t>자루형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230000</v>
      </c>
      <c r="G1241" s="4" t="n">
        <v>2234</v>
      </c>
      <c r="H1241" s="4" t="n">
        <v>676</v>
      </c>
      <c r="I1241" s="5" t="n">
        <v>340.2</v>
      </c>
      <c r="J1241" s="5" t="n">
        <v>61.5</v>
      </c>
      <c r="K1241" s="3" t="inlineStr">
        <is>
          <t>상가건물건축용</t>
        </is>
      </c>
      <c r="L1241" s="6">
        <f>HYPERLINK("https://fin.land.naver.com/articles/2648552601", "매물Link")</f>
        <v/>
      </c>
      <c r="M1241" s="6">
        <f>HYPERLINK("https://map.naver.com/p/search/연서면 월하리 619", "지도Link")</f>
        <v/>
      </c>
      <c r="N1241" s="6">
        <f>HYPERLINK("https://www.eum.go.kr/web/mp/mpMapDet.jsp?pnu=3611036021106190000&amp;isNoScr=script&amp;mode=search", "토지이음")</f>
        <v/>
      </c>
      <c r="O1241" s="3" t="inlineStr">
        <is>
          <t>세종리츠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619</t>
        </is>
      </c>
      <c r="B1242" s="3" t="inlineStr">
        <is>
          <t>자연녹지지역</t>
        </is>
      </c>
      <c r="C1242" s="3" t="inlineStr">
        <is>
          <t>주차장</t>
        </is>
      </c>
      <c r="D1242" s="3" t="inlineStr">
        <is>
          <t>주차장</t>
        </is>
      </c>
      <c r="E1242" s="3" t="inlineStr">
        <is>
          <t>매매</t>
        </is>
      </c>
      <c r="F1242" s="4" t="n">
        <v>250000</v>
      </c>
      <c r="G1242" s="4" t="n">
        <v>2400</v>
      </c>
      <c r="H1242" s="4" t="n">
        <v>726</v>
      </c>
      <c r="I1242" s="5" t="n">
        <v>344.4</v>
      </c>
      <c r="J1242" s="5" t="n">
        <v>61.5</v>
      </c>
      <c r="K1242" s="3" t="inlineStr">
        <is>
          <t>명성공인, 월하리, 1번국도 가까운 활용도 좋은 추천 매물</t>
        </is>
      </c>
      <c r="L1242" s="6">
        <f>HYPERLINK("https://fin.land.naver.com/articles/2646316879", "매물Link")</f>
        <v/>
      </c>
      <c r="M1242" s="6">
        <f>HYPERLINK("https://map.naver.com/p/search/연서면 월하리 619", "지도Link")</f>
        <v/>
      </c>
      <c r="N1242" s="6">
        <f>HYPERLINK("https://www.eum.go.kr/web/mp/mpMapDet.jsp?pnu=3611036021106190000&amp;isNoScr=script&amp;mode=search", "토지이음")</f>
        <v/>
      </c>
      <c r="O1242" s="3" t="inlineStr">
        <is>
          <t>명성</t>
        </is>
      </c>
      <c r="P1242" s="4" t="n">
        <v>1</v>
      </c>
      <c r="Q1242" s="4" t="n">
        <v>963</v>
      </c>
      <c r="R1242" s="3" t="inlineStr">
        <is>
          <t>지정되지않음</t>
        </is>
      </c>
      <c r="S1242" s="3" t="inlineStr">
        <is>
          <t>주차장등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월하리 658-4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98000</v>
      </c>
      <c r="G1243" s="4" t="n">
        <v>463</v>
      </c>
      <c r="H1243" s="4" t="n">
        <v>140</v>
      </c>
      <c r="I1243" s="5" t="n">
        <v>700</v>
      </c>
      <c r="J1243" s="5" t="n">
        <v>163.7</v>
      </c>
      <c r="K1243" s="3" t="inlineStr">
        <is>
          <t>도로 인접한  활용도 높은  토지 매매</t>
        </is>
      </c>
      <c r="L1243" s="6">
        <f>HYPERLINK("https://fin.land.naver.com/articles/2648014033", "매물Link")</f>
        <v/>
      </c>
      <c r="M1243" s="6">
        <f>HYPERLINK("https://map.naver.com/p/search/연서면 월하리 658-4", "지도Link")</f>
        <v/>
      </c>
      <c r="N1243" s="6">
        <f>HYPERLINK("https://www.eum.go.kr/web/mp/mpMapDet.jsp?pnu=3611036021106580004&amp;isNoScr=script&amp;mode=search",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463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658-8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87500</v>
      </c>
      <c r="G1244" s="4" t="n">
        <v>414</v>
      </c>
      <c r="H1244" s="4" t="n">
        <v>125</v>
      </c>
      <c r="I1244" s="5" t="n">
        <v>700</v>
      </c>
      <c r="J1244" s="5" t="n">
        <v>163.7</v>
      </c>
      <c r="K1244" s="3" t="inlineStr">
        <is>
          <t>대도로변에 위치해 있는 토지 매매</t>
        </is>
      </c>
      <c r="L1244" s="6">
        <f>HYPERLINK("https://fin.land.naver.com/articles/2648014288", "매물Link")</f>
        <v/>
      </c>
      <c r="M1244" s="6">
        <f>HYPERLINK("https://map.naver.com/p/search/연서면 월하리 658-8", "지도Link")</f>
        <v/>
      </c>
      <c r="N1244" s="6">
        <f>HYPERLINK("https://www.eum.go.kr/web/mp/mpMapDet.jsp?pnu=3611036021106580008&amp;isNoScr=script&amp;mode=search", "토지이음")</f>
        <v/>
      </c>
      <c r="O1244" s="3" t="inlineStr">
        <is>
          <t>오송2단지창조</t>
        </is>
      </c>
      <c r="P1244" s="4" t="n">
        <v>1</v>
      </c>
      <c r="Q1244" s="4" t="n">
        <v>414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광대로한면</t>
        </is>
      </c>
    </row>
    <row r="1245">
      <c r="A1245" s="3" t="inlineStr">
        <is>
          <t>연서면 월하리 663-38</t>
        </is>
      </c>
      <c r="B1245" s="3" t="inlineStr">
        <is>
          <t>자연녹지지역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474300</v>
      </c>
      <c r="G1245" s="4" t="n">
        <v>5229</v>
      </c>
      <c r="H1245" s="4" t="n">
        <v>1582</v>
      </c>
      <c r="I1245" s="5" t="n">
        <v>299.8</v>
      </c>
      <c r="J1245" s="5" t="n">
        <v>102.4</v>
      </c>
      <c r="K1245" s="3" t="inlineStr">
        <is>
          <t>위치 좋은 넓은 토지.연락주세요</t>
        </is>
      </c>
      <c r="L1245" s="6">
        <f>HYPERLINK("https://fin.land.naver.com/articles/2648522838", "매물Link")</f>
        <v/>
      </c>
      <c r="M1245" s="6">
        <f>HYPERLINK("https://map.naver.com/p/search/연서면 월하리 663-38", "지도Link")</f>
        <v/>
      </c>
      <c r="N1245" s="6">
        <f>HYPERLINK("https://www.eum.go.kr/web/mp/mpMapDet.jsp?pnu=3611036021106630038&amp;isNoScr=script&amp;mode=search", "토지이음")</f>
        <v/>
      </c>
      <c r="O1245" s="3" t="inlineStr">
        <is>
          <t>수자인</t>
        </is>
      </c>
      <c r="P1245" s="4" t="n">
        <v>1</v>
      </c>
      <c r="Q1245" s="4" t="n">
        <v>5222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월하리 707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252000</v>
      </c>
      <c r="G1246" s="4" t="n">
        <v>4637</v>
      </c>
      <c r="H1246" s="4" t="n">
        <v>1403</v>
      </c>
      <c r="I1246" s="5" t="n">
        <v>179.6</v>
      </c>
      <c r="J1246" s="5" t="n">
        <v>91.2</v>
      </c>
      <c r="K1246" s="3" t="inlineStr">
        <is>
          <t>코너 2차선에 접하고 향후 4차선 계획도로 예정임. 시세보다 저렴.</t>
        </is>
      </c>
      <c r="L1246" s="6">
        <f>HYPERLINK("https://fin.land.naver.com/articles/2649104055", "매물Link")</f>
        <v/>
      </c>
      <c r="M1246" s="6">
        <f>HYPERLINK("https://map.naver.com/p/search/연서면 월하리 707", "지도Link")</f>
        <v/>
      </c>
      <c r="N1246" s="6">
        <f>HYPERLINK("https://www.eum.go.kr/web/mp/mpMapDet.jsp?pnu=3611036021107070000&amp;isNoScr=script&amp;mode=search", "토지이음")</f>
        <v/>
      </c>
      <c r="O1246" s="3" t="inlineStr">
        <is>
          <t>세종대장</t>
        </is>
      </c>
      <c r="P1246" s="4" t="n">
        <v>1</v>
      </c>
      <c r="Q1246" s="4" t="n">
        <v>3838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730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196000</v>
      </c>
      <c r="G1247" s="4" t="n">
        <v>1856</v>
      </c>
      <c r="H1247" s="4" t="n">
        <v>561</v>
      </c>
      <c r="I1247" s="5" t="n">
        <v>349.4</v>
      </c>
      <c r="J1247" s="5" t="n">
        <v>121.8</v>
      </c>
      <c r="K1247" s="3" t="inlineStr">
        <is>
          <t>연서면 월하리 2차선  접한  자연녹지, 4차선계획도로이며 분할매매 가능</t>
        </is>
      </c>
      <c r="L1247" s="6">
        <f>HYPERLINK("https://fin.land.naver.com/articles/2644707618", "매물Link")</f>
        <v/>
      </c>
      <c r="M1247" s="6">
        <f>HYPERLINK("https://map.naver.com/p/search/연서면 월하리 730", "지도Link")</f>
        <v/>
      </c>
      <c r="N1247" s="6">
        <f>HYPERLINK("https://www.eum.go.kr/web/mp/mpMapDet.jsp?pnu=3611036021107300000&amp;isNoScr=script&amp;mode=search", "토지이음")</f>
        <v/>
      </c>
      <c r="O1247" s="3" t="inlineStr">
        <is>
          <t>the다올</t>
        </is>
      </c>
      <c r="P1247" s="4" t="n">
        <v>1</v>
      </c>
      <c r="Q1247" s="4" t="n">
        <v>1856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809</t>
        </is>
      </c>
      <c r="B1248" s="3" t="inlineStr">
        <is>
          <t>자연녹지지역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48000</v>
      </c>
      <c r="G1248" s="4" t="n">
        <v>668</v>
      </c>
      <c r="H1248" s="4" t="n">
        <v>202</v>
      </c>
      <c r="I1248" s="5" t="n">
        <v>237.6</v>
      </c>
      <c r="J1248" s="5" t="n">
        <v>156.1</v>
      </c>
      <c r="K1248" s="3" t="inlineStr">
        <is>
          <t>월하리 2차선 도로접한 대지 급매. 자연취락지구로 토지거래허가구역임</t>
        </is>
      </c>
      <c r="L1248" s="6">
        <f>HYPERLINK("https://fin.land.naver.com/articles/2645640747", "매물Link")</f>
        <v/>
      </c>
      <c r="M1248" s="6">
        <f>HYPERLINK("https://map.naver.com/p/search/연서면 월하리 809", "지도Link")</f>
        <v/>
      </c>
      <c r="N1248" s="6">
        <f>HYPERLINK("https://www.eum.go.kr/web/mp/mpMapDet.jsp?pnu=3611036021108090000&amp;isNoScr=script&amp;mode=search", "토지이음")</f>
        <v/>
      </c>
      <c r="O1248" s="3" t="inlineStr">
        <is>
          <t>세종대장</t>
        </is>
      </c>
      <c r="P1248" s="4" t="n">
        <v>1</v>
      </c>
      <c r="Q1248" s="4" t="n">
        <v>668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월하리 818-1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78000</v>
      </c>
      <c r="G1249" s="4" t="n">
        <v>745</v>
      </c>
      <c r="H1249" s="4" t="n">
        <v>225</v>
      </c>
      <c r="I1249" s="5" t="n">
        <v>346.7</v>
      </c>
      <c r="J1249" s="5" t="n">
        <v>80.3</v>
      </c>
      <c r="K1249" s="3" t="inlineStr">
        <is>
          <t>조치원 월하리 아파트 분양 예정지 근접,개발 투자가치로 좋아요</t>
        </is>
      </c>
      <c r="L1249" s="6">
        <f>HYPERLINK("https://fin.land.naver.com/articles/2645497722", "매물Link")</f>
        <v/>
      </c>
      <c r="M1249" s="6">
        <f>HYPERLINK("https://map.naver.com/p/search/연서면 월하리 818-1", "지도Link")</f>
        <v/>
      </c>
      <c r="N1249" s="6">
        <f>HYPERLINK("https://www.eum.go.kr/web/mp/mpMapDet.jsp?pnu=3611036021108180001&amp;isNoScr=script&amp;mode=search", "토지이음")</f>
        <v/>
      </c>
      <c r="O1249" s="3" t="inlineStr">
        <is>
          <t>담뜰</t>
        </is>
      </c>
      <c r="P1249" s="4" t="n">
        <v>1</v>
      </c>
      <c r="Q1249" s="4" t="n">
        <v>745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889-1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442000</v>
      </c>
      <c r="G1250" s="4" t="n">
        <v>5415</v>
      </c>
      <c r="H1250" s="4" t="n">
        <v>1638</v>
      </c>
      <c r="I1250" s="5" t="n">
        <v>269.8</v>
      </c>
      <c r="J1250" s="5" t="n">
        <v>81.3</v>
      </c>
      <c r="K1250" s="3" t="inlineStr">
        <is>
          <t>세종 조치원 공공주택지구 접한 투자용 토지 매매</t>
        </is>
      </c>
      <c r="L1250" s="6">
        <f>HYPERLINK("https://fin.land.naver.com/articles/2650462664", "매물Link")</f>
        <v/>
      </c>
      <c r="M1250" s="6">
        <f>HYPERLINK("https://map.naver.com/p/search/연서면 월하리 889-1", "지도Link")</f>
        <v/>
      </c>
      <c r="N1250" s="6">
        <f>HYPERLINK("https://www.eum.go.kr/web/mp/mpMapDet.jsp?pnu=3611036021108890001&amp;isNoScr=script&amp;mode=search", "토지이음")</f>
        <v/>
      </c>
      <c r="O1250" s="3" t="inlineStr">
        <is>
          <t>(주)해뜰터</t>
        </is>
      </c>
      <c r="P1250" s="4" t="n">
        <v>2</v>
      </c>
      <c r="Q1250" s="4" t="n">
        <v>5415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연서면 월하리 892-1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305640</v>
      </c>
      <c r="G1251" s="4" t="n">
        <v>2806</v>
      </c>
      <c r="H1251" s="4" t="n">
        <v>849</v>
      </c>
      <c r="I1251" s="5" t="n">
        <v>360</v>
      </c>
      <c r="J1251" s="5" t="n">
        <v>86.40000000000001</v>
      </c>
      <c r="K1251" s="3" t="inlineStr">
        <is>
          <t>공공주택단지 인접토지 매매</t>
        </is>
      </c>
      <c r="L1251" s="6">
        <f>HYPERLINK("https://fin.land.naver.com/articles/2648030210", "매물Link")</f>
        <v/>
      </c>
      <c r="M1251" s="6">
        <f>HYPERLINK("https://map.naver.com/p/search/연서면 월하리 892-1", "지도Link")</f>
        <v/>
      </c>
      <c r="N1251" s="6">
        <f>HYPERLINK("https://www.eum.go.kr/web/mp/mpMapDet.jsp?pnu=3611036021108920001&amp;isNoScr=script&amp;mode=search",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1879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898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200000</v>
      </c>
      <c r="G1252" s="4" t="n">
        <v>1652</v>
      </c>
      <c r="H1252" s="4" t="n">
        <v>500</v>
      </c>
      <c r="I1252" s="5" t="n">
        <v>400</v>
      </c>
      <c r="J1252" s="5" t="n">
        <v>100.6</v>
      </c>
      <c r="K1252" s="3" t="inlineStr">
        <is>
          <t>포장도로 접한 답. 조치원 공공주택지구 인근 자연녹지</t>
        </is>
      </c>
      <c r="L1252" s="6">
        <f>HYPERLINK("https://fin.land.naver.com/articles/2648329552", "매물Link")</f>
        <v/>
      </c>
      <c r="M1252" s="6">
        <f>HYPERLINK("https://map.naver.com/p/search/연서면 월하리 898", "지도Link")</f>
        <v/>
      </c>
      <c r="N1252" s="6">
        <f>HYPERLINK("https://www.eum.go.kr/web/mp/mpMapDet.jsp?pnu=3611036021108980000&amp;isNoScr=script&amp;mode=search",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1084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연서면 월하리 960-4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70000</v>
      </c>
      <c r="G1253" s="4" t="n">
        <v>574</v>
      </c>
      <c r="H1253" s="4" t="n">
        <v>174</v>
      </c>
      <c r="I1253" s="5" t="n">
        <v>402.3</v>
      </c>
      <c r="J1253" s="5" t="n">
        <v>208.2</v>
      </c>
      <c r="K1253" s="3" t="inlineStr">
        <is>
          <t>2차선 도로에 접한 3거리 코너각지에 있는 도시지역자연녹지  투자용 토지</t>
        </is>
      </c>
      <c r="L1253" s="6">
        <f>HYPERLINK("https://fin.land.naver.com/articles/2646257545", "매물Link")</f>
        <v/>
      </c>
      <c r="M1253" s="6">
        <f>HYPERLINK("https://map.naver.com/p/search/연서면 월하리 960-4", "지도Link")</f>
        <v/>
      </c>
      <c r="N1253" s="6">
        <f>HYPERLINK("https://www.eum.go.kr/web/mp/mpMapDet.jsp?pnu=3611036021109600004&amp;isNoScr=script&amp;mode=search",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574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소로각지</t>
        </is>
      </c>
    </row>
    <row r="1254">
      <c r="A1254" s="3" t="inlineStr">
        <is>
          <t>연서면 월하리 966-14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29000</v>
      </c>
      <c r="G1254" s="4" t="n">
        <v>384</v>
      </c>
      <c r="H1254" s="4" t="n">
        <v>116</v>
      </c>
      <c r="I1254" s="5" t="n">
        <v>250</v>
      </c>
      <c r="J1254" s="5" t="n">
        <v>102.6</v>
      </c>
      <c r="K1254" s="3" t="inlineStr">
        <is>
          <t>주말농장 및 미래가치 높은 투자형, 토지거래 허가구역</t>
        </is>
      </c>
      <c r="L1254" s="6">
        <f>HYPERLINK("https://fin.land.naver.com/articles/2649406700", "매물Link")</f>
        <v/>
      </c>
      <c r="M1254" s="6">
        <f>HYPERLINK("https://map.naver.com/p/search/연서면 월하리 966-14", "지도Link")</f>
        <v/>
      </c>
      <c r="N1254" s="6">
        <f>HYPERLINK("https://www.eum.go.kr/web/mp/mpMapDet.jsp?pnu=3611036021109660014&amp;isNoScr=script&amp;mode=search",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384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월하리 966-3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110000</v>
      </c>
      <c r="G1255" s="4" t="n">
        <v>981</v>
      </c>
      <c r="H1255" s="4" t="n">
        <v>297</v>
      </c>
      <c r="I1255" s="5" t="n">
        <v>370.4</v>
      </c>
      <c r="J1255" s="5" t="n">
        <v>168.6</v>
      </c>
      <c r="K1255" s="3" t="inlineStr">
        <is>
          <t>실거주, 미래가치 높은 투자형, 토지거래 허가구역</t>
        </is>
      </c>
      <c r="L1255" s="6">
        <f>HYPERLINK("https://fin.land.naver.com/articles/2649406297", "매물Link")</f>
        <v/>
      </c>
      <c r="M1255" s="6">
        <f>HYPERLINK("https://map.naver.com/p/search/연서면 월하리 966-3", "지도Link")</f>
        <v/>
      </c>
      <c r="N1255" s="6">
        <f>HYPERLINK("https://www.eum.go.kr/web/mp/mpMapDet.jsp?pnu=3611036021109660003&amp;isNoScr=script&amp;mode=search", "토지이음")</f>
        <v/>
      </c>
      <c r="O1255" s="3" t="inlineStr">
        <is>
          <t>천우</t>
        </is>
      </c>
      <c r="P1255" s="4" t="n">
        <v>1</v>
      </c>
      <c r="Q1255" s="4" t="n">
        <v>639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소로한면</t>
        </is>
      </c>
    </row>
    <row r="1256">
      <c r="A1256" s="3" t="inlineStr">
        <is>
          <t>연서면 월하리 986-3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168000</v>
      </c>
      <c r="G1256" s="4" t="n">
        <v>1157</v>
      </c>
      <c r="H1256" s="4" t="n">
        <v>350</v>
      </c>
      <c r="I1256" s="5" t="n">
        <v>480</v>
      </c>
      <c r="J1256" s="5" t="n">
        <v>208.4</v>
      </c>
      <c r="K1256" s="3" t="inlineStr">
        <is>
          <t>조치원 서북부 개발지역 근접  농지로 투자용으로도 추천, 포장도로 접함</t>
        </is>
      </c>
      <c r="L1256" s="6">
        <f>HYPERLINK("https://fin.land.naver.com/articles/2647543173", "매물Link")</f>
        <v/>
      </c>
      <c r="M1256" s="6">
        <f>HYPERLINK("https://map.naver.com/p/search/연서면 월하리 986-3", "지도Link")</f>
        <v/>
      </c>
      <c r="N1256" s="6">
        <f>HYPERLINK("https://www.eum.go.kr/web/mp/mpMapDet.jsp?pnu=3611036021109860003&amp;isNoScr=script&amp;mode=search", "토지이음")</f>
        <v/>
      </c>
      <c r="O1256" s="3" t="inlineStr">
        <is>
          <t>the다올</t>
        </is>
      </c>
      <c r="P1256" s="4" t="n">
        <v>1</v>
      </c>
      <c r="Q1256" s="4" t="n">
        <v>1157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월하리 산 26-1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94000</v>
      </c>
      <c r="G1257" s="4" t="n">
        <v>3891</v>
      </c>
      <c r="H1257" s="4" t="n">
        <v>1177</v>
      </c>
      <c r="I1257" s="5" t="n">
        <v>79.90000000000001</v>
      </c>
      <c r="J1257" s="5" t="n">
        <v>72.09999999999999</v>
      </c>
      <c r="K1257" s="3" t="inlineStr">
        <is>
          <t>월하리 자연녹지지역 지목은 임야로 현재 전으로 사용. 2필지 급매</t>
        </is>
      </c>
      <c r="L1257" s="6">
        <f>HYPERLINK("https://fin.land.naver.com/articles/2645850271", "매물Link")</f>
        <v/>
      </c>
      <c r="M1257" s="6">
        <f>HYPERLINK("https://map.naver.com/p/search/연서면 월하리 산 26-1", "지도Link")</f>
        <v/>
      </c>
      <c r="N1257" s="6">
        <f>HYPERLINK("https://www.eum.go.kr/web/mp/mpMapDet.jsp?pnu=3611036021200260001&amp;isNoScr=script&amp;mode=search", "토지이음")</f>
        <v/>
      </c>
      <c r="O1257" s="3" t="inlineStr">
        <is>
          <t>세종대장</t>
        </is>
      </c>
      <c r="P1257" s="4" t="n">
        <v>1</v>
      </c>
      <c r="Q1257" s="4" t="n">
        <v>4185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산144-1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860000</v>
      </c>
      <c r="G1258" s="4" t="n">
        <v>22983</v>
      </c>
      <c r="H1258" s="4" t="n">
        <v>6952</v>
      </c>
      <c r="I1258" s="5" t="n">
        <v>123.7</v>
      </c>
      <c r="J1258" s="5" t="n">
        <v>22.5</v>
      </c>
      <c r="K1258" s="3" t="inlineStr">
        <is>
          <t>미호강변 경관좋은 완경사 임야</t>
        </is>
      </c>
      <c r="L1258" s="6">
        <f>HYPERLINK("https://fin.land.naver.com/articles/2646263025", "매물Link")</f>
        <v/>
      </c>
      <c r="M1258" s="6">
        <f>HYPERLINK("https://map.naver.com/p/search/연서면 월하리 산144-1", "지도Link")</f>
        <v/>
      </c>
      <c r="N1258" s="6">
        <f>HYPERLINK("https://www.eum.go.kr/web/mp/mpMapDet.jsp?pnu=3611036021201440001&amp;isNoScr=script&amp;mode=search", "토지이음")</f>
        <v/>
      </c>
      <c r="O1258" s="3" t="inlineStr">
        <is>
          <t>번영</t>
        </is>
      </c>
      <c r="P1258" s="4" t="n">
        <v>1</v>
      </c>
      <c r="Q1258" s="4" t="n">
        <v>22641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산7-12</t>
        </is>
      </c>
      <c r="B1259" s="3" t="inlineStr">
        <is>
          <t>자연녹지지역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15800</v>
      </c>
      <c r="G1259" s="4" t="n">
        <v>660</v>
      </c>
      <c r="H1259" s="4" t="n">
        <v>200</v>
      </c>
      <c r="I1259" s="5" t="n">
        <v>79</v>
      </c>
      <c r="J1259" s="5" t="n">
        <v>21.7</v>
      </c>
      <c r="K1259" s="3" t="inlineStr">
        <is>
          <t>연서면 월하리 도시지역 자연녹지, 경사도 완만한 투 자용 임야입니다</t>
        </is>
      </c>
      <c r="L1259" s="6">
        <f>HYPERLINK("https://fin.land.naver.com/articles/2648168085", "매물Link")</f>
        <v/>
      </c>
      <c r="M1259" s="6">
        <f>HYPERLINK("https://map.naver.com/p/search/연서면 월하리 산7-12", "지도Link")</f>
        <v/>
      </c>
      <c r="N1259" s="6">
        <f>HYPERLINK("https://www.eum.go.kr/web/mp/mpMapDet.jsp?pnu=3611036021200070012&amp;isNoScr=script&amp;mode=search", "토지이음")</f>
        <v/>
      </c>
      <c r="O1259" s="3" t="inlineStr">
        <is>
          <t>스마일세종</t>
        </is>
      </c>
      <c r="P1259" s="4" t="n">
        <v>2</v>
      </c>
      <c r="Q1259" s="4" t="n">
        <v>660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연서면 청라리 12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12000</v>
      </c>
      <c r="G1260" s="4" t="n">
        <v>1838</v>
      </c>
      <c r="H1260" s="4" t="n">
        <v>556</v>
      </c>
      <c r="I1260" s="5" t="n">
        <v>21.6</v>
      </c>
      <c r="J1260" s="5" t="n">
        <v>23.5</v>
      </c>
      <c r="K1260" s="3" t="inlineStr">
        <is>
          <t>연서면 청라리토지 세종국가산업단지인근 싸고 넓은 토지</t>
        </is>
      </c>
      <c r="L1260" s="6">
        <f>HYPERLINK("https://fin.land.naver.com/articles/2646801132", "매물Link")</f>
        <v/>
      </c>
      <c r="M1260" s="6">
        <f>HYPERLINK("https://map.naver.com/p/search/연서면 청라리 12", "지도Link")</f>
        <v/>
      </c>
      <c r="N1260" s="6">
        <f>HYPERLINK("https://www.eum.go.kr/web/mp/mpMapDet.jsp?pnu=3611036027100120000&amp;isNoScr=script&amp;mode=search", "토지이음")</f>
        <v/>
      </c>
      <c r="O1260" s="3" t="inlineStr">
        <is>
          <t>지성</t>
        </is>
      </c>
      <c r="P1260" s="4" t="n">
        <v>3</v>
      </c>
      <c r="Q1260" s="4" t="n">
        <v>1838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l청년l 세종시 투자가치 있는 토지 입니다.</t>
        </is>
      </c>
      <c r="L1261" s="6">
        <f>HYPERLINK("https://fin.land.naver.com/articles/2646721360", "매물Link")</f>
        <v/>
      </c>
      <c r="M1261" s="6">
        <f>HYPERLINK("https://map.naver.com/p/search/연서면 청라리 127-1", "지도Link")</f>
        <v/>
      </c>
      <c r="N1261" s="6">
        <f>HYPERLINK("https://www.eum.go.kr/web/mp/mpMapDet.jsp?pnu=3611036027101270001&amp;isNoScr=script&amp;mode=search", "토지이음")</f>
        <v/>
      </c>
      <c r="O1261" s="3" t="inlineStr">
        <is>
          <t>청년사사무소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세종 연서면 고복저수지 인근 건축 및 투자 추천 추가 하천부지 있음</t>
        </is>
      </c>
      <c r="L1262" s="6">
        <f>HYPERLINK("https://fin.land.naver.com/articles/2648832986", "매물Link")</f>
        <v/>
      </c>
      <c r="M1262" s="6">
        <f>HYPERLINK("https://map.naver.com/p/search/연서면 청라리 127-1", "지도Link")</f>
        <v/>
      </c>
      <c r="N1262" s="6">
        <f>HYPERLINK("https://www.eum.go.kr/web/mp/mpMapDet.jsp?pnu=3611036027101270001&amp;isNoScr=script&amp;mode=search", "토지이음")</f>
        <v/>
      </c>
      <c r="O1262" s="3" t="inlineStr">
        <is>
          <t>나침반</t>
        </is>
      </c>
      <c r="P1262" s="4" t="n">
        <v>8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127-1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53000</v>
      </c>
      <c r="G1263" s="4" t="n">
        <v>1249</v>
      </c>
      <c r="H1263" s="4" t="n">
        <v>378</v>
      </c>
      <c r="I1263" s="5" t="n">
        <v>140.2</v>
      </c>
      <c r="J1263" s="5" t="n">
        <v>30.6</v>
      </c>
      <c r="K1263" s="3" t="inlineStr">
        <is>
          <t>포장도로 접한 세종 북부권 전원주택 검토형 토지</t>
        </is>
      </c>
      <c r="L1263" s="6">
        <f>HYPERLINK("https://fin.land.naver.com/articles/2649753980", "매물Link")</f>
        <v/>
      </c>
      <c r="M1263" s="6">
        <f>HYPERLINK("https://map.naver.com/p/search/연서면 청라리 127-1", "지도Link")</f>
        <v/>
      </c>
      <c r="N1263" s="6">
        <f>HYPERLINK("https://www.eum.go.kr/web/mp/mpMapDet.jsp?pnu=3611036027101270001&amp;isNoScr=script&amp;mode=search", "토지이음")</f>
        <v/>
      </c>
      <c r="O1263" s="3" t="inlineStr">
        <is>
          <t>세종소담황금</t>
        </is>
      </c>
      <c r="P1263" s="4" t="n">
        <v>1</v>
      </c>
      <c r="Q1263" s="4" t="n">
        <v>1249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풍수지리 최고위치 국가산단 배후지 급매물</t>
        </is>
      </c>
      <c r="L1264" s="6">
        <f>HYPERLINK("https://fin.land.naver.com/articles/2650378739", "매물Link")</f>
        <v/>
      </c>
      <c r="M1264" s="6">
        <f>HYPERLINK("https://map.naver.com/p/search/연서면 청라리 16", "지도Link")</f>
        <v/>
      </c>
      <c r="N1264" s="6">
        <f>HYPERLINK("https://www.eum.go.kr/web/mp/mpMapDet.jsp?pnu=3611036027100160000&amp;isNoScr=script&amp;mode=search", "토지이음")</f>
        <v/>
      </c>
      <c r="O1264" s="3" t="inlineStr">
        <is>
          <t>THE행복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42000</v>
      </c>
      <c r="G1265" s="4" t="n">
        <v>2023</v>
      </c>
      <c r="H1265" s="4" t="n">
        <v>612</v>
      </c>
      <c r="I1265" s="5" t="n">
        <v>68.59999999999999</v>
      </c>
      <c r="J1265" s="5" t="n">
        <v>23.5</v>
      </c>
      <c r="K1265" s="3" t="inlineStr">
        <is>
          <t>차량진입완경사, 고복저수지 6분국가산단 15분권</t>
        </is>
      </c>
      <c r="L1265" s="6">
        <f>HYPERLINK("https://fin.land.naver.com/articles/2650328099", "매물Link")</f>
        <v/>
      </c>
      <c r="M1265" s="6">
        <f>HYPERLINK("https://map.naver.com/p/search/연서면 청라리 16", "지도Link")</f>
        <v/>
      </c>
      <c r="N1265" s="6">
        <f>HYPERLINK("https://www.eum.go.kr/web/mp/mpMapDet.jsp?pnu=3611036027100160000&amp;isNoScr=script&amp;mode=search", "토지이음")</f>
        <v/>
      </c>
      <c r="O1265" s="3" t="inlineStr">
        <is>
          <t>세종소담황금</t>
        </is>
      </c>
      <c r="P1265" s="4" t="n">
        <v>1</v>
      </c>
      <c r="Q1265" s="4" t="n">
        <v>2023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163-8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31000</v>
      </c>
      <c r="G1266" s="4" t="n">
        <v>778</v>
      </c>
      <c r="H1266" s="4" t="n">
        <v>235</v>
      </c>
      <c r="I1266" s="5" t="n">
        <v>131.9</v>
      </c>
      <c r="J1266" s="5" t="n">
        <v>27</v>
      </c>
      <c r="K1266" s="3" t="inlineStr">
        <is>
          <t>급매  남향  토목공사 완료  조망권 좋음</t>
        </is>
      </c>
      <c r="L1266" s="6">
        <f>HYPERLINK("https://fin.land.naver.com/articles/2648711196", "매물Link")</f>
        <v/>
      </c>
      <c r="M1266" s="6">
        <f>HYPERLINK("https://map.naver.com/p/search/연서면 청라리 163-8", "지도Link")</f>
        <v/>
      </c>
      <c r="N1266" s="6">
        <f>HYPERLINK("https://www.eum.go.kr/web/mp/mpMapDet.jsp?pnu=3611036027101630008&amp;isNoScr=script&amp;mode=search", "토지이음")</f>
        <v/>
      </c>
      <c r="O1266" s="3" t="inlineStr">
        <is>
          <t>보람진솔한</t>
        </is>
      </c>
      <c r="P1266" s="4" t="n">
        <v>1</v>
      </c>
      <c r="Q1266" s="4" t="n">
        <v>778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청라리 191-1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75000</v>
      </c>
      <c r="G1267" s="4" t="n">
        <v>2096</v>
      </c>
      <c r="H1267" s="4" t="n">
        <v>634</v>
      </c>
      <c r="I1267" s="5" t="n">
        <v>118.3</v>
      </c>
      <c r="J1267" s="5" t="n">
        <v>32.1</v>
      </c>
      <c r="K1267" s="3" t="inlineStr">
        <is>
          <t>생산관리, 도로접함, 대토용, 투자용</t>
        </is>
      </c>
      <c r="L1267" s="6">
        <f>HYPERLINK("https://fin.land.naver.com/articles/2650332745", "매물Link")</f>
        <v/>
      </c>
      <c r="M1267" s="6">
        <f>HYPERLINK("https://map.naver.com/p/search/연서면 청라리 191-1", "지도Link")</f>
        <v/>
      </c>
      <c r="N1267" s="6">
        <f>HYPERLINK("https://www.eum.go.kr/web/mp/mpMapDet.jsp?pnu=3611036027101910001&amp;isNoScr=script&amp;mode=search", "토지이음")</f>
        <v/>
      </c>
      <c r="O1267" s="3" t="inlineStr">
        <is>
          <t>세종일조</t>
        </is>
      </c>
      <c r="P1267" s="4" t="n">
        <v>1</v>
      </c>
      <c r="Q1267" s="4" t="n">
        <v>2096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청라리 244-1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20000</v>
      </c>
      <c r="G1268" s="4" t="n">
        <v>833</v>
      </c>
      <c r="H1268" s="4" t="n">
        <v>252</v>
      </c>
      <c r="I1268" s="5" t="n">
        <v>79.40000000000001</v>
      </c>
      <c r="J1268" s="5" t="n">
        <v>20.8</v>
      </c>
      <c r="K1268" s="3" t="inlineStr">
        <is>
          <t>nan</t>
        </is>
      </c>
      <c r="L1268" s="6">
        <f>HYPERLINK("https://fin.land.naver.com/articles/2645939242", "매물Link")</f>
        <v/>
      </c>
      <c r="M1268" s="6">
        <f>HYPERLINK("https://map.naver.com/p/search/연서면 청라리 244-1", "지도Link")</f>
        <v/>
      </c>
      <c r="N1268" s="6">
        <f>HYPERLINK("https://www.eum.go.kr/web/mp/mpMapDet.jsp?pnu=3611036027102440001&amp;isNoScr=script&amp;mode=search", "토지이음")</f>
        <v/>
      </c>
      <c r="O1268" s="3" t="inlineStr">
        <is>
          <t>고운하임</t>
        </is>
      </c>
      <c r="P1268" s="4" t="n">
        <v>1</v>
      </c>
      <c r="Q1268" s="4" t="n">
        <v>833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청라리 261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330000</v>
      </c>
      <c r="G1269" s="4" t="n">
        <v>11198</v>
      </c>
      <c r="H1269" s="4" t="n">
        <v>3387</v>
      </c>
      <c r="I1269" s="5" t="n">
        <v>97.40000000000001</v>
      </c>
      <c r="J1269" s="5" t="n">
        <v>22.9</v>
      </c>
      <c r="K1269" s="3" t="inlineStr">
        <is>
          <t>산업단지개발구역 인근 투자가치 높은 곳입니다.</t>
        </is>
      </c>
      <c r="L1269" s="6">
        <f>HYPERLINK("https://fin.land.naver.com/articles/2646627780", "매물Link")</f>
        <v/>
      </c>
      <c r="M1269" s="6">
        <f>HYPERLINK("https://map.naver.com/p/search/연서면 청라리 261", "지도Link")</f>
        <v/>
      </c>
      <c r="N1269" s="6">
        <f>HYPERLINK("https://www.eum.go.kr/web/mp/mpMapDet.jsp?pnu=3611036027102610000&amp;isNoScr=script&amp;mode=search", "토지이음")</f>
        <v/>
      </c>
      <c r="O1269" s="3" t="inlineStr">
        <is>
          <t>노은탑</t>
        </is>
      </c>
      <c r="P1269" s="4" t="n">
        <v>1</v>
      </c>
      <c r="Q1269" s="4" t="n">
        <v>4502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264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25000</v>
      </c>
      <c r="G1270" s="4" t="n">
        <v>1646</v>
      </c>
      <c r="H1270" s="4" t="n">
        <v>498</v>
      </c>
      <c r="I1270" s="5" t="n">
        <v>50.2</v>
      </c>
      <c r="J1270" s="5" t="n">
        <v>21</v>
      </c>
      <c r="K1270" s="3" t="inlineStr">
        <is>
          <t>저렴한 농지 나무식재 농업경영체 등록가능 토지 찾으시는분</t>
        </is>
      </c>
      <c r="L1270" s="6">
        <f>HYPERLINK("https://fin.land.naver.com/articles/2645606420", "매물Link")</f>
        <v/>
      </c>
      <c r="M1270" s="6">
        <f>HYPERLINK("https://map.naver.com/p/search/연서면 청라리 264", "지도Link")</f>
        <v/>
      </c>
      <c r="N1270" s="6">
        <f>HYPERLINK("https://www.eum.go.kr/web/mp/mpMapDet.jsp?pnu=3611036027102640000&amp;isNoScr=script&amp;mode=search",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1646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연서면 청라리 277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63000</v>
      </c>
      <c r="G1271" s="4" t="n">
        <v>3472</v>
      </c>
      <c r="H1271" s="4" t="n">
        <v>1050</v>
      </c>
      <c r="I1271" s="5" t="n">
        <v>60</v>
      </c>
      <c r="J1271" s="5" t="n">
        <v>22</v>
      </c>
      <c r="K1271" s="3" t="inlineStr">
        <is>
          <t>현황도로 길게 접한 생산관리 토지. 대토, 전원주택 추천</t>
        </is>
      </c>
      <c r="L1271" s="6">
        <f>HYPERLINK("https://fin.land.naver.com/articles/2645604558", "매물Link")</f>
        <v/>
      </c>
      <c r="M1271" s="6">
        <f>HYPERLINK("https://map.naver.com/p/search/연서면 청라리 277", "지도Link")</f>
        <v/>
      </c>
      <c r="N1271" s="6">
        <f>HYPERLINK("https://www.eum.go.kr/web/mp/mpMapDet.jsp?pnu=3611036027102770000&amp;isNoScr=script&amp;mode=search",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3472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청라리 295-2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71800</v>
      </c>
      <c r="G1272" s="4" t="n">
        <v>2372</v>
      </c>
      <c r="H1272" s="4" t="n">
        <v>718</v>
      </c>
      <c r="I1272" s="5" t="n">
        <v>100</v>
      </c>
      <c r="J1272" s="5" t="n">
        <v>23.5</v>
      </c>
      <c r="K1272" s="3" t="inlineStr">
        <is>
          <t>고복저수지인근 2차선변 답</t>
        </is>
      </c>
      <c r="L1272" s="6">
        <f>HYPERLINK("https://fin.land.naver.com/articles/2645606345", "매물Link")</f>
        <v/>
      </c>
      <c r="M1272" s="6">
        <f>HYPERLINK("https://map.naver.com/p/search/연서면 청라리 295-2", "지도Link")</f>
        <v/>
      </c>
      <c r="N1272" s="6">
        <f>HYPERLINK("https://www.eum.go.kr/web/mp/mpMapDet.jsp?pnu=3611036027102950002&amp;isNoScr=script&amp;mode=search", "토지이음")</f>
        <v/>
      </c>
      <c r="O1272" s="3" t="inlineStr">
        <is>
          <t>미스터홈즈강남지사</t>
        </is>
      </c>
      <c r="P1272" s="4" t="n">
        <v>1</v>
      </c>
      <c r="Q1272" s="4" t="n">
        <v>2372.4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청라리 38-2</t>
        </is>
      </c>
      <c r="B1273" s="3" t="inlineStr">
        <is>
          <t>생산관리지역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18180</v>
      </c>
      <c r="G1273" s="4" t="n">
        <v>1001</v>
      </c>
      <c r="H1273" s="4" t="n">
        <v>303</v>
      </c>
      <c r="I1273" s="5" t="n">
        <v>60</v>
      </c>
      <c r="J1273" s="5" t="n">
        <v>24.2</v>
      </c>
      <c r="K1273" s="3" t="inlineStr">
        <is>
          <t>청라리 농지원부 나오는 아주 저렴한 토지</t>
        </is>
      </c>
      <c r="L1273" s="6">
        <f>HYPERLINK("https://fin.land.naver.com/articles/2644528885", "매물Link")</f>
        <v/>
      </c>
      <c r="M1273" s="6">
        <f>HYPERLINK("https://map.naver.com/p/search/연서면 청라리 38-2", "지도Link")</f>
        <v/>
      </c>
      <c r="N1273" s="6">
        <f>HYPERLINK("https://www.eum.go.kr/web/mp/mpMapDet.jsp?pnu=3611036027100380002&amp;isNoScr=script&amp;mode=search",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1000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청라리 420-1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37000</v>
      </c>
      <c r="G1274" s="4" t="n">
        <v>657</v>
      </c>
      <c r="H1274" s="4" t="n">
        <v>199</v>
      </c>
      <c r="I1274" s="5" t="n">
        <v>185.9</v>
      </c>
      <c r="J1274" s="5" t="n">
        <v>56.6</v>
      </c>
      <c r="K1274" s="3" t="inlineStr">
        <is>
          <t>계획관리지역.성장관리계획구역.단독주택있슴</t>
        </is>
      </c>
      <c r="L1274" s="6">
        <f>HYPERLINK("https://fin.land.naver.com/articles/2648373796", "매물Link")</f>
        <v/>
      </c>
      <c r="M1274" s="6">
        <f>HYPERLINK("https://map.naver.com/p/search/연서면 청라리 420-1", "지도Link")</f>
        <v/>
      </c>
      <c r="N1274" s="6">
        <f>HYPERLINK("https://www.eum.go.kr/web/mp/mpMapDet.jsp?pnu=3611036027104200001&amp;isNoScr=script&amp;mode=search", "토지이음")</f>
        <v/>
      </c>
      <c r="O1274" s="3" t="inlineStr">
        <is>
          <t>돈방석</t>
        </is>
      </c>
      <c r="P1274" s="4" t="n">
        <v>1</v>
      </c>
      <c r="Q1274" s="4" t="n">
        <v>657.4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청라리 448</t>
        </is>
      </c>
      <c r="B1275" s="3" t="inlineStr">
        <is>
          <t>계획관리지역</t>
        </is>
      </c>
      <c r="C1275" s="3" t="inlineStr">
        <is>
          <t>창고용지</t>
        </is>
      </c>
      <c r="D1275" s="3" t="inlineStr">
        <is>
          <t>대</t>
        </is>
      </c>
      <c r="E1275" s="3" t="inlineStr">
        <is>
          <t>매매</t>
        </is>
      </c>
      <c r="F1275" s="4" t="n">
        <v>425400</v>
      </c>
      <c r="G1275" s="4" t="n">
        <v>7031</v>
      </c>
      <c r="H1275" s="4" t="n">
        <v>2127</v>
      </c>
      <c r="I1275" s="5" t="n">
        <v>200</v>
      </c>
      <c r="J1275" s="5" t="n">
        <v>36.8</v>
      </c>
      <c r="K1275" s="3" t="inlineStr">
        <is>
          <t>2차선도로 접한 토지</t>
        </is>
      </c>
      <c r="L1275" s="6">
        <f>HYPERLINK("https://fin.land.naver.com/articles/2648565269", "매물Link")</f>
        <v/>
      </c>
      <c r="M1275" s="6">
        <f>HYPERLINK("https://map.naver.com/p/search/연서면 청라리 448", "지도Link")</f>
        <v/>
      </c>
      <c r="N1275" s="6">
        <f>HYPERLINK("https://www.eum.go.kr/web/mp/mpMapDet.jsp?pnu=3611036027104480000&amp;isNoScr=script&amp;mode=search",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1158</v>
      </c>
      <c r="R1275" s="3" t="inlineStr">
        <is>
          <t>지정되지않음</t>
        </is>
      </c>
      <c r="S1275" s="3" t="inlineStr">
        <is>
          <t>답기타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HYPERLINK("https://www.eum.go.kr/web/mp/mpMapDet.jsp?pnu=3611036027104900000&amp;isNoScr=script&amp;mode=search",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HYPERLINK("https://www.eum.go.kr/web/mp/mpMapDet.jsp?pnu=3611036027104900000&amp;isNoScr=script&amp;mode=search",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490</t>
        </is>
      </c>
      <c r="B1278" s="3" t="inlineStr">
        <is>
          <t>보전관리지역</t>
        </is>
      </c>
      <c r="C1278" s="3" t="inlineStr">
        <is>
          <t>답</t>
        </is>
      </c>
      <c r="D1278" s="3" t="inlineStr">
        <is>
          <t>전</t>
        </is>
      </c>
      <c r="E1278" s="3" t="inlineStr">
        <is>
          <t>매매</t>
        </is>
      </c>
      <c r="F1278" s="4" t="n">
        <v>7000</v>
      </c>
      <c r="G1278" s="4" t="n">
        <v>1401</v>
      </c>
      <c r="H1278" s="4" t="n">
        <v>424</v>
      </c>
      <c r="I1278" s="5" t="n">
        <v>16.5</v>
      </c>
      <c r="J1278" s="5" t="n">
        <v>10.8</v>
      </c>
      <c r="K1278" s="3" t="inlineStr">
        <is>
          <t>급매.과수원추천.보전관리.성장관리계획구역.영농여건불리농지. 대토추천.</t>
        </is>
      </c>
      <c r="L1278" s="6">
        <f>HYPERLINK("https://fin.land.naver.com/articles/2646070061", "매물Link")</f>
        <v/>
      </c>
      <c r="M1278" s="6">
        <f>HYPERLINK("https://map.naver.com/p/search/연서면 청라리 490", "지도Link")</f>
        <v/>
      </c>
      <c r="N1278" s="6">
        <f>HYPERLINK("https://www.eum.go.kr/web/mp/mpMapDet.jsp?pnu=3611036027104900000&amp;isNoScr=script&amp;mode=search", "토지이음")</f>
        <v/>
      </c>
      <c r="O1278" s="3" t="inlineStr">
        <is>
          <t>휴튼9단지세교신도시</t>
        </is>
      </c>
      <c r="P1278" s="4" t="n">
        <v>1</v>
      </c>
      <c r="Q1278" s="4" t="n">
        <v>724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급경사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청라리 70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55200</v>
      </c>
      <c r="G1279" s="4" t="n">
        <v>1587</v>
      </c>
      <c r="H1279" s="4" t="n">
        <v>480</v>
      </c>
      <c r="I1279" s="5" t="n">
        <v>115</v>
      </c>
      <c r="J1279" s="5" t="n">
        <v>31.6</v>
      </c>
      <c r="K1279" s="3" t="inlineStr">
        <is>
          <t>국가산업단지 인근 전원주택부지 추천 계획관리 전</t>
        </is>
      </c>
      <c r="L1279" s="6">
        <f>HYPERLINK("https://fin.land.naver.com/articles/2646439538", "매물Link")</f>
        <v/>
      </c>
      <c r="M1279" s="6">
        <f>HYPERLINK("https://map.naver.com/p/search/연서면 청라리 70", "지도Link")</f>
        <v/>
      </c>
      <c r="N1279" s="6">
        <f>HYPERLINK("https://www.eum.go.kr/web/mp/mpMapDet.jsp?pnu=3611036027100700000&amp;isNoScr=script&amp;mode=search", "토지이음")</f>
        <v/>
      </c>
      <c r="O1279" s="3" t="inlineStr">
        <is>
          <t>노은탑</t>
        </is>
      </c>
      <c r="P1279" s="4" t="n">
        <v>1</v>
      </c>
      <c r="Q1279" s="4" t="n">
        <v>1587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163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171000</v>
      </c>
      <c r="G1280" s="4" t="n">
        <v>5140</v>
      </c>
      <c r="H1280" s="4" t="n">
        <v>1555</v>
      </c>
      <c r="I1280" s="5" t="n">
        <v>110</v>
      </c>
      <c r="J1280" s="5" t="n">
        <v>28.3</v>
      </c>
      <c r="K1280" s="3" t="inlineStr">
        <is>
          <t>공북리토지 투자추천 화장품단지바로인근 2면 농로접함</t>
        </is>
      </c>
      <c r="L1280" s="6">
        <f>HYPERLINK("https://fin.land.naver.com/articles/2645269569", "매물Link")</f>
        <v/>
      </c>
      <c r="M1280" s="6">
        <f>HYPERLINK("https://map.naver.com/p/search/오송읍 공북리 163", "지도Link")</f>
        <v/>
      </c>
      <c r="N1280" s="6">
        <f>HYPERLINK("https://www.eum.go.kr/web/mp/mpMapDet.jsp?pnu=4311325023101630000&amp;isNoScr=script&amp;mode=search", "토지이음")</f>
        <v/>
      </c>
      <c r="O1280" s="3" t="inlineStr">
        <is>
          <t>오송휴먼캐슬</t>
        </is>
      </c>
      <c r="P1280" s="4" t="n">
        <v>2</v>
      </c>
      <c r="Q1280" s="4" t="n">
        <v>5140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공북리 184-2</t>
        </is>
      </c>
      <c r="B1281" s="3" t="inlineStr">
        <is>
          <t>농림지역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130000</v>
      </c>
      <c r="G1281" s="4" t="n">
        <v>2146</v>
      </c>
      <c r="H1281" s="4" t="n">
        <v>649</v>
      </c>
      <c r="I1281" s="5" t="n">
        <v>200.3</v>
      </c>
      <c r="J1281" s="5" t="n">
        <v>53.7</v>
      </c>
      <c r="K1281" s="3" t="inlineStr">
        <is>
          <t>2차선 도로 접, 서울 세종간 고속도로 오송진입로 1.3km, 투자 적지</t>
        </is>
      </c>
      <c r="L1281" s="6">
        <f>HYPERLINK("https://fin.land.naver.com/articles/2646041698", "매물Link")</f>
        <v/>
      </c>
      <c r="M1281" s="6">
        <f>HYPERLINK("https://map.naver.com/p/search/오송읍 공북리 184-2", "지도Link")</f>
        <v/>
      </c>
      <c r="N1281" s="6">
        <f>HYPERLINK("https://www.eum.go.kr/web/mp/mpMapDet.jsp?pnu=4311325023101840002&amp;isNoScr=script&amp;mode=search", "토지이음")</f>
        <v/>
      </c>
      <c r="O1281" s="3" t="inlineStr">
        <is>
          <t>OK파라곤</t>
        </is>
      </c>
      <c r="P1281" s="4" t="n">
        <v>1</v>
      </c>
      <c r="Q1281" s="4" t="n">
        <v>1400</v>
      </c>
      <c r="R1281" s="3" t="inlineStr">
        <is>
          <t>지정되지않음</t>
        </is>
      </c>
      <c r="S1281" s="3" t="inlineStr">
        <is>
          <t>단독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공북리 308-1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전</t>
        </is>
      </c>
      <c r="E1282" s="3" t="inlineStr">
        <is>
          <t>매매</t>
        </is>
      </c>
      <c r="F1282" s="4" t="n">
        <v>10720</v>
      </c>
      <c r="G1282" s="4" t="n">
        <v>222</v>
      </c>
      <c r="H1282" s="4" t="n">
        <v>67</v>
      </c>
      <c r="I1282" s="5" t="n">
        <v>160</v>
      </c>
      <c r="J1282" s="5" t="n">
        <v>75.5</v>
      </c>
      <c r="K1282" s="3" t="inlineStr">
        <is>
          <t>공북리 계획관리토지 마을안쪽 국가도로연결됨 저렴소자본 매수가능</t>
        </is>
      </c>
      <c r="L1282" s="6">
        <f>HYPERLINK("https://fin.land.naver.com/articles/2647606151", "매물Link")</f>
        <v/>
      </c>
      <c r="M1282" s="6">
        <f>HYPERLINK("https://map.naver.com/p/search/오송읍 공북리 308-1", "지도Link")</f>
        <v/>
      </c>
      <c r="N1282" s="6">
        <f>HYPERLINK("https://www.eum.go.kr/web/mp/mpMapDet.jsp?pnu=4311325023103080001&amp;isNoScr=script&amp;mode=search",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222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공북리 308-2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108600</v>
      </c>
      <c r="G1283" s="4" t="n">
        <v>2244</v>
      </c>
      <c r="H1283" s="4" t="n">
        <v>679</v>
      </c>
      <c r="I1283" s="5" t="n">
        <v>159.9</v>
      </c>
      <c r="J1283" s="5" t="n">
        <v>41.3</v>
      </c>
      <c r="K1283" s="3" t="inlineStr">
        <is>
          <t>공북리 계획관리 전 전체 또는 분할 매매 가능</t>
        </is>
      </c>
      <c r="L1283" s="6">
        <f>HYPERLINK("https://fin.land.naver.com/articles/2647606366", "매물Link")</f>
        <v/>
      </c>
      <c r="M1283" s="6">
        <f>HYPERLINK("https://map.naver.com/p/search/오송읍 공북리 308-2", "지도Link")</f>
        <v/>
      </c>
      <c r="N1283" s="6">
        <f>HYPERLINK("https://www.eum.go.kr/web/mp/mpMapDet.jsp?pnu=4311325023103080002&amp;isNoScr=script&amp;mode=search", "토지이음")</f>
        <v/>
      </c>
      <c r="O1283" s="3" t="inlineStr">
        <is>
          <t>자이원</t>
        </is>
      </c>
      <c r="P1283" s="4" t="n">
        <v>2</v>
      </c>
      <c r="Q1283" s="4" t="n">
        <v>2244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공북리 474</t>
        </is>
      </c>
      <c r="B1284" s="3" t="inlineStr">
        <is>
          <t>농림지역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70000</v>
      </c>
      <c r="G1284" s="4" t="n">
        <v>586</v>
      </c>
      <c r="H1284" s="4" t="n">
        <v>177</v>
      </c>
      <c r="I1284" s="5" t="n">
        <v>395.5</v>
      </c>
      <c r="J1284" s="5" t="n">
        <v>49.7</v>
      </c>
      <c r="K1284" s="3" t="inlineStr">
        <is>
          <t>두필지 매매 미래가치 보고 들어오는 공북리 핵심 토지</t>
        </is>
      </c>
      <c r="L1284" s="6">
        <f>HYPERLINK("https://fin.land.naver.com/articles/2646878581", "매물Link")</f>
        <v/>
      </c>
      <c r="M1284" s="6">
        <f>HYPERLINK("https://map.naver.com/p/search/오송읍 공북리 474", "지도Link")</f>
        <v/>
      </c>
      <c r="N1284" s="6">
        <f>HYPERLINK("https://www.eum.go.kr/web/mp/mpMapDet.jsp?pnu=4311325023104740000&amp;isNoScr=script&amp;mode=search", "토지이음")</f>
        <v/>
      </c>
      <c r="O1284" s="3" t="inlineStr">
        <is>
          <t>우영</t>
        </is>
      </c>
      <c r="P1284" s="4" t="n">
        <v>1</v>
      </c>
      <c r="Q1284" s="4" t="n">
        <v>293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568-28</t>
        </is>
      </c>
      <c r="B1285" s="3" t="inlineStr">
        <is>
          <t>계획관리지역</t>
        </is>
      </c>
      <c r="C1285" s="3" t="inlineStr">
        <is>
          <t>잡종지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바로옆,옥산IC인근,전체 계획관리지역,공장 창고 추천</t>
        </is>
      </c>
      <c r="L1285" s="6">
        <f>HYPERLINK("https://fin.land.naver.com/articles/2648182036", "매물Link")</f>
        <v/>
      </c>
      <c r="M1285" s="6">
        <f>HYPERLINK("https://map.naver.com/p/search/오송읍 공북리 568-28", "지도Link")</f>
        <v/>
      </c>
      <c r="N1285" s="6">
        <f>HYPERLINK("https://www.eum.go.kr/web/mp/mpMapDet.jsp?pnu=4311325023105680028&amp;isNoScr=script&amp;mode=search", "토지이음")</f>
        <v/>
      </c>
      <c r="O1285" s="3" t="inlineStr">
        <is>
          <t>(주)미르</t>
        </is>
      </c>
      <c r="P1285" s="4" t="n">
        <v>1</v>
      </c>
      <c r="Q1285" s="4" t="n">
        <v>79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공북리 568-30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220000</v>
      </c>
      <c r="G1286" s="4" t="n">
        <v>2707</v>
      </c>
      <c r="H1286" s="4" t="n">
        <v>819</v>
      </c>
      <c r="I1286" s="5" t="n">
        <v>268.6</v>
      </c>
      <c r="J1286" s="5" t="n">
        <v>72.2</v>
      </c>
      <c r="K1286" s="3" t="inlineStr">
        <is>
          <t>오송생명과학단지 , 오송 화장품산업단지 인근 공장 창고 추천</t>
        </is>
      </c>
      <c r="L1286" s="6">
        <f>HYPERLINK("https://fin.land.naver.com/articles/2646993084", "매물Link")</f>
        <v/>
      </c>
      <c r="M1286" s="6">
        <f>HYPERLINK("https://map.naver.com/p/search/오송읍 공북리 568-30", "지도Link")</f>
        <v/>
      </c>
      <c r="N1286" s="6">
        <f>HYPERLINK("https://www.eum.go.kr/web/mp/mpMapDet.jsp?pnu=4311325023105680030&amp;isNoScr=script&amp;mode=search", "토지이음")</f>
        <v/>
      </c>
      <c r="O1286" s="3" t="inlineStr">
        <is>
          <t>더원</t>
        </is>
      </c>
      <c r="P1286" s="4" t="n">
        <v>1</v>
      </c>
      <c r="Q1286" s="4" t="n">
        <v>144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639-1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20600</v>
      </c>
      <c r="G1287" s="4" t="n">
        <v>975</v>
      </c>
      <c r="H1287" s="4" t="n">
        <v>295</v>
      </c>
      <c r="I1287" s="5" t="n">
        <v>69.8</v>
      </c>
      <c r="J1287" s="5" t="n">
        <v>21.6</v>
      </c>
      <c r="K1287" s="3" t="inlineStr">
        <is>
          <t>오송역 오송철도클러스터단지인근토지 수도 전기 화장실 컨테이너 설치</t>
        </is>
      </c>
      <c r="L1287" s="6">
        <f>HYPERLINK("https://fin.land.naver.com/articles/2648195920", "매물Link")</f>
        <v/>
      </c>
      <c r="M1287" s="6">
        <f>HYPERLINK("https://map.naver.com/p/search/오송읍 공북리 639-1", "지도Link")</f>
        <v/>
      </c>
      <c r="N1287" s="6">
        <f>HYPERLINK("https://www.eum.go.kr/web/mp/mpMapDet.jsp?pnu=4311325023106390001&amp;isNoScr=script&amp;mode=search", "토지이음")</f>
        <v/>
      </c>
      <c r="O1287" s="3" t="inlineStr">
        <is>
          <t>아임</t>
        </is>
      </c>
      <c r="P1287" s="4" t="n">
        <v>2</v>
      </c>
      <c r="Q1287" s="4" t="n">
        <v>975</v>
      </c>
      <c r="R1287" s="3" t="inlineStr">
        <is>
          <t>생산관리지역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공북리 산 52-7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190000</v>
      </c>
      <c r="G1288" s="4" t="n">
        <v>39425</v>
      </c>
      <c r="H1288" s="4" t="n">
        <v>11926</v>
      </c>
      <c r="I1288" s="5" t="n">
        <v>15.9</v>
      </c>
      <c r="J1288" s="5" t="n">
        <v>3.1</v>
      </c>
      <c r="K1288" s="3" t="inlineStr">
        <is>
          <t>카폐,전원주택 개발 가능여지 있음</t>
        </is>
      </c>
      <c r="L1288" s="6">
        <f>HYPERLINK("https://fin.land.naver.com/articles/2648226259", "매물Link")</f>
        <v/>
      </c>
      <c r="M1288" s="6">
        <f>HYPERLINK("https://map.naver.com/p/search/오송읍 공북리 산 52-7", "지도Link")</f>
        <v/>
      </c>
      <c r="N1288" s="6">
        <f>HYPERLINK("https://www.eum.go.kr/web/mp/mpMapDet.jsp?pnu=4311325023200520007&amp;isNoScr=script&amp;mode=search", "토지이음")</f>
        <v/>
      </c>
      <c r="O1288" s="3" t="inlineStr">
        <is>
          <t>조은</t>
        </is>
      </c>
      <c r="P1288" s="4" t="n">
        <v>1</v>
      </c>
      <c r="Q1288" s="4" t="n">
        <v>2791</v>
      </c>
      <c r="R1288" s="3" t="inlineStr">
        <is>
          <t>지정되지않음</t>
        </is>
      </c>
      <c r="S1288" s="3" t="inlineStr">
        <is>
          <t>조림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오송읍 궁평리 121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90000</v>
      </c>
      <c r="G1289" s="4" t="n">
        <v>2265</v>
      </c>
      <c r="H1289" s="4" t="n">
        <v>685</v>
      </c>
      <c r="I1289" s="5" t="n">
        <v>131.4</v>
      </c>
      <c r="J1289" s="5" t="n">
        <v>35.7</v>
      </c>
      <c r="K1289" s="3" t="inlineStr">
        <is>
          <t>1산단 남측 포장도로접한 하우스 농지</t>
        </is>
      </c>
      <c r="L1289" s="6">
        <f>HYPERLINK("https://fin.land.naver.com/articles/2649950672", "매물Link")</f>
        <v/>
      </c>
      <c r="M1289" s="6">
        <f>HYPERLINK("https://map.naver.com/p/search/오송읍 궁평리 121", "지도Link")</f>
        <v/>
      </c>
      <c r="N1289" s="6">
        <f>HYPERLINK("https://www.eum.go.kr/web/mp/mpMapDet.jsp?pnu=4311325027101210000&amp;isNoScr=script&amp;mode=search",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2265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204-8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95000</v>
      </c>
      <c r="G1290" s="4" t="n">
        <v>2036</v>
      </c>
      <c r="H1290" s="4" t="n">
        <v>616</v>
      </c>
      <c r="I1290" s="5" t="n">
        <v>154.2</v>
      </c>
      <c r="J1290" s="5" t="n">
        <v>27.4</v>
      </c>
      <c r="K1290" s="3" t="inlineStr">
        <is>
          <t>오송읍 투자가치 높은 토지 매매</t>
        </is>
      </c>
      <c r="L1290" s="6">
        <f>HYPERLINK("https://fin.land.naver.com/articles/2647596088", "매물Link")</f>
        <v/>
      </c>
      <c r="M1290" s="6">
        <f>HYPERLINK("https://map.naver.com/p/search/오송읍 궁평리 204-8", "지도Link")</f>
        <v/>
      </c>
      <c r="N1290" s="6">
        <f>HYPERLINK("https://www.eum.go.kr/web/mp/mpMapDet.jsp?pnu=4311325027102040008&amp;isNoScr=script&amp;mode=search",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2036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213-3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47500</v>
      </c>
      <c r="G1291" s="4" t="n">
        <v>2093</v>
      </c>
      <c r="H1291" s="4" t="n">
        <v>633</v>
      </c>
      <c r="I1291" s="5" t="n">
        <v>75</v>
      </c>
      <c r="J1291" s="5" t="n">
        <v>30</v>
      </c>
      <c r="K1291" s="3" t="inlineStr">
        <is>
          <t>nan</t>
        </is>
      </c>
      <c r="L1291" s="6">
        <f>HYPERLINK("https://fin.land.naver.com/articles/2650456829", "매물Link")</f>
        <v/>
      </c>
      <c r="M1291" s="6">
        <f>HYPERLINK("https://map.naver.com/p/search/오송읍 궁평리 213-3", "지도Link")</f>
        <v/>
      </c>
      <c r="N1291" s="6">
        <f>HYPERLINK("https://www.eum.go.kr/web/mp/mpMapDet.jsp?pnu=4311325027102130003&amp;isNoScr=script&amp;mode=search", "토지이음")</f>
        <v/>
      </c>
      <c r="O1291" s="3" t="inlineStr">
        <is>
          <t>OK파라곤</t>
        </is>
      </c>
      <c r="P1291" s="4" t="n">
        <v>1</v>
      </c>
      <c r="Q1291" s="4" t="n">
        <v>2093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궁평리 216-6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90700</v>
      </c>
      <c r="G1292" s="4" t="n">
        <v>3740</v>
      </c>
      <c r="H1292" s="4" t="n">
        <v>1131</v>
      </c>
      <c r="I1292" s="5" t="n">
        <v>80.2</v>
      </c>
      <c r="J1292" s="5" t="n">
        <v>27</v>
      </c>
      <c r="K1292" s="3" t="inlineStr">
        <is>
          <t>궁평리 청주오스코 인근</t>
        </is>
      </c>
      <c r="L1292" s="6">
        <f>HYPERLINK("https://fin.land.naver.com/articles/2647428893", "매물Link")</f>
        <v/>
      </c>
      <c r="M1292" s="6">
        <f>HYPERLINK("https://map.naver.com/p/search/오송읍 궁평리 216-6", "지도Link")</f>
        <v/>
      </c>
      <c r="N1292" s="6">
        <f>HYPERLINK("https://www.eum.go.kr/web/mp/mpMapDet.jsp?pnu=4311325027102160006&amp;isNoScr=script&amp;mode=search", "토지이음")</f>
        <v/>
      </c>
      <c r="O1292" s="3" t="inlineStr">
        <is>
          <t>수풀림</t>
        </is>
      </c>
      <c r="P1292" s="4" t="n">
        <v>2</v>
      </c>
      <c r="Q1292" s="4" t="n">
        <v>3743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오송읍 궁평리 217-1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53500</v>
      </c>
      <c r="G1293" s="4" t="n">
        <v>2356</v>
      </c>
      <c r="H1293" s="4" t="n">
        <v>713</v>
      </c>
      <c r="I1293" s="5" t="n">
        <v>75</v>
      </c>
      <c r="J1293" s="5" t="n">
        <v>27</v>
      </c>
      <c r="K1293" s="3" t="inlineStr">
        <is>
          <t>오스코 인근, 영농에 종사하면서 지가 상승 기대되는 농지 투자</t>
        </is>
      </c>
      <c r="L1293" s="6">
        <f>HYPERLINK("https://fin.land.naver.com/articles/2648152740", "매물Link")</f>
        <v/>
      </c>
      <c r="M1293" s="6">
        <f>HYPERLINK("https://map.naver.com/p/search/오송읍 궁평리 217-1", "지도Link")</f>
        <v/>
      </c>
      <c r="N1293" s="6">
        <f>HYPERLINK("https://www.eum.go.kr/web/mp/mpMapDet.jsp?pnu=4311325027102170001&amp;isNoScr=script&amp;mode=search", "토지이음")</f>
        <v/>
      </c>
      <c r="O1293" s="3" t="inlineStr">
        <is>
          <t>제이</t>
        </is>
      </c>
      <c r="P1293" s="4" t="n">
        <v>1</v>
      </c>
      <c r="Q1293" s="4" t="n">
        <v>2356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궁평리 234-6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136000</v>
      </c>
      <c r="G1294" s="4" t="n">
        <v>3003</v>
      </c>
      <c r="H1294" s="4" t="n">
        <v>908</v>
      </c>
      <c r="I1294" s="5" t="n">
        <v>149.8</v>
      </c>
      <c r="J1294" s="5" t="n">
        <v>37.1</v>
      </c>
      <c r="K1294" s="3" t="inlineStr">
        <is>
          <t>매물특징</t>
        </is>
      </c>
      <c r="L1294" s="6">
        <f>HYPERLINK("https://fin.land.naver.com/articles/2648780208", "매물Link")</f>
        <v/>
      </c>
      <c r="M1294" s="6">
        <f>HYPERLINK("https://map.naver.com/p/search/오송읍 궁평리 234-6", "지도Link")</f>
        <v/>
      </c>
      <c r="N1294" s="6">
        <f>HYPERLINK("https://www.eum.go.kr/web/mp/mpMapDet.jsp?pnu=4311325027102340006&amp;isNoScr=script&amp;mode=search", "토지이음")</f>
        <v/>
      </c>
      <c r="O1294" s="3" t="inlineStr">
        <is>
          <t>오송궁평마을</t>
        </is>
      </c>
      <c r="P1294" s="4" t="n">
        <v>1</v>
      </c>
      <c r="Q1294" s="4" t="n">
        <v>3003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궁평리 252-9</t>
        </is>
      </c>
      <c r="B1295" s="3" t="inlineStr">
        <is>
          <t>농림지역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160000</v>
      </c>
      <c r="G1295" s="4" t="n">
        <v>2951</v>
      </c>
      <c r="H1295" s="4" t="n">
        <v>893</v>
      </c>
      <c r="I1295" s="5" t="n">
        <v>179.2</v>
      </c>
      <c r="J1295" s="5" t="n">
        <v>63</v>
      </c>
      <c r="K1295" s="3" t="inlineStr">
        <is>
          <t>오송 2역세권 ,환지 예정지</t>
        </is>
      </c>
      <c r="L1295" s="6">
        <f>HYPERLINK("https://fin.land.naver.com/articles/2646725924", "매물Link")</f>
        <v/>
      </c>
      <c r="M1295" s="6">
        <f>HYPERLINK("https://map.naver.com/p/search/오송읍 궁평리 252-9", "지도Link")</f>
        <v/>
      </c>
      <c r="N1295" s="6">
        <f>HYPERLINK("https://www.eum.go.kr/web/mp/mpMapDet.jsp?pnu=4311325027102520009&amp;isNoScr=script&amp;mode=search", "토지이음")</f>
        <v/>
      </c>
      <c r="O1295" s="3" t="inlineStr">
        <is>
          <t>오송타운</t>
        </is>
      </c>
      <c r="P1295" s="4" t="n">
        <v>1</v>
      </c>
      <c r="Q1295" s="4" t="n">
        <v>1874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중로한면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HYPERLINK("https://www.eum.go.kr/web/mp/mpMapDet.jsp?pnu=4311325027102590014&amp;isNoScr=script&amp;mode=search",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259-14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80000</v>
      </c>
      <c r="G1297" s="4" t="n">
        <v>1144</v>
      </c>
      <c r="H1297" s="4" t="n">
        <v>346</v>
      </c>
      <c r="I1297" s="5" t="n">
        <v>231.2</v>
      </c>
      <c r="J1297" s="5" t="n">
        <v>93.90000000000001</v>
      </c>
      <c r="K1297" s="3" t="inlineStr">
        <is>
          <t>오송역 및 오스코 600m, 6차선 지하차도 예정지에 인접한 계획관리토지</t>
        </is>
      </c>
      <c r="L1297" s="6">
        <f>HYPERLINK("https://fin.land.naver.com/articles/2648087819", "매물Link")</f>
        <v/>
      </c>
      <c r="M1297" s="6">
        <f>HYPERLINK("https://map.naver.com/p/search/오송읍 궁평리 259-14", "지도Link")</f>
        <v/>
      </c>
      <c r="N1297" s="6">
        <f>HYPERLINK("https://www.eum.go.kr/web/mp/mpMapDet.jsp?pnu=4311325027102590014&amp;isNoScr=script&amp;mode=search", "토지이음")</f>
        <v/>
      </c>
      <c r="O1297" s="3" t="inlineStr">
        <is>
          <t>오송3산단  사무소</t>
        </is>
      </c>
      <c r="P1297" s="4" t="n">
        <v>1</v>
      </c>
      <c r="Q1297" s="4" t="n">
        <v>1144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80000</v>
      </c>
      <c r="G1298" s="4" t="n">
        <v>573</v>
      </c>
      <c r="H1298" s="4" t="n">
        <v>173</v>
      </c>
      <c r="I1298" s="5" t="n">
        <v>462.4</v>
      </c>
      <c r="J1298" s="5" t="n">
        <v>161.2</v>
      </c>
      <c r="K1298" s="3" t="inlineStr">
        <is>
          <t>173땅 오송역세권 미래투자가치우수한 토지</t>
        </is>
      </c>
      <c r="L1298" s="6">
        <f>HYPERLINK("https://fin.land.naver.com/articles/2648360295", "매물Link")</f>
        <v/>
      </c>
      <c r="M1298" s="6">
        <f>HYPERLINK("https://map.naver.com/p/search/오송읍 궁평리 272-3", "지도Link")</f>
        <v/>
      </c>
      <c r="N1298" s="6">
        <f>HYPERLINK("https://www.eum.go.kr/web/mp/mpMapDet.jsp?pnu=4311325027102720003&amp;isNoScr=script&amp;mode=search",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272-3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85000</v>
      </c>
      <c r="G1299" s="4" t="n">
        <v>573</v>
      </c>
      <c r="H1299" s="4" t="n">
        <v>173</v>
      </c>
      <c r="I1299" s="5" t="n">
        <v>491.3</v>
      </c>
      <c r="J1299" s="5" t="n">
        <v>161.2</v>
      </c>
      <c r="K1299" s="3" t="inlineStr">
        <is>
          <t>오송역에서 가까운 궁평리에 위치한 토지임</t>
        </is>
      </c>
      <c r="L1299" s="6">
        <f>HYPERLINK("https://fin.land.naver.com/articles/2644694447", "매물Link")</f>
        <v/>
      </c>
      <c r="M1299" s="6">
        <f>HYPERLINK("https://map.naver.com/p/search/오송읍 궁평리 272-3", "지도Link")</f>
        <v/>
      </c>
      <c r="N1299" s="6">
        <f>HYPERLINK("https://www.eum.go.kr/web/mp/mpMapDet.jsp?pnu=4311325027102720003&amp;isNoScr=script&amp;mode=search", "토지이음")</f>
        <v/>
      </c>
      <c r="O1299" s="3" t="inlineStr">
        <is>
          <t>산성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오송읍 궁평리 278-1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227000</v>
      </c>
      <c r="G1300" s="4" t="n">
        <v>4076</v>
      </c>
      <c r="H1300" s="4" t="n">
        <v>1233</v>
      </c>
      <c r="I1300" s="5" t="n">
        <v>184.1</v>
      </c>
      <c r="J1300" s="5" t="n">
        <v>46.8</v>
      </c>
      <c r="K1300" s="3" t="inlineStr">
        <is>
          <t>매물특징</t>
        </is>
      </c>
      <c r="L1300" s="6">
        <f>HYPERLINK("https://fin.land.naver.com/articles/2648556391", "매물Link")</f>
        <v/>
      </c>
      <c r="M1300" s="6">
        <f>HYPERLINK("https://map.naver.com/p/search/오송읍 궁평리 278-1", "지도Link")</f>
        <v/>
      </c>
      <c r="N1300" s="6">
        <f>HYPERLINK("https://www.eum.go.kr/web/mp/mpMapDet.jsp?pnu=4311325027102780001&amp;isNoScr=script&amp;mode=search", "토지이음")</f>
        <v/>
      </c>
      <c r="O1300" s="3" t="inlineStr">
        <is>
          <t>오송궁평마을</t>
        </is>
      </c>
      <c r="P1300" s="4" t="n">
        <v>1</v>
      </c>
      <c r="Q1300" s="4" t="n">
        <v>4076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세로한면(불)</t>
        </is>
      </c>
    </row>
    <row r="1301">
      <c r="A1301" s="3" t="inlineStr">
        <is>
          <t>오송읍 궁평리 296-3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150000</v>
      </c>
      <c r="G1301" s="4" t="n">
        <v>3967</v>
      </c>
      <c r="H1301" s="4" t="n">
        <v>1200</v>
      </c>
      <c r="I1301" s="5" t="n">
        <v>125</v>
      </c>
      <c r="J1301" s="5" t="n">
        <v>53.7</v>
      </c>
      <c r="K1301" s="3" t="inlineStr">
        <is>
          <t>오송역 인근 장래개발 호재지역 투자용 대토용 조경업 농림관련산업</t>
        </is>
      </c>
      <c r="L1301" s="6">
        <f>HYPERLINK("https://fin.land.naver.com/articles/2646263708", "매물Link")</f>
        <v/>
      </c>
      <c r="M1301" s="6">
        <f>HYPERLINK("https://map.naver.com/p/search/오송읍 궁평리 296-3", "지도Link")</f>
        <v/>
      </c>
      <c r="N1301" s="6">
        <f>HYPERLINK("https://www.eum.go.kr/web/mp/mpMapDet.jsp?pnu=4311325027102960003&amp;isNoScr=script&amp;mode=search", "토지이음")</f>
        <v/>
      </c>
      <c r="O1301" s="3" t="inlineStr">
        <is>
          <t>재일합동사무소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궁평리 303-1</t>
        </is>
      </c>
      <c r="B1302" s="3" t="inlineStr">
        <is>
          <t>농림지역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105000</v>
      </c>
      <c r="G1302" s="4" t="n">
        <v>1523</v>
      </c>
      <c r="H1302" s="4" t="n">
        <v>461</v>
      </c>
      <c r="I1302" s="5" t="n">
        <v>227.8</v>
      </c>
      <c r="J1302" s="5" t="n">
        <v>63</v>
      </c>
      <c r="K1302" s="3" t="inlineStr">
        <is>
          <t>도로 접한 과수원 부지 매도 오송역 인근 장래 개발 호재 지역</t>
        </is>
      </c>
      <c r="L1302" s="6">
        <f>HYPERLINK("https://fin.land.naver.com/articles/2649497254", "매물Link")</f>
        <v/>
      </c>
      <c r="M1302" s="6">
        <f>HYPERLINK("https://map.naver.com/p/search/오송읍 궁평리 303-1", "지도Link")</f>
        <v/>
      </c>
      <c r="N1302" s="6">
        <f>HYPERLINK("https://www.eum.go.kr/web/mp/mpMapDet.jsp?pnu=4311325027103030001&amp;isNoScr=script&amp;mode=search",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1523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중로한면</t>
        </is>
      </c>
    </row>
    <row r="1303">
      <c r="A1303" s="3" t="inlineStr">
        <is>
          <t>오송읍 궁평리 61-6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40000</v>
      </c>
      <c r="G1303" s="4" t="n">
        <v>347</v>
      </c>
      <c r="H1303" s="4" t="n">
        <v>105</v>
      </c>
      <c r="I1303" s="5" t="n">
        <v>381</v>
      </c>
      <c r="J1303" s="5" t="n">
        <v>103.6</v>
      </c>
      <c r="K1303" s="3" t="inlineStr">
        <is>
          <t>궁평리 전원주택 지을 토지 매매.</t>
        </is>
      </c>
      <c r="L1303" s="6">
        <f>HYPERLINK("https://fin.land.naver.com/articles/2646658318", "매물Link")</f>
        <v/>
      </c>
      <c r="M1303" s="6">
        <f>HYPERLINK("https://map.naver.com/p/search/오송읍 궁평리 61-6", "지도Link")</f>
        <v/>
      </c>
      <c r="N1303" s="6">
        <f>HYPERLINK("https://www.eum.go.kr/web/mp/mpMapDet.jsp?pnu=4311325027100610006&amp;isNoScr=script&amp;mode=search", "토지이음")</f>
        <v/>
      </c>
      <c r="O1303" s="3" t="inlineStr">
        <is>
          <t>대한민국</t>
        </is>
      </c>
      <c r="P1303" s="4" t="n">
        <v>1</v>
      </c>
      <c r="Q1303" s="4" t="n">
        <v>347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궁평리 75-1</t>
        </is>
      </c>
      <c r="B1304" s="3" t="inlineStr">
        <is>
          <t>농림지역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31700</v>
      </c>
      <c r="G1304" s="4" t="n">
        <v>614</v>
      </c>
      <c r="H1304" s="4" t="n">
        <v>186</v>
      </c>
      <c r="I1304" s="5" t="n">
        <v>170.4</v>
      </c>
      <c r="J1304" s="5" t="n">
        <v>37.1</v>
      </c>
      <c r="K1304" s="3" t="inlineStr">
        <is>
          <t>투자가치로 적극 추천하는 궁평리 중심 토지</t>
        </is>
      </c>
      <c r="L1304" s="6">
        <f>HYPERLINK("https://fin.land.naver.com/articles/2644428200", "매물Link")</f>
        <v/>
      </c>
      <c r="M1304" s="6">
        <f>HYPERLINK("https://map.naver.com/p/search/오송읍 궁평리 75-1", "지도Link")</f>
        <v/>
      </c>
      <c r="N1304" s="6">
        <f>HYPERLINK("https://www.eum.go.kr/web/mp/mpMapDet.jsp?pnu=4311325027100750001&amp;isNoScr=script&amp;mode=search", "토지이음")</f>
        <v/>
      </c>
      <c r="O1304" s="3" t="inlineStr">
        <is>
          <t>국제</t>
        </is>
      </c>
      <c r="P1304" s="4" t="n">
        <v>1</v>
      </c>
      <c r="Q1304" s="4" t="n">
        <v>3078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세로각지(가)</t>
        </is>
      </c>
    </row>
    <row r="1305">
      <c r="A1305" s="3" t="inlineStr">
        <is>
          <t>오송읍 동평리 151-5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</v>
      </c>
      <c r="G1305" s="4" t="n">
        <v>271</v>
      </c>
      <c r="H1305" s="4" t="n">
        <v>82</v>
      </c>
      <c r="I1305" s="5" t="n">
        <v>280.5</v>
      </c>
      <c r="J1305" s="5" t="n">
        <v>104.2</v>
      </c>
      <c r="K1305" s="3" t="inlineStr">
        <is>
          <t>국가산단 수용지에 연접한 계획관리 대지, 착한가격의 투자매물</t>
        </is>
      </c>
      <c r="L1305" s="6">
        <f>HYPERLINK("https://fin.land.naver.com/articles/2648088196", "매물Link")</f>
        <v/>
      </c>
      <c r="M1305" s="6">
        <f>HYPERLINK("https://map.naver.com/p/search/오송읍 동평리 151-5", "지도Link")</f>
        <v/>
      </c>
      <c r="N1305" s="6">
        <f>HYPERLINK("https://www.eum.go.kr/web/mp/mpMapDet.jsp?pnu=4311325029101510005&amp;isNoScr=script&amp;mode=search",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오송읍 동평리 381-13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2070</v>
      </c>
      <c r="H1306" s="4" t="n">
        <v>626</v>
      </c>
      <c r="I1306" s="5" t="n">
        <v>57.5</v>
      </c>
      <c r="J1306" s="5" t="n">
        <v>26.6</v>
      </c>
      <c r="K1306" s="3" t="inlineStr">
        <is>
          <t>오송3산단 수용지에 인접한 추가수용 유력토지, 착한가격의 투자용 매물</t>
        </is>
      </c>
      <c r="L1306" s="6">
        <f>HYPERLINK("https://fin.land.naver.com/articles/2648084687", "매물Link")</f>
        <v/>
      </c>
      <c r="M1306" s="6">
        <f>HYPERLINK("https://map.naver.com/p/search/오송읍 동평리 381-13", "지도Link")</f>
        <v/>
      </c>
      <c r="N1306" s="6">
        <f>HYPERLINK("https://www.eum.go.kr/web/mp/mpMapDet.jsp?pnu=4311325029103810013&amp;isNoScr=script&amp;mode=search",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1769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세로한면(불)</t>
        </is>
      </c>
    </row>
    <row r="1307">
      <c r="A1307" s="3" t="inlineStr">
        <is>
          <t>오송읍 동평리 95-1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196</v>
      </c>
      <c r="H1307" s="4" t="n">
        <v>59</v>
      </c>
      <c r="I1307" s="5" t="n">
        <v>678</v>
      </c>
      <c r="J1307" s="5" t="n">
        <v>109.4</v>
      </c>
      <c r="K1307" s="3" t="inlineStr">
        <is>
          <t>청주시 흥덕구 오송읍 동평리에 위치한 토지및 근린생활시설임.</t>
        </is>
      </c>
      <c r="L1307" s="6">
        <f>HYPERLINK("https://fin.land.naver.com/articles/2644688747", "매물Link")</f>
        <v/>
      </c>
      <c r="M1307" s="6">
        <f>HYPERLINK("https://map.naver.com/p/search/오송읍 동평리 95-1", "지도Link")</f>
        <v/>
      </c>
      <c r="N1307" s="6">
        <f>HYPERLINK("https://www.eum.go.kr/web/mp/mpMapDet.jsp?pnu=4311325029100950001&amp;isNoScr=script&amp;mode=search", "토지이음")</f>
        <v/>
      </c>
      <c r="O1307" s="3" t="inlineStr">
        <is>
          <t>산성</t>
        </is>
      </c>
      <c r="P1307" s="4" t="n">
        <v>1</v>
      </c>
      <c r="Q1307" s="4" t="n">
        <v>184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오송읍 만수리 272-3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36000</v>
      </c>
      <c r="G1308" s="4" t="n">
        <v>1183</v>
      </c>
      <c r="H1308" s="4" t="n">
        <v>358</v>
      </c>
      <c r="I1308" s="5" t="n">
        <v>100.6</v>
      </c>
      <c r="J1308" s="5" t="n">
        <v>35.7</v>
      </c>
      <c r="K1308" s="3" t="inlineStr">
        <is>
          <t>농림지역 답 매도 오송 역세권 ktx  근접  투자 가치 뿜뿜</t>
        </is>
      </c>
      <c r="L1308" s="6">
        <f>HYPERLINK("https://fin.land.naver.com/articles/2648939038", "매물Link")</f>
        <v/>
      </c>
      <c r="M1308" s="6">
        <f>HYPERLINK("https://map.naver.com/p/search/오송읍 만수리 272-3", "지도Link")</f>
        <v/>
      </c>
      <c r="N1308" s="6">
        <f>HYPERLINK("https://www.eum.go.kr/web/mp/mpMapDet.jsp?pnu=4311325025102720003&amp;isNoScr=script&amp;mode=search",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1183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만수리 523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240000</v>
      </c>
      <c r="G1309" s="4" t="n">
        <v>590</v>
      </c>
      <c r="H1309" s="4" t="n">
        <v>178</v>
      </c>
      <c r="I1309" s="5" t="n">
        <v>1348.3</v>
      </c>
      <c r="J1309" s="5" t="n">
        <v>728.3</v>
      </c>
      <c r="K1309" s="3" t="inlineStr">
        <is>
          <t>nan</t>
        </is>
      </c>
      <c r="L1309" s="6">
        <f>HYPERLINK("https://fin.land.naver.com/articles/2646728610", "매물Link")</f>
        <v/>
      </c>
      <c r="M1309" s="6">
        <f>HYPERLINK("https://map.naver.com/p/search/오송읍 만수리 523", "지도Link")</f>
        <v/>
      </c>
      <c r="N1309" s="6">
        <f>HYPERLINK("https://www.eum.go.kr/web/mp/mpMapDet.jsp?pnu=4311325025105230000&amp;isNoScr=script&amp;mode=search",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590.2</v>
      </c>
      <c r="R1309" s="3" t="inlineStr">
        <is>
          <t>지정되지않음</t>
        </is>
      </c>
      <c r="S1309" s="3" t="inlineStr">
        <is>
          <t>상업용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만수리 704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70000</v>
      </c>
      <c r="G1310" s="4" t="n">
        <v>263</v>
      </c>
      <c r="H1310" s="4" t="n">
        <v>80</v>
      </c>
      <c r="I1310" s="5" t="n">
        <v>875</v>
      </c>
      <c r="J1310" s="5" t="n">
        <v>229.4</v>
      </c>
      <c r="K1310" s="3" t="inlineStr">
        <is>
          <t>오송역300m역세권   최적의단독주택용지   오송생명과학단지인근</t>
        </is>
      </c>
      <c r="L1310" s="6">
        <f>HYPERLINK("https://fin.land.naver.com/articles/2648270874", "매물Link")</f>
        <v/>
      </c>
      <c r="M1310" s="6">
        <f>HYPERLINK("https://map.naver.com/p/search/오송읍 만수리 704", "지도Link")</f>
        <v/>
      </c>
      <c r="N1310" s="6">
        <f>HYPERLINK("https://www.eum.go.kr/web/mp/mpMapDet.jsp?pnu=4311325025107040000&amp;isNoScr=script&amp;mode=search", "토지이음")</f>
        <v/>
      </c>
      <c r="O1310" s="3" t="inlineStr">
        <is>
          <t>연세</t>
        </is>
      </c>
      <c r="P1310" s="4" t="n">
        <v>1</v>
      </c>
      <c r="Q1310" s="4" t="n">
        <v>263.6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소로한면</t>
        </is>
      </c>
    </row>
    <row r="1311">
      <c r="A1311" s="3" t="inlineStr">
        <is>
          <t>오송읍 만수리 794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66000</v>
      </c>
      <c r="G1311" s="4" t="n">
        <v>352</v>
      </c>
      <c r="H1311" s="4" t="n">
        <v>106</v>
      </c>
      <c r="I1311" s="5" t="n">
        <v>622.6</v>
      </c>
      <c r="J1311" s="5" t="n">
        <v>241.8</v>
      </c>
      <c r="K1311" s="3" t="inlineStr">
        <is>
          <t>오송역근접300m거리, 완성된 계획도시에 하나 남은 코너 건부지</t>
        </is>
      </c>
      <c r="L1311" s="6">
        <f>HYPERLINK("https://fin.land.naver.com/articles/2647846334", "매물Link")</f>
        <v/>
      </c>
      <c r="M1311" s="6">
        <f>HYPERLINK("https://map.naver.com/p/search/오송읍 만수리 794", "지도Link")</f>
        <v/>
      </c>
      <c r="N1311" s="6">
        <f>HYPERLINK("https://www.eum.go.kr/web/mp/mpMapDet.jsp?pnu=4311325025107940000&amp;isNoScr=script&amp;mode=search", "토지이음")</f>
        <v/>
      </c>
      <c r="O1311" s="3" t="inlineStr">
        <is>
          <t>청주더존</t>
        </is>
      </c>
      <c r="P1311" s="4" t="n">
        <v>1</v>
      </c>
      <c r="Q1311" s="4" t="n">
        <v>352.6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정방형</t>
        </is>
      </c>
      <c r="V1311" s="3" t="inlineStr">
        <is>
          <t>소로각지</t>
        </is>
      </c>
    </row>
    <row r="1312">
      <c r="A1312" s="3" t="inlineStr">
        <is>
          <t>오송읍 만수리 939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269</v>
      </c>
      <c r="H1312" s="4" t="n">
        <v>81</v>
      </c>
      <c r="I1312" s="5" t="n">
        <v>555.6</v>
      </c>
      <c r="J1312" s="5" t="n">
        <v>209.3</v>
      </c>
      <c r="K1312" s="3" t="inlineStr">
        <is>
          <t>대도로변 이면도로 위치 좋은 토지입니다</t>
        </is>
      </c>
      <c r="L1312" s="6">
        <f>HYPERLINK("https://fin.land.naver.com/articles/2650305364", "매물Link")</f>
        <v/>
      </c>
      <c r="M1312" s="6">
        <f>HYPERLINK("https://map.naver.com/p/search/오송읍 만수리 939", "지도Link")</f>
        <v/>
      </c>
      <c r="N1312" s="6">
        <f>HYPERLINK("https://www.eum.go.kr/web/mp/mpMapDet.jsp?pnu=4311325025109390000&amp;isNoScr=script&amp;mode=search", "토지이음")</f>
        <v/>
      </c>
      <c r="O1312" s="3" t="inlineStr">
        <is>
          <t>스케치</t>
        </is>
      </c>
      <c r="P1312" s="4" t="n">
        <v>1</v>
      </c>
      <c r="Q1312" s="4" t="n">
        <v>268.2</v>
      </c>
      <c r="R1312" s="3" t="inlineStr">
        <is>
          <t>자연녹지지역</t>
        </is>
      </c>
      <c r="S1312" s="3" t="inlineStr">
        <is>
          <t>주상나지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1124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45000</v>
      </c>
      <c r="G1313" s="4" t="n">
        <v>240</v>
      </c>
      <c r="H1313" s="4" t="n">
        <v>73</v>
      </c>
      <c r="I1313" s="5" t="n">
        <v>616.4</v>
      </c>
      <c r="J1313" s="5" t="n">
        <v>208.1</v>
      </c>
      <c r="K1313" s="3" t="inlineStr">
        <is>
          <t>가격조율 최대한 해볼게요 위치좋은 먹자골목 상권 토지</t>
        </is>
      </c>
      <c r="L1313" s="6">
        <f>HYPERLINK("https://fin.land.naver.com/articles/2646394067", "매물Link")</f>
        <v/>
      </c>
      <c r="M1313" s="6">
        <f>HYPERLINK("https://map.naver.com/p/search/오송읍 봉산리 1124", "지도Link")</f>
        <v/>
      </c>
      <c r="N1313" s="6">
        <f>HYPERLINK("https://www.eum.go.kr/web/mp/mpMapDet.jsp?pnu=4311325031111240000&amp;isNoScr=script&amp;mode=search", "토지이음")</f>
        <v/>
      </c>
      <c r="O1313" s="3" t="inlineStr">
        <is>
          <t>복덩이</t>
        </is>
      </c>
      <c r="P1313" s="4" t="n">
        <v>1</v>
      </c>
      <c r="Q1313" s="4" t="n">
        <v>240.6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1179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58000</v>
      </c>
      <c r="G1314" s="4" t="n">
        <v>270</v>
      </c>
      <c r="H1314" s="4" t="n">
        <v>82</v>
      </c>
      <c r="I1314" s="5" t="n">
        <v>707.3</v>
      </c>
      <c r="J1314" s="5" t="n">
        <v>206.3</v>
      </c>
      <c r="K1314" s="3" t="inlineStr">
        <is>
          <t>오송2단지 허가득 남향 상가건물 지을 수 있는 토지</t>
        </is>
      </c>
      <c r="L1314" s="6">
        <f>HYPERLINK("https://fin.land.naver.com/articles/2650461950", "매물Link")</f>
        <v/>
      </c>
      <c r="M1314" s="6">
        <f>HYPERLINK("https://map.naver.com/p/search/오송읍 봉산리 1179", "지도Link")</f>
        <v/>
      </c>
      <c r="N1314" s="6">
        <f>HYPERLINK("https://www.eum.go.kr/web/mp/mpMapDet.jsp?pnu=4311325031111790000&amp;isNoScr=script&amp;mode=search", "토지이음")</f>
        <v/>
      </c>
      <c r="O1314" s="3" t="inlineStr">
        <is>
          <t>세종오송</t>
        </is>
      </c>
      <c r="P1314" s="4" t="n">
        <v>1</v>
      </c>
      <c r="Q1314" s="4" t="n">
        <v>269.9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1208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50000</v>
      </c>
      <c r="G1315" s="4" t="n">
        <v>264</v>
      </c>
      <c r="H1315" s="4" t="n">
        <v>80</v>
      </c>
      <c r="I1315" s="5" t="n">
        <v>625</v>
      </c>
      <c r="J1315" s="5" t="n">
        <v>206.3</v>
      </c>
      <c r="K1315" s="3" t="inlineStr">
        <is>
          <t>nan</t>
        </is>
      </c>
      <c r="L1315" s="6">
        <f>HYPERLINK("https://fin.land.naver.com/articles/2650507610", "매물Link")</f>
        <v/>
      </c>
      <c r="M1315" s="6">
        <f>HYPERLINK("https://map.naver.com/p/search/오송읍 봉산리 1208", "지도Link")</f>
        <v/>
      </c>
      <c r="N1315" s="6">
        <f>HYPERLINK("https://www.eum.go.kr/web/mp/mpMapDet.jsp?pnu=4311325031112080000&amp;isNoScr=script&amp;mode=search", "토지이음")</f>
        <v/>
      </c>
      <c r="O1315" s="3" t="inlineStr">
        <is>
          <t>아임</t>
        </is>
      </c>
      <c r="P1315" s="4" t="n">
        <v>1</v>
      </c>
      <c r="Q1315" s="4" t="n">
        <v>264.6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1209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264</v>
      </c>
      <c r="H1316" s="4" t="n">
        <v>80</v>
      </c>
      <c r="I1316" s="5" t="n">
        <v>750</v>
      </c>
      <c r="J1316" s="5" t="n">
        <v>206.3</v>
      </c>
      <c r="K1316" s="3" t="inlineStr">
        <is>
          <t>오송 2산업단지 준주거지역과 접해있고 상업지역과도 50m정도 떨어져 있음</t>
        </is>
      </c>
      <c r="L1316" s="6">
        <f>HYPERLINK("https://fin.land.naver.com/articles/2650022122", "매물Link")</f>
        <v/>
      </c>
      <c r="M1316" s="6">
        <f>HYPERLINK("https://map.naver.com/p/search/오송읍 봉산리 1209", "지도Link")</f>
        <v/>
      </c>
      <c r="N1316" s="6">
        <f>HYPERLINK("https://www.eum.go.kr/web/mp/mpMapDet.jsp?pnu=4311325031112090000&amp;isNoScr=script&amp;mode=search", "토지이음")</f>
        <v/>
      </c>
      <c r="O1316" s="3" t="inlineStr">
        <is>
          <t>스마일세종</t>
        </is>
      </c>
      <c r="P1316" s="4" t="n">
        <v>1</v>
      </c>
      <c r="Q1316" s="4" t="n">
        <v>264.8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봉산리 1221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124630</v>
      </c>
      <c r="G1317" s="4" t="n">
        <v>412</v>
      </c>
      <c r="H1317" s="4" t="n">
        <v>125</v>
      </c>
      <c r="I1317" s="5" t="n">
        <v>997</v>
      </c>
      <c r="J1317" s="5" t="n">
        <v>624.1</v>
      </c>
      <c r="K1317" s="3" t="inlineStr">
        <is>
          <t>오송2산단 준주거지역</t>
        </is>
      </c>
      <c r="L1317" s="6">
        <f>HYPERLINK("https://fin.land.naver.com/articles/2645321108", "매물Link")</f>
        <v/>
      </c>
      <c r="M1317" s="6">
        <f>HYPERLINK("https://map.naver.com/p/search/오송읍 봉산리 1221", "지도Link")</f>
        <v/>
      </c>
      <c r="N1317" s="6">
        <f>HYPERLINK("https://www.eum.go.kr/web/mp/mpMapDet.jsp?pnu=4311325031112210000&amp;isNoScr=script&amp;mode=search", "토지이음")</f>
        <v/>
      </c>
      <c r="O1317" s="3" t="inlineStr">
        <is>
          <t>365</t>
        </is>
      </c>
      <c r="P1317" s="4" t="n">
        <v>1</v>
      </c>
      <c r="Q1317" s="4" t="n">
        <v>412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1276</t>
        </is>
      </c>
      <c r="B1318" s="3" t="inlineStr">
        <is>
          <t>제1종일반주거지역</t>
        </is>
      </c>
      <c r="C1318" s="3" t="inlineStr">
        <is>
          <t>주차장</t>
        </is>
      </c>
      <c r="D1318" s="3" t="inlineStr">
        <is>
          <t>주차장</t>
        </is>
      </c>
      <c r="E1318" s="3" t="inlineStr">
        <is>
          <t>매매</t>
        </is>
      </c>
      <c r="F1318" s="4" t="n">
        <v>165000</v>
      </c>
      <c r="G1318" s="4" t="n">
        <v>1091</v>
      </c>
      <c r="H1318" s="4" t="n">
        <v>330</v>
      </c>
      <c r="I1318" s="5" t="n">
        <v>500</v>
      </c>
      <c r="J1318" s="5" t="n">
        <v>220.4</v>
      </c>
      <c r="K1318" s="3" t="inlineStr">
        <is>
          <t>오송역세권 주차장용지로 1층 상가, 2,3,4 층 주차타워 추천</t>
        </is>
      </c>
      <c r="L1318" s="6">
        <f>HYPERLINK("https://fin.land.naver.com/articles/2644595668", "매물Link")</f>
        <v/>
      </c>
      <c r="M1318" s="6">
        <f>HYPERLINK("https://map.naver.com/p/search/오송읍 봉산리 1276", "지도Link")</f>
        <v/>
      </c>
      <c r="N1318" s="6">
        <f>HYPERLINK("https://www.eum.go.kr/web/mp/mpMapDet.jsp?pnu=4311325031112760000&amp;isNoScr=script&amp;mode=search", "토지이음")</f>
        <v/>
      </c>
      <c r="O1318" s="3" t="inlineStr">
        <is>
          <t>우리</t>
        </is>
      </c>
      <c r="P1318" s="4" t="n">
        <v>2</v>
      </c>
      <c r="Q1318" s="4" t="n">
        <v>1091.4</v>
      </c>
      <c r="R1318" s="3" t="inlineStr">
        <is>
          <t>지정되지않음</t>
        </is>
      </c>
      <c r="S1318" s="3" t="inlineStr">
        <is>
          <t>주차장등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1283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62700</v>
      </c>
      <c r="G1319" s="4" t="n">
        <v>276</v>
      </c>
      <c r="H1319" s="4" t="n">
        <v>83</v>
      </c>
      <c r="I1319" s="5" t="n">
        <v>755.4</v>
      </c>
      <c r="J1319" s="5" t="n">
        <v>206.3</v>
      </c>
      <c r="K1319" s="3" t="inlineStr">
        <is>
          <t>오송2산업단지 준주거용지와 접한 상가주택지</t>
        </is>
      </c>
      <c r="L1319" s="6">
        <f>HYPERLINK("https://fin.land.naver.com/articles/2645387734", "매물Link")</f>
        <v/>
      </c>
      <c r="M1319" s="6">
        <f>HYPERLINK("https://map.naver.com/p/search/오송읍 봉산리 1283", "지도Link")</f>
        <v/>
      </c>
      <c r="N1319" s="6">
        <f>HYPERLINK("https://www.eum.go.kr/web/mp/mpMapDet.jsp?pnu=4311325031112830000&amp;isNoScr=script&amp;mode=search",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276.6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오송읍 봉산리 1293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169000</v>
      </c>
      <c r="G1320" s="4" t="n">
        <v>414</v>
      </c>
      <c r="H1320" s="4" t="n">
        <v>125</v>
      </c>
      <c r="I1320" s="5" t="n">
        <v>1352</v>
      </c>
      <c r="J1320" s="5" t="n">
        <v>624.1</v>
      </c>
      <c r="K1320" s="3" t="inlineStr">
        <is>
          <t>오송2산단으로 배후세력 2만여세대의 준주거지역 근생토지,대로변에 위치</t>
        </is>
      </c>
      <c r="L1320" s="6">
        <f>HYPERLINK("https://fin.land.naver.com/articles/2648188611", "매물Link")</f>
        <v/>
      </c>
      <c r="M1320" s="6">
        <f>HYPERLINK("https://map.naver.com/p/search/오송읍 봉산리 1293", "지도Link")</f>
        <v/>
      </c>
      <c r="N1320" s="6">
        <f>HYPERLINK("https://www.eum.go.kr/web/mp/mpMapDet.jsp?pnu=4311325031112930000&amp;isNoScr=script&amp;mode=search", "토지이음")</f>
        <v/>
      </c>
      <c r="O1320" s="3" t="inlineStr">
        <is>
          <t>(주)미르</t>
        </is>
      </c>
      <c r="P1320" s="4" t="n">
        <v>2</v>
      </c>
      <c r="Q1320" s="4" t="n">
        <v>413.5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1296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162000</v>
      </c>
      <c r="G1321" s="4" t="n">
        <v>411</v>
      </c>
      <c r="H1321" s="4" t="n">
        <v>124</v>
      </c>
      <c r="I1321" s="5" t="n">
        <v>1306.5</v>
      </c>
      <c r="J1321" s="5" t="n">
        <v>624.1</v>
      </c>
      <c r="K1321" s="3" t="inlineStr">
        <is>
          <t>오송역 인근 근생용지 매매, 평당 약 1300만원</t>
        </is>
      </c>
      <c r="L1321" s="6">
        <f>HYPERLINK("https://fin.land.naver.com/articles/2649842662", "매물Link")</f>
        <v/>
      </c>
      <c r="M1321" s="6">
        <f>HYPERLINK("https://map.naver.com/p/search/오송읍 봉산리 1296", "지도Link")</f>
        <v/>
      </c>
      <c r="N1321" s="6">
        <f>HYPERLINK("https://www.eum.go.kr/web/mp/mpMapDet.jsp?pnu=4311325031112960000&amp;isNoScr=script&amp;mode=search",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411.7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1297</t>
        </is>
      </c>
      <c r="B1322" s="3" t="inlineStr">
        <is>
          <t>준주거지역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190000</v>
      </c>
      <c r="G1322" s="4" t="n">
        <v>421</v>
      </c>
      <c r="H1322" s="4" t="n">
        <v>127</v>
      </c>
      <c r="I1322" s="5" t="n">
        <v>1496.1</v>
      </c>
      <c r="J1322" s="5" t="n">
        <v>624.1</v>
      </c>
      <c r="K1322" s="3" t="inlineStr">
        <is>
          <t>코너 근생용지 매매, 평당 약 1500만원</t>
        </is>
      </c>
      <c r="L1322" s="6">
        <f>HYPERLINK("https://fin.land.naver.com/articles/2649842980", "매물Link")</f>
        <v/>
      </c>
      <c r="M1322" s="6">
        <f>HYPERLINK("https://map.naver.com/p/search/오송읍 봉산리 1297", "지도Link")</f>
        <v/>
      </c>
      <c r="N1322" s="6">
        <f>HYPERLINK("https://www.eum.go.kr/web/mp/mpMapDet.jsp?pnu=4311325031112970000&amp;isNoScr=script&amp;mode=search", "토지이음")</f>
        <v/>
      </c>
      <c r="O1322" s="3" t="inlineStr">
        <is>
          <t>광장</t>
        </is>
      </c>
      <c r="P1322" s="4" t="n">
        <v>1</v>
      </c>
      <c r="Q1322" s="4" t="n">
        <v>421.4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1298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420000</v>
      </c>
      <c r="G1323" s="4" t="n">
        <v>1164</v>
      </c>
      <c r="H1323" s="4" t="n">
        <v>352</v>
      </c>
      <c r="I1323" s="5" t="n">
        <v>1193.2</v>
      </c>
      <c r="J1323" s="5" t="n">
        <v>585.5</v>
      </c>
      <c r="K1323" s="3" t="inlineStr">
        <is>
          <t>삼면코너각지,오송역주변</t>
        </is>
      </c>
      <c r="L1323" s="6">
        <f>HYPERLINK("https://fin.land.naver.com/articles/2650541290", "매물Link")</f>
        <v/>
      </c>
      <c r="M1323" s="6">
        <f>HYPERLINK("https://map.naver.com/p/search/오송읍 봉산리 1298", "지도Link")</f>
        <v/>
      </c>
      <c r="N1323" s="6">
        <f>HYPERLINK("https://www.eum.go.kr/web/mp/mpMapDet.jsp?pnu=4311325031112980000&amp;isNoScr=script&amp;mode=search", "토지이음")</f>
        <v/>
      </c>
      <c r="O1323" s="3" t="inlineStr">
        <is>
          <t>세종국제</t>
        </is>
      </c>
      <c r="P1323" s="4" t="n">
        <v>2</v>
      </c>
      <c r="Q1323" s="4" t="n">
        <v>1164.1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1301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456000</v>
      </c>
      <c r="G1324" s="4" t="n">
        <v>1115</v>
      </c>
      <c r="H1324" s="4" t="n">
        <v>337</v>
      </c>
      <c r="I1324" s="5" t="n">
        <v>1353.1</v>
      </c>
      <c r="J1324" s="5" t="n">
        <v>618.2</v>
      </c>
      <c r="K1324" s="3" t="inlineStr">
        <is>
          <t>연제 저수지 앞 상업용지 호텔 개발 추천부지</t>
        </is>
      </c>
      <c r="L1324" s="6">
        <f>HYPERLINK("https://fin.land.naver.com/articles/2648717612", "매물Link")</f>
        <v/>
      </c>
      <c r="M1324" s="6">
        <f>HYPERLINK("https://map.naver.com/p/search/오송읍 봉산리 1301", "지도Link")</f>
        <v/>
      </c>
      <c r="N1324" s="6">
        <f>HYPERLINK("https://www.eum.go.kr/web/mp/mpMapDet.jsp?pnu=4311325031113010000&amp;isNoScr=script&amp;mode=search", "토지이음")</f>
        <v/>
      </c>
      <c r="O1324" s="3" t="inlineStr">
        <is>
          <t>(주)마이다스역삼센터</t>
        </is>
      </c>
      <c r="P1324" s="4" t="n">
        <v>2</v>
      </c>
      <c r="Q1324" s="4" t="n">
        <v>1115.2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1321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466000</v>
      </c>
      <c r="G1325" s="4" t="n">
        <v>1541</v>
      </c>
      <c r="H1325" s="4" t="n">
        <v>466</v>
      </c>
      <c r="I1325" s="5" t="n">
        <v>1000</v>
      </c>
      <c r="J1325" s="5" t="n">
        <v>550.1</v>
      </c>
      <c r="K1325" s="3" t="inlineStr">
        <is>
          <t>오송역 3분 기업 사옥부지 추천 주변 다수 공공기관 포진</t>
        </is>
      </c>
      <c r="L1325" s="6">
        <f>HYPERLINK("https://fin.land.naver.com/articles/2647167297", "매물Link")</f>
        <v/>
      </c>
      <c r="M1325" s="6">
        <f>HYPERLINK("https://map.naver.com/p/search/오송읍 봉산리 1321", "지도Link")</f>
        <v/>
      </c>
      <c r="N1325" s="6">
        <f>HYPERLINK("https://www.eum.go.kr/web/mp/mpMapDet.jsp?pnu=4311325031113210000&amp;isNoScr=script&amp;mode=search", "토지이음")</f>
        <v/>
      </c>
      <c r="O1325" s="3" t="inlineStr">
        <is>
          <t>새봄</t>
        </is>
      </c>
      <c r="P1325" s="4" t="n">
        <v>2</v>
      </c>
      <c r="Q1325" s="4" t="n">
        <v>1541.1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중로한면</t>
        </is>
      </c>
    </row>
    <row r="1326">
      <c r="A1326" s="3" t="inlineStr">
        <is>
          <t>오송읍 봉산리 1322</t>
        </is>
      </c>
      <c r="B1326" s="3" t="inlineStr">
        <is>
          <t>일반상업지역</t>
        </is>
      </c>
      <c r="C1326" s="3" t="inlineStr">
        <is>
          <t>주차장</t>
        </is>
      </c>
      <c r="D1326" s="3" t="inlineStr">
        <is>
          <t>주차장</t>
        </is>
      </c>
      <c r="E1326" s="3" t="inlineStr">
        <is>
          <t>월세</t>
        </is>
      </c>
      <c r="F1326" s="4" t="n">
        <v>10000</v>
      </c>
      <c r="G1326" s="4" t="n">
        <v>2435</v>
      </c>
      <c r="H1326" s="4" t="n">
        <v>737</v>
      </c>
      <c r="I1326" s="5" t="n">
        <v>2</v>
      </c>
      <c r="J1326" s="5" t="n">
        <v>295.4</v>
      </c>
      <c r="K1326" s="3" t="inlineStr">
        <is>
          <t>nan</t>
        </is>
      </c>
      <c r="L1326" s="6">
        <f>HYPERLINK("https://fin.land.naver.com/articles/2647590994", "매물Link")</f>
        <v/>
      </c>
      <c r="M1326" s="6">
        <f>HYPERLINK("https://map.naver.com/p/search/오송읍 봉산리 1322", "지도Link")</f>
        <v/>
      </c>
      <c r="N1326" s="6">
        <f>HYPERLINK("https://www.eum.go.kr/web/mp/mpMapDet.jsp?pnu=4311325031113220000&amp;isNoScr=script&amp;mode=search", "토지이음")</f>
        <v/>
      </c>
      <c r="O1326" s="3" t="inlineStr">
        <is>
          <t>오송메카</t>
        </is>
      </c>
      <c r="P1326" s="4" t="n">
        <v>1</v>
      </c>
      <c r="Q1326" s="4" t="n">
        <v>2435.1</v>
      </c>
      <c r="R1326" s="3" t="inlineStr">
        <is>
          <t>지정되지않음</t>
        </is>
      </c>
      <c r="S1326" s="3" t="inlineStr">
        <is>
          <t>주차장등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1324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460000</v>
      </c>
      <c r="G1327" s="4" t="n">
        <v>1524</v>
      </c>
      <c r="H1327" s="4" t="n">
        <v>461</v>
      </c>
      <c r="I1327" s="5" t="n">
        <v>997.8</v>
      </c>
      <c r="J1327" s="5" t="n">
        <v>573.2</v>
      </c>
      <c r="K1327" s="3" t="inlineStr">
        <is>
          <t>nan</t>
        </is>
      </c>
      <c r="L1327" s="6">
        <f>HYPERLINK("https://fin.land.naver.com/articles/2645321260", "매물Link")</f>
        <v/>
      </c>
      <c r="M1327" s="6">
        <f>HYPERLINK("https://map.naver.com/p/search/오송읍 봉산리 1324", "지도Link")</f>
        <v/>
      </c>
      <c r="N1327" s="6">
        <f>HYPERLINK("https://www.eum.go.kr/web/mp/mpMapDet.jsp?pnu=4311325031113240000&amp;isNoScr=script&amp;mode=search", "토지이음")</f>
        <v/>
      </c>
      <c r="O1327" s="3" t="inlineStr">
        <is>
          <t>365</t>
        </is>
      </c>
      <c r="P1327" s="4" t="n">
        <v>1</v>
      </c>
      <c r="Q1327" s="4" t="n">
        <v>1524.9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중로각지</t>
        </is>
      </c>
    </row>
    <row r="1328">
      <c r="A1328" s="3" t="inlineStr">
        <is>
          <t>오송읍 봉산리 1326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500000</v>
      </c>
      <c r="G1328" s="4" t="n">
        <v>889</v>
      </c>
      <c r="H1328" s="4" t="n">
        <v>269</v>
      </c>
      <c r="I1328" s="5" t="n">
        <v>1858.7</v>
      </c>
      <c r="J1328" s="5" t="n">
        <v>719.3</v>
      </c>
      <c r="K1328" s="3" t="inlineStr">
        <is>
          <t>오송역 인근 일반상업지역 숙박업가능 토지매매개발호재 풍부진입도로 완비</t>
        </is>
      </c>
      <c r="L1328" s="6">
        <f>HYPERLINK("https://fin.land.naver.com/articles/2647637551", "매물Link")</f>
        <v/>
      </c>
      <c r="M1328" s="6">
        <f>HYPERLINK("https://map.naver.com/p/search/오송읍 봉산리 1326", "지도Link")</f>
        <v/>
      </c>
      <c r="N1328" s="6">
        <f>HYPERLINK("https://www.eum.go.kr/web/mp/mpMapDet.jsp?pnu=4311325031113260000&amp;isNoScr=script&amp;mode=search", "토지이음")</f>
        <v/>
      </c>
      <c r="O1328" s="3" t="inlineStr">
        <is>
          <t>엠즈앤프라퍼티주식회사</t>
        </is>
      </c>
      <c r="P1328" s="4" t="n">
        <v>1</v>
      </c>
      <c r="Q1328" s="4" t="n">
        <v>889.6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1328</t>
        </is>
      </c>
      <c r="B1329" s="3" t="inlineStr">
        <is>
          <t>일반상업지역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598000</v>
      </c>
      <c r="G1329" s="4" t="n">
        <v>859</v>
      </c>
      <c r="H1329" s="4" t="n">
        <v>260</v>
      </c>
      <c r="I1329" s="5" t="n">
        <v>2300</v>
      </c>
      <c r="J1329" s="5" t="n">
        <v>660.2</v>
      </c>
      <c r="K1329" s="3" t="inlineStr">
        <is>
          <t>오송역 초역세권 4거리코너 급매</t>
        </is>
      </c>
      <c r="L1329" s="6">
        <f>HYPERLINK("https://fin.land.naver.com/articles/2648986889", "매물Link")</f>
        <v/>
      </c>
      <c r="M1329" s="6">
        <f>HYPERLINK("https://map.naver.com/p/search/오송읍 봉산리 1328", "지도Link")</f>
        <v/>
      </c>
      <c r="N1329" s="6">
        <f>HYPERLINK("https://www.eum.go.kr/web/mp/mpMapDet.jsp?pnu=4311325031113280000&amp;isNoScr=script&amp;mode=search", "토지이음")</f>
        <v/>
      </c>
      <c r="O1329" s="3" t="inlineStr">
        <is>
          <t>하나</t>
        </is>
      </c>
      <c r="P1329" s="4" t="n">
        <v>1</v>
      </c>
      <c r="Q1329" s="4" t="n">
        <v>858.6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봉산리 1344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136400</v>
      </c>
      <c r="G1330" s="4" t="n">
        <v>408</v>
      </c>
      <c r="H1330" s="4" t="n">
        <v>123</v>
      </c>
      <c r="I1330" s="5" t="n">
        <v>1108.9</v>
      </c>
      <c r="J1330" s="5" t="n">
        <v>624.1</v>
      </c>
      <c r="K1330" s="3" t="inlineStr">
        <is>
          <t>준주거지역 대지, 상가주택사옥 부지 최적</t>
        </is>
      </c>
      <c r="L1330" s="6">
        <f>HYPERLINK("https://fin.land.naver.com/articles/2648857608", "매물Link")</f>
        <v/>
      </c>
      <c r="M1330" s="6">
        <f>HYPERLINK("https://map.naver.com/p/search/오송읍 봉산리 1344", "지도Link")</f>
        <v/>
      </c>
      <c r="N1330" s="6">
        <f>HYPERLINK("https://www.eum.go.kr/web/mp/mpMapDet.jsp?pnu=4311325031113440000&amp;isNoScr=script&amp;mode=search", "토지이음")</f>
        <v/>
      </c>
      <c r="O1330" s="3" t="inlineStr">
        <is>
          <t>반석원무소</t>
        </is>
      </c>
      <c r="P1330" s="4" t="n">
        <v>1</v>
      </c>
      <c r="Q1330" s="4" t="n">
        <v>408.9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1367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41500</v>
      </c>
      <c r="G1331" s="4" t="n">
        <v>244</v>
      </c>
      <c r="H1331" s="4" t="n">
        <v>74</v>
      </c>
      <c r="I1331" s="5" t="n">
        <v>560.8</v>
      </c>
      <c r="J1331" s="5" t="n">
        <v>290</v>
      </c>
      <c r="K1331" s="3" t="inlineStr">
        <is>
          <t>급매 오송역 인근 일반주거지역 3거리 코너 각지 위치 좋은 대지입니다</t>
        </is>
      </c>
      <c r="L1331" s="6">
        <f>HYPERLINK("https://fin.land.naver.com/articles/2644475477", "매물Link")</f>
        <v/>
      </c>
      <c r="M1331" s="6">
        <f>HYPERLINK("https://map.naver.com/p/search/오송읍 봉산리 1367", "지도Link")</f>
        <v/>
      </c>
      <c r="N1331" s="6">
        <f>HYPERLINK("https://www.eum.go.kr/web/mp/mpMapDet.jsp?pnu=4311325031113670000&amp;isNoScr=script&amp;mode=search", "토지이음")</f>
        <v/>
      </c>
      <c r="O1331" s="3" t="inlineStr">
        <is>
          <t>스마일세종</t>
        </is>
      </c>
      <c r="P1331" s="4" t="n">
        <v>1</v>
      </c>
      <c r="Q1331" s="4" t="n">
        <v>244.4</v>
      </c>
      <c r="R1331" s="3" t="inlineStr">
        <is>
          <t>지정되지않음</t>
        </is>
      </c>
      <c r="S1331" s="3" t="inlineStr">
        <is>
          <t>주상기타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소로각지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HYPERLINK("https://www.eum.go.kr/web/mp/mpMapDet.jsp?pnu=4311325031113750000&amp;isNoScr=script&amp;mode=search",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1375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30000</v>
      </c>
      <c r="G1333" s="4" t="n">
        <v>239</v>
      </c>
      <c r="H1333" s="4" t="n">
        <v>72</v>
      </c>
      <c r="I1333" s="5" t="n">
        <v>416.7</v>
      </c>
      <c r="J1333" s="5" t="n">
        <v>207.9</v>
      </c>
      <c r="K1333" s="3" t="inlineStr">
        <is>
          <t>오송역 인근 초 급매 단독주택용지</t>
        </is>
      </c>
      <c r="L1333" s="6">
        <f>HYPERLINK("https://fin.land.naver.com/articles/2649136086", "매물Link")</f>
        <v/>
      </c>
      <c r="M1333" s="6">
        <f>HYPERLINK("https://map.naver.com/p/search/오송읍 봉산리 1375", "지도Link")</f>
        <v/>
      </c>
      <c r="N1333" s="6">
        <f>HYPERLINK("https://www.eum.go.kr/web/mp/mpMapDet.jsp?pnu=4311325031113750000&amp;isNoScr=script&amp;mode=search", "토지이음")</f>
        <v/>
      </c>
      <c r="O1333" s="3" t="inlineStr">
        <is>
          <t>청주원</t>
        </is>
      </c>
      <c r="P1333" s="4" t="n">
        <v>3</v>
      </c>
      <c r="Q1333" s="4" t="n">
        <v>239.5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1379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32000</v>
      </c>
      <c r="G1334" s="4" t="n">
        <v>239</v>
      </c>
      <c r="H1334" s="4" t="n">
        <v>72</v>
      </c>
      <c r="I1334" s="5" t="n">
        <v>444.4</v>
      </c>
      <c r="J1334" s="5" t="n">
        <v>207.9</v>
      </c>
      <c r="K1334" s="3" t="inlineStr">
        <is>
          <t>오송역도보 5분거리내, 원투룸인기좋은위치.신축후 건물주가되세요</t>
        </is>
      </c>
      <c r="L1334" s="6">
        <f>HYPERLINK("https://fin.land.naver.com/articles/2645955508", "매물Link")</f>
        <v/>
      </c>
      <c r="M1334" s="6">
        <f>HYPERLINK("https://map.naver.com/p/search/오송읍 봉산리 1379", "지도Link")</f>
        <v/>
      </c>
      <c r="N1334" s="6">
        <f>HYPERLINK("https://www.eum.go.kr/web/mp/mpMapDet.jsp?pnu=4311325031113790000&amp;isNoScr=script&amp;mode=search",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239.4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1415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244</v>
      </c>
      <c r="H1335" s="4" t="n">
        <v>74</v>
      </c>
      <c r="I1335" s="5" t="n">
        <v>567.6</v>
      </c>
      <c r="J1335" s="5" t="n">
        <v>207.9</v>
      </c>
      <c r="K1335" s="3" t="inlineStr">
        <is>
          <t>오송2산단 상가 주택부지 입니다 남향</t>
        </is>
      </c>
      <c r="L1335" s="6">
        <f>HYPERLINK("https://fin.land.naver.com/articles/2648085242", "매물Link")</f>
        <v/>
      </c>
      <c r="M1335" s="6">
        <f>HYPERLINK("https://map.naver.com/p/search/오송읍 봉산리 1415", "지도Link")</f>
        <v/>
      </c>
      <c r="N1335" s="6">
        <f>HYPERLINK("https://www.eum.go.kr/web/mp/mpMapDet.jsp?pnu=4311325031114150000&amp;isNoScr=script&amp;mode=search", "토지이음")</f>
        <v/>
      </c>
      <c r="O1335" s="3" t="inlineStr">
        <is>
          <t>365</t>
        </is>
      </c>
      <c r="P1335" s="4" t="n">
        <v>1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1417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39000</v>
      </c>
      <c r="G1336" s="4" t="n">
        <v>244</v>
      </c>
      <c r="H1336" s="4" t="n">
        <v>74</v>
      </c>
      <c r="I1336" s="5" t="n">
        <v>527</v>
      </c>
      <c r="J1336" s="5" t="n">
        <v>207.9</v>
      </c>
      <c r="K1336" s="3" t="inlineStr">
        <is>
          <t>오송역도보 10여분거리, 오송역대광1차아파트와 근거리, 남향</t>
        </is>
      </c>
      <c r="L1336" s="6">
        <f>HYPERLINK("https://fin.land.naver.com/articles/2648561393", "매물Link")</f>
        <v/>
      </c>
      <c r="M1336" s="6">
        <f>HYPERLINK("https://map.naver.com/p/search/오송읍 봉산리 1417", "지도Link")</f>
        <v/>
      </c>
      <c r="N1336" s="6">
        <f>HYPERLINK("https://www.eum.go.kr/web/mp/mpMapDet.jsp?pnu=4311325031114170000&amp;isNoScr=script&amp;mode=search", "토지이음")</f>
        <v/>
      </c>
      <c r="O1336" s="3" t="inlineStr">
        <is>
          <t>서한단지내114</t>
        </is>
      </c>
      <c r="P1336" s="4" t="n">
        <v>2</v>
      </c>
      <c r="Q1336" s="4" t="n">
        <v>244</v>
      </c>
      <c r="R1336" s="3" t="inlineStr">
        <is>
          <t>지정되지않음</t>
        </is>
      </c>
      <c r="S1336" s="3" t="inlineStr">
        <is>
          <t>주거기타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1419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238</v>
      </c>
      <c r="H1337" s="4" t="n">
        <v>72</v>
      </c>
      <c r="I1337" s="5" t="n">
        <v>625</v>
      </c>
      <c r="J1337" s="5" t="n">
        <v>250.2</v>
      </c>
      <c r="K1337" s="3" t="inlineStr">
        <is>
          <t>오송2산단 다가구 건축 용도 삼면 각지 토지</t>
        </is>
      </c>
      <c r="L1337" s="6">
        <f>HYPERLINK("https://fin.land.naver.com/articles/2645321056", "매물Link")</f>
        <v/>
      </c>
      <c r="M1337" s="6">
        <f>HYPERLINK("https://map.naver.com/p/search/오송읍 봉산리 1419", "지도Link")</f>
        <v/>
      </c>
      <c r="N1337" s="6">
        <f>HYPERLINK("https://www.eum.go.kr/web/mp/mpMapDet.jsp?pnu=4311325031114190000&amp;isNoScr=script&amp;mode=search", "토지이음")</f>
        <v/>
      </c>
      <c r="O1337" s="3" t="inlineStr">
        <is>
          <t>365</t>
        </is>
      </c>
      <c r="P1337" s="4" t="n">
        <v>1</v>
      </c>
      <c r="Q1337" s="4" t="n">
        <v>238.1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오송읍 봉산리 796</t>
        </is>
      </c>
      <c r="B1338" s="3" t="inlineStr">
        <is>
          <t>제1종일반주거지역</t>
        </is>
      </c>
      <c r="C1338" s="3" t="inlineStr">
        <is>
          <t>주차장</t>
        </is>
      </c>
      <c r="D1338" s="3" t="inlineStr">
        <is>
          <t>주차장</t>
        </is>
      </c>
      <c r="E1338" s="3" t="inlineStr">
        <is>
          <t>매매</t>
        </is>
      </c>
      <c r="F1338" s="4" t="n">
        <v>150000</v>
      </c>
      <c r="G1338" s="4" t="n">
        <v>1039</v>
      </c>
      <c r="H1338" s="4" t="n">
        <v>314</v>
      </c>
      <c r="I1338" s="5" t="n">
        <v>477.7</v>
      </c>
      <c r="J1338" s="5" t="n">
        <v>207.4</v>
      </c>
      <c r="K1338" s="3" t="inlineStr">
        <is>
          <t>아파트 학교옆 인프라좋고 편의시설주변 주차장용지로 모든업종가능</t>
        </is>
      </c>
      <c r="L1338" s="6">
        <f>HYPERLINK("https://fin.land.naver.com/articles/2647244026", "매물Link")</f>
        <v/>
      </c>
      <c r="M1338" s="6">
        <f>HYPERLINK("https://map.naver.com/p/search/오송읍 봉산리 796", "지도Link")</f>
        <v/>
      </c>
      <c r="N1338" s="6">
        <f>HYPERLINK("https://www.eum.go.kr/web/mp/mpMapDet.jsp?pnu=4311325031107960000&amp;isNoScr=script&amp;mode=search", "토지이음")</f>
        <v/>
      </c>
      <c r="O1338" s="3" t="inlineStr">
        <is>
          <t>하림</t>
        </is>
      </c>
      <c r="P1338" s="4" t="n">
        <v>1</v>
      </c>
      <c r="Q1338" s="4" t="n">
        <v>1039.2</v>
      </c>
      <c r="R1338" s="3" t="inlineStr">
        <is>
          <t>지정되지않음</t>
        </is>
      </c>
      <c r="S1338" s="3" t="inlineStr">
        <is>
          <t>주차장등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중로각지</t>
        </is>
      </c>
    </row>
    <row r="1339">
      <c r="A1339" s="3" t="inlineStr">
        <is>
          <t>오송읍 봉산리 841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38000</v>
      </c>
      <c r="G1339" s="4" t="n">
        <v>249</v>
      </c>
      <c r="H1339" s="4" t="n">
        <v>75</v>
      </c>
      <c r="I1339" s="5" t="n">
        <v>506.7</v>
      </c>
      <c r="J1339" s="5" t="n">
        <v>342.8</v>
      </c>
      <c r="K1339" s="3" t="inlineStr">
        <is>
          <t>대도로변 토지,상가 입점하기 좋은 위치</t>
        </is>
      </c>
      <c r="L1339" s="6">
        <f>HYPERLINK("https://fin.land.naver.com/articles/2645985092", "매물Link")</f>
        <v/>
      </c>
      <c r="M1339" s="6">
        <f>HYPERLINK("https://map.naver.com/p/search/오송읍 봉산리 841", "지도Link")</f>
        <v/>
      </c>
      <c r="N1339" s="6">
        <f>HYPERLINK("https://www.eum.go.kr/web/mp/mpMapDet.jsp?pnu=4311325031108410000&amp;isNoScr=script&amp;mode=search",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249.4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정방형</t>
        </is>
      </c>
      <c r="V1339" s="3" t="inlineStr">
        <is>
          <t>중로각지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솔미초 인근 다가구용 토지 매매</t>
        </is>
      </c>
      <c r="L1340" s="6">
        <f>HYPERLINK("https://fin.land.naver.com/articles/2650364095", "매물Link")</f>
        <v/>
      </c>
      <c r="M1340" s="6">
        <f>HYPERLINK("https://map.naver.com/p/search/오송읍 봉산리 853", "지도Link")</f>
        <v/>
      </c>
      <c r="N1340" s="6">
        <f>HYPERLINK("https://www.eum.go.kr/web/mp/mpMapDet.jsp?pnu=4311325031108530000&amp;isNoScr=script&amp;mode=search", "토지이음")</f>
        <v/>
      </c>
      <c r="O1340" s="3" t="inlineStr">
        <is>
          <t>광장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853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276</v>
      </c>
      <c r="H1341" s="4" t="n">
        <v>83</v>
      </c>
      <c r="I1341" s="5" t="n">
        <v>542.2</v>
      </c>
      <c r="J1341" s="5" t="n">
        <v>205.7</v>
      </c>
      <c r="K1341" s="3" t="inlineStr">
        <is>
          <t>nan</t>
        </is>
      </c>
      <c r="L1341" s="6">
        <f>HYPERLINK("https://fin.land.naver.com/articles/2645321083", "매물Link")</f>
        <v/>
      </c>
      <c r="M1341" s="6">
        <f>HYPERLINK("https://map.naver.com/p/search/오송읍 봉산리 853", "지도Link")</f>
        <v/>
      </c>
      <c r="N1341" s="6">
        <f>HYPERLINK("https://www.eum.go.kr/web/mp/mpMapDet.jsp?pnu=4311325031108530000&amp;isNoScr=script&amp;mode=search",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276.1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859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280</v>
      </c>
      <c r="H1342" s="4" t="n">
        <v>85</v>
      </c>
      <c r="I1342" s="5" t="n">
        <v>470.6</v>
      </c>
      <c r="J1342" s="5" t="n">
        <v>205.7</v>
      </c>
      <c r="K1342" s="3" t="inlineStr">
        <is>
          <t>수익율 좋은 다가구주택 건축하여 건물주님 되어보기</t>
        </is>
      </c>
      <c r="L1342" s="6">
        <f>HYPERLINK("https://fin.land.naver.com/articles/2644508422", "매물Link")</f>
        <v/>
      </c>
      <c r="M1342" s="6">
        <f>HYPERLINK("https://map.naver.com/p/search/오송읍 봉산리 859", "지도Link")</f>
        <v/>
      </c>
      <c r="N1342" s="6">
        <f>HYPERLINK("https://www.eum.go.kr/web/mp/mpMapDet.jsp?pnu=4311325031108590000&amp;isNoScr=script&amp;mode=search", "토지이음")</f>
        <v/>
      </c>
      <c r="O1342" s="3" t="inlineStr">
        <is>
          <t>프로</t>
        </is>
      </c>
      <c r="P1342" s="4" t="n">
        <v>1</v>
      </c>
      <c r="Q1342" s="4" t="n">
        <v>280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872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49000</v>
      </c>
      <c r="G1343" s="4" t="n">
        <v>271</v>
      </c>
      <c r="H1343" s="4" t="n">
        <v>82</v>
      </c>
      <c r="I1343" s="5" t="n">
        <v>597.6</v>
      </c>
      <c r="J1343" s="5" t="n">
        <v>236</v>
      </c>
      <c r="K1343" s="3" t="inlineStr">
        <is>
          <t>다가구주택용 대지, 임대세대 구성하기 좋은 면적</t>
        </is>
      </c>
      <c r="L1343" s="6">
        <f>HYPERLINK("https://fin.land.naver.com/articles/2645396621", "매물Link")</f>
        <v/>
      </c>
      <c r="M1343" s="6">
        <f>HYPERLINK("https://map.naver.com/p/search/오송읍 봉산리 872", "지도Link")</f>
        <v/>
      </c>
      <c r="N1343" s="6">
        <f>HYPERLINK("https://www.eum.go.kr/web/mp/mpMapDet.jsp?pnu=4311325031108720000&amp;isNoScr=script&amp;mode=search",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271.2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888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252</v>
      </c>
      <c r="H1344" s="4" t="n">
        <v>76</v>
      </c>
      <c r="I1344" s="5" t="n">
        <v>789.5</v>
      </c>
      <c r="J1344" s="5" t="n">
        <v>291</v>
      </c>
      <c r="K1344" s="3" t="inlineStr">
        <is>
          <t>오송 철도국가산단 수혜 핵심 입지</t>
        </is>
      </c>
      <c r="L1344" s="6">
        <f>HYPERLINK("https://fin.land.naver.com/articles/2648559186", "매물Link")</f>
        <v/>
      </c>
      <c r="M1344" s="6">
        <f>HYPERLINK("https://map.naver.com/p/search/오송읍 봉산리 888", "지도Link")</f>
        <v/>
      </c>
      <c r="N1344" s="6">
        <f>HYPERLINK("https://www.eum.go.kr/web/mp/mpMapDet.jsp?pnu=4311325031108880000&amp;isNoScr=script&amp;mode=search", "토지이음")</f>
        <v/>
      </c>
      <c r="O1344" s="3" t="inlineStr">
        <is>
          <t>복덩이</t>
        </is>
      </c>
      <c r="P1344" s="4" t="n">
        <v>1</v>
      </c>
      <c r="Q1344" s="4" t="n">
        <v>252.1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중로각지</t>
        </is>
      </c>
    </row>
    <row r="1345">
      <c r="A1345" s="3" t="inlineStr">
        <is>
          <t>오송읍 봉산리 949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42000</v>
      </c>
      <c r="G1345" s="4" t="n">
        <v>271</v>
      </c>
      <c r="H1345" s="4" t="n">
        <v>82</v>
      </c>
      <c r="I1345" s="5" t="n">
        <v>512.2</v>
      </c>
      <c r="J1345" s="5" t="n">
        <v>236</v>
      </c>
      <c r="K1345" s="3" t="inlineStr">
        <is>
          <t>공실없는 지역,확보된 임차인,안적정인 임대수익을 누릴수 있어요</t>
        </is>
      </c>
      <c r="L1345" s="6">
        <f>HYPERLINK("https://fin.land.naver.com/articles/2644645361", "매물Link")</f>
        <v/>
      </c>
      <c r="M1345" s="6">
        <f>HYPERLINK("https://map.naver.com/p/search/오송읍 봉산리 949", "지도Link")</f>
        <v/>
      </c>
      <c r="N1345" s="6">
        <f>HYPERLINK("https://www.eum.go.kr/web/mp/mpMapDet.jsp?pnu=4311325031109490000&amp;isNoScr=script&amp;mode=search",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271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954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60000</v>
      </c>
      <c r="G1346" s="4" t="n">
        <v>265</v>
      </c>
      <c r="H1346" s="4" t="n">
        <v>80</v>
      </c>
      <c r="I1346" s="5" t="n">
        <v>750</v>
      </c>
      <c r="J1346" s="5" t="n">
        <v>257.5</v>
      </c>
      <c r="K1346" s="3" t="inlineStr">
        <is>
          <t>위치좋은 코너땅 입니다</t>
        </is>
      </c>
      <c r="L1346" s="6">
        <f>HYPERLINK("https://fin.land.naver.com/articles/2645987267", "매물Link")</f>
        <v/>
      </c>
      <c r="M1346" s="6">
        <f>HYPERLINK("https://map.naver.com/p/search/오송읍 봉산리 954", "지도Link")</f>
        <v/>
      </c>
      <c r="N1346" s="6">
        <f>HYPERLINK("https://www.eum.go.kr/web/mp/mpMapDet.jsp?pnu=4311325031109540000&amp;isNoScr=script&amp;mode=search",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265.3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오송읍 봉산리 978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353000</v>
      </c>
      <c r="G1347" s="4" t="n">
        <v>1295</v>
      </c>
      <c r="H1347" s="4" t="n">
        <v>392</v>
      </c>
      <c r="I1347" s="5" t="n">
        <v>900.5</v>
      </c>
      <c r="J1347" s="5" t="n">
        <v>585.5</v>
      </c>
      <c r="K1347" s="3" t="inlineStr">
        <is>
          <t>오송읍 봉산리 상업용지 매매</t>
        </is>
      </c>
      <c r="L1347" s="6">
        <f>HYPERLINK("https://fin.land.naver.com/articles/2650259873", "매물Link")</f>
        <v/>
      </c>
      <c r="M1347" s="6">
        <f>HYPERLINK("https://map.naver.com/p/search/오송읍 봉산리 978", "지도Link")</f>
        <v/>
      </c>
      <c r="N1347" s="6">
        <f>HYPERLINK("https://www.eum.go.kr/web/mp/mpMapDet.jsp?pnu=4311325031109780000&amp;isNoScr=script&amp;mode=search", "토지이음")</f>
        <v/>
      </c>
      <c r="O1347" s="3" t="inlineStr">
        <is>
          <t>일등</t>
        </is>
      </c>
      <c r="P1347" s="4" t="n">
        <v>1</v>
      </c>
      <c r="Q1347" s="4" t="n">
        <v>1295.6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봉산리 986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347900</v>
      </c>
      <c r="G1348" s="4" t="n">
        <v>821</v>
      </c>
      <c r="H1348" s="4" t="n">
        <v>248</v>
      </c>
      <c r="I1348" s="5" t="n">
        <v>1402.8</v>
      </c>
      <c r="J1348" s="5" t="n">
        <v>585.5</v>
      </c>
      <c r="K1348" s="3" t="inlineStr">
        <is>
          <t>상권 형성 초입, 선점 가능한 상업용지 개발수혜가 기대되는 땅</t>
        </is>
      </c>
      <c r="L1348" s="6">
        <f>HYPERLINK("https://fin.land.naver.com/articles/2646874573", "매물Link")</f>
        <v/>
      </c>
      <c r="M1348" s="6">
        <f>HYPERLINK("https://map.naver.com/p/search/오송읍 봉산리 986", "지도Link")</f>
        <v/>
      </c>
      <c r="N1348" s="6">
        <f>HYPERLINK("https://www.eum.go.kr/web/mp/mpMapDet.jsp?pnu=4311325031109860000&amp;isNoScr=script&amp;mode=search", "토지이음")</f>
        <v/>
      </c>
      <c r="O1348" s="3" t="inlineStr">
        <is>
          <t>우영</t>
        </is>
      </c>
      <c r="P1348" s="4" t="n">
        <v>1</v>
      </c>
      <c r="Q1348" s="4" t="n">
        <v>821.6</v>
      </c>
      <c r="R1348" s="3" t="inlineStr">
        <is>
          <t>지정되지않음</t>
        </is>
      </c>
      <c r="S1348" s="3" t="inlineStr">
        <is>
          <t>상업기타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오송읍 상봉리 114-3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602</v>
      </c>
      <c r="H1349" s="4" t="n">
        <v>182</v>
      </c>
      <c r="I1349" s="5" t="n">
        <v>137.4</v>
      </c>
      <c r="J1349" s="5" t="n">
        <v>48.7</v>
      </c>
      <c r="K1349" s="3" t="inlineStr">
        <is>
          <t>오송읍 전원주택지 매매</t>
        </is>
      </c>
      <c r="L1349" s="6">
        <f>HYPERLINK("https://fin.land.naver.com/articles/2648188603", "매물Link")</f>
        <v/>
      </c>
      <c r="M1349" s="6">
        <f>HYPERLINK("https://map.naver.com/p/search/오송읍 상봉리 114-3", "지도Link")</f>
        <v/>
      </c>
      <c r="N1349" s="6">
        <f>HYPERLINK("https://www.eum.go.kr/web/mp/mpMapDet.jsp?pnu=4311325033101140003&amp;isNoScr=script&amp;mode=search", "토지이음")</f>
        <v/>
      </c>
      <c r="O1349" s="3" t="inlineStr">
        <is>
          <t>학사</t>
        </is>
      </c>
      <c r="P1349" s="4" t="n">
        <v>1</v>
      </c>
      <c r="Q1349" s="4" t="n">
        <v>602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상봉리 210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100000</v>
      </c>
      <c r="G1350" s="4" t="n">
        <v>3298</v>
      </c>
      <c r="H1350" s="4" t="n">
        <v>998</v>
      </c>
      <c r="I1350" s="5" t="n">
        <v>100.2</v>
      </c>
      <c r="J1350" s="5" t="n">
        <v>34.7</v>
      </c>
      <c r="K1350" s="3" t="inlineStr">
        <is>
          <t>계획관리토지 역세권중장기 투자계획으로우수한 토지 공장 카페 창고 실버타운</t>
        </is>
      </c>
      <c r="L1350" s="6">
        <f>HYPERLINK("https://fin.land.naver.com/articles/2649374986", "매물Link")</f>
        <v/>
      </c>
      <c r="M1350" s="6">
        <f>HYPERLINK("https://map.naver.com/p/search/오송읍 상봉리 210", "지도Link")</f>
        <v/>
      </c>
      <c r="N1350" s="6">
        <f>HYPERLINK("https://www.eum.go.kr/web/mp/mpMapDet.jsp?pnu=4311325033102100000&amp;isNoScr=script&amp;mode=search", "토지이음")</f>
        <v/>
      </c>
      <c r="O1350" s="3" t="inlineStr">
        <is>
          <t>하림</t>
        </is>
      </c>
      <c r="P1350" s="4" t="n">
        <v>1</v>
      </c>
      <c r="Q1350" s="4" t="n">
        <v>3298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세로각지(가)</t>
        </is>
      </c>
    </row>
    <row r="1351">
      <c r="A1351" s="3" t="inlineStr">
        <is>
          <t>오송읍 상봉리 240-4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200000</v>
      </c>
      <c r="G1351" s="4" t="n">
        <v>1896</v>
      </c>
      <c r="H1351" s="4" t="n">
        <v>574</v>
      </c>
      <c r="I1351" s="5" t="n">
        <v>348.4</v>
      </c>
      <c r="J1351" s="5" t="n">
        <v>45</v>
      </c>
      <c r="K1351" s="3" t="inlineStr">
        <is>
          <t>2차선도로 및 3면이 포장도로에 접한 직사각형 모양의 계획관리지역의 전</t>
        </is>
      </c>
      <c r="L1351" s="6">
        <f>HYPERLINK("https://fin.land.naver.com/articles/2646618646", "매물Link")</f>
        <v/>
      </c>
      <c r="M1351" s="6">
        <f>HYPERLINK("https://map.naver.com/p/search/오송읍 상봉리 240-4", "지도Link")</f>
        <v/>
      </c>
      <c r="N1351" s="6">
        <f>HYPERLINK("https://www.eum.go.kr/web/mp/mpMapDet.jsp?pnu=4311325033102400004&amp;isNoScr=script&amp;mode=search",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1896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오송읍 상봉리 313</t>
        </is>
      </c>
      <c r="B1352" s="3" t="inlineStr">
        <is>
          <t>보전관리지역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40000</v>
      </c>
      <c r="G1352" s="4" t="n">
        <v>2615</v>
      </c>
      <c r="H1352" s="4" t="n">
        <v>791</v>
      </c>
      <c r="I1352" s="5" t="n">
        <v>50.6</v>
      </c>
      <c r="J1352" s="5" t="n">
        <v>10</v>
      </c>
      <c r="K1352" s="3" t="inlineStr">
        <is>
          <t>세종시 경계부근에 위치 전원주택 주말농지 추천</t>
        </is>
      </c>
      <c r="L1352" s="6">
        <f>HYPERLINK("https://fin.land.naver.com/articles/2645781584", "매물Link")</f>
        <v/>
      </c>
      <c r="M1352" s="6">
        <f>HYPERLINK("https://map.naver.com/p/search/오송읍 상봉리 313", "지도Link")</f>
        <v/>
      </c>
      <c r="N1352" s="6">
        <f>HYPERLINK("https://www.eum.go.kr/web/mp/mpMapDet.jsp?pnu=4311325033103130000&amp;isNoScr=script&amp;mode=search", "토지이음")</f>
        <v/>
      </c>
      <c r="O1352" s="3" t="inlineStr">
        <is>
          <t>복수지구</t>
        </is>
      </c>
      <c r="P1352" s="4" t="n">
        <v>1</v>
      </c>
      <c r="Q1352" s="4" t="n">
        <v>2615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오송읍 상봉리 359-3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25000</v>
      </c>
      <c r="G1353" s="4" t="n">
        <v>2008</v>
      </c>
      <c r="H1353" s="4" t="n">
        <v>607</v>
      </c>
      <c r="I1353" s="5" t="n">
        <v>41.2</v>
      </c>
      <c r="J1353" s="5" t="n">
        <v>21.5</v>
      </c>
      <c r="K1353" s="3" t="inlineStr">
        <is>
          <t>밴처밸리,오송2산단 차량3분 대토 과수원 농가주택 창고등 추천</t>
        </is>
      </c>
      <c r="L1353" s="6">
        <f>HYPERLINK("https://fin.land.naver.com/articles/2649259041", "매물Link")</f>
        <v/>
      </c>
      <c r="M1353" s="6">
        <f>HYPERLINK("https://map.naver.com/p/search/오송읍 상봉리 359-3", "지도Link")</f>
        <v/>
      </c>
      <c r="N1353" s="6">
        <f>HYPERLINK("https://www.eum.go.kr/web/mp/mpMapDet.jsp?pnu=4311325033103590003&amp;isNoScr=script&amp;mode=search", "토지이음")</f>
        <v/>
      </c>
      <c r="O1353" s="3" t="inlineStr">
        <is>
          <t>신안무소</t>
        </is>
      </c>
      <c r="P1353" s="4" t="n">
        <v>1</v>
      </c>
      <c r="Q1353" s="4" t="n">
        <v>2008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세로각지(가)</t>
        </is>
      </c>
    </row>
    <row r="1354">
      <c r="A1354" s="3" t="inlineStr">
        <is>
          <t>오송읍 상봉리 415-1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26000</v>
      </c>
      <c r="G1354" s="4" t="n">
        <v>1230</v>
      </c>
      <c r="H1354" s="4" t="n">
        <v>372</v>
      </c>
      <c r="I1354" s="5" t="n">
        <v>69.90000000000001</v>
      </c>
      <c r="J1354" s="5" t="n">
        <v>22</v>
      </c>
      <c r="K1354" s="3" t="inlineStr">
        <is>
          <t>농림지역, 도로접함, 영농 및 농가주택 가능</t>
        </is>
      </c>
      <c r="L1354" s="6">
        <f>HYPERLINK("https://fin.land.naver.com/articles/2650488027", "매물Link")</f>
        <v/>
      </c>
      <c r="M1354" s="6">
        <f>HYPERLINK("https://map.naver.com/p/search/오송읍 상봉리 415-1", "지도Link")</f>
        <v/>
      </c>
      <c r="N1354" s="6">
        <f>HYPERLINK("https://www.eum.go.kr/web/mp/mpMapDet.jsp?pnu=4311325033104150001&amp;isNoScr=script&amp;mode=search", "토지이음")</f>
        <v/>
      </c>
      <c r="O1354" s="3" t="inlineStr">
        <is>
          <t>세종나라</t>
        </is>
      </c>
      <c r="P1354" s="4" t="n">
        <v>9</v>
      </c>
      <c r="Q1354" s="4" t="n">
        <v>1230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상봉리 454-8</t>
        </is>
      </c>
      <c r="B1355" s="3" t="inlineStr">
        <is>
          <t>농림지역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20000</v>
      </c>
      <c r="G1355" s="4" t="n">
        <v>1323</v>
      </c>
      <c r="H1355" s="4" t="n">
        <v>400</v>
      </c>
      <c r="I1355" s="5" t="n">
        <v>50</v>
      </c>
      <c r="J1355" s="5" t="n">
        <v>16.3</v>
      </c>
      <c r="K1355" s="3" t="inlineStr">
        <is>
          <t>오송읍 상봉리</t>
        </is>
      </c>
      <c r="L1355" s="6">
        <f>HYPERLINK("https://fin.land.naver.com/articles/2644761382", "매물Link")</f>
        <v/>
      </c>
      <c r="M1355" s="6">
        <f>HYPERLINK("https://map.naver.com/p/search/오송읍 상봉리 454-8", "지도Link")</f>
        <v/>
      </c>
      <c r="N1355" s="6">
        <f>HYPERLINK("https://www.eum.go.kr/web/mp/mpMapDet.jsp?pnu=4311325033104540008&amp;isNoScr=script&amp;mode=search", "토지이음")</f>
        <v/>
      </c>
      <c r="O1355" s="3" t="inlineStr">
        <is>
          <t>오송이가</t>
        </is>
      </c>
      <c r="P1355" s="4" t="n">
        <v>1</v>
      </c>
      <c r="Q1355" s="4" t="n">
        <v>2647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세로한면(불)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3028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HYPERLINK("https://www.eum.go.kr/web/mp/mpMapDet.jsp?pnu=4311325022101490003&amp;isNoScr=script&amp;mode=search", "토지이음")</f>
        <v/>
      </c>
      <c r="O1356" s="3" t="inlineStr">
        <is>
          <t>플러스자이합동</t>
        </is>
      </c>
      <c r="P1356" s="4" t="n">
        <v>1</v>
      </c>
      <c r="Q1356" s="4" t="n">
        <v>2368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666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HYPERLINK("https://www.eum.go.kr/web/mp/mpMapDet.jsp?pnu=4311325022101510018&amp;isNoScr=script&amp;mode=search", "토지이음")</f>
        <v/>
      </c>
      <c r="O1357" s="3" t="inlineStr">
        <is>
          <t>자이원</t>
        </is>
      </c>
      <c r="P1357" s="4" t="n">
        <v>2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27000</v>
      </c>
      <c r="G1358" s="4" t="n">
        <v>573</v>
      </c>
      <c r="H1358" s="4" t="n">
        <v>173</v>
      </c>
      <c r="I1358" s="5" t="n">
        <v>156.1</v>
      </c>
      <c r="J1358" s="5" t="n">
        <v>70.2</v>
      </c>
      <c r="K1358" s="3" t="inlineStr">
        <is>
          <t>전원주택 부지, 도심과 가까운 주택부지</t>
        </is>
      </c>
      <c r="L1358" s="6">
        <f>HYPERLINK("https://fin.land.naver.com/articles/2645970707", "매물Link")</f>
        <v/>
      </c>
      <c r="M1358" s="6">
        <f>HYPERLINK("https://map.naver.com/p/search/오송읍 상정리 151-18", "지도Link")</f>
        <v/>
      </c>
      <c r="N1358" s="6">
        <f>HYPERLINK("https://www.eum.go.kr/web/mp/mpMapDet.jsp?pnu=4311325022101510018&amp;isNoScr=script&amp;mode=search",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573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완경사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HYPERLINK("https://www.eum.go.kr/web/mp/mpMapDet.jsp?pnu=4311325022101740007&amp;isNoScr=script&amp;mode=search",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982</v>
      </c>
      <c r="H1360" s="4" t="n">
        <v>297</v>
      </c>
      <c r="I1360" s="5" t="n">
        <v>269.4</v>
      </c>
      <c r="J1360" s="5" t="n">
        <v>43.7</v>
      </c>
      <c r="K1360" s="3" t="inlineStr">
        <is>
          <t>순이네 보리밥 진입로 좌측 직사각형의 용도다양한 토지매매</t>
        </is>
      </c>
      <c r="L1360" s="6">
        <f>HYPERLINK("https://fin.land.naver.com/articles/2644567691", "매물Link")</f>
        <v/>
      </c>
      <c r="M1360" s="6">
        <f>HYPERLINK("https://map.naver.com/p/search/오송읍 상정리 174-7", "지도Link")</f>
        <v/>
      </c>
      <c r="N1360" s="6">
        <f>HYPERLINK("https://www.eum.go.kr/web/mp/mpMapDet.jsp?pnu=4311325022101740007&amp;isNoScr=script&amp;mode=search", "토지이음")</f>
        <v/>
      </c>
      <c r="O1360" s="3" t="inlineStr">
        <is>
          <t>오송k랜드</t>
        </is>
      </c>
      <c r="P1360" s="4" t="n">
        <v>1</v>
      </c>
      <c r="Q1360" s="4" t="n">
        <v>982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오송읍 상정리 185-2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61000</v>
      </c>
      <c r="G1361" s="4" t="n">
        <v>1299</v>
      </c>
      <c r="H1361" s="4" t="n">
        <v>393</v>
      </c>
      <c r="I1361" s="5" t="n">
        <v>155.2</v>
      </c>
      <c r="J1361" s="5" t="n">
        <v>38.1</v>
      </c>
      <c r="K1361" s="3" t="inlineStr">
        <is>
          <t>계획관리 화장품단지인근 전원주택개발지 추후공시지가상승예정지 투자적합</t>
        </is>
      </c>
      <c r="L1361" s="6">
        <f>HYPERLINK("https://fin.land.naver.com/articles/2647626107", "매물Link")</f>
        <v/>
      </c>
      <c r="M1361" s="6">
        <f>HYPERLINK("https://map.naver.com/p/search/오송읍 상정리 185-2", "지도Link")</f>
        <v/>
      </c>
      <c r="N1361" s="6">
        <f>HYPERLINK("https://www.eum.go.kr/web/mp/mpMapDet.jsp?pnu=4311325022101850002&amp;isNoScr=script&amp;mode=search", "토지이음")</f>
        <v/>
      </c>
      <c r="O1361" s="3" t="inlineStr">
        <is>
          <t>자이원</t>
        </is>
      </c>
      <c r="P1361" s="4" t="n">
        <v>2</v>
      </c>
      <c r="Q1361" s="4" t="n">
        <v>1299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상정리 189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130000</v>
      </c>
      <c r="G1362" s="4" t="n">
        <v>1413</v>
      </c>
      <c r="H1362" s="4" t="n">
        <v>427</v>
      </c>
      <c r="I1362" s="5" t="n">
        <v>304.4</v>
      </c>
      <c r="J1362" s="5" t="n">
        <v>84.3</v>
      </c>
      <c r="K1362" s="3" t="inlineStr">
        <is>
          <t>오송읍 2차선 도로접한 계획관리 토지매매</t>
        </is>
      </c>
      <c r="L1362" s="6">
        <f>HYPERLINK("https://fin.land.naver.com/articles/2647592687", "매물Link")</f>
        <v/>
      </c>
      <c r="M1362" s="6">
        <f>HYPERLINK("https://map.naver.com/p/search/오송읍 상정리 189", "지도Link")</f>
        <v/>
      </c>
      <c r="N1362" s="6">
        <f>HYPERLINK("https://www.eum.go.kr/web/mp/mpMapDet.jsp?pnu=4311325022101890000&amp;isNoScr=script&amp;mode=search", "토지이음")</f>
        <v/>
      </c>
      <c r="O1362" s="3" t="inlineStr">
        <is>
          <t>대지</t>
        </is>
      </c>
      <c r="P1362" s="4" t="n">
        <v>1</v>
      </c>
      <c r="Q1362" s="4" t="n">
        <v>733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오송읍 상정리 191-7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86000</v>
      </c>
      <c r="G1363" s="4" t="n">
        <v>1011</v>
      </c>
      <c r="H1363" s="4" t="n">
        <v>306</v>
      </c>
      <c r="I1363" s="5" t="n">
        <v>281</v>
      </c>
      <c r="J1363" s="5" t="n">
        <v>83.59999999999999</v>
      </c>
      <c r="K1363" s="3" t="inlineStr">
        <is>
          <t>2차선 지방도 인접한 계획관리지역의 토지로 근생가능용지</t>
        </is>
      </c>
      <c r="L1363" s="6">
        <f>HYPERLINK("https://fin.land.naver.com/articles/2646745552", "매물Link")</f>
        <v/>
      </c>
      <c r="M1363" s="6">
        <f>HYPERLINK("https://map.naver.com/p/search/오송읍 상정리 191-7", "지도Link")</f>
        <v/>
      </c>
      <c r="N1363" s="6">
        <f>HYPERLINK("https://www.eum.go.kr/web/mp/mpMapDet.jsp?pnu=4311325022101910007&amp;isNoScr=script&amp;mode=search",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1011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상정리 261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27000</v>
      </c>
      <c r="G1364" s="4" t="n">
        <v>1083</v>
      </c>
      <c r="H1364" s="4" t="n">
        <v>328</v>
      </c>
      <c r="I1364" s="5" t="n">
        <v>82.3</v>
      </c>
      <c r="J1364" s="5" t="n">
        <v>23.3</v>
      </c>
      <c r="K1364" s="3" t="inlineStr">
        <is>
          <t>농림지역</t>
        </is>
      </c>
      <c r="L1364" s="6">
        <f>HYPERLINK("https://fin.land.naver.com/articles/2648107540", "매물Link")</f>
        <v/>
      </c>
      <c r="M1364" s="6">
        <f>HYPERLINK("https://map.naver.com/p/search/오송읍 상정리 261", "지도Link")</f>
        <v/>
      </c>
      <c r="N1364" s="6">
        <f>HYPERLINK("https://www.eum.go.kr/web/mp/mpMapDet.jsp?pnu=4311325022102610000&amp;isNoScr=script&amp;mode=search", "토지이음")</f>
        <v/>
      </c>
      <c r="O1364" s="3" t="inlineStr">
        <is>
          <t>수풀림</t>
        </is>
      </c>
      <c r="P1364" s="4" t="n">
        <v>1</v>
      </c>
      <c r="Q1364" s="4" t="n">
        <v>1083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세로한면(가)</t>
        </is>
      </c>
    </row>
    <row r="1365">
      <c r="A1365" s="3" t="inlineStr">
        <is>
          <t>오송읍 상정리 306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42000</v>
      </c>
      <c r="G1365" s="4" t="n">
        <v>1714</v>
      </c>
      <c r="H1365" s="4" t="n">
        <v>518</v>
      </c>
      <c r="I1365" s="5" t="n">
        <v>81.09999999999999</v>
      </c>
      <c r="J1365" s="5" t="n">
        <v>26.1</v>
      </c>
      <c r="K1365" s="3" t="inlineStr">
        <is>
          <t>농림지역 대토권 최적의 입지 농가 주택 가능한 토지 투자가치 뿜뿜</t>
        </is>
      </c>
      <c r="L1365" s="6">
        <f>HYPERLINK("https://fin.land.naver.com/articles/2648907417", "매물Link")</f>
        <v/>
      </c>
      <c r="M1365" s="6">
        <f>HYPERLINK("https://map.naver.com/p/search/오송읍 상정리 306", "지도Link")</f>
        <v/>
      </c>
      <c r="N1365" s="6">
        <f>HYPERLINK("https://www.eum.go.kr/web/mp/mpMapDet.jsp?pnu=4311325022103060000&amp;isNoScr=script&amp;mode=search",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1714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상정리 337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150000</v>
      </c>
      <c r="G1366" s="4" t="n">
        <v>2849</v>
      </c>
      <c r="H1366" s="4" t="n">
        <v>862</v>
      </c>
      <c r="I1366" s="5" t="n">
        <v>174</v>
      </c>
      <c r="J1366" s="5" t="n">
        <v>38.1</v>
      </c>
      <c r="K1366" s="3" t="inlineStr">
        <is>
          <t>서울세종간 제2고속도로이용(오송ic) 2차 지방도접 입지 최고</t>
        </is>
      </c>
      <c r="L1366" s="6">
        <f>HYPERLINK("https://fin.land.naver.com/articles/2644567529", "매물Link")</f>
        <v/>
      </c>
      <c r="M1366" s="6">
        <f>HYPERLINK("https://map.naver.com/p/search/오송읍 상정리 337", "지도Link")</f>
        <v/>
      </c>
      <c r="N1366" s="6">
        <f>HYPERLINK("https://www.eum.go.kr/web/mp/mpMapDet.jsp?pnu=4311325022103370000&amp;isNoScr=script&amp;mode=search", "토지이음")</f>
        <v/>
      </c>
      <c r="O1366" s="3" t="inlineStr">
        <is>
          <t>오송k랜드</t>
        </is>
      </c>
      <c r="P1366" s="4" t="n">
        <v>1</v>
      </c>
      <c r="Q1366" s="4" t="n">
        <v>2022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오송읍 상정리 669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36000</v>
      </c>
      <c r="G1367" s="4" t="n">
        <v>507</v>
      </c>
      <c r="H1367" s="4" t="n">
        <v>153</v>
      </c>
      <c r="I1367" s="5" t="n">
        <v>235.3</v>
      </c>
      <c r="J1367" s="5" t="n">
        <v>80.09999999999999</v>
      </c>
      <c r="K1367" s="3" t="inlineStr">
        <is>
          <t>작은주택이 있는 전원주택부지</t>
        </is>
      </c>
      <c r="L1367" s="6">
        <f>HYPERLINK("https://fin.land.naver.com/articles/2649989115", "매물Link")</f>
        <v/>
      </c>
      <c r="M1367" s="6">
        <f>HYPERLINK("https://map.naver.com/p/search/오송읍 상정리 669", "지도Link")</f>
        <v/>
      </c>
      <c r="N1367" s="6">
        <f>HYPERLINK("https://www.eum.go.kr/web/mp/mpMapDet.jsp?pnu=4311325022106690000&amp;isNoScr=script&amp;mode=search",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507.1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725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33000</v>
      </c>
      <c r="G1368" s="4" t="n">
        <v>541</v>
      </c>
      <c r="H1368" s="4" t="n">
        <v>164</v>
      </c>
      <c r="I1368" s="5" t="n">
        <v>201.2</v>
      </c>
      <c r="J1368" s="5" t="n">
        <v>80.09999999999999</v>
      </c>
      <c r="K1368" s="3" t="inlineStr">
        <is>
          <t>고급 전원주택 단지 계획관리지역 건폐율60 지역 화장품단지 호재</t>
        </is>
      </c>
      <c r="L1368" s="6">
        <f>HYPERLINK("https://fin.land.naver.com/articles/2649903782", "매물Link")</f>
        <v/>
      </c>
      <c r="M1368" s="6">
        <f>HYPERLINK("https://map.naver.com/p/search/오송읍 상정리 725", "지도Link")</f>
        <v/>
      </c>
      <c r="N1368" s="6">
        <f>HYPERLINK("https://www.eum.go.kr/web/mp/mpMapDet.jsp?pnu=4311325022107250000&amp;isNoScr=script&amp;mode=search", "토지이음")</f>
        <v/>
      </c>
      <c r="O1368" s="3" t="inlineStr">
        <is>
          <t>프렌즈</t>
        </is>
      </c>
      <c r="P1368" s="4" t="n">
        <v>1</v>
      </c>
      <c r="Q1368" s="4" t="n">
        <v>541.1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오송의 1산단 인접지.식약처등 국책기관과 바이오 기관 인접지</t>
        </is>
      </c>
      <c r="L1369" s="6">
        <f>HYPERLINK("https://fin.land.naver.com/articles/2645083163", "매물Link")</f>
        <v/>
      </c>
      <c r="M1369" s="6">
        <f>HYPERLINK("https://map.naver.com/p/search/오송읍 상정리 751", "지도Link")</f>
        <v/>
      </c>
      <c r="N1369" s="6">
        <f>HYPERLINK("https://www.eum.go.kr/web/mp/mpMapDet.jsp?pnu=4311325022107510000&amp;isNoScr=script&amp;mode=search", "토지이음")</f>
        <v/>
      </c>
      <c r="O1369" s="3" t="inlineStr">
        <is>
          <t>하나로</t>
        </is>
      </c>
      <c r="P1369" s="4" t="n">
        <v>1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535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nan</t>
        </is>
      </c>
      <c r="L1370" s="6">
        <f>HYPERLINK("https://fin.land.naver.com/articles/2646062468", "매물Link")</f>
        <v/>
      </c>
      <c r="M1370" s="6">
        <f>HYPERLINK("https://map.naver.com/p/search/오송읍 상정리 751", "지도Link")</f>
        <v/>
      </c>
      <c r="N1370" s="6">
        <f>HYPERLINK("https://www.eum.go.kr/web/mp/mpMapDet.jsp?pnu=4311325022107510000&amp;isNoScr=script&amp;mode=search", "토지이음")</f>
        <v/>
      </c>
      <c r="O1370" s="3" t="inlineStr">
        <is>
          <t>OK파라곤</t>
        </is>
      </c>
      <c r="P1370" s="4" t="n">
        <v>3</v>
      </c>
      <c r="Q1370" s="4" t="n">
        <v>535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완경사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오송읍 상정리 79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32000</v>
      </c>
      <c r="G1371" s="4" t="n">
        <v>2383</v>
      </c>
      <c r="H1371" s="4" t="n">
        <v>721</v>
      </c>
      <c r="I1371" s="5" t="n">
        <v>44.4</v>
      </c>
      <c r="J1371" s="5" t="n">
        <v>18</v>
      </c>
      <c r="K1371" s="3" t="inlineStr">
        <is>
          <t>여유를 만끽할 수 있는 토지,  인근전원주택지 개발된 오송화장품 산단 옆</t>
        </is>
      </c>
      <c r="L1371" s="6">
        <f>HYPERLINK("https://fin.land.naver.com/articles/2649495113", "매물Link")</f>
        <v/>
      </c>
      <c r="M1371" s="6">
        <f>HYPERLINK("https://map.naver.com/p/search/오송읍 상정리 79", "지도Link")</f>
        <v/>
      </c>
      <c r="N1371" s="6">
        <f>HYPERLINK("https://www.eum.go.kr/web/mp/mpMapDet.jsp?pnu=4311325022100790000&amp;isNoScr=script&amp;mode=search", "토지이음")</f>
        <v/>
      </c>
      <c r="O1371" s="3" t="inlineStr">
        <is>
          <t>OK파라곤</t>
        </is>
      </c>
      <c r="P1371" s="4" t="n">
        <v>1</v>
      </c>
      <c r="Q1371" s="4" t="n">
        <v>2383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651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HYPERLINK("https://www.eum.go.kr/web/mp/mpMapDet.jsp?pnu=4311325022100890034&amp;isNoScr=script&amp;mode=search",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651</v>
      </c>
      <c r="R1372" s="3" t="inlineStr">
        <is>
          <t>지정되지않음</t>
        </is>
      </c>
      <c r="S1372" s="3" t="inlineStr">
        <is>
          <t>주거기타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세로각지(가)</t>
        </is>
      </c>
    </row>
    <row r="1373">
      <c r="A1373" s="3" t="inlineStr">
        <is>
          <t>오송읍 상정리 산55-2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31845</v>
      </c>
      <c r="G1373" s="4" t="n">
        <v>637</v>
      </c>
      <c r="H1373" s="4" t="n">
        <v>193</v>
      </c>
      <c r="I1373" s="5" t="n">
        <v>165</v>
      </c>
      <c r="J1373" s="5" t="n">
        <v>74.90000000000001</v>
      </c>
      <c r="K1373" s="3" t="inlineStr">
        <is>
          <t>전원투택용지 화장품단지인근 전원주택마을</t>
        </is>
      </c>
      <c r="L1373" s="6">
        <f>HYPERLINK("https://fin.land.naver.com/articles/2647625447", "매물Link")</f>
        <v/>
      </c>
      <c r="M1373" s="6">
        <f>HYPERLINK("https://map.naver.com/p/search/오송읍 상정리 산55-2", "지도Link")</f>
        <v/>
      </c>
      <c r="N1373" s="6">
        <f>HYPERLINK("https://www.eum.go.kr/web/mp/mpMapDet.jsp?pnu=4311325022200550002&amp;isNoScr=script&amp;mode=search", "토지이음")</f>
        <v/>
      </c>
      <c r="O1373" s="3" t="inlineStr">
        <is>
          <t>자이원</t>
        </is>
      </c>
      <c r="P1373" s="4" t="n">
        <v>2</v>
      </c>
      <c r="Q1373" s="4" t="n">
        <v>595</v>
      </c>
      <c r="R1373" s="3" t="inlineStr">
        <is>
          <t>계획관리지역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자루형</t>
        </is>
      </c>
      <c r="V1373" s="3" t="inlineStr">
        <is>
          <t>세로한면(가)</t>
        </is>
      </c>
    </row>
    <row r="1374">
      <c r="A1374" s="3" t="inlineStr">
        <is>
          <t>오송읍 상정리 산55-3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30000</v>
      </c>
      <c r="G1374" s="4" t="n">
        <v>555</v>
      </c>
      <c r="H1374" s="4" t="n">
        <v>168</v>
      </c>
      <c r="I1374" s="5" t="n">
        <v>178.6</v>
      </c>
      <c r="J1374" s="5" t="n">
        <v>78.3</v>
      </c>
      <c r="K1374" s="3" t="inlineStr">
        <is>
          <t>nan</t>
        </is>
      </c>
      <c r="L1374" s="6">
        <f>HYPERLINK("https://fin.land.naver.com/articles/2647631044", "매물Link")</f>
        <v/>
      </c>
      <c r="M1374" s="6">
        <f>HYPERLINK("https://map.naver.com/p/search/오송읍 상정리 산55-3", "지도Link")</f>
        <v/>
      </c>
      <c r="N1374" s="6">
        <f>HYPERLINK("https://www.eum.go.kr/web/mp/mpMapDet.jsp?pnu=4311325022200550003&amp;isNoScr=script&amp;mode=search", "토지이음")</f>
        <v/>
      </c>
      <c r="O1374" s="3" t="inlineStr">
        <is>
          <t>프로</t>
        </is>
      </c>
      <c r="P1374" s="4" t="n">
        <v>2</v>
      </c>
      <c r="Q1374" s="4" t="n">
        <v>555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완경사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서평리 127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153000</v>
      </c>
      <c r="G1375" s="4" t="n">
        <v>4225</v>
      </c>
      <c r="H1375" s="4" t="n">
        <v>1278</v>
      </c>
      <c r="I1375" s="5" t="n">
        <v>119.7</v>
      </c>
      <c r="J1375" s="5" t="n">
        <v>59.4</v>
      </c>
      <c r="K1375" s="3" t="inlineStr">
        <is>
          <t>오송제3국가산업단지 개발예정지 도로에 접한 토지</t>
        </is>
      </c>
      <c r="L1375" s="6">
        <f>HYPERLINK("https://fin.land.naver.com/articles/2646007810", "매물Link")</f>
        <v/>
      </c>
      <c r="M1375" s="6">
        <f>HYPERLINK("https://map.naver.com/p/search/오송읍 서평리 127", "지도Link")</f>
        <v/>
      </c>
      <c r="N1375" s="6">
        <f>HYPERLINK("https://www.eum.go.kr/web/mp/mpMapDet.jsp?pnu=4311325030101270000&amp;isNoScr=script&amp;mode=search",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4225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서평리 128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132000</v>
      </c>
      <c r="G1376" s="4" t="n">
        <v>3967</v>
      </c>
      <c r="H1376" s="4" t="n">
        <v>1200</v>
      </c>
      <c r="I1376" s="5" t="n">
        <v>110</v>
      </c>
      <c r="J1376" s="5" t="n">
        <v>55.5</v>
      </c>
      <c r="K1376" s="3" t="inlineStr">
        <is>
          <t>오송제3국가산업단지 개발예정지 도로에 접한 토지</t>
        </is>
      </c>
      <c r="L1376" s="6">
        <f>HYPERLINK("https://fin.land.naver.com/articles/2646008020", "매물Link")</f>
        <v/>
      </c>
      <c r="M1376" s="6">
        <f>HYPERLINK("https://map.naver.com/p/search/오송읍 서평리 128", "지도Link")</f>
        <v/>
      </c>
      <c r="N1376" s="6">
        <f>HYPERLINK("https://www.eum.go.kr/web/mp/mpMapDet.jsp?pnu=4311325030101280000&amp;isNoScr=script&amp;mode=search",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3967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 제3생명과학 국가산업단지 인근토지, 2차선도로에 접함,두필지,절충</t>
        </is>
      </c>
      <c r="L1377" s="6">
        <f>HYPERLINK("https://fin.land.naver.com/articles/2645161336", "매물Link")</f>
        <v/>
      </c>
      <c r="M1377" s="6">
        <f>HYPERLINK("https://map.naver.com/p/search/오송읍 서평리 129", "지도Link")</f>
        <v/>
      </c>
      <c r="N1377" s="6">
        <f>HYPERLINK("https://www.eum.go.kr/web/mp/mpMapDet.jsp?pnu=4311325030101290000&amp;isNoScr=script&amp;mode=search", "토지이음")</f>
        <v/>
      </c>
      <c r="O1377" s="3" t="inlineStr">
        <is>
          <t>금호무소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129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170000</v>
      </c>
      <c r="G1378" s="4" t="n">
        <v>5088</v>
      </c>
      <c r="H1378" s="4" t="n">
        <v>1539</v>
      </c>
      <c r="I1378" s="5" t="n">
        <v>110.5</v>
      </c>
      <c r="J1378" s="5" t="n">
        <v>55.5</v>
      </c>
      <c r="K1378" s="3" t="inlineStr">
        <is>
          <t>오송3산단 배후지 및 토지거래허가 해제로 지가 상승중인 유망 투자지역</t>
        </is>
      </c>
      <c r="L1378" s="6">
        <f>HYPERLINK("https://fin.land.naver.com/articles/2645068512", "매물Link")</f>
        <v/>
      </c>
      <c r="M1378" s="6">
        <f>HYPERLINK("https://map.naver.com/p/search/오송읍 서평리 129", "지도Link")</f>
        <v/>
      </c>
      <c r="N1378" s="6">
        <f>HYPERLINK("https://www.eum.go.kr/web/mp/mpMapDet.jsp?pnu=4311325030101290000&amp;isNoScr=script&amp;mode=search",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4116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131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140000</v>
      </c>
      <c r="G1379" s="4" t="n">
        <v>4076</v>
      </c>
      <c r="H1379" s="4" t="n">
        <v>1233</v>
      </c>
      <c r="I1379" s="5" t="n">
        <v>113.5</v>
      </c>
      <c r="J1379" s="5" t="n">
        <v>55.5</v>
      </c>
      <c r="K1379" s="3" t="inlineStr">
        <is>
          <t>2차선 지방도변 농지로 오송3산업단지 인접지</t>
        </is>
      </c>
      <c r="L1379" s="6">
        <f>HYPERLINK("https://fin.land.naver.com/articles/2646747475", "매물Link")</f>
        <v/>
      </c>
      <c r="M1379" s="6">
        <f>HYPERLINK("https://map.naver.com/p/search/오송읍 서평리 131", "지도Link")</f>
        <v/>
      </c>
      <c r="N1379" s="6">
        <f>HYPERLINK("https://www.eum.go.kr/web/mp/mpMapDet.jsp?pnu=4311325030101310000&amp;isNoScr=script&amp;mode=search",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4076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HYPERLINK("https://www.eum.go.kr/web/mp/mpMapDet.jsp?pnu=4311325030101800006&amp;isNoScr=script&amp;mode=search",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180-6</t>
        </is>
      </c>
      <c r="B1381" s="3" t="inlineStr">
        <is>
          <t>농림지역</t>
        </is>
      </c>
      <c r="C1381" s="3" t="inlineStr">
        <is>
          <t>창고용지</t>
        </is>
      </c>
      <c r="D1381" s="3" t="inlineStr">
        <is>
          <t>창고용지</t>
        </is>
      </c>
      <c r="E1381" s="3" t="inlineStr">
        <is>
          <t>매매</t>
        </is>
      </c>
      <c r="F1381" s="4" t="n">
        <v>360000</v>
      </c>
      <c r="G1381" s="4" t="n">
        <v>2866</v>
      </c>
      <c r="H1381" s="4" t="n">
        <v>867</v>
      </c>
      <c r="I1381" s="5" t="n">
        <v>415.2</v>
      </c>
      <c r="J1381" s="5" t="n">
        <v>128.3</v>
      </c>
      <c r="K1381" s="3" t="inlineStr">
        <is>
          <t>오송제3산업단지 도로변 토지</t>
        </is>
      </c>
      <c r="L1381" s="6">
        <f>HYPERLINK("https://fin.land.naver.com/articles/2646007784", "매물Link")</f>
        <v/>
      </c>
      <c r="M1381" s="6">
        <f>HYPERLINK("https://map.naver.com/p/search/오송읍 서평리 180-6", "지도Link")</f>
        <v/>
      </c>
      <c r="N1381" s="6">
        <f>HYPERLINK("https://www.eum.go.kr/web/mp/mpMapDet.jsp?pnu=4311325030101800006&amp;isNoScr=script&amp;mode=search", "토지이음")</f>
        <v/>
      </c>
      <c r="O1381" s="3" t="inlineStr">
        <is>
          <t>세종대박</t>
        </is>
      </c>
      <c r="P1381" s="4" t="n">
        <v>1</v>
      </c>
      <c r="Q1381" s="4" t="n">
        <v>769</v>
      </c>
      <c r="R1381" s="3" t="inlineStr">
        <is>
          <t>지정되지않음</t>
        </is>
      </c>
      <c r="S1381" s="3" t="inlineStr">
        <is>
          <t>답창고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광대로한면</t>
        </is>
      </c>
    </row>
    <row r="1382">
      <c r="A1382" s="3" t="inlineStr">
        <is>
          <t>오송읍 서평리 182-5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79000</v>
      </c>
      <c r="G1382" s="4" t="n">
        <v>3798</v>
      </c>
      <c r="H1382" s="4" t="n">
        <v>1149</v>
      </c>
      <c r="I1382" s="5" t="n">
        <v>68.8</v>
      </c>
      <c r="J1382" s="5" t="n">
        <v>36.9</v>
      </c>
      <c r="K1382" s="3" t="inlineStr">
        <is>
          <t>4m 도로 접, 3산단 수용지 인접 개발호재, 5차선대로까지 200m</t>
        </is>
      </c>
      <c r="L1382" s="6">
        <f>HYPERLINK("https://fin.land.naver.com/articles/2648617098", "매물Link")</f>
        <v/>
      </c>
      <c r="M1382" s="6">
        <f>HYPERLINK("https://map.naver.com/p/search/오송읍 서평리 182-5", "지도Link")</f>
        <v/>
      </c>
      <c r="N1382" s="6">
        <f>HYPERLINK("https://www.eum.go.kr/web/mp/mpMapDet.jsp?pnu=4311325030101820005&amp;isNoScr=script&amp;mode=search", "토지이음")</f>
        <v/>
      </c>
      <c r="O1382" s="3" t="inlineStr">
        <is>
          <t>오송3산단  사무소</t>
        </is>
      </c>
      <c r="P1382" s="4" t="n">
        <v>1</v>
      </c>
      <c r="Q1382" s="4" t="n">
        <v>3798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183-2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115000</v>
      </c>
      <c r="G1383" s="4" t="n">
        <v>3977</v>
      </c>
      <c r="H1383" s="4" t="n">
        <v>1203</v>
      </c>
      <c r="I1383" s="5" t="n">
        <v>95.59999999999999</v>
      </c>
      <c r="J1383" s="5" t="n">
        <v>51.4</v>
      </c>
      <c r="K1383" s="3" t="inlineStr">
        <is>
          <t>3산단 인근물건중 단연  최고의 위치,가격, 투자 추천물건</t>
        </is>
      </c>
      <c r="L1383" s="6">
        <f>HYPERLINK("https://fin.land.naver.com/articles/2644567263", "매물Link")</f>
        <v/>
      </c>
      <c r="M1383" s="6">
        <f>HYPERLINK("https://map.naver.com/p/search/오송읍 서평리 183-2", "지도Link")</f>
        <v/>
      </c>
      <c r="N1383" s="6">
        <f>HYPERLINK("https://www.eum.go.kr/web/mp/mpMapDet.jsp?pnu=4311325030101830002&amp;isNoScr=script&amp;mode=search",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3977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서평리 189-4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85000</v>
      </c>
      <c r="G1384" s="4" t="n">
        <v>2000</v>
      </c>
      <c r="H1384" s="4" t="n">
        <v>605</v>
      </c>
      <c r="I1384" s="5" t="n">
        <v>140.5</v>
      </c>
      <c r="J1384" s="5" t="n">
        <v>37.3</v>
      </c>
      <c r="K1384" s="3" t="inlineStr">
        <is>
          <t>제3생명과학 국가산단옆, 진입전면넓음, 7.5m도로,</t>
        </is>
      </c>
      <c r="L1384" s="6">
        <f>HYPERLINK("https://fin.land.naver.com/articles/2646638287", "매물Link")</f>
        <v/>
      </c>
      <c r="M1384" s="6">
        <f>HYPERLINK("https://map.naver.com/p/search/오송읍 서평리 189-4", "지도Link")</f>
        <v/>
      </c>
      <c r="N1384" s="6">
        <f>HYPERLINK("https://www.eum.go.kr/web/mp/mpMapDet.jsp?pnu=4311325030101890004&amp;isNoScr=script&amp;mode=search", "토지이음")</f>
        <v/>
      </c>
      <c r="O1384" s="3" t="inlineStr">
        <is>
          <t>오송부자마을</t>
        </is>
      </c>
      <c r="P1384" s="4" t="n">
        <v>1</v>
      </c>
      <c r="Q1384" s="4" t="n">
        <v>2000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세로한면(가)</t>
        </is>
      </c>
    </row>
    <row r="1385">
      <c r="A1385" s="3" t="inlineStr">
        <is>
          <t>오송읍 서평리 194-2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100000</v>
      </c>
      <c r="G1385" s="4" t="n">
        <v>2182</v>
      </c>
      <c r="H1385" s="4" t="n">
        <v>660</v>
      </c>
      <c r="I1385" s="5" t="n">
        <v>151.5</v>
      </c>
      <c r="J1385" s="5" t="n">
        <v>54.7</v>
      </c>
      <c r="K1385" s="3" t="inlineStr">
        <is>
          <t>복숭아등 과일 노상 판매장용도 추천</t>
        </is>
      </c>
      <c r="L1385" s="6">
        <f>HYPERLINK("https://fin.land.naver.com/articles/2649950268", "매물Link")</f>
        <v/>
      </c>
      <c r="M1385" s="6">
        <f>HYPERLINK("https://map.naver.com/p/search/오송읍 서평리 194-2", "지도Link")</f>
        <v/>
      </c>
      <c r="N1385" s="6">
        <f>HYPERLINK("https://www.eum.go.kr/web/mp/mpMapDet.jsp?pnu=4311325030101940002&amp;isNoScr=script&amp;mode=search", "토지이음")</f>
        <v/>
      </c>
      <c r="O1385" s="3" t="inlineStr">
        <is>
          <t>오송k랜드</t>
        </is>
      </c>
      <c r="P1385" s="4" t="n">
        <v>1</v>
      </c>
      <c r="Q1385" s="4" t="n">
        <v>2182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196-3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86000</v>
      </c>
      <c r="G1386" s="4" t="n">
        <v>4205</v>
      </c>
      <c r="H1386" s="4" t="n">
        <v>1272</v>
      </c>
      <c r="I1386" s="5" t="n">
        <v>67.59999999999999</v>
      </c>
      <c r="J1386" s="5" t="n">
        <v>54.7</v>
      </c>
      <c r="K1386" s="3" t="inlineStr">
        <is>
          <t>오송3산단 배후지, 토지거해허가해제로 지가 상승 유망 투자지역</t>
        </is>
      </c>
      <c r="L1386" s="6">
        <f>HYPERLINK("https://fin.land.naver.com/articles/2647661512", "매물Link")</f>
        <v/>
      </c>
      <c r="M1386" s="6">
        <f>HYPERLINK("https://map.naver.com/p/search/오송읍 서평리 196-3", "지도Link")</f>
        <v/>
      </c>
      <c r="N1386" s="6">
        <f>HYPERLINK("https://www.eum.go.kr/web/mp/mpMapDet.jsp?pnu=4311325030101960003&amp;isNoScr=script&amp;mode=search", "토지이음")</f>
        <v/>
      </c>
      <c r="O1386" s="3" t="inlineStr">
        <is>
          <t>청주모충사모1/2LH트릴로채명성</t>
        </is>
      </c>
      <c r="P1386" s="4" t="n">
        <v>2</v>
      </c>
      <c r="Q1386" s="4" t="n">
        <v>2033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210-1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44700</v>
      </c>
      <c r="G1387" s="4" t="n">
        <v>1477</v>
      </c>
      <c r="H1387" s="4" t="n">
        <v>447</v>
      </c>
      <c r="I1387" s="5" t="n">
        <v>100</v>
      </c>
      <c r="J1387" s="5" t="n">
        <v>54.7</v>
      </c>
      <c r="K1387" s="3" t="inlineStr">
        <is>
          <t>nan</t>
        </is>
      </c>
      <c r="L1387" s="6">
        <f>HYPERLINK("https://fin.land.naver.com/articles/2646609337", "매물Link")</f>
        <v/>
      </c>
      <c r="M1387" s="6">
        <f>HYPERLINK("https://map.naver.com/p/search/오송읍 서평리 210-1", "지도Link")</f>
        <v/>
      </c>
      <c r="N1387" s="6">
        <f>HYPERLINK("https://www.eum.go.kr/web/mp/mpMapDet.jsp?pnu=4311325030102100001&amp;isNoScr=script&amp;mode=search", "토지이음")</f>
        <v/>
      </c>
      <c r="O1387" s="3" t="inlineStr">
        <is>
          <t>세종큰길</t>
        </is>
      </c>
      <c r="P1387" s="4" t="n">
        <v>1</v>
      </c>
      <c r="Q1387" s="4" t="n">
        <v>1373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오송읍 서평리 214-10</t>
        </is>
      </c>
      <c r="B1388" s="3" t="inlineStr">
        <is>
          <t>농림지역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198720</v>
      </c>
      <c r="G1388" s="4" t="n">
        <v>4564</v>
      </c>
      <c r="H1388" s="4" t="n">
        <v>1381</v>
      </c>
      <c r="I1388" s="5" t="n">
        <v>143.9</v>
      </c>
      <c r="J1388" s="5" t="n">
        <v>54.7</v>
      </c>
      <c r="K1388" s="3" t="inlineStr">
        <is>
          <t>오송3산단 배후지, 토지거래허가 해제로 대토용지로 지가상승 유망 투자지역</t>
        </is>
      </c>
      <c r="L1388" s="6">
        <f>HYPERLINK("https://fin.land.naver.com/articles/2650412996", "매물Link")</f>
        <v/>
      </c>
      <c r="M1388" s="6">
        <f>HYPERLINK("https://map.naver.com/p/search/오송읍 서평리 214-10", "지도Link")</f>
        <v/>
      </c>
      <c r="N1388" s="6">
        <f>HYPERLINK("https://www.eum.go.kr/web/mp/mpMapDet.jsp?pnu=4311325030102140010&amp;isNoScr=script&amp;mode=search", "토지이음")</f>
        <v/>
      </c>
      <c r="O1388" s="3" t="inlineStr">
        <is>
          <t>청주모충사모1/2LH트릴로채명성</t>
        </is>
      </c>
      <c r="P1388" s="4" t="n">
        <v>1</v>
      </c>
      <c r="Q1388" s="4" t="n">
        <v>4213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소로한면</t>
        </is>
      </c>
    </row>
    <row r="1389">
      <c r="A1389" s="3" t="inlineStr">
        <is>
          <t>오송읍 서평리 214-4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122000</v>
      </c>
      <c r="G1389" s="4" t="n">
        <v>3080</v>
      </c>
      <c r="H1389" s="4" t="n">
        <v>932</v>
      </c>
      <c r="I1389" s="5" t="n">
        <v>130.9</v>
      </c>
      <c r="J1389" s="5" t="n">
        <v>54.7</v>
      </c>
      <c r="K1389" s="3" t="inlineStr">
        <is>
          <t>2차선 도로접한 토지</t>
        </is>
      </c>
      <c r="L1389" s="6">
        <f>HYPERLINK("https://fin.land.naver.com/articles/2644887145", "매물Link")</f>
        <v/>
      </c>
      <c r="M1389" s="6">
        <f>HYPERLINK("https://map.naver.com/p/search/오송읍 서평리 214-4", "지도Link")</f>
        <v/>
      </c>
      <c r="N1389" s="6">
        <f>HYPERLINK("https://www.eum.go.kr/web/mp/mpMapDet.jsp?pnu=4311325030102140004&amp;isNoScr=script&amp;mode=search",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3080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서평리 219-30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41500</v>
      </c>
      <c r="G1390" s="4" t="n">
        <v>2648</v>
      </c>
      <c r="H1390" s="4" t="n">
        <v>801</v>
      </c>
      <c r="I1390" s="5" t="n">
        <v>51.8</v>
      </c>
      <c r="J1390" s="5" t="n">
        <v>35.5</v>
      </c>
      <c r="K1390" s="3" t="inlineStr">
        <is>
          <t>파격가 급매물, 오송3산단 호재있는 투자용 물건, 하우스 6동 포함</t>
        </is>
      </c>
      <c r="L1390" s="6">
        <f>HYPERLINK("https://fin.land.naver.com/articles/2648088489", "매물Link")</f>
        <v/>
      </c>
      <c r="M1390" s="6">
        <f>HYPERLINK("https://map.naver.com/p/search/오송읍 서평리 219-30", "지도Link")</f>
        <v/>
      </c>
      <c r="N1390" s="6">
        <f>HYPERLINK("https://www.eum.go.kr/web/mp/mpMapDet.jsp?pnu=4311325030102190030&amp;isNoScr=script&amp;mode=search", "토지이음")</f>
        <v/>
      </c>
      <c r="O1390" s="3" t="inlineStr">
        <is>
          <t>오송3산단  사무소</t>
        </is>
      </c>
      <c r="P1390" s="4" t="n">
        <v>1</v>
      </c>
      <c r="Q1390" s="4" t="n">
        <v>2648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281-1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105000</v>
      </c>
      <c r="G1391" s="4" t="n">
        <v>2827</v>
      </c>
      <c r="H1391" s="4" t="n">
        <v>855</v>
      </c>
      <c r="I1391" s="5" t="n">
        <v>122.8</v>
      </c>
      <c r="J1391" s="5" t="n">
        <v>29.5</v>
      </c>
      <c r="K1391" s="3" t="inlineStr">
        <is>
          <t>하우스시설이 완비된 토지,주변 토지와 일괄 매매</t>
        </is>
      </c>
      <c r="L1391" s="6">
        <f>HYPERLINK("https://fin.land.naver.com/articles/2648013053", "매물Link")</f>
        <v/>
      </c>
      <c r="M1391" s="6">
        <f>HYPERLINK("https://map.naver.com/p/search/오송읍 서평리 281-1", "지도Link")</f>
        <v/>
      </c>
      <c r="N1391" s="6">
        <f>HYPERLINK("https://www.eum.go.kr/web/mp/mpMapDet.jsp?pnu=4311325030102810001&amp;isNoScr=script&amp;mode=search", "토지이음")</f>
        <v/>
      </c>
      <c r="O1391" s="3" t="inlineStr">
        <is>
          <t>오송2단지창조</t>
        </is>
      </c>
      <c r="P1391" s="4" t="n">
        <v>1</v>
      </c>
      <c r="Q1391" s="4" t="n">
        <v>2827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HYPERLINK("https://www.eum.go.kr/web/mp/mpMapDet.jsp?pnu=4311325030102960004&amp;isNoScr=script&amp;mode=search",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2340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HYPERLINK("https://www.eum.go.kr/web/mp/mpMapDet.jsp?pnu=4311325030102960004&amp;isNoScr=script&amp;mode=search", "토지이음")</f>
        <v/>
      </c>
      <c r="O1393" s="3" t="inlineStr">
        <is>
          <t>오송타운</t>
        </is>
      </c>
      <c r="P1393" s="4" t="n">
        <v>1</v>
      </c>
      <c r="Q1393" s="4" t="n">
        <v>2340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서평리 354-1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96000</v>
      </c>
      <c r="G1394" s="4" t="n">
        <v>3507</v>
      </c>
      <c r="H1394" s="4" t="n">
        <v>1061</v>
      </c>
      <c r="I1394" s="5" t="n">
        <v>90.5</v>
      </c>
      <c r="J1394" s="5" t="n">
        <v>41.7</v>
      </c>
      <c r="K1394" s="3" t="inlineStr">
        <is>
          <t>오송3산업단지 수용지 인근 투자</t>
        </is>
      </c>
      <c r="L1394" s="6">
        <f>HYPERLINK("https://fin.land.naver.com/articles/2648237005", "매물Link")</f>
        <v/>
      </c>
      <c r="M1394" s="6">
        <f>HYPERLINK("https://map.naver.com/p/search/오송읍 서평리 354-1", "지도Link")</f>
        <v/>
      </c>
      <c r="N1394" s="6">
        <f>HYPERLINK("https://www.eum.go.kr/web/mp/mpMapDet.jsp?pnu=4311325030103540001&amp;isNoScr=script&amp;mode=search", "토지이음")</f>
        <v/>
      </c>
      <c r="O1394" s="3" t="inlineStr">
        <is>
          <t>오송k랜드</t>
        </is>
      </c>
      <c r="P1394" s="4" t="n">
        <v>1</v>
      </c>
      <c r="Q1394" s="4" t="n">
        <v>2466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창고용지</t>
        </is>
      </c>
      <c r="E1395" s="3" t="inlineStr">
        <is>
          <t>매매</t>
        </is>
      </c>
      <c r="F1395" s="4" t="n">
        <v>120000</v>
      </c>
      <c r="G1395" s="4" t="n">
        <v>2423</v>
      </c>
      <c r="H1395" s="4" t="n">
        <v>733</v>
      </c>
      <c r="I1395" s="5" t="n">
        <v>163.7</v>
      </c>
      <c r="J1395" s="5" t="n">
        <v>49.6</v>
      </c>
      <c r="K1395" s="3" t="inlineStr">
        <is>
          <t>오송3산단예정지인근 2차선변 농업용창고,부분거래가능</t>
        </is>
      </c>
      <c r="L1395" s="6">
        <f>HYPERLINK("https://fin.land.naver.com/articles/2650475978", "매물Link")</f>
        <v/>
      </c>
      <c r="M1395" s="6">
        <f>HYPERLINK("https://map.naver.com/p/search/오송읍 서평리 356", "지도Link")</f>
        <v/>
      </c>
      <c r="N1395" s="6">
        <f>HYPERLINK("https://www.eum.go.kr/web/mp/mpMapDet.jsp?pnu=4311325030103560000&amp;isNoScr=script&amp;mode=search", "토지이음")</f>
        <v/>
      </c>
      <c r="O1395" s="3" t="inlineStr">
        <is>
          <t>가치잇는</t>
        </is>
      </c>
      <c r="P1395" s="4" t="n">
        <v>3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2423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HYPERLINK("https://www.eum.go.kr/web/mp/mpMapDet.jsp?pnu=4311325030103560000&amp;isNoScr=script&amp;mode=search", "토지이음")</f>
        <v/>
      </c>
      <c r="O1396" s="3" t="inlineStr">
        <is>
          <t>담뜰</t>
        </is>
      </c>
      <c r="P1396" s="4" t="n">
        <v>1</v>
      </c>
      <c r="Q1396" s="4" t="n">
        <v>900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소로한면</t>
        </is>
      </c>
    </row>
    <row r="1397">
      <c r="A1397" s="3" t="inlineStr">
        <is>
          <t>오송읍 서평리 381-8</t>
        </is>
      </c>
      <c r="B1397" s="3" t="inlineStr">
        <is>
          <t>생산관리지역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124000</v>
      </c>
      <c r="G1397" s="4" t="n">
        <v>4100</v>
      </c>
      <c r="H1397" s="4" t="n">
        <v>1240</v>
      </c>
      <c r="I1397" s="5" t="n">
        <v>100</v>
      </c>
      <c r="J1397" s="5" t="n">
        <v>39.1</v>
      </c>
      <c r="K1397" s="3" t="inlineStr">
        <is>
          <t>nan</t>
        </is>
      </c>
      <c r="L1397" s="6">
        <f>HYPERLINK("https://fin.land.naver.com/articles/2645907513", "매물Link")</f>
        <v/>
      </c>
      <c r="M1397" s="6">
        <f>HYPERLINK("https://map.naver.com/p/search/오송읍 서평리 381-8", "지도Link")</f>
        <v/>
      </c>
      <c r="N1397" s="6">
        <f>HYPERLINK("https://www.eum.go.kr/web/mp/mpMapDet.jsp?pnu=4311325030103810008&amp;isNoScr=script&amp;mode=search", "토지이음")</f>
        <v/>
      </c>
      <c r="O1397" s="3" t="inlineStr">
        <is>
          <t>세종땅전문</t>
        </is>
      </c>
      <c r="P1397" s="4" t="n">
        <v>1</v>
      </c>
      <c r="Q1397" s="4" t="n">
        <v>4100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세로한면(불)</t>
        </is>
      </c>
    </row>
    <row r="1398">
      <c r="A1398" s="3" t="inlineStr">
        <is>
          <t>오송읍 서평리 56-9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57400</v>
      </c>
      <c r="G1398" s="4" t="n">
        <v>542</v>
      </c>
      <c r="H1398" s="4" t="n">
        <v>164</v>
      </c>
      <c r="I1398" s="5" t="n">
        <v>350</v>
      </c>
      <c r="J1398" s="5" t="n">
        <v>195.9</v>
      </c>
      <c r="K1398" s="3" t="inlineStr">
        <is>
          <t>오송읍 서평리 주거개발진흥지구내 다가구 .상가.상가주택등 신축 추천</t>
        </is>
      </c>
      <c r="L1398" s="6">
        <f>HYPERLINK("https://fin.land.naver.com/articles/2649339502", "매물Link")</f>
        <v/>
      </c>
      <c r="M1398" s="6">
        <f>HYPERLINK("https://map.naver.com/p/search/오송읍 서평리 56-9", "지도Link")</f>
        <v/>
      </c>
      <c r="N1398" s="6">
        <f>HYPERLINK("https://www.eum.go.kr/web/mp/mpMapDet.jsp?pnu=4311325030100560009&amp;isNoScr=script&amp;mode=search", "토지이음")</f>
        <v/>
      </c>
      <c r="O1398" s="3" t="inlineStr">
        <is>
          <t>그린</t>
        </is>
      </c>
      <c r="P1398" s="4" t="n">
        <v>1</v>
      </c>
      <c r="Q1398" s="4" t="n">
        <v>542</v>
      </c>
      <c r="R1398" s="3" t="inlineStr">
        <is>
          <t>지정되지않음</t>
        </is>
      </c>
      <c r="S1398" s="3" t="inlineStr">
        <is>
          <t>주상기타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오송읍 서평리 664-54</t>
        </is>
      </c>
      <c r="B1399" s="3" t="inlineStr">
        <is>
          <t>생산관리지역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52000</v>
      </c>
      <c r="G1399" s="4" t="n">
        <v>625</v>
      </c>
      <c r="H1399" s="4" t="n">
        <v>189</v>
      </c>
      <c r="I1399" s="5" t="n">
        <v>275.1</v>
      </c>
      <c r="J1399" s="5" t="n">
        <v>49</v>
      </c>
      <c r="K1399" s="3" t="inlineStr">
        <is>
          <t>건축중인 토지관리지역</t>
        </is>
      </c>
      <c r="L1399" s="6">
        <f>HYPERLINK("https://fin.land.naver.com/articles/2646729509", "매물Link")</f>
        <v/>
      </c>
      <c r="M1399" s="6">
        <f>HYPERLINK("https://map.naver.com/p/search/오송읍 서평리 664-54", "지도Link")</f>
        <v/>
      </c>
      <c r="N1399" s="6">
        <f>HYPERLINK("https://www.eum.go.kr/web/mp/mpMapDet.jsp?pnu=4311325030106640054&amp;isNoScr=script&amp;mode=search",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625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오송읍 서평리 664-97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23000</v>
      </c>
      <c r="G1400" s="4" t="n">
        <v>591</v>
      </c>
      <c r="H1400" s="4" t="n">
        <v>179</v>
      </c>
      <c r="I1400" s="5" t="n">
        <v>128.5</v>
      </c>
      <c r="J1400" s="5" t="n">
        <v>38</v>
      </c>
      <c r="K1400" s="3" t="inlineStr">
        <is>
          <t>도로접한 토지</t>
        </is>
      </c>
      <c r="L1400" s="6">
        <f>HYPERLINK("https://fin.land.naver.com/articles/2644881990", "매물Link")</f>
        <v/>
      </c>
      <c r="M1400" s="6">
        <f>HYPERLINK("https://map.naver.com/p/search/오송읍 서평리 664-97", "지도Link")</f>
        <v/>
      </c>
      <c r="N1400" s="6">
        <f>HYPERLINK("https://www.eum.go.kr/web/mp/mpMapDet.jsp?pnu=4311325030106640097&amp;isNoScr=script&amp;mode=search", "토지이음")</f>
        <v/>
      </c>
      <c r="O1400" s="3" t="inlineStr">
        <is>
          <t>세종대박</t>
        </is>
      </c>
      <c r="P1400" s="4" t="n">
        <v>1</v>
      </c>
      <c r="Q1400" s="4" t="n">
        <v>591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서평리 88-1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39000</v>
      </c>
      <c r="G1401" s="4" t="n">
        <v>1289</v>
      </c>
      <c r="H1401" s="4" t="n">
        <v>390</v>
      </c>
      <c r="I1401" s="5" t="n">
        <v>100</v>
      </c>
      <c r="J1401" s="5" t="n">
        <v>38.8</v>
      </c>
      <c r="K1401" s="3" t="inlineStr">
        <is>
          <t>농사짓기 좋은 우량 농지 매매</t>
        </is>
      </c>
      <c r="L1401" s="6">
        <f>HYPERLINK("https://fin.land.naver.com/articles/2648014715", "매물Link")</f>
        <v/>
      </c>
      <c r="M1401" s="6">
        <f>HYPERLINK("https://map.naver.com/p/search/오송읍 서평리 88-1", "지도Link")</f>
        <v/>
      </c>
      <c r="N1401" s="6">
        <f>HYPERLINK("https://www.eum.go.kr/web/mp/mpMapDet.jsp?pnu=4311325030100880001&amp;isNoScr=script&amp;mode=search",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1289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세로각지(가)</t>
        </is>
      </c>
    </row>
    <row r="1402">
      <c r="A1402" s="3" t="inlineStr">
        <is>
          <t>오송읍 서평리 88-2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80700</v>
      </c>
      <c r="G1402" s="4" t="n">
        <v>2668</v>
      </c>
      <c r="H1402" s="4" t="n">
        <v>807</v>
      </c>
      <c r="I1402" s="5" t="n">
        <v>100</v>
      </c>
      <c r="J1402" s="5" t="n">
        <v>37.3</v>
      </c>
      <c r="K1402" s="3" t="inlineStr">
        <is>
          <t>경지정리 완료 농기계 진입 편리, 바로 농사 가능한 우량 농지 매매</t>
        </is>
      </c>
      <c r="L1402" s="6">
        <f>HYPERLINK("https://fin.land.naver.com/articles/2648014585", "매물Link")</f>
        <v/>
      </c>
      <c r="M1402" s="6">
        <f>HYPERLINK("https://map.naver.com/p/search/오송읍 서평리 88-2", "지도Link")</f>
        <v/>
      </c>
      <c r="N1402" s="6">
        <f>HYPERLINK("https://www.eum.go.kr/web/mp/mpMapDet.jsp?pnu=4311325030100880002&amp;isNoScr=script&amp;mode=search",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2668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세로한면(가)</t>
        </is>
      </c>
    </row>
    <row r="1403">
      <c r="A1403" s="3" t="inlineStr">
        <is>
          <t>오송읍 서평리 94-2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57300</v>
      </c>
      <c r="G1403" s="4" t="n">
        <v>1975</v>
      </c>
      <c r="H1403" s="4" t="n">
        <v>597</v>
      </c>
      <c r="I1403" s="5" t="n">
        <v>96</v>
      </c>
      <c r="J1403" s="5" t="n">
        <v>54.7</v>
      </c>
      <c r="K1403" s="3" t="inlineStr">
        <is>
          <t>오송제3산업단지(27.하반기 보상예정)인접하고 4차로 확장예정도로접함.</t>
        </is>
      </c>
      <c r="L1403" s="6">
        <f>HYPERLINK("https://fin.land.naver.com/articles/2650557460", "매물Link")</f>
        <v/>
      </c>
      <c r="M1403" s="6">
        <f>HYPERLINK("https://map.naver.com/p/search/오송읍 서평리 94-2", "지도Link")</f>
        <v/>
      </c>
      <c r="N1403" s="6">
        <f>HYPERLINK("https://www.eum.go.kr/web/mp/mpMapDet.jsp?pnu=4311325030100940002&amp;isNoScr=script&amp;mode=search",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1975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오송읍 쌍청리 108-1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145000</v>
      </c>
      <c r="G1404" s="4" t="n">
        <v>2382</v>
      </c>
      <c r="H1404" s="4" t="n">
        <v>721</v>
      </c>
      <c r="I1404" s="5" t="n">
        <v>201.1</v>
      </c>
      <c r="J1404" s="5" t="n">
        <v>70.09999999999999</v>
      </c>
      <c r="K1404" s="3" t="inlineStr">
        <is>
          <t>nan</t>
        </is>
      </c>
      <c r="L1404" s="6">
        <f>HYPERLINK("https://fin.land.naver.com/articles/2645419745", "매물Link")</f>
        <v/>
      </c>
      <c r="M1404" s="6">
        <f>HYPERLINK("https://map.naver.com/p/search/오송읍 쌍청리 108-1", "지도Link")</f>
        <v/>
      </c>
      <c r="N1404" s="6">
        <f>HYPERLINK("https://www.eum.go.kr/web/mp/mpMapDet.jsp?pnu=4311325024101080001&amp;isNoScr=script&amp;mode=search", "토지이음")</f>
        <v/>
      </c>
      <c r="O1404" s="3" t="inlineStr">
        <is>
          <t>세종큰길</t>
        </is>
      </c>
      <c r="P1404" s="4" t="n">
        <v>1</v>
      </c>
      <c r="Q1404" s="4" t="n">
        <v>456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108-31</t>
        </is>
      </c>
      <c r="B1405" s="3" t="inlineStr">
        <is>
          <t>계획관리지역</t>
        </is>
      </c>
      <c r="C1405" s="3" t="inlineStr">
        <is>
          <t>공장용지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30800</v>
      </c>
      <c r="G1405" s="4" t="n">
        <v>566</v>
      </c>
      <c r="H1405" s="4" t="n">
        <v>171</v>
      </c>
      <c r="I1405" s="5" t="n">
        <v>180.1</v>
      </c>
      <c r="J1405" s="5" t="n">
        <v>61</v>
      </c>
      <c r="K1405" s="3" t="inlineStr">
        <is>
          <t>접근성 좋은 토지,활용하기 좋은 토지 입니다</t>
        </is>
      </c>
      <c r="L1405" s="6">
        <f>HYPERLINK("https://fin.land.naver.com/articles/2645971921", "매물Link")</f>
        <v/>
      </c>
      <c r="M1405" s="6">
        <f>HYPERLINK("https://map.naver.com/p/search/오송읍 쌍청리 108-31", "지도Link")</f>
        <v/>
      </c>
      <c r="N1405" s="6">
        <f>HYPERLINK("https://www.eum.go.kr/web/mp/mpMapDet.jsp?pnu=4311325024101080031&amp;isNoScr=script&amp;mode=search", "토지이음")</f>
        <v/>
      </c>
      <c r="O1405" s="3" t="inlineStr">
        <is>
          <t>오송2단지창조</t>
        </is>
      </c>
      <c r="P1405" s="4" t="n">
        <v>1</v>
      </c>
      <c r="Q1405" s="4" t="n">
        <v>566</v>
      </c>
      <c r="R1405" s="3" t="inlineStr">
        <is>
          <t>지정되지않음</t>
        </is>
      </c>
      <c r="S1405" s="3" t="inlineStr">
        <is>
          <t>공업나지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100000</v>
      </c>
      <c r="G1406" s="4" t="n">
        <v>1701</v>
      </c>
      <c r="H1406" s="4" t="n">
        <v>515</v>
      </c>
      <c r="I1406" s="5" t="n">
        <v>194.2</v>
      </c>
      <c r="J1406" s="5" t="n">
        <v>59.3</v>
      </c>
      <c r="K1406" s="3" t="inlineStr">
        <is>
          <t>오송신도시의 계획관리지역으로 투자가치가 좋음</t>
        </is>
      </c>
      <c r="L1406" s="6">
        <f>HYPERLINK("https://fin.land.naver.com/articles/2647916765", "매물Link")</f>
        <v/>
      </c>
      <c r="M1406" s="6">
        <f>HYPERLINK("https://map.naver.com/p/search/오송읍 쌍청리 117-16", "지도Link")</f>
        <v/>
      </c>
      <c r="N1406" s="6">
        <f>HYPERLINK("https://www.eum.go.kr/web/mp/mpMapDet.jsp?pnu=4311325024101170016&amp;isNoScr=script&amp;mode=search",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대</t>
        </is>
      </c>
      <c r="E1407" s="3" t="inlineStr">
        <is>
          <t>매매</t>
        </is>
      </c>
      <c r="F1407" s="4" t="n">
        <v>32000</v>
      </c>
      <c r="G1407" s="4" t="n">
        <v>783</v>
      </c>
      <c r="H1407" s="4" t="n">
        <v>237</v>
      </c>
      <c r="I1407" s="5" t="n">
        <v>135</v>
      </c>
      <c r="J1407" s="5" t="n">
        <v>59.3</v>
      </c>
      <c r="K1407" s="3" t="inlineStr">
        <is>
          <t>동향을 바라보며 지대가 좀 높은 지역에 위치하는 전원주택지</t>
        </is>
      </c>
      <c r="L1407" s="6">
        <f>HYPERLINK("https://fin.land.naver.com/articles/2644439011", "매물Link")</f>
        <v/>
      </c>
      <c r="M1407" s="6">
        <f>HYPERLINK("https://map.naver.com/p/search/오송읍 쌍청리 117-16", "지도Link")</f>
        <v/>
      </c>
      <c r="N1407" s="6">
        <f>HYPERLINK("https://www.eum.go.kr/web/mp/mpMapDet.jsp?pnu=4311325024101170016&amp;isNoScr=script&amp;mode=search", "토지이음")</f>
        <v/>
      </c>
      <c r="O1407" s="3" t="inlineStr">
        <is>
          <t>오송랜드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65000</v>
      </c>
      <c r="G1408" s="4" t="n">
        <v>1701</v>
      </c>
      <c r="H1408" s="4" t="n">
        <v>515</v>
      </c>
      <c r="I1408" s="5" t="n">
        <v>126.2</v>
      </c>
      <c r="J1408" s="5" t="n">
        <v>59.3</v>
      </c>
      <c r="K1408" s="3" t="inlineStr">
        <is>
          <t>오송 생활권 도로접근 계획관리 개발검토 토지</t>
        </is>
      </c>
      <c r="L1408" s="6">
        <f>HYPERLINK("https://fin.land.naver.com/articles/2648110924", "매물Link")</f>
        <v/>
      </c>
      <c r="M1408" s="6">
        <f>HYPERLINK("https://map.naver.com/p/search/오송읍 쌍청리 117-16", "지도Link")</f>
        <v/>
      </c>
      <c r="N1408" s="6">
        <f>HYPERLINK("https://www.eum.go.kr/web/mp/mpMapDet.jsp?pnu=4311325024101170016&amp;isNoScr=script&amp;mode=search", "토지이음")</f>
        <v/>
      </c>
      <c r="O1408" s="3" t="inlineStr">
        <is>
          <t>세종소담황금</t>
        </is>
      </c>
      <c r="P1408" s="4" t="n">
        <v>1</v>
      </c>
      <c r="Q1408" s="4" t="n">
        <v>1701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124-3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23100</v>
      </c>
      <c r="G1409" s="4" t="n">
        <v>362</v>
      </c>
      <c r="H1409" s="4" t="n">
        <v>110</v>
      </c>
      <c r="I1409" s="5" t="n">
        <v>210</v>
      </c>
      <c r="J1409" s="5" t="n">
        <v>69</v>
      </c>
      <c r="K1409" s="3" t="inlineStr">
        <is>
          <t>오송 제1 생명과학단지 내주변 토지 매매</t>
        </is>
      </c>
      <c r="L1409" s="6">
        <f>HYPERLINK("https://fin.land.naver.com/articles/2648085254", "매물Link")</f>
        <v/>
      </c>
      <c r="M1409" s="6">
        <f>HYPERLINK("https://map.naver.com/p/search/오송읍 쌍청리 124-3", "지도Link")</f>
        <v/>
      </c>
      <c r="N1409" s="6">
        <f>HYPERLINK("https://www.eum.go.kr/web/mp/mpMapDet.jsp?pnu=4311325024101240003&amp;isNoScr=script&amp;mode=search",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362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쌍청리 165-3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53000</v>
      </c>
      <c r="G1410" s="4" t="n">
        <v>751</v>
      </c>
      <c r="H1410" s="4" t="n">
        <v>227</v>
      </c>
      <c r="I1410" s="5" t="n">
        <v>233.5</v>
      </c>
      <c r="J1410" s="5" t="n">
        <v>48.6</v>
      </c>
      <c r="K1410" s="3" t="inlineStr">
        <is>
          <t>매매. 임대. 2가지 선택지 임대 임차인 원하면 근린생활시설 신축</t>
        </is>
      </c>
      <c r="L1410" s="6">
        <f>HYPERLINK("https://fin.land.naver.com/articles/2644762873", "매물Link")</f>
        <v/>
      </c>
      <c r="M1410" s="6">
        <f>HYPERLINK("https://map.naver.com/p/search/오송읍 쌍청리 165-3", "지도Link")</f>
        <v/>
      </c>
      <c r="N1410" s="6">
        <f>HYPERLINK("https://www.eum.go.kr/web/mp/mpMapDet.jsp?pnu=4311325024101650003&amp;isNoScr=script&amp;mode=search",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751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오송읍 쌍청리 29-1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53500</v>
      </c>
      <c r="G1411" s="4" t="n">
        <v>2266</v>
      </c>
      <c r="H1411" s="4" t="n">
        <v>685</v>
      </c>
      <c r="I1411" s="5" t="n">
        <v>78.09999999999999</v>
      </c>
      <c r="J1411" s="5" t="n">
        <v>31.9</v>
      </c>
      <c r="K1411" s="3" t="inlineStr">
        <is>
          <t>대한제지 인근 오송역 근거리 농림지역 토지 급매  도로접함  대토에 적합</t>
        </is>
      </c>
      <c r="L1411" s="6">
        <f>HYPERLINK("https://fin.land.naver.com/articles/2648940181", "매물Link")</f>
        <v/>
      </c>
      <c r="M1411" s="6">
        <f>HYPERLINK("https://map.naver.com/p/search/오송읍 쌍청리 29-1", "지도Link")</f>
        <v/>
      </c>
      <c r="N1411" s="6">
        <f>HYPERLINK("https://www.eum.go.kr/web/mp/mpMapDet.jsp?pnu=4311325024100290001&amp;isNoScr=script&amp;mode=search", "토지이음")</f>
        <v/>
      </c>
      <c r="O1411" s="3" t="inlineStr">
        <is>
          <t>오송퍼스트영웅</t>
        </is>
      </c>
      <c r="P1411" s="4" t="n">
        <v>1</v>
      </c>
      <c r="Q1411" s="4" t="n">
        <v>2266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쌍청리 317-5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110000</v>
      </c>
      <c r="G1412" s="4" t="n">
        <v>1297</v>
      </c>
      <c r="H1412" s="4" t="n">
        <v>392</v>
      </c>
      <c r="I1412" s="5" t="n">
        <v>280.6</v>
      </c>
      <c r="J1412" s="5" t="n">
        <v>109.6</v>
      </c>
      <c r="K1412" s="3" t="inlineStr">
        <is>
          <t>4차선도로 예정지, 근생시설이나 사옥 적합</t>
        </is>
      </c>
      <c r="L1412" s="6">
        <f>HYPERLINK("https://fin.land.naver.com/articles/2646721847", "매물Link")</f>
        <v/>
      </c>
      <c r="M1412" s="6">
        <f>HYPERLINK("https://map.naver.com/p/search/오송읍 쌍청리 317-5", "지도Link")</f>
        <v/>
      </c>
      <c r="N1412" s="6">
        <f>HYPERLINK("https://www.eum.go.kr/web/mp/mpMapDet.jsp?pnu=4311325024103170005&amp;isNoScr=script&amp;mode=search", "토지이음")</f>
        <v/>
      </c>
      <c r="O1412" s="3" t="inlineStr">
        <is>
          <t>오송타운</t>
        </is>
      </c>
      <c r="P1412" s="4" t="n">
        <v>1</v>
      </c>
      <c r="Q1412" s="4" t="n">
        <v>856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317-7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118000</v>
      </c>
      <c r="G1413" s="4" t="n">
        <v>1297</v>
      </c>
      <c r="H1413" s="4" t="n">
        <v>392</v>
      </c>
      <c r="I1413" s="5" t="n">
        <v>301</v>
      </c>
      <c r="J1413" s="5" t="n">
        <v>111.3</v>
      </c>
      <c r="K1413" s="3" t="inlineStr">
        <is>
          <t>식약청인접한 2차선 지방도접 사옥부지 또는 근생 용지 추천물건</t>
        </is>
      </c>
      <c r="L1413" s="6">
        <f>HYPERLINK("https://fin.land.naver.com/articles/2646748950", "매물Link")</f>
        <v/>
      </c>
      <c r="M1413" s="6">
        <f>HYPERLINK("https://map.naver.com/p/search/오송읍 쌍청리 317-7", "지도Link")</f>
        <v/>
      </c>
      <c r="N1413" s="6">
        <f>HYPERLINK("https://www.eum.go.kr/web/mp/mpMapDet.jsp?pnu=4311325024103170007&amp;isNoScr=script&amp;mode=search",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441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오송읍 쌍청리 429-4</t>
        </is>
      </c>
      <c r="B1414" s="3" t="inlineStr">
        <is>
          <t>농림지역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73800</v>
      </c>
      <c r="G1414" s="4" t="n">
        <v>2440</v>
      </c>
      <c r="H1414" s="4" t="n">
        <v>738</v>
      </c>
      <c r="I1414" s="5" t="n">
        <v>100</v>
      </c>
      <c r="J1414" s="5" t="n">
        <v>35.7</v>
      </c>
      <c r="K1414" s="3" t="inlineStr">
        <is>
          <t>꿀배 꿀사과 전용 과수원 정사각으로 예쁜땅 오송의 최적의 투자 요충지</t>
        </is>
      </c>
      <c r="L1414" s="6">
        <f>HYPERLINK("https://fin.land.naver.com/articles/2644848238", "매물Link")</f>
        <v/>
      </c>
      <c r="M1414" s="6">
        <f>HYPERLINK("https://map.naver.com/p/search/오송읍 쌍청리 429-4", "지도Link")</f>
        <v/>
      </c>
      <c r="N1414" s="6">
        <f>HYPERLINK("https://www.eum.go.kr/web/mp/mpMapDet.jsp?pnu=4311325024104290004&amp;isNoScr=script&amp;mode=search", "토지이음")</f>
        <v/>
      </c>
      <c r="O1414" s="3" t="inlineStr">
        <is>
          <t>대한</t>
        </is>
      </c>
      <c r="P1414" s="4" t="n">
        <v>1</v>
      </c>
      <c r="Q1414" s="4" t="n">
        <v>2440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쌍청리 454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121200</v>
      </c>
      <c r="G1415" s="4" t="n">
        <v>4000</v>
      </c>
      <c r="H1415" s="4" t="n">
        <v>1210</v>
      </c>
      <c r="I1415" s="5" t="n">
        <v>100.2</v>
      </c>
      <c r="J1415" s="5" t="n">
        <v>35.7</v>
      </c>
      <c r="K1415" s="3" t="inlineStr">
        <is>
          <t>오송읍 쌍청리에 있는 토지로 현재 답으로 이용중임</t>
        </is>
      </c>
      <c r="L1415" s="6">
        <f>HYPERLINK("https://fin.land.naver.com/articles/2644691182", "매물Link")</f>
        <v/>
      </c>
      <c r="M1415" s="6">
        <f>HYPERLINK("https://map.naver.com/p/search/오송읍 쌍청리 454", "지도Link")</f>
        <v/>
      </c>
      <c r="N1415" s="6">
        <f>HYPERLINK("https://www.eum.go.kr/web/mp/mpMapDet.jsp?pnu=4311325024104540000&amp;isNoScr=script&amp;mode=search", "토지이음")</f>
        <v/>
      </c>
      <c r="O1415" s="3" t="inlineStr">
        <is>
          <t>산성</t>
        </is>
      </c>
      <c r="P1415" s="4" t="n">
        <v>1</v>
      </c>
      <c r="Q1415" s="4" t="n">
        <v>4000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세로한면(가)</t>
        </is>
      </c>
    </row>
    <row r="1416">
      <c r="A1416" s="3" t="inlineStr">
        <is>
          <t>오송읍 쌍청리 463</t>
        </is>
      </c>
      <c r="B1416" s="3" t="inlineStr">
        <is>
          <t>농림지역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105000</v>
      </c>
      <c r="G1416" s="4" t="n">
        <v>4182</v>
      </c>
      <c r="H1416" s="4" t="n">
        <v>1265</v>
      </c>
      <c r="I1416" s="5" t="n">
        <v>83</v>
      </c>
      <c r="J1416" s="5" t="n">
        <v>35.7</v>
      </c>
      <c r="K1416" s="3" t="inlineStr">
        <is>
          <t>nan</t>
        </is>
      </c>
      <c r="L1416" s="6">
        <f>HYPERLINK("https://fin.land.naver.com/articles/2648912962", "매물Link")</f>
        <v/>
      </c>
      <c r="M1416" s="6">
        <f>HYPERLINK("https://map.naver.com/p/search/오송읍 쌍청리 463", "지도Link")</f>
        <v/>
      </c>
      <c r="N1416" s="6">
        <f>HYPERLINK("https://www.eum.go.kr/web/mp/mpMapDet.jsp?pnu=4311325024104630000&amp;isNoScr=script&amp;mode=search",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4182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세로한면(가)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172000</v>
      </c>
      <c r="G1417" s="4" t="n">
        <v>2188</v>
      </c>
      <c r="H1417" s="4" t="n">
        <v>662</v>
      </c>
      <c r="I1417" s="5" t="n">
        <v>259.8</v>
      </c>
      <c r="J1417" s="5" t="n">
        <v>67.5</v>
      </c>
      <c r="K1417" s="3" t="inlineStr">
        <is>
          <t>계획관리 성장관리 계획 구역 오송역 인근 오스크 컨벤션 오픈 중</t>
        </is>
      </c>
      <c r="L1417" s="6">
        <f>HYPERLINK("https://fin.land.naver.com/articles/2644752613", "매물Link")</f>
        <v/>
      </c>
      <c r="M1417" s="6">
        <f>HYPERLINK("https://map.naver.com/p/search/오송읍 쌍청리 498", "지도Link")</f>
        <v/>
      </c>
      <c r="N1417" s="6">
        <f>HYPERLINK("https://www.eum.go.kr/web/mp/mpMapDet.jsp?pnu=4311325024104980000&amp;isNoScr=script&amp;mode=search",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2188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HYPERLINK("https://www.eum.go.kr/web/mp/mpMapDet.jsp?pnu=4311325024104980000&amp;isNoScr=script&amp;mode=search", "토지이음")</f>
        <v/>
      </c>
      <c r="O1418" s="3" t="inlineStr">
        <is>
          <t>오송k랜드</t>
        </is>
      </c>
      <c r="P1418" s="4" t="n">
        <v>1</v>
      </c>
      <c r="Q1418" s="4" t="n">
        <v>2099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자루형</t>
        </is>
      </c>
      <c r="V1418" s="3" t="inlineStr">
        <is>
          <t>세로한면(불)</t>
        </is>
      </c>
    </row>
    <row r="1419">
      <c r="A1419" s="3" t="inlineStr">
        <is>
          <t>오송읍 쌍청리 539-2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30000</v>
      </c>
      <c r="G1419" s="4" t="n">
        <v>4122</v>
      </c>
      <c r="H1419" s="4" t="n">
        <v>1247</v>
      </c>
      <c r="I1419" s="5" t="n">
        <v>24.1</v>
      </c>
      <c r="J1419" s="5" t="n">
        <v>18</v>
      </c>
      <c r="K1419" s="3" t="inlineStr">
        <is>
          <t>오송읍 쌍청리 농지 급매 농지원부 대토 투자 장기보유등 추천</t>
        </is>
      </c>
      <c r="L1419" s="6">
        <f>HYPERLINK("https://fin.land.naver.com/articles/2645376783", "매물Link")</f>
        <v/>
      </c>
      <c r="M1419" s="6">
        <f>HYPERLINK("https://map.naver.com/p/search/오송읍 쌍청리 539-2", "지도Link")</f>
        <v/>
      </c>
      <c r="N1419" s="6">
        <f>HYPERLINK("https://www.eum.go.kr/web/mp/mpMapDet.jsp?pnu=4311325024105390002&amp;isNoScr=script&amp;mode=search", "토지이음")</f>
        <v/>
      </c>
      <c r="O1419" s="3" t="inlineStr">
        <is>
          <t>그린</t>
        </is>
      </c>
      <c r="P1419" s="4" t="n">
        <v>1</v>
      </c>
      <c r="Q1419" s="4" t="n">
        <v>2208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맹지</t>
        </is>
      </c>
    </row>
    <row r="1420">
      <c r="A1420" s="3" t="inlineStr">
        <is>
          <t>오송읍 연제리 527-1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88000</v>
      </c>
      <c r="G1420" s="4" t="n">
        <v>1825</v>
      </c>
      <c r="H1420" s="4" t="n">
        <v>552</v>
      </c>
      <c r="I1420" s="5" t="n">
        <v>159.4</v>
      </c>
      <c r="J1420" s="5" t="n">
        <v>59.4</v>
      </c>
      <c r="K1420" s="3" t="inlineStr">
        <is>
          <t>KTX오송역 인근 계획관리지역 큰평수</t>
        </is>
      </c>
      <c r="L1420" s="6">
        <f>HYPERLINK("https://fin.land.naver.com/articles/2649678918", "매물Link")</f>
        <v/>
      </c>
      <c r="M1420" s="6">
        <f>HYPERLINK("https://map.naver.com/p/search/오송읍 연제리 527-1", "지도Link")</f>
        <v/>
      </c>
      <c r="N1420" s="6">
        <f>HYPERLINK("https://www.eum.go.kr/web/mp/mpMapDet.jsp?pnu=4311325026105270001&amp;isNoScr=script&amp;mode=search", "토지이음")</f>
        <v/>
      </c>
      <c r="O1420" s="3" t="inlineStr">
        <is>
          <t>굿타임</t>
        </is>
      </c>
      <c r="P1420" s="4" t="n">
        <v>2</v>
      </c>
      <c r="Q1420" s="4" t="n">
        <v>1825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연제리 539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493</v>
      </c>
      <c r="H1421" s="4" t="n">
        <v>149</v>
      </c>
      <c r="I1421" s="5" t="n">
        <v>369.1</v>
      </c>
      <c r="J1421" s="5" t="n">
        <v>115.7</v>
      </c>
      <c r="K1421" s="3" t="inlineStr">
        <is>
          <t>오송 호수공원 근접, 활용도 높은 토지 매매</t>
        </is>
      </c>
      <c r="L1421" s="6">
        <f>HYPERLINK("https://fin.land.naver.com/articles/2650595801", "매물Link")</f>
        <v/>
      </c>
      <c r="M1421" s="6">
        <f>HYPERLINK("https://map.naver.com/p/search/오송읍 연제리 539", "지도Link")</f>
        <v/>
      </c>
      <c r="N1421" s="6">
        <f>HYPERLINK("https://www.eum.go.kr/web/mp/mpMapDet.jsp?pnu=4311325026105390000&amp;isNoScr=script&amp;mode=search", "토지이음")</f>
        <v/>
      </c>
      <c r="O1421" s="3" t="inlineStr">
        <is>
          <t>광장</t>
        </is>
      </c>
      <c r="P1421" s="4" t="n">
        <v>1</v>
      </c>
      <c r="Q1421" s="4" t="n">
        <v>493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세로각지(가)</t>
        </is>
      </c>
    </row>
    <row r="1422">
      <c r="A1422" s="3" t="inlineStr">
        <is>
          <t>오송읍 연제리 664-2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2000000</v>
      </c>
      <c r="G1422" s="4" t="n">
        <v>9917</v>
      </c>
      <c r="H1422" s="4" t="n">
        <v>3000</v>
      </c>
      <c r="I1422" s="5" t="n">
        <v>666.7</v>
      </c>
      <c r="J1422" s="5" t="n">
        <v>199.2</v>
      </c>
      <c r="K1422" s="3" t="inlineStr">
        <is>
          <t>현재 가치는 물론 오송 개발과 산업 인프라 확장에 따른 미래가치까지 기대</t>
        </is>
      </c>
      <c r="L1422" s="6">
        <f>HYPERLINK("https://fin.land.naver.com/articles/2650115117", "매물Link")</f>
        <v/>
      </c>
      <c r="M1422" s="6">
        <f>HYPERLINK("https://map.naver.com/p/search/오송읍 연제리 664-2", "지도Link")</f>
        <v/>
      </c>
      <c r="N1422" s="6">
        <f>HYPERLINK("https://www.eum.go.kr/web/mp/mpMapDet.jsp?pnu=4311325026106640002&amp;isNoScr=script&amp;mode=search", "토지이음")</f>
        <v/>
      </c>
      <c r="O1422" s="3" t="inlineStr">
        <is>
          <t>대한</t>
        </is>
      </c>
      <c r="P1422" s="4" t="n">
        <v>1</v>
      </c>
      <c r="Q1422" s="4" t="n">
        <v>4958.7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nan</t>
        </is>
      </c>
      <c r="L1423" s="6">
        <f>HYPERLINK("https://fin.land.naver.com/articles/2646041860", "매물Link")</f>
        <v/>
      </c>
      <c r="M1423" s="6">
        <f>HYPERLINK("https://map.naver.com/p/search/오송읍 연제리 668", "지도Link")</f>
        <v/>
      </c>
      <c r="N1423" s="6">
        <f>HYPERLINK("https://www.eum.go.kr/web/mp/mpMapDet.jsp?pnu=4311325026106680000&amp;isNoScr=script&amp;mode=search", "토지이음")</f>
        <v/>
      </c>
      <c r="O1423" s="3" t="inlineStr">
        <is>
          <t>바른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668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820000</v>
      </c>
      <c r="G1424" s="4" t="n">
        <v>1593</v>
      </c>
      <c r="H1424" s="4" t="n">
        <v>482</v>
      </c>
      <c r="I1424" s="5" t="n">
        <v>1701.2</v>
      </c>
      <c r="J1424" s="5" t="n">
        <v>619.8</v>
      </c>
      <c r="K1424" s="3" t="inlineStr">
        <is>
          <t>외1필지 호텔이나 오피스텔로 투자 적합</t>
        </is>
      </c>
      <c r="L1424" s="6">
        <f>HYPERLINK("https://fin.land.naver.com/articles/2650139636", "매물Link")</f>
        <v/>
      </c>
      <c r="M1424" s="6">
        <f>HYPERLINK("https://map.naver.com/p/search/오송읍 연제리 668", "지도Link")</f>
        <v/>
      </c>
      <c r="N1424" s="6">
        <f>HYPERLINK("https://www.eum.go.kr/web/mp/mpMapDet.jsp?pnu=4311325026106680000&amp;isNoScr=script&amp;mode=search", "토지이음")</f>
        <v/>
      </c>
      <c r="O1424" s="3" t="inlineStr">
        <is>
          <t>옥산하늘채 주식회사</t>
        </is>
      </c>
      <c r="P1424" s="4" t="n">
        <v>1</v>
      </c>
      <c r="Q1424" s="4" t="n">
        <v>803.1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광대소각</t>
        </is>
      </c>
    </row>
    <row r="1425">
      <c r="A1425" s="3" t="inlineStr">
        <is>
          <t>오송읍 연제리 692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135000</v>
      </c>
      <c r="G1425" s="4" t="n">
        <v>593</v>
      </c>
      <c r="H1425" s="4" t="n">
        <v>179</v>
      </c>
      <c r="I1425" s="5" t="n">
        <v>754.2</v>
      </c>
      <c r="J1425" s="5" t="n">
        <v>301.3</v>
      </c>
      <c r="K1425" s="3" t="inlineStr">
        <is>
          <t>nan</t>
        </is>
      </c>
      <c r="L1425" s="6">
        <f>HYPERLINK("https://fin.land.naver.com/articles/2648135693", "매물Link")</f>
        <v/>
      </c>
      <c r="M1425" s="6">
        <f>HYPERLINK("https://map.naver.com/p/search/오송읍 연제리 692", "지도Link")</f>
        <v/>
      </c>
      <c r="N1425" s="6">
        <f>HYPERLINK("https://www.eum.go.kr/web/mp/mpMapDet.jsp?pnu=4311325026106920000&amp;isNoScr=script&amp;mode=search", "토지이음")</f>
        <v/>
      </c>
      <c r="O1425" s="3" t="inlineStr">
        <is>
          <t>오송퍼스트영웅</t>
        </is>
      </c>
      <c r="P1425" s="4" t="n">
        <v>1</v>
      </c>
      <c r="Q1425" s="4" t="n">
        <v>593.3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703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270000</v>
      </c>
      <c r="G1426" s="4" t="n">
        <v>690</v>
      </c>
      <c r="H1426" s="4" t="n">
        <v>209</v>
      </c>
      <c r="I1426" s="5" t="n">
        <v>1291.9</v>
      </c>
      <c r="J1426" s="5" t="n">
        <v>809.3</v>
      </c>
      <c r="K1426" s="3" t="inlineStr">
        <is>
          <t>일반 상업지역, 상업 나지</t>
        </is>
      </c>
      <c r="L1426" s="6">
        <f>HYPERLINK("https://fin.land.naver.com/articles/2647673845", "매물Link")</f>
        <v/>
      </c>
      <c r="M1426" s="6">
        <f>HYPERLINK("https://map.naver.com/p/search/오송읍 연제리 703", "지도Link")</f>
        <v/>
      </c>
      <c r="N1426" s="6">
        <f>HYPERLINK("https://www.eum.go.kr/web/mp/mpMapDet.jsp?pnu=4311325026107030000&amp;isNoScr=script&amp;mode=search", "토지이음")</f>
        <v/>
      </c>
      <c r="O1426" s="3" t="inlineStr">
        <is>
          <t>딜  중개</t>
        </is>
      </c>
      <c r="P1426" s="4" t="n">
        <v>1</v>
      </c>
      <c r="Q1426" s="4" t="n">
        <v>690.3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연제리 773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</v>
      </c>
      <c r="G1427" s="4" t="n">
        <v>260</v>
      </c>
      <c r="H1427" s="4" t="n">
        <v>79</v>
      </c>
      <c r="I1427" s="5" t="n">
        <v>443</v>
      </c>
      <c r="J1427" s="5" t="n">
        <v>227</v>
      </c>
      <c r="K1427" s="3" t="inlineStr">
        <is>
          <t>호수공원 인접 오송역 도보 이용 가능</t>
        </is>
      </c>
      <c r="L1427" s="6">
        <f>HYPERLINK("https://fin.land.naver.com/articles/2645860009", "매물Link")</f>
        <v/>
      </c>
      <c r="M1427" s="6">
        <f>HYPERLINK("https://map.naver.com/p/search/오송읍 연제리 773", "지도Link")</f>
        <v/>
      </c>
      <c r="N1427" s="6">
        <f>HYPERLINK("https://www.eum.go.kr/web/mp/mpMapDet.jsp?pnu=4311325026107730000&amp;isNoScr=script&amp;mode=search", "토지이음")</f>
        <v/>
      </c>
      <c r="O1427" s="3" t="inlineStr">
        <is>
          <t>오송베스트</t>
        </is>
      </c>
      <c r="P1427" s="4" t="n">
        <v>1</v>
      </c>
      <c r="Q1427" s="4" t="n">
        <v>260.4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오송읍 오송리 206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86000</v>
      </c>
      <c r="G1428" s="4" t="n">
        <v>635</v>
      </c>
      <c r="H1428" s="4" t="n">
        <v>192</v>
      </c>
      <c r="I1428" s="5" t="n">
        <v>447.9</v>
      </c>
      <c r="J1428" s="5" t="n">
        <v>168.2</v>
      </c>
      <c r="K1428" s="3" t="inlineStr">
        <is>
          <t>대단지 아파트 앞 코너 땅, 8m 도로</t>
        </is>
      </c>
      <c r="L1428" s="6">
        <f>HYPERLINK("https://fin.land.naver.com/articles/2645194580", "매물Link")</f>
        <v/>
      </c>
      <c r="M1428" s="6">
        <f>HYPERLINK("https://map.naver.com/p/search/오송읍 오송리 206", "지도Link")</f>
        <v/>
      </c>
      <c r="N1428" s="6">
        <f>HYPERLINK("https://www.eum.go.kr/web/mp/mpMapDet.jsp?pnu=4311325028102060000&amp;isNoScr=script&amp;mode=search", "토지이음")</f>
        <v/>
      </c>
      <c r="O1428" s="3" t="inlineStr">
        <is>
          <t>세종큰길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주거기타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오송읍 오송리 206-3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96000</v>
      </c>
      <c r="G1429" s="4" t="n">
        <v>635</v>
      </c>
      <c r="H1429" s="4" t="n">
        <v>192</v>
      </c>
      <c r="I1429" s="5" t="n">
        <v>500</v>
      </c>
      <c r="J1429" s="5" t="n">
        <v>159.6</v>
      </c>
      <c r="K1429" s="3" t="inlineStr">
        <is>
          <t>힐스테이트 오송역퍼스트 앞 토지 매매</t>
        </is>
      </c>
      <c r="L1429" s="6">
        <f>HYPERLINK("https://fin.land.naver.com/articles/2648085186", "매물Link")</f>
        <v/>
      </c>
      <c r="M1429" s="6">
        <f>HYPERLINK("https://map.naver.com/p/search/오송읍 오송리 206-3", "지도Link")</f>
        <v/>
      </c>
      <c r="N1429" s="6">
        <f>HYPERLINK("https://www.eum.go.kr/web/mp/mpMapDet.jsp?pnu=4311325028102060003&amp;isNoScr=script&amp;mode=search", "토지이음")</f>
        <v/>
      </c>
      <c r="O1429" s="3" t="inlineStr">
        <is>
          <t>365</t>
        </is>
      </c>
      <c r="P1429" s="4" t="n">
        <v>1</v>
      </c>
      <c r="Q1429" s="4" t="n">
        <v>295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세로각지(가)</t>
        </is>
      </c>
    </row>
    <row r="1430">
      <c r="A1430" s="3" t="inlineStr">
        <is>
          <t>오송읍 오송리 224-2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81500</v>
      </c>
      <c r="G1430" s="4" t="n">
        <v>538</v>
      </c>
      <c r="H1430" s="4" t="n">
        <v>163</v>
      </c>
      <c r="I1430" s="5" t="n">
        <v>500</v>
      </c>
      <c r="J1430" s="5" t="n">
        <v>136.5</v>
      </c>
      <c r="K1430" s="3" t="inlineStr">
        <is>
          <t>3산단초입 투자물건 2필지</t>
        </is>
      </c>
      <c r="L1430" s="6">
        <f>HYPERLINK("https://fin.land.naver.com/articles/2649702680", "매물Link")</f>
        <v/>
      </c>
      <c r="M1430" s="6">
        <f>HYPERLINK("https://map.naver.com/p/search/오송읍 오송리 224-2", "지도Link")</f>
        <v/>
      </c>
      <c r="N1430" s="6">
        <f>HYPERLINK("https://www.eum.go.kr/web/mp/mpMapDet.jsp?pnu=4311325028102240002&amp;isNoScr=script&amp;mode=search", "토지이음")</f>
        <v/>
      </c>
      <c r="O1430" s="3" t="inlineStr">
        <is>
          <t>금송</t>
        </is>
      </c>
      <c r="P1430" s="4" t="n">
        <v>1</v>
      </c>
      <c r="Q1430" s="4" t="n">
        <v>182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오송리 242-2</t>
        </is>
      </c>
      <c r="B1431" s="3" t="inlineStr">
        <is>
          <t>계획관리지역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245000</v>
      </c>
      <c r="G1431" s="4" t="n">
        <v>810</v>
      </c>
      <c r="H1431" s="4" t="n">
        <v>245</v>
      </c>
      <c r="I1431" s="5" t="n">
        <v>1000</v>
      </c>
      <c r="J1431" s="5" t="n">
        <v>313.2</v>
      </c>
      <c r="K1431" s="3" t="inlineStr">
        <is>
          <t>6차선변 주유소현 휴업중 매매</t>
        </is>
      </c>
      <c r="L1431" s="6">
        <f>HYPERLINK("https://fin.land.naver.com/articles/2647193813", "매물Link")</f>
        <v/>
      </c>
      <c r="M1431" s="6">
        <f>HYPERLINK("https://map.naver.com/p/search/오송읍 오송리 242-2", "지도Link")</f>
        <v/>
      </c>
      <c r="N1431" s="6">
        <f>HYPERLINK("https://www.eum.go.kr/web/mp/mpMapDet.jsp?pnu=4311325028102420002&amp;isNoScr=script&amp;mode=search", "토지이음")</f>
        <v/>
      </c>
      <c r="O1431" s="3" t="inlineStr">
        <is>
          <t>한국토지중개</t>
        </is>
      </c>
      <c r="P1431" s="4" t="n">
        <v>1</v>
      </c>
      <c r="Q1431" s="4" t="n">
        <v>810</v>
      </c>
      <c r="R1431" s="3" t="inlineStr">
        <is>
          <t>지정되지않음</t>
        </is>
      </c>
      <c r="S1431" s="3" t="inlineStr">
        <is>
          <t>주상용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광대로한면</t>
        </is>
      </c>
    </row>
    <row r="1432">
      <c r="A1432" s="3" t="inlineStr">
        <is>
          <t>오송읍 오송리 242-21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32000</v>
      </c>
      <c r="G1432" s="4" t="n">
        <v>300</v>
      </c>
      <c r="H1432" s="4" t="n">
        <v>91</v>
      </c>
      <c r="I1432" s="5" t="n">
        <v>351.6</v>
      </c>
      <c r="J1432" s="5" t="n">
        <v>84.5</v>
      </c>
      <c r="K1432" s="3" t="inlineStr">
        <is>
          <t>3산단 예정지 배후, 임대수익형 다가구 자리
3산단 배후지, 임대수익형</t>
        </is>
      </c>
      <c r="L1432" s="6">
        <f>HYPERLINK("https://fin.land.naver.com/articles/2649702126", "매물Link")</f>
        <v/>
      </c>
      <c r="M1432" s="6">
        <f>HYPERLINK("https://map.naver.com/p/search/오송읍 오송리 242-21", "지도Link")</f>
        <v/>
      </c>
      <c r="N1432" s="6">
        <f>HYPERLINK("https://www.eum.go.kr/web/mp/mpMapDet.jsp?pnu=4311325028102420021&amp;isNoScr=script&amp;mode=search", "토지이음")</f>
        <v/>
      </c>
      <c r="O1432" s="3" t="inlineStr">
        <is>
          <t>금송</t>
        </is>
      </c>
      <c r="P1432" s="4" t="n">
        <v>1</v>
      </c>
      <c r="Q1432" s="4" t="n">
        <v>165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오송리 245-4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120000</v>
      </c>
      <c r="G1433" s="4" t="n">
        <v>976</v>
      </c>
      <c r="H1433" s="4" t="n">
        <v>295</v>
      </c>
      <c r="I1433" s="5" t="n">
        <v>406.8</v>
      </c>
      <c r="J1433" s="5" t="n">
        <v>103.7</v>
      </c>
      <c r="K1433" s="3" t="inlineStr">
        <is>
          <t>오송3리 오송천주교회와 3산산단 경계부의 사업용 토지</t>
        </is>
      </c>
      <c r="L1433" s="6">
        <f>HYPERLINK("https://fin.land.naver.com/articles/2649169945", "매물Link")</f>
        <v/>
      </c>
      <c r="M1433" s="6">
        <f>HYPERLINK("https://map.naver.com/p/search/오송읍 오송리 245-4", "지도Link")</f>
        <v/>
      </c>
      <c r="N1433" s="6">
        <f>HYPERLINK("https://www.eum.go.kr/web/mp/mpMapDet.jsp?pnu=4311325028102450004&amp;isNoScr=script&amp;mode=search",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700</v>
      </c>
      <c r="R1433" s="3" t="inlineStr">
        <is>
          <t>지정되지않음</t>
        </is>
      </c>
      <c r="S1433" s="3" t="inlineStr">
        <is>
          <t>답기타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오송리 246-52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150000</v>
      </c>
      <c r="G1434" s="4" t="n">
        <v>911</v>
      </c>
      <c r="H1434" s="4" t="n">
        <v>276</v>
      </c>
      <c r="I1434" s="5" t="n">
        <v>543.5</v>
      </c>
      <c r="J1434" s="5" t="n">
        <v>163.6</v>
      </c>
      <c r="K1434" s="3" t="inlineStr">
        <is>
          <t>현재 나대지 3산단개발 호재로 투자가치 최고의땅</t>
        </is>
      </c>
      <c r="L1434" s="6">
        <f>HYPERLINK("https://fin.land.naver.com/articles/2645262563", "매물Link")</f>
        <v/>
      </c>
      <c r="M1434" s="6">
        <f>HYPERLINK("https://map.naver.com/p/search/오송읍 오송리 246-52", "지도Link")</f>
        <v/>
      </c>
      <c r="N1434" s="6">
        <f>HYPERLINK("https://www.eum.go.kr/web/mp/mpMapDet.jsp?pnu=4311325028102460052&amp;isNoScr=script&amp;mode=search", "토지이음")</f>
        <v/>
      </c>
      <c r="O1434" s="3" t="inlineStr">
        <is>
          <t>오송올래</t>
        </is>
      </c>
      <c r="P1434" s="4" t="n">
        <v>1</v>
      </c>
      <c r="Q1434" s="4" t="n">
        <v>667</v>
      </c>
      <c r="R1434" s="3" t="inlineStr">
        <is>
          <t>지정되지않음</t>
        </is>
      </c>
      <c r="S1434" s="3" t="inlineStr">
        <is>
          <t>공업용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246-53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330000</v>
      </c>
      <c r="G1435" s="4" t="n">
        <v>2011</v>
      </c>
      <c r="H1435" s="4" t="n">
        <v>608</v>
      </c>
      <c r="I1435" s="5" t="n">
        <v>542.8</v>
      </c>
      <c r="J1435" s="5" t="n">
        <v>110.3</v>
      </c>
      <c r="K1435" s="3" t="inlineStr">
        <is>
          <t>오송농협 36국도인접 계획관리지역,  실사업용 추천물건
오송제3산단 경</t>
        </is>
      </c>
      <c r="L1435" s="6">
        <f>HYPERLINK("https://fin.land.naver.com/articles/2648239506", "매물Link")</f>
        <v/>
      </c>
      <c r="M1435" s="6">
        <f>HYPERLINK("https://map.naver.com/p/search/오송읍 오송리 246-53", "지도Link")</f>
        <v/>
      </c>
      <c r="N1435" s="6">
        <f>HYPERLINK("https://www.eum.go.kr/web/mp/mpMapDet.jsp?pnu=4311325028102460053&amp;isNoScr=script&amp;mode=search", "토지이음")</f>
        <v/>
      </c>
      <c r="O1435" s="3" t="inlineStr">
        <is>
          <t>오송k랜드</t>
        </is>
      </c>
      <c r="P1435" s="4" t="n">
        <v>1</v>
      </c>
      <c r="Q1435" s="4" t="n">
        <v>2011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오송읍 오송리 60-104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70000</v>
      </c>
      <c r="G1436" s="4" t="n">
        <v>286</v>
      </c>
      <c r="H1436" s="4" t="n">
        <v>87</v>
      </c>
      <c r="I1436" s="5" t="n">
        <v>804.6</v>
      </c>
      <c r="J1436" s="5" t="n">
        <v>234</v>
      </c>
      <c r="K1436" s="3" t="inlineStr">
        <is>
          <t>힐스테이트 맞은편 대 매매</t>
        </is>
      </c>
      <c r="L1436" s="6">
        <f>HYPERLINK("https://fin.land.naver.com/articles/2649964725", "매물Link")</f>
        <v/>
      </c>
      <c r="M1436" s="6">
        <f>HYPERLINK("https://map.naver.com/p/search/오송읍 오송리 60-104", "지도Link")</f>
        <v/>
      </c>
      <c r="N1436" s="6">
        <f>HYPERLINK("https://www.eum.go.kr/web/mp/mpMapDet.jsp?pnu=4311325028100600104&amp;isNoScr=script&amp;mode=search", "토지이음")</f>
        <v/>
      </c>
      <c r="O1436" s="3" t="inlineStr">
        <is>
          <t>광장</t>
        </is>
      </c>
      <c r="P1436" s="4" t="n">
        <v>1</v>
      </c>
      <c r="Q1436" s="4" t="n">
        <v>286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오송읍 정중리 206-5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15000</v>
      </c>
      <c r="G1437" s="4" t="n">
        <v>278</v>
      </c>
      <c r="H1437" s="4" t="n">
        <v>84</v>
      </c>
      <c r="I1437" s="5" t="n">
        <v>178.6</v>
      </c>
      <c r="J1437" s="5" t="n">
        <v>62.7</v>
      </c>
      <c r="K1437" s="3" t="inlineStr">
        <is>
          <t>강추 매물 계획관리지역, 땅 소액투자, 미래가치성 좋음</t>
        </is>
      </c>
      <c r="L1437" s="6">
        <f>HYPERLINK("https://fin.land.naver.com/articles/2650556418", "매물Link")</f>
        <v/>
      </c>
      <c r="M1437" s="6">
        <f>HYPERLINK("https://map.naver.com/p/search/오송읍 정중리 206-5", "지도Link")</f>
        <v/>
      </c>
      <c r="N1437" s="6">
        <f>HYPERLINK("https://www.eum.go.kr/web/mp/mpMapDet.jsp?pnu=4311325032102060005&amp;isNoScr=script&amp;mode=search", "토지이음")</f>
        <v/>
      </c>
      <c r="O1437" s="3" t="inlineStr">
        <is>
          <t>현담</t>
        </is>
      </c>
      <c r="P1437" s="4" t="n">
        <v>1</v>
      </c>
      <c r="Q1437" s="4" t="n">
        <v>278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정중리 317-1</t>
        </is>
      </c>
      <c r="B1438" s="3" t="inlineStr">
        <is>
          <t>농림지역</t>
        </is>
      </c>
      <c r="C1438" s="3" t="inlineStr">
        <is>
          <t>잡종지</t>
        </is>
      </c>
      <c r="D1438" s="3" t="inlineStr">
        <is>
          <t>잡종지</t>
        </is>
      </c>
      <c r="E1438" s="3" t="inlineStr">
        <is>
          <t>매매</t>
        </is>
      </c>
      <c r="F1438" s="4" t="n">
        <v>180000</v>
      </c>
      <c r="G1438" s="4" t="n">
        <v>11497</v>
      </c>
      <c r="H1438" s="4" t="n">
        <v>3478</v>
      </c>
      <c r="I1438" s="5" t="n">
        <v>51.8</v>
      </c>
      <c r="J1438" s="5" t="n">
        <v>25.2</v>
      </c>
      <c r="K1438" s="3" t="inlineStr">
        <is>
          <t>오송KTX역 및 오송바이오2산단 인근  2차선 도로접한 창고 및 토지</t>
        </is>
      </c>
      <c r="L1438" s="6">
        <f>HYPERLINK("https://fin.land.naver.com/articles/2646727754", "매물Link")</f>
        <v/>
      </c>
      <c r="M1438" s="6">
        <f>HYPERLINK("https://map.naver.com/p/search/오송읍 정중리 317-1", "지도Link")</f>
        <v/>
      </c>
      <c r="N1438" s="6">
        <f>HYPERLINK("https://www.eum.go.kr/web/mp/mpMapDet.jsp?pnu=4311325032103170001&amp;isNoScr=script&amp;mode=search", "토지이음")</f>
        <v/>
      </c>
      <c r="O1438" s="3" t="inlineStr">
        <is>
          <t>번영</t>
        </is>
      </c>
      <c r="P1438" s="4" t="n">
        <v>1</v>
      </c>
      <c r="Q1438" s="4" t="n">
        <v>237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정중리 634</t>
        </is>
      </c>
      <c r="B1439" s="3" t="inlineStr">
        <is>
          <t>일반공업지역</t>
        </is>
      </c>
      <c r="C1439" s="3" t="inlineStr">
        <is>
          <t>공장용지</t>
        </is>
      </c>
      <c r="D1439" s="3" t="inlineStr">
        <is>
          <t>공장용지</t>
        </is>
      </c>
      <c r="E1439" s="3" t="inlineStr">
        <is>
          <t>매매</t>
        </is>
      </c>
      <c r="F1439" s="4" t="n">
        <v>1416100</v>
      </c>
      <c r="G1439" s="4" t="n">
        <v>27537</v>
      </c>
      <c r="H1439" s="4" t="n">
        <v>8330</v>
      </c>
      <c r="I1439" s="5" t="n">
        <v>170</v>
      </c>
      <c r="J1439" s="5" t="n">
        <v>74.40000000000001</v>
      </c>
      <c r="K1439" s="3" t="inlineStr">
        <is>
          <t>nan</t>
        </is>
      </c>
      <c r="L1439" s="6">
        <f>HYPERLINK("https://fin.land.naver.com/articles/2646479249", "매물Link")</f>
        <v/>
      </c>
      <c r="M1439" s="6">
        <f>HYPERLINK("https://map.naver.com/p/search/오송읍 정중리 634", "지도Link")</f>
        <v/>
      </c>
      <c r="N1439" s="6">
        <f>HYPERLINK("https://www.eum.go.kr/web/mp/mpMapDet.jsp?pnu=4311325032106340000&amp;isNoScr=script&amp;mode=search", "토지이음")</f>
        <v/>
      </c>
      <c r="O1439" s="3" t="inlineStr">
        <is>
          <t>스마트랜드</t>
        </is>
      </c>
      <c r="P1439" s="4" t="n">
        <v>1</v>
      </c>
      <c r="Q1439" s="4" t="n">
        <v>27537.3</v>
      </c>
      <c r="R1439" s="3" t="inlineStr">
        <is>
          <t>지정되지않음</t>
        </is>
      </c>
      <c r="S1439" s="3" t="inlineStr">
        <is>
          <t>공업기타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광대소각</t>
        </is>
      </c>
    </row>
    <row r="1440">
      <c r="A1440" s="3" t="inlineStr">
        <is>
          <t>오송읍 정중리 699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152000</v>
      </c>
      <c r="G1440" s="4" t="n">
        <v>678</v>
      </c>
      <c r="H1440" s="4" t="n">
        <v>205</v>
      </c>
      <c r="I1440" s="5" t="n">
        <v>741.5</v>
      </c>
      <c r="J1440" s="5" t="n">
        <v>361</v>
      </c>
      <c r="K1440" s="3" t="inlineStr">
        <is>
          <t>대형평수 음식점 사무실 학원 추천자리</t>
        </is>
      </c>
      <c r="L1440" s="6">
        <f>HYPERLINK("https://fin.land.naver.com/articles/2645805290", "매물Link")</f>
        <v/>
      </c>
      <c r="M1440" s="6">
        <f>HYPERLINK("https://map.naver.com/p/search/오송읍 정중리 699", "지도Link")</f>
        <v/>
      </c>
      <c r="N1440" s="6">
        <f>HYPERLINK("https://www.eum.go.kr/web/mp/mpMapDet.jsp?pnu=4311325032106990000&amp;isNoScr=script&amp;mode=search", "토지이음")</f>
        <v/>
      </c>
      <c r="O1440" s="3" t="inlineStr">
        <is>
          <t>오송명품</t>
        </is>
      </c>
      <c r="P1440" s="4" t="n">
        <v>1</v>
      </c>
      <c r="Q1440" s="4" t="n">
        <v>678.2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166000</v>
      </c>
      <c r="G1441" s="4" t="n">
        <v>548</v>
      </c>
      <c r="H1441" s="4" t="n">
        <v>166</v>
      </c>
      <c r="I1441" s="5" t="n">
        <v>1000</v>
      </c>
      <c r="J1441" s="5" t="n">
        <v>347.1</v>
      </c>
      <c r="K1441" s="3" t="inlineStr">
        <is>
          <t>오송 2산단 지원시설용지  아파트 인접한 대로변 토지 근생 건물등 가능</t>
        </is>
      </c>
      <c r="L1441" s="6">
        <f>HYPERLINK("https://fin.land.naver.com/articles/2646670136", "매물Link")</f>
        <v/>
      </c>
      <c r="M1441" s="6">
        <f>HYPERLINK("https://map.naver.com/p/search/오송읍 정중리 704", "지도Link")</f>
        <v/>
      </c>
      <c r="N1441" s="6">
        <f>HYPERLINK("https://www.eum.go.kr/web/mp/mpMapDet.jsp?pnu=4311325032107040000&amp;isNoScr=script&amp;mode=search", "토지이음")</f>
        <v/>
      </c>
      <c r="O1441" s="3" t="inlineStr">
        <is>
          <t>더원</t>
        </is>
      </c>
      <c r="P1441" s="4" t="n">
        <v>3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548</v>
      </c>
      <c r="H1442" s="4" t="n">
        <v>166</v>
      </c>
      <c r="I1442" s="5" t="n">
        <v>903.6</v>
      </c>
      <c r="J1442" s="5" t="n">
        <v>347.1</v>
      </c>
      <c r="K1442" s="3" t="inlineStr">
        <is>
          <t>오송 정중리 상가 신축 가능한 투자용지</t>
        </is>
      </c>
      <c r="L1442" s="6">
        <f>HYPERLINK("https://fin.land.naver.com/articles/2647850811", "매물Link")</f>
        <v/>
      </c>
      <c r="M1442" s="6">
        <f>HYPERLINK("https://map.naver.com/p/search/오송읍 정중리 704", "지도Link")</f>
        <v/>
      </c>
      <c r="N1442" s="6">
        <f>HYPERLINK("https://www.eum.go.kr/web/mp/mpMapDet.jsp?pnu=4311325032107040000&amp;isNoScr=script&amp;mode=search", "토지이음")</f>
        <v/>
      </c>
      <c r="O1442" s="3" t="inlineStr">
        <is>
          <t>성진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704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140000</v>
      </c>
      <c r="G1443" s="4" t="n">
        <v>548</v>
      </c>
      <c r="H1443" s="4" t="n">
        <v>166</v>
      </c>
      <c r="I1443" s="5" t="n">
        <v>843.4</v>
      </c>
      <c r="J1443" s="5" t="n">
        <v>347.1</v>
      </c>
      <c r="K1443" s="3" t="inlineStr">
        <is>
          <t>급매, 오송 국민체육센터 인근 토지 매매</t>
        </is>
      </c>
      <c r="L1443" s="6">
        <f>HYPERLINK("https://fin.land.naver.com/articles/2648308447", "매물Link")</f>
        <v/>
      </c>
      <c r="M1443" s="6">
        <f>HYPERLINK("https://map.naver.com/p/search/오송읍 정중리 704", "지도Link")</f>
        <v/>
      </c>
      <c r="N1443" s="6">
        <f>HYPERLINK("https://www.eum.go.kr/web/mp/mpMapDet.jsp?pnu=4311325032107040000&amp;isNoScr=script&amp;mode=search", "토지이음")</f>
        <v/>
      </c>
      <c r="O1443" s="3" t="inlineStr">
        <is>
          <t>광장</t>
        </is>
      </c>
      <c r="P1443" s="4" t="n">
        <v>1</v>
      </c>
      <c r="Q1443" s="4" t="n">
        <v>548.8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중로각지</t>
        </is>
      </c>
    </row>
    <row r="1444">
      <c r="A1444" s="3" t="inlineStr">
        <is>
          <t>오송읍 정중리 707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380000</v>
      </c>
      <c r="G1444" s="4" t="n">
        <v>1143</v>
      </c>
      <c r="H1444" s="4" t="n">
        <v>346</v>
      </c>
      <c r="I1444" s="5" t="n">
        <v>1098.3</v>
      </c>
      <c r="J1444" s="5" t="n">
        <v>407.6</v>
      </c>
      <c r="K1444" s="3" t="inlineStr">
        <is>
          <t>오송 2산단 사거리 코너자리 지원시설용지</t>
        </is>
      </c>
      <c r="L1444" s="6">
        <f>HYPERLINK("https://fin.land.naver.com/articles/2647618969", "매물Link")</f>
        <v/>
      </c>
      <c r="M1444" s="6">
        <f>HYPERLINK("https://map.naver.com/p/search/오송읍 정중리 707", "지도Link")</f>
        <v/>
      </c>
      <c r="N1444" s="6">
        <f>HYPERLINK("https://www.eum.go.kr/web/mp/mpMapDet.jsp?pnu=4311325032107070000&amp;isNoScr=script&amp;mode=search", "토지이음")</f>
        <v/>
      </c>
      <c r="O1444" s="3" t="inlineStr">
        <is>
          <t>아임</t>
        </is>
      </c>
      <c r="P1444" s="4" t="n">
        <v>1</v>
      </c>
      <c r="Q1444" s="4" t="n">
        <v>558.8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광대소각</t>
        </is>
      </c>
    </row>
    <row r="1445">
      <c r="A1445" s="3" t="inlineStr">
        <is>
          <t>오송읍 정중리 746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215000</v>
      </c>
      <c r="G1445" s="4" t="n">
        <v>639</v>
      </c>
      <c r="H1445" s="4" t="n">
        <v>193</v>
      </c>
      <c r="I1445" s="5" t="n">
        <v>1114</v>
      </c>
      <c r="J1445" s="5" t="n">
        <v>388.1</v>
      </c>
      <c r="K1445" s="3" t="inlineStr">
        <is>
          <t>3면코너 입지 입지 최상 건폐율70 6층이하 건축가능</t>
        </is>
      </c>
      <c r="L1445" s="6">
        <f>HYPERLINK("https://fin.land.naver.com/articles/2649903725", "매물Link")</f>
        <v/>
      </c>
      <c r="M1445" s="6">
        <f>HYPERLINK("https://map.naver.com/p/search/오송읍 정중리 746", "지도Link")</f>
        <v/>
      </c>
      <c r="N1445" s="6">
        <f>HYPERLINK("https://www.eum.go.kr/web/mp/mpMapDet.jsp?pnu=4311325032107460000&amp;isNoScr=script&amp;mode=search", "토지이음")</f>
        <v/>
      </c>
      <c r="O1445" s="3" t="inlineStr">
        <is>
          <t>프렌즈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광대소각</t>
        </is>
      </c>
    </row>
    <row r="1446">
      <c r="A1446" s="3" t="inlineStr">
        <is>
          <t>오송읍 정중리 755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240000</v>
      </c>
      <c r="G1446" s="4" t="n">
        <v>668</v>
      </c>
      <c r="H1446" s="4" t="n">
        <v>202</v>
      </c>
      <c r="I1446" s="5" t="n">
        <v>1188.1</v>
      </c>
      <c r="J1446" s="5" t="n">
        <v>361</v>
      </c>
      <c r="K1446" s="3" t="inlineStr">
        <is>
          <t>오송2산단내 지원시설용지,바로앞 아파트대단지 입주예정,</t>
        </is>
      </c>
      <c r="L1446" s="6">
        <f>HYPERLINK("https://fin.land.naver.com/articles/2644753198", "매물Link")</f>
        <v/>
      </c>
      <c r="M1446" s="6">
        <f>HYPERLINK("https://map.naver.com/p/search/오송읍 정중리 755", "지도Link")</f>
        <v/>
      </c>
      <c r="N1446" s="6">
        <f>HYPERLINK("https://www.eum.go.kr/web/mp/mpMapDet.jsp?pnu=4311325032107550000&amp;isNoScr=script&amp;mode=search", "토지이음")</f>
        <v/>
      </c>
      <c r="O1446" s="3" t="inlineStr">
        <is>
          <t>담뜰</t>
        </is>
      </c>
      <c r="P1446" s="4" t="n">
        <v>1</v>
      </c>
      <c r="Q1446" s="4" t="n">
        <v>668.8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오송읍 정중리 760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225000</v>
      </c>
      <c r="G1447" s="4" t="n">
        <v>559</v>
      </c>
      <c r="H1447" s="4" t="n">
        <v>169</v>
      </c>
      <c r="I1447" s="5" t="n">
        <v>1331.4</v>
      </c>
      <c r="J1447" s="5" t="n">
        <v>407.6</v>
      </c>
      <c r="K1447" s="3" t="inlineStr">
        <is>
          <t>오송 2산단  지원시설용지 코너각지,회사 사옥부지 적합</t>
        </is>
      </c>
      <c r="L1447" s="6">
        <f>HYPERLINK("https://fin.land.naver.com/articles/2646727438", "매물Link")</f>
        <v/>
      </c>
      <c r="M1447" s="6">
        <f>HYPERLINK("https://map.naver.com/p/search/오송읍 정중리 760", "지도Link")</f>
        <v/>
      </c>
      <c r="N1447" s="6">
        <f>HYPERLINK("https://www.eum.go.kr/web/mp/mpMapDet.jsp?pnu=4311325032107600000&amp;isNoScr=script&amp;mode=search", "토지이음")</f>
        <v/>
      </c>
      <c r="O1447" s="3" t="inlineStr">
        <is>
          <t>오송타운</t>
        </is>
      </c>
      <c r="P1447" s="4" t="n">
        <v>1</v>
      </c>
      <c r="Q1447" s="4" t="n">
        <v>559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정중리 763</t>
        </is>
      </c>
      <c r="B1448" s="3" t="inlineStr">
        <is>
          <t>준공업지역</t>
        </is>
      </c>
      <c r="C1448" s="3" t="inlineStr">
        <is>
          <t>주차장</t>
        </is>
      </c>
      <c r="D1448" s="3" t="inlineStr">
        <is>
          <t>대</t>
        </is>
      </c>
      <c r="E1448" s="3" t="inlineStr">
        <is>
          <t>매매</t>
        </is>
      </c>
      <c r="F1448" s="4" t="n">
        <v>230000</v>
      </c>
      <c r="G1448" s="4" t="n">
        <v>1112</v>
      </c>
      <c r="H1448" s="4" t="n">
        <v>336</v>
      </c>
      <c r="I1448" s="5" t="n">
        <v>684.5</v>
      </c>
      <c r="J1448" s="5" t="n">
        <v>179.5</v>
      </c>
      <c r="K1448" s="3" t="inlineStr">
        <is>
          <t>산단 회식 수요 흡수하는 외식업 핵심 토지</t>
        </is>
      </c>
      <c r="L1448" s="6">
        <f>HYPERLINK("https://fin.land.naver.com/articles/2646877471", "매물Link")</f>
        <v/>
      </c>
      <c r="M1448" s="6">
        <f>HYPERLINK("https://map.naver.com/p/search/오송읍 정중리 763", "지도Link")</f>
        <v/>
      </c>
      <c r="N1448" s="6">
        <f>HYPERLINK("https://www.eum.go.kr/web/mp/mpMapDet.jsp?pnu=4311325032107630000&amp;isNoScr=script&amp;mode=search",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1112.9</v>
      </c>
      <c r="R1448" s="3" t="inlineStr">
        <is>
          <t>지정되지않음</t>
        </is>
      </c>
      <c r="S1448" s="3" t="inlineStr">
        <is>
          <t>주차장등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정중리 764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125020</v>
      </c>
      <c r="G1449" s="4" t="n">
        <v>590</v>
      </c>
      <c r="H1449" s="4" t="n">
        <v>178</v>
      </c>
      <c r="I1449" s="5" t="n">
        <v>702.4</v>
      </c>
      <c r="J1449" s="5" t="n">
        <v>256.4</v>
      </c>
      <c r="K1449" s="3" t="inlineStr">
        <is>
          <t>지금 잡아야 하는 오송 산단 배후 핵심 토지</t>
        </is>
      </c>
      <c r="L1449" s="6">
        <f>HYPERLINK("https://fin.land.naver.com/articles/2646878988", "매물Link")</f>
        <v/>
      </c>
      <c r="M1449" s="6">
        <f>HYPERLINK("https://map.naver.com/p/search/오송읍 정중리 764", "지도Link")</f>
        <v/>
      </c>
      <c r="N1449" s="6">
        <f>HYPERLINK("https://www.eum.go.kr/web/mp/mpMapDet.jsp?pnu=4311325032107640000&amp;isNoScr=script&amp;mode=search", "토지이음")</f>
        <v/>
      </c>
      <c r="O1449" s="3" t="inlineStr">
        <is>
          <t>우영</t>
        </is>
      </c>
      <c r="P1449" s="4" t="n">
        <v>1</v>
      </c>
      <c r="Q1449" s="4" t="n">
        <v>590.7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지원시설용지급매,식당등 임대활성화,대단위아파트단지</t>
        </is>
      </c>
      <c r="L1450" s="6">
        <f>HYPERLINK("https://fin.land.naver.com/articles/2644432760", "매물Link")</f>
        <v/>
      </c>
      <c r="M1450" s="6">
        <f>HYPERLINK("https://map.naver.com/p/search/오송읍 정중리 768", "지도Link")</f>
        <v/>
      </c>
      <c r="N1450" s="6">
        <f>HYPERLINK("https://www.eum.go.kr/web/mp/mpMapDet.jsp?pnu=4311325032107680000&amp;isNoScr=script&amp;mode=search", "토지이음")</f>
        <v/>
      </c>
      <c r="O1450" s="3" t="inlineStr">
        <is>
          <t>오송올래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 매매</t>
        </is>
      </c>
      <c r="L1451" s="6">
        <f>HYPERLINK("https://fin.land.naver.com/articles/2646658303", "매물Link")</f>
        <v/>
      </c>
      <c r="M1451" s="6">
        <f>HYPERLINK("https://map.naver.com/p/search/오송읍 정중리 768", "지도Link")</f>
        <v/>
      </c>
      <c r="N1451" s="6">
        <f>HYPERLINK("https://www.eum.go.kr/web/mp/mpMapDet.jsp?pnu=4311325032107680000&amp;isNoScr=script&amp;mode=search", "토지이음")</f>
        <v/>
      </c>
      <c r="O1451" s="3" t="inlineStr">
        <is>
          <t>대한민국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105000</v>
      </c>
      <c r="G1452" s="4" t="n">
        <v>590</v>
      </c>
      <c r="H1452" s="4" t="n">
        <v>178</v>
      </c>
      <c r="I1452" s="5" t="n">
        <v>589.9</v>
      </c>
      <c r="J1452" s="5" t="n">
        <v>256.4</v>
      </c>
      <c r="K1452" s="3" t="inlineStr">
        <is>
          <t>nan</t>
        </is>
      </c>
      <c r="L1452" s="6">
        <f>HYPERLINK("https://fin.land.naver.com/articles/2646195570", "매물Link")</f>
        <v/>
      </c>
      <c r="M1452" s="6">
        <f>HYPERLINK("https://map.naver.com/p/search/오송읍 정중리 768", "지도Link")</f>
        <v/>
      </c>
      <c r="N1452" s="6">
        <f>HYPERLINK("https://www.eum.go.kr/web/mp/mpMapDet.jsp?pnu=4311325032107680000&amp;isNoScr=script&amp;mode=search", "토지이음")</f>
        <v/>
      </c>
      <c r="O1452" s="3" t="inlineStr">
        <is>
          <t>동행사무소</t>
        </is>
      </c>
      <c r="P1452" s="4" t="n">
        <v>1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768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125000</v>
      </c>
      <c r="G1453" s="4" t="n">
        <v>590</v>
      </c>
      <c r="H1453" s="4" t="n">
        <v>178</v>
      </c>
      <c r="I1453" s="5" t="n">
        <v>702.2</v>
      </c>
      <c r="J1453" s="5" t="n">
        <v>256.4</v>
      </c>
      <c r="K1453" s="3" t="inlineStr">
        <is>
          <t>오송2산단내 아파트 대단지 옆 지원시설용지 급매</t>
        </is>
      </c>
      <c r="L1453" s="6">
        <f>HYPERLINK("https://fin.land.naver.com/articles/2650390157", "매물Link")</f>
        <v/>
      </c>
      <c r="M1453" s="6">
        <f>HYPERLINK("https://map.naver.com/p/search/오송읍 정중리 768", "지도Link")</f>
        <v/>
      </c>
      <c r="N1453" s="6">
        <f>HYPERLINK("https://www.eum.go.kr/web/mp/mpMapDet.jsp?pnu=4311325032107680000&amp;isNoScr=script&amp;mode=search", "토지이음")</f>
        <v/>
      </c>
      <c r="O1453" s="3" t="inlineStr">
        <is>
          <t>아임</t>
        </is>
      </c>
      <c r="P1453" s="4" t="n">
        <v>4</v>
      </c>
      <c r="Q1453" s="4" t="n">
        <v>590.3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중로한면</t>
        </is>
      </c>
    </row>
    <row r="1454">
      <c r="A1454" s="3" t="inlineStr">
        <is>
          <t>오송읍 정중리 770</t>
        </is>
      </c>
      <c r="B1454" s="3" t="inlineStr">
        <is>
          <t>준공업지역</t>
        </is>
      </c>
      <c r="C1454" s="3" t="inlineStr">
        <is>
          <t>주차장</t>
        </is>
      </c>
      <c r="D1454" s="3" t="inlineStr">
        <is>
          <t>대</t>
        </is>
      </c>
      <c r="E1454" s="3" t="inlineStr">
        <is>
          <t>매매</t>
        </is>
      </c>
      <c r="F1454" s="4" t="n">
        <v>202020</v>
      </c>
      <c r="G1454" s="4" t="n">
        <v>1113</v>
      </c>
      <c r="H1454" s="4" t="n">
        <v>337</v>
      </c>
      <c r="I1454" s="5" t="n">
        <v>599.5</v>
      </c>
      <c r="J1454" s="5" t="n">
        <v>179.5</v>
      </c>
      <c r="K1454" s="3" t="inlineStr">
        <is>
          <t>지금 아니면 어려운 오송 산단 인접 수익 토지</t>
        </is>
      </c>
      <c r="L1454" s="6">
        <f>HYPERLINK("https://fin.land.naver.com/articles/2646878317", "매물Link")</f>
        <v/>
      </c>
      <c r="M1454" s="6">
        <f>HYPERLINK("https://map.naver.com/p/search/오송읍 정중리 770", "지도Link")</f>
        <v/>
      </c>
      <c r="N1454" s="6">
        <f>HYPERLINK("https://www.eum.go.kr/web/mp/mpMapDet.jsp?pnu=4311325032107700000&amp;isNoScr=script&amp;mode=search", "토지이음")</f>
        <v/>
      </c>
      <c r="O1454" s="3" t="inlineStr">
        <is>
          <t>우영</t>
        </is>
      </c>
      <c r="P1454" s="4" t="n">
        <v>1</v>
      </c>
      <c r="Q1454" s="4" t="n">
        <v>1113.2</v>
      </c>
      <c r="R1454" s="3" t="inlineStr">
        <is>
          <t>지정되지않음</t>
        </is>
      </c>
      <c r="S1454" s="3" t="inlineStr">
        <is>
          <t>주차장등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중로각지</t>
        </is>
      </c>
    </row>
    <row r="1455">
      <c r="A1455" s="3" t="inlineStr">
        <is>
          <t>오송읍 정중리 773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95000</v>
      </c>
      <c r="G1455" s="4" t="n">
        <v>580</v>
      </c>
      <c r="H1455" s="4" t="n">
        <v>175</v>
      </c>
      <c r="I1455" s="5" t="n">
        <v>542.9</v>
      </c>
      <c r="J1455" s="5" t="n">
        <v>258.9</v>
      </c>
      <c r="K1455" s="3" t="inlineStr">
        <is>
          <t>저렴한기회 지원시설용지 차량진출입 용이한 근생상가 추천</t>
        </is>
      </c>
      <c r="L1455" s="6">
        <f>HYPERLINK("https://fin.land.naver.com/articles/2644506441", "매물Link")</f>
        <v/>
      </c>
      <c r="M1455" s="6">
        <f>HYPERLINK("https://map.naver.com/p/search/오송읍 정중리 773", "지도Link")</f>
        <v/>
      </c>
      <c r="N1455" s="6">
        <f>HYPERLINK("https://www.eum.go.kr/web/mp/mpMapDet.jsp?pnu=4311325032107730000&amp;isNoScr=script&amp;mode=search",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580.4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정중리 776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125020</v>
      </c>
      <c r="G1456" s="4" t="n">
        <v>590</v>
      </c>
      <c r="H1456" s="4" t="n">
        <v>178</v>
      </c>
      <c r="I1456" s="5" t="n">
        <v>702.4</v>
      </c>
      <c r="J1456" s="5" t="n">
        <v>256.4</v>
      </c>
      <c r="K1456" s="3" t="inlineStr">
        <is>
          <t>오송 산단 근무자 몰리는 임대사업 최적 입지</t>
        </is>
      </c>
      <c r="L1456" s="6">
        <f>HYPERLINK("https://fin.land.naver.com/articles/2646878768", "매물Link")</f>
        <v/>
      </c>
      <c r="M1456" s="6">
        <f>HYPERLINK("https://map.naver.com/p/search/오송읍 정중리 776", "지도Link")</f>
        <v/>
      </c>
      <c r="N1456" s="6">
        <f>HYPERLINK("https://www.eum.go.kr/web/mp/mpMapDet.jsp?pnu=4311325032107760000&amp;isNoScr=script&amp;mode=search", "토지이음")</f>
        <v/>
      </c>
      <c r="O1456" s="3" t="inlineStr">
        <is>
          <t>우영</t>
        </is>
      </c>
      <c r="P1456" s="4" t="n">
        <v>1</v>
      </c>
      <c r="Q1456" s="4" t="n">
        <v>590.6</v>
      </c>
      <c r="R1456" s="3" t="inlineStr">
        <is>
          <t>지정되지않음</t>
        </is>
      </c>
      <c r="S1456" s="3" t="inlineStr">
        <is>
          <t>상업기타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오송읍 호계리 143-1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39845</v>
      </c>
      <c r="G1457" s="4" t="n">
        <v>2026</v>
      </c>
      <c r="H1457" s="4" t="n">
        <v>613</v>
      </c>
      <c r="I1457" s="5" t="n">
        <v>65</v>
      </c>
      <c r="J1457" s="5" t="n">
        <v>30.4</v>
      </c>
      <c r="K1457" s="3" t="inlineStr">
        <is>
          <t>도로에 접해 주말농장 최상, 개발호재 핫한 오송시 위치 투자가치 최상</t>
        </is>
      </c>
      <c r="L1457" s="6">
        <f>HYPERLINK("https://fin.land.naver.com/articles/2650397039", "매물Link")</f>
        <v/>
      </c>
      <c r="M1457" s="6">
        <f>HYPERLINK("https://map.naver.com/p/search/오송읍 호계리 143-1", "지도Link")</f>
        <v/>
      </c>
      <c r="N1457" s="6">
        <f>HYPERLINK("https://www.eum.go.kr/web/mp/mpMapDet.jsp?pnu=4311325021101430001&amp;isNoScr=script&amp;mode=search", "토지이음")</f>
        <v/>
      </c>
      <c r="O1457" s="3" t="inlineStr">
        <is>
          <t>대한</t>
        </is>
      </c>
      <c r="P1457" s="4" t="n">
        <v>1</v>
      </c>
      <c r="Q1457" s="4" t="n">
        <v>2059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호계리 152-1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39.1</v>
      </c>
      <c r="K1458" s="3" t="inlineStr">
        <is>
          <t>급매, 시세 대비 매우 저렴, 4미터 도로에 접하고 있는 계획관리 토지</t>
        </is>
      </c>
      <c r="L1458" s="6">
        <f>HYPERLINK("https://fin.land.naver.com/articles/2647466833", "매물Link")</f>
        <v/>
      </c>
      <c r="M1458" s="6">
        <f>HYPERLINK("https://map.naver.com/p/search/오송읍 호계리 152-1", "지도Link")</f>
        <v/>
      </c>
      <c r="N1458" s="6">
        <f>HYPERLINK("https://www.eum.go.kr/web/mp/mpMapDet.jsp?pnu=4311325021101520001&amp;isNoScr=script&amp;mode=search", "토지이음")</f>
        <v/>
      </c>
      <c r="O1458" s="3" t="inlineStr">
        <is>
          <t>제이</t>
        </is>
      </c>
      <c r="P1458" s="4" t="n">
        <v>1</v>
      </c>
      <c r="Q1458" s="4" t="n">
        <v>962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세로각지(가)</t>
        </is>
      </c>
    </row>
    <row r="1459">
      <c r="A1459" s="3" t="inlineStr">
        <is>
          <t>오송읍 호계리 153-1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53500</v>
      </c>
      <c r="G1459" s="4" t="n">
        <v>1359</v>
      </c>
      <c r="H1459" s="4" t="n">
        <v>411</v>
      </c>
      <c r="I1459" s="5" t="n">
        <v>130.2</v>
      </c>
      <c r="J1459" s="5" t="n">
        <v>40.1</v>
      </c>
      <c r="K1459" s="3" t="inlineStr">
        <is>
          <t>4M도로에 접함 투자및 공장추천 2필지</t>
        </is>
      </c>
      <c r="L1459" s="6">
        <f>HYPERLINK("https://fin.land.naver.com/articles/2650428790", "매물Link")</f>
        <v/>
      </c>
      <c r="M1459" s="6">
        <f>HYPERLINK("https://map.naver.com/p/search/오송읍 호계리 153-1", "지도Link")</f>
        <v/>
      </c>
      <c r="N1459" s="6">
        <f>HYPERLINK("https://www.eum.go.kr/web/mp/mpMapDet.jsp?pnu=4311325021101530001&amp;isNoScr=script&amp;mode=search", "토지이음")</f>
        <v/>
      </c>
      <c r="O1459" s="3" t="inlineStr">
        <is>
          <t>플러스태양</t>
        </is>
      </c>
      <c r="P1459" s="4" t="n">
        <v>1</v>
      </c>
      <c r="Q1459" s="4" t="n">
        <v>397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호계리 155-1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195800</v>
      </c>
      <c r="G1460" s="4" t="n">
        <v>2943</v>
      </c>
      <c r="H1460" s="4" t="n">
        <v>890</v>
      </c>
      <c r="I1460" s="5" t="n">
        <v>220</v>
      </c>
      <c r="J1460" s="5" t="n">
        <v>38.1</v>
      </c>
      <c r="K1460" s="3" t="inlineStr">
        <is>
          <t>오송읍, 호계리, 계획관리지역, 5m 도로 접한 토지</t>
        </is>
      </c>
      <c r="L1460" s="6">
        <f>HYPERLINK("https://fin.land.naver.com/articles/2646734024", "매물Link")</f>
        <v/>
      </c>
      <c r="M1460" s="6">
        <f>HYPERLINK("https://map.naver.com/p/search/오송읍 호계리 155-1", "지도Link")</f>
        <v/>
      </c>
      <c r="N1460" s="6">
        <f>HYPERLINK("https://www.eum.go.kr/web/mp/mpMapDet.jsp?pnu=4311325021101550001&amp;isNoScr=script&amp;mode=search", "토지이음")</f>
        <v/>
      </c>
      <c r="O1460" s="3" t="inlineStr">
        <is>
          <t>올바른</t>
        </is>
      </c>
      <c r="P1460" s="4" t="n">
        <v>1</v>
      </c>
      <c r="Q1460" s="4" t="n">
        <v>2943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오송읍 호계리 224-2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49000</v>
      </c>
      <c r="G1461" s="4" t="n">
        <v>899</v>
      </c>
      <c r="H1461" s="4" t="n">
        <v>272</v>
      </c>
      <c r="I1461" s="5" t="n">
        <v>180.1</v>
      </c>
      <c r="J1461" s="5" t="n">
        <v>51.1</v>
      </c>
      <c r="K1461" s="3" t="inlineStr">
        <is>
          <t>2 배의 가치 2 배의 넓은 땅 사용 가능 토지  생산 관리 지역</t>
        </is>
      </c>
      <c r="L1461" s="6">
        <f>HYPERLINK("https://fin.land.naver.com/articles/2648940037", "매물Link")</f>
        <v/>
      </c>
      <c r="M1461" s="6">
        <f>HYPERLINK("https://map.naver.com/p/search/오송읍 호계리 224-2", "지도Link")</f>
        <v/>
      </c>
      <c r="N1461" s="6">
        <f>HYPERLINK("https://www.eum.go.kr/web/mp/mpMapDet.jsp?pnu=4311325021102240002&amp;isNoScr=script&amp;mode=search", "토지이음")</f>
        <v/>
      </c>
      <c r="O1461" s="3" t="inlineStr">
        <is>
          <t>오송퍼스트영웅</t>
        </is>
      </c>
      <c r="P1461" s="4" t="n">
        <v>1</v>
      </c>
      <c r="Q1461" s="4" t="n">
        <v>899</v>
      </c>
      <c r="R1461" s="3" t="inlineStr">
        <is>
          <t>지정되지않음</t>
        </is>
      </c>
      <c r="S1461" s="3" t="inlineStr">
        <is>
          <t>답기타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중로한면</t>
        </is>
      </c>
    </row>
    <row r="1462">
      <c r="A1462" s="3" t="inlineStr">
        <is>
          <t>오송읍 호계리 230-3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29000</v>
      </c>
      <c r="G1462" s="4" t="n">
        <v>1595</v>
      </c>
      <c r="H1462" s="4" t="n">
        <v>482</v>
      </c>
      <c r="I1462" s="5" t="n">
        <v>60.2</v>
      </c>
      <c r="J1462" s="5" t="n">
        <v>32.4</v>
      </c>
      <c r="K1462" s="3" t="inlineStr">
        <is>
          <t>호계리 토지 매매.</t>
        </is>
      </c>
      <c r="L1462" s="6">
        <f>HYPERLINK("https://fin.land.naver.com/articles/2646658326", "매물Link")</f>
        <v/>
      </c>
      <c r="M1462" s="6">
        <f>HYPERLINK("https://map.naver.com/p/search/오송읍 호계리 230-3", "지도Link")</f>
        <v/>
      </c>
      <c r="N1462" s="6">
        <f>HYPERLINK("https://www.eum.go.kr/web/mp/mpMapDet.jsp?pnu=4311325021102300003&amp;isNoScr=script&amp;mode=search", "토지이음")</f>
        <v/>
      </c>
      <c r="O1462" s="3" t="inlineStr">
        <is>
          <t>대한민국</t>
        </is>
      </c>
      <c r="P1462" s="4" t="n">
        <v>1</v>
      </c>
      <c r="Q1462" s="4" t="n">
        <v>1595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호계리 50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90000</v>
      </c>
      <c r="G1463" s="4" t="n">
        <v>1927</v>
      </c>
      <c r="H1463" s="4" t="n">
        <v>583</v>
      </c>
      <c r="I1463" s="5" t="n">
        <v>154.4</v>
      </c>
      <c r="J1463" s="5" t="n">
        <v>40.1</v>
      </c>
      <c r="K1463" s="3" t="inlineStr">
        <is>
          <t>오송읍 호계리 산과 인접한 전원주택부지</t>
        </is>
      </c>
      <c r="L1463" s="6">
        <f>HYPERLINK("https://fin.land.naver.com/articles/2647515900", "매물Link")</f>
        <v/>
      </c>
      <c r="M1463" s="6">
        <f>HYPERLINK("https://map.naver.com/p/search/오송읍 호계리 50", "지도Link")</f>
        <v/>
      </c>
      <c r="N1463" s="6">
        <f>HYPERLINK("https://www.eum.go.kr/web/mp/mpMapDet.jsp?pnu=4311325021100500000&amp;isNoScr=script&amp;mode=search", "토지이음")</f>
        <v/>
      </c>
      <c r="O1463" s="3" t="inlineStr">
        <is>
          <t>새벽무소</t>
        </is>
      </c>
      <c r="P1463" s="4" t="n">
        <v>1</v>
      </c>
      <c r="Q1463" s="4" t="n">
        <v>1927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호계리 7-6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28500</v>
      </c>
      <c r="G1464" s="4" t="n">
        <v>627</v>
      </c>
      <c r="H1464" s="4" t="n">
        <v>190</v>
      </c>
      <c r="I1464" s="5" t="n">
        <v>150</v>
      </c>
      <c r="J1464" s="5" t="n">
        <v>39</v>
      </c>
      <c r="K1464" s="3" t="inlineStr">
        <is>
          <t>전원주택지</t>
        </is>
      </c>
      <c r="L1464" s="6">
        <f>HYPERLINK("https://fin.land.naver.com/articles/2649702438", "매물Link")</f>
        <v/>
      </c>
      <c r="M1464" s="6">
        <f>HYPERLINK("https://map.naver.com/p/search/오송읍 호계리 7-6", "지도Link")</f>
        <v/>
      </c>
      <c r="N1464" s="6">
        <f>HYPERLINK("https://www.eum.go.kr/web/mp/mpMapDet.jsp?pnu=4311325021100070006&amp;isNoScr=script&amp;mode=search", "토지이음")</f>
        <v/>
      </c>
      <c r="O1464" s="3" t="inlineStr">
        <is>
          <t>금송</t>
        </is>
      </c>
      <c r="P1464" s="4" t="n">
        <v>1</v>
      </c>
      <c r="Q1464" s="4" t="n">
        <v>627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조치원읍 교리 16-5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40000</v>
      </c>
      <c r="G1465" s="4" t="n">
        <v>207</v>
      </c>
      <c r="H1465" s="4" t="n">
        <v>63</v>
      </c>
      <c r="I1465" s="5" t="n">
        <v>634.9</v>
      </c>
      <c r="J1465" s="5" t="n">
        <v>206.5</v>
      </c>
      <c r="K1465" s="3" t="inlineStr">
        <is>
          <t>조치원역 가까운 주거지역 토지매매</t>
        </is>
      </c>
      <c r="L1465" s="6">
        <f>HYPERLINK("https://fin.land.naver.com/articles/2648993356", "매물Link")</f>
        <v/>
      </c>
      <c r="M1465" s="6">
        <f>HYPERLINK("https://map.naver.com/p/search/조치원읍 교리 16-5", "지도Link")</f>
        <v/>
      </c>
      <c r="N1465" s="6">
        <f>HYPERLINK("https://www.eum.go.kr/web/mp/mpMapDet.jsp?pnu=3611025024100160005&amp;isNoScr=script&amp;mode=search", "토지이음")</f>
        <v/>
      </c>
      <c r="O1465" s="3" t="inlineStr">
        <is>
          <t>김준희</t>
        </is>
      </c>
      <c r="P1465" s="4" t="n">
        <v>1</v>
      </c>
      <c r="Q1465" s="4" t="n">
        <v>103.5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교리 18-11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179</v>
      </c>
      <c r="H1466" s="4" t="n">
        <v>54</v>
      </c>
      <c r="I1466" s="5" t="n">
        <v>777.8</v>
      </c>
      <c r="J1466" s="5" t="n">
        <v>274.9</v>
      </c>
      <c r="K1466" s="3" t="inlineStr">
        <is>
          <t>nan</t>
        </is>
      </c>
      <c r="L1466" s="6">
        <f>HYPERLINK("https://fin.land.naver.com/articles/2647461785", "매물Link")</f>
        <v/>
      </c>
      <c r="M1466" s="6">
        <f>HYPERLINK("https://map.naver.com/p/search/조치원읍 교리 18-11", "지도Link")</f>
        <v/>
      </c>
      <c r="N1466" s="6">
        <f>HYPERLINK("https://www.eum.go.kr/web/mp/mpMapDet.jsp?pnu=3611025024100180011&amp;isNoScr=script&amp;mode=search", "토지이음")</f>
        <v/>
      </c>
      <c r="O1466" s="3" t="inlineStr">
        <is>
          <t>정인</t>
        </is>
      </c>
      <c r="P1466" s="4" t="n">
        <v>1</v>
      </c>
      <c r="Q1466" s="4" t="n">
        <v>179.5</v>
      </c>
      <c r="R1466" s="3" t="inlineStr">
        <is>
          <t>지정되지않음</t>
        </is>
      </c>
      <c r="S1466" s="3" t="inlineStr">
        <is>
          <t>주상기타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중로한면</t>
        </is>
      </c>
    </row>
    <row r="1467">
      <c r="A1467" s="3" t="inlineStr">
        <is>
          <t>조치원읍 교리 22-20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100000</v>
      </c>
      <c r="G1467" s="4" t="n">
        <v>387</v>
      </c>
      <c r="H1467" s="4" t="n">
        <v>117</v>
      </c>
      <c r="I1467" s="5" t="n">
        <v>854.7</v>
      </c>
      <c r="J1467" s="5" t="n">
        <v>452.2</v>
      </c>
      <c r="K1467" s="3" t="inlineStr">
        <is>
          <t>nan</t>
        </is>
      </c>
      <c r="L1467" s="6">
        <f>HYPERLINK("https://fin.land.naver.com/articles/2645603693", "매물Link")</f>
        <v/>
      </c>
      <c r="M1467" s="6">
        <f>HYPERLINK("https://map.naver.com/p/search/조치원읍 교리 22-20", "지도Link")</f>
        <v/>
      </c>
      <c r="N1467" s="6">
        <f>HYPERLINK("https://www.eum.go.kr/web/mp/mpMapDet.jsp?pnu=3611025024100220020&amp;isNoScr=script&amp;mode=search",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185.8</v>
      </c>
      <c r="R1467" s="3" t="inlineStr">
        <is>
          <t>지정되지않음</t>
        </is>
      </c>
      <c r="S1467" s="3" t="inlineStr">
        <is>
          <t>상업용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소로한면</t>
        </is>
      </c>
    </row>
    <row r="1468">
      <c r="A1468" s="3" t="inlineStr">
        <is>
          <t>조치원읍 남리 103-68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49000</v>
      </c>
      <c r="G1468" s="4" t="n">
        <v>396</v>
      </c>
      <c r="H1468" s="4" t="n">
        <v>120</v>
      </c>
      <c r="I1468" s="5" t="n">
        <v>408.3</v>
      </c>
      <c r="J1468" s="5" t="n">
        <v>166.9</v>
      </c>
      <c r="K1468" s="3" t="inlineStr">
        <is>
          <t>2차로변,나대지,건물신축가능,조치역역에서 도보권,가격절충가능</t>
        </is>
      </c>
      <c r="L1468" s="6">
        <f>HYPERLINK("https://fin.land.naver.com/articles/2650584031", "매물Link")</f>
        <v/>
      </c>
      <c r="M1468" s="6">
        <f>HYPERLINK("https://map.naver.com/p/search/조치원읍 남리 103-68", "지도Link")</f>
        <v/>
      </c>
      <c r="N1468" s="6">
        <f>HYPERLINK("https://www.eum.go.kr/web/mp/mpMapDet.jsp?pnu=3611025027101030068&amp;isNoScr=script&amp;mode=search", "토지이음")</f>
        <v/>
      </c>
      <c r="O1468" s="3" t="inlineStr">
        <is>
          <t>세종늘푸름</t>
        </is>
      </c>
      <c r="P1468" s="4" t="n">
        <v>4</v>
      </c>
      <c r="Q1468" s="4" t="n">
        <v>396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남리 307-2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250000</v>
      </c>
      <c r="G1469" s="4" t="n">
        <v>788</v>
      </c>
      <c r="H1469" s="4" t="n">
        <v>238</v>
      </c>
      <c r="I1469" s="5" t="n">
        <v>1050.4</v>
      </c>
      <c r="J1469" s="5" t="n">
        <v>366.6</v>
      </c>
      <c r="K1469" s="3" t="inlineStr">
        <is>
          <t>조치원 4차선 코너,대지238P,통건물 3동포함,사옥 병원등 추천</t>
        </is>
      </c>
      <c r="L1469" s="6">
        <f>HYPERLINK("https://fin.land.naver.com/articles/2650483987", "매물Link")</f>
        <v/>
      </c>
      <c r="M1469" s="6">
        <f>HYPERLINK("https://map.naver.com/p/search/조치원읍 남리 307-2", "지도Link")</f>
        <v/>
      </c>
      <c r="N1469" s="6">
        <f>HYPERLINK("https://www.eum.go.kr/web/mp/mpMapDet.jsp?pnu=3611025027103070002&amp;isNoScr=script&amp;mode=search",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211.4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남리 347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33250</v>
      </c>
      <c r="G1470" s="4" t="n">
        <v>315</v>
      </c>
      <c r="H1470" s="4" t="n">
        <v>95</v>
      </c>
      <c r="I1470" s="5" t="n">
        <v>350</v>
      </c>
      <c r="J1470" s="5" t="n">
        <v>263.5</v>
      </c>
      <c r="K1470" s="3" t="inlineStr">
        <is>
          <t>남리 예쁜땅모양 주택및원룸 추천</t>
        </is>
      </c>
      <c r="L1470" s="6">
        <f>HYPERLINK("https://fin.land.naver.com/articles/2645866110", "매물Link")</f>
        <v/>
      </c>
      <c r="M1470" s="6">
        <f>HYPERLINK("https://map.naver.com/p/search/조치원읍 남리 347", "지도Link")</f>
        <v/>
      </c>
      <c r="N1470" s="6">
        <f>HYPERLINK("https://www.eum.go.kr/web/mp/mpMapDet.jsp?pnu=3611025027103470000&amp;isNoScr=script&amp;mode=search",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315.7</v>
      </c>
      <c r="R1470" s="3" t="inlineStr">
        <is>
          <t>지정되지않음</t>
        </is>
      </c>
      <c r="S1470" s="3" t="inlineStr">
        <is>
          <t>주상기타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419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</v>
      </c>
      <c r="G1471" s="4" t="n">
        <v>353</v>
      </c>
      <c r="H1471" s="4" t="n">
        <v>107</v>
      </c>
      <c r="I1471" s="5" t="n">
        <v>355.1</v>
      </c>
      <c r="J1471" s="5" t="n">
        <v>170.3</v>
      </c>
      <c r="K1471" s="3" t="inlineStr">
        <is>
          <t>남리 저렴한 토지 다가구원룸,사옥,상가 추천</t>
        </is>
      </c>
      <c r="L1471" s="6">
        <f>HYPERLINK("https://fin.land.naver.com/articles/2649281845", "매물Link")</f>
        <v/>
      </c>
      <c r="M1471" s="6">
        <f>HYPERLINK("https://map.naver.com/p/search/조치원읍 남리 419", "지도Link")</f>
        <v/>
      </c>
      <c r="N1471" s="6">
        <f>HYPERLINK("https://www.eum.go.kr/web/mp/mpMapDet.jsp?pnu=3611025027104190000&amp;isNoScr=script&amp;mode=search", "토지이음")</f>
        <v/>
      </c>
      <c r="O1471" s="3" t="inlineStr">
        <is>
          <t>OK수</t>
        </is>
      </c>
      <c r="P1471" s="4" t="n">
        <v>2</v>
      </c>
      <c r="Q1471" s="4" t="n">
        <v>352.6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남리 436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23800</v>
      </c>
      <c r="G1472" s="4" t="n">
        <v>225</v>
      </c>
      <c r="H1472" s="4" t="n">
        <v>68</v>
      </c>
      <c r="I1472" s="5" t="n">
        <v>350</v>
      </c>
      <c r="J1472" s="5" t="n">
        <v>321.7</v>
      </c>
      <c r="K1472" s="3" t="inlineStr">
        <is>
          <t>10m 도로 접, 공영주차장 접, 나대지. 착한가격의 투자매물</t>
        </is>
      </c>
      <c r="L1472" s="6">
        <f>HYPERLINK("https://fin.land.naver.com/articles/2644627492", "매물Link")</f>
        <v/>
      </c>
      <c r="M1472" s="6">
        <f>HYPERLINK("https://map.naver.com/p/search/조치원읍 남리 436", "지도Link")</f>
        <v/>
      </c>
      <c r="N1472" s="6">
        <f>HYPERLINK("https://www.eum.go.kr/web/mp/mpMapDet.jsp?pnu=3611025027104360000&amp;isNoScr=script&amp;mode=search", "토지이음")</f>
        <v/>
      </c>
      <c r="O1472" s="3" t="inlineStr">
        <is>
          <t>오송3산단  사무소</t>
        </is>
      </c>
      <c r="P1472" s="4" t="n">
        <v>2</v>
      </c>
      <c r="Q1472" s="4" t="n">
        <v>225.8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명리 48-10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25000</v>
      </c>
      <c r="G1473" s="4" t="n">
        <v>188</v>
      </c>
      <c r="H1473" s="4" t="n">
        <v>57</v>
      </c>
      <c r="I1473" s="5" t="n">
        <v>438.6</v>
      </c>
      <c r="J1473" s="5" t="n">
        <v>205.6</v>
      </c>
      <c r="K1473" s="3" t="inlineStr">
        <is>
          <t>잘 정리된 사각형 나대지</t>
        </is>
      </c>
      <c r="L1473" s="6">
        <f>HYPERLINK("https://fin.land.naver.com/articles/2645606868", "매물Link")</f>
        <v/>
      </c>
      <c r="M1473" s="6">
        <f>HYPERLINK("https://map.naver.com/p/search/조치원읍 명리 48-10", "지도Link")</f>
        <v/>
      </c>
      <c r="N1473" s="6">
        <f>HYPERLINK("https://www.eum.go.kr/web/mp/mpMapDet.jsp?pnu=3611025026100480010&amp;isNoScr=script&amp;mode=search",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188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HYPERLINK("https://www.eum.go.kr/web/mp/mpMapDet.jsp?pnu=3611025031101210004&amp;isNoScr=script&amp;mode=search",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121-4</t>
        </is>
      </c>
      <c r="B1475" s="3" t="inlineStr">
        <is>
          <t>일반공업지역</t>
        </is>
      </c>
      <c r="C1475" s="3" t="inlineStr">
        <is>
          <t>잡종지</t>
        </is>
      </c>
      <c r="D1475" s="3" t="inlineStr">
        <is>
          <t>잡종지</t>
        </is>
      </c>
      <c r="E1475" s="3" t="inlineStr">
        <is>
          <t>매매</t>
        </is>
      </c>
      <c r="F1475" s="4" t="n">
        <v>280000</v>
      </c>
      <c r="G1475" s="4" t="n">
        <v>1531</v>
      </c>
      <c r="H1475" s="4" t="n">
        <v>463</v>
      </c>
      <c r="I1475" s="5" t="n">
        <v>604.8</v>
      </c>
      <c r="J1475" s="5" t="n">
        <v>201.1</v>
      </c>
      <c r="K1475" s="3" t="inlineStr">
        <is>
          <t>세종산단과 오송산단을 잇는 대로 접, 광고 시인성 뛰어남, 적극조율</t>
        </is>
      </c>
      <c r="L1475" s="6">
        <f>HYPERLINK("https://fin.land.naver.com/articles/2649267602", "매물Link")</f>
        <v/>
      </c>
      <c r="M1475" s="6">
        <f>HYPERLINK("https://map.naver.com/p/search/조치원읍 번암리 121-4", "지도Link")</f>
        <v/>
      </c>
      <c r="N1475" s="6">
        <f>HYPERLINK("https://www.eum.go.kr/web/mp/mpMapDet.jsp?pnu=3611025031101210004&amp;isNoScr=script&amp;mode=search", "토지이음")</f>
        <v/>
      </c>
      <c r="O1475" s="3" t="inlineStr">
        <is>
          <t>새롬시티</t>
        </is>
      </c>
      <c r="P1475" s="4" t="n">
        <v>1</v>
      </c>
      <c r="Q1475" s="4" t="n">
        <v>1531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광대세각</t>
        </is>
      </c>
    </row>
    <row r="1476">
      <c r="A1476" s="3" t="inlineStr">
        <is>
          <t>조치원읍 번암리 133</t>
        </is>
      </c>
      <c r="B1476" s="3" t="inlineStr">
        <is>
          <t>제2종일반주거지역</t>
        </is>
      </c>
      <c r="C1476" s="3" t="inlineStr">
        <is>
          <t>주유소용지</t>
        </is>
      </c>
      <c r="D1476" s="3" t="inlineStr">
        <is>
          <t>주유소용지</t>
        </is>
      </c>
      <c r="E1476" s="3" t="inlineStr">
        <is>
          <t>매매</t>
        </is>
      </c>
      <c r="F1476" s="4" t="n">
        <v>170000</v>
      </c>
      <c r="G1476" s="4" t="n">
        <v>542</v>
      </c>
      <c r="H1476" s="4" t="n">
        <v>164</v>
      </c>
      <c r="I1476" s="5" t="n">
        <v>1036.6</v>
      </c>
      <c r="J1476" s="5" t="n">
        <v>380.8</v>
      </c>
      <c r="K1476" s="3" t="inlineStr">
        <is>
          <t>최고의 입지, 대도로 접합, 진입로 있음, 명당,현재 주유소부지.</t>
        </is>
      </c>
      <c r="L1476" s="6">
        <f>HYPERLINK("https://fin.land.naver.com/articles/2647562954", "매물Link")</f>
        <v/>
      </c>
      <c r="M1476" s="6">
        <f>HYPERLINK("https://map.naver.com/p/search/조치원읍 번암리 133", "지도Link")</f>
        <v/>
      </c>
      <c r="N1476" s="6">
        <f>HYPERLINK("https://www.eum.go.kr/web/mp/mpMapDet.jsp?pnu=3611025031101330000&amp;isNoScr=script&amp;mode=search", "토지이음")</f>
        <v/>
      </c>
      <c r="O1476" s="3" t="inlineStr">
        <is>
          <t>송죽</t>
        </is>
      </c>
      <c r="P1476" s="4" t="n">
        <v>1</v>
      </c>
      <c r="Q1476" s="4" t="n">
        <v>542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광대로한면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158400</v>
      </c>
      <c r="G1477" s="4" t="n">
        <v>1007</v>
      </c>
      <c r="H1477" s="4" t="n">
        <v>305</v>
      </c>
      <c r="I1477" s="5" t="n">
        <v>519.3</v>
      </c>
      <c r="J1477" s="5" t="n">
        <v>49.5</v>
      </c>
      <c r="K1477" s="3" t="inlineStr">
        <is>
          <t>조율가,대도로인접,소방포장도로 접,노출효과 좋음,근린상가,소형공장등 추천</t>
        </is>
      </c>
      <c r="L1477" s="6">
        <f>HYPERLINK("https://fin.land.naver.com/articles/2650121496", "매물Link")</f>
        <v/>
      </c>
      <c r="M1477" s="6">
        <f>HYPERLINK("https://map.naver.com/p/search/조치원읍 번암리 171-48", "지도Link")</f>
        <v/>
      </c>
      <c r="N1477" s="6">
        <f>HYPERLINK("https://www.eum.go.kr/web/mp/mpMapDet.jsp?pnu=3611025031101710048&amp;isNoScr=script&amp;mode=search", "토지이음")</f>
        <v/>
      </c>
      <c r="O1477" s="3" t="inlineStr">
        <is>
          <t>어반통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171-48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121800</v>
      </c>
      <c r="G1478" s="4" t="n">
        <v>1007</v>
      </c>
      <c r="H1478" s="4" t="n">
        <v>305</v>
      </c>
      <c r="I1478" s="5" t="n">
        <v>399.3</v>
      </c>
      <c r="J1478" s="5" t="n">
        <v>49.5</v>
      </c>
      <c r="K1478" s="3" t="inlineStr">
        <is>
          <t>대로변 광고효과 소로1류1012m접함 일반공업지역 공장 근생적합</t>
        </is>
      </c>
      <c r="L1478" s="6">
        <f>HYPERLINK("https://fin.land.naver.com/articles/2645503733", "매물Link")</f>
        <v/>
      </c>
      <c r="M1478" s="6">
        <f>HYPERLINK("https://map.naver.com/p/search/조치원읍 번암리 171-48", "지도Link")</f>
        <v/>
      </c>
      <c r="N1478" s="6">
        <f>HYPERLINK("https://www.eum.go.kr/web/mp/mpMapDet.jsp?pnu=3611025031101710048&amp;isNoScr=script&amp;mode=search", "토지이음")</f>
        <v/>
      </c>
      <c r="O1478" s="3" t="inlineStr">
        <is>
          <t>세종이룸</t>
        </is>
      </c>
      <c r="P1478" s="4" t="n">
        <v>1</v>
      </c>
      <c r="Q1478" s="4" t="n">
        <v>598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조치원읍 번암리 171-49</t>
        </is>
      </c>
      <c r="B1479" s="3" t="inlineStr">
        <is>
          <t>일반공업지역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178880</v>
      </c>
      <c r="G1479" s="4" t="n">
        <v>1137</v>
      </c>
      <c r="H1479" s="4" t="n">
        <v>344</v>
      </c>
      <c r="I1479" s="5" t="n">
        <v>520</v>
      </c>
      <c r="J1479" s="5" t="n">
        <v>44</v>
      </c>
      <c r="K1479" s="3" t="inlineStr">
        <is>
          <t>조율가,대도로근접,소방포장도로 접,노출효과 좋음,근린상가,소형공장등 추천</t>
        </is>
      </c>
      <c r="L1479" s="6">
        <f>HYPERLINK("https://fin.land.naver.com/articles/2650121155", "매물Link")</f>
        <v/>
      </c>
      <c r="M1479" s="6">
        <f>HYPERLINK("https://map.naver.com/p/search/조치원읍 번암리 171-49", "지도Link")</f>
        <v/>
      </c>
      <c r="N1479" s="6">
        <f>HYPERLINK("https://www.eum.go.kr/web/mp/mpMapDet.jsp?pnu=3611025031101710049&amp;isNoScr=script&amp;mode=search", "토지이음")</f>
        <v/>
      </c>
      <c r="O1479" s="3" t="inlineStr">
        <is>
          <t>어반통</t>
        </is>
      </c>
      <c r="P1479" s="4" t="n">
        <v>1</v>
      </c>
      <c r="Q1479" s="4" t="n">
        <v>1137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번암리 2-4</t>
        </is>
      </c>
      <c r="B1480" s="3" t="inlineStr">
        <is>
          <t>보전녹지지역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186400</v>
      </c>
      <c r="G1480" s="4" t="n">
        <v>15410</v>
      </c>
      <c r="H1480" s="4" t="n">
        <v>4662</v>
      </c>
      <c r="I1480" s="5" t="n">
        <v>40</v>
      </c>
      <c r="J1480" s="5" t="n">
        <v>59.8</v>
      </c>
      <c r="K1480" s="3" t="inlineStr">
        <is>
          <t>오송역 10분대국가산단 배후, 완경사 대형토지</t>
        </is>
      </c>
      <c r="L1480" s="6">
        <f>HYPERLINK("https://fin.land.naver.com/articles/2647348739", "매물Link")</f>
        <v/>
      </c>
      <c r="M1480" s="6">
        <f>HYPERLINK("https://map.naver.com/p/search/조치원읍 번암리 2-4", "지도Link")</f>
        <v/>
      </c>
      <c r="N1480" s="6">
        <f>HYPERLINK("https://www.eum.go.kr/web/mp/mpMapDet.jsp?pnu=3611025031100020004&amp;isNoScr=script&amp;mode=search", "토지이음")</f>
        <v/>
      </c>
      <c r="O1480" s="3" t="inlineStr">
        <is>
          <t>세종소담황금</t>
        </is>
      </c>
      <c r="P1480" s="4" t="n">
        <v>1</v>
      </c>
      <c r="Q1480" s="4" t="n">
        <v>10154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완경사</t>
        </is>
      </c>
      <c r="U1480" s="3" t="inlineStr">
        <is>
          <t>자루형</t>
        </is>
      </c>
      <c r="V1480" s="3" t="inlineStr">
        <is>
          <t>세로한면(가)</t>
        </is>
      </c>
    </row>
    <row r="1481">
      <c r="A1481" s="3" t="inlineStr">
        <is>
          <t>조치원읍 번암리 66-1</t>
        </is>
      </c>
      <c r="B1481" s="3" t="inlineStr">
        <is>
          <t>제2종일반주거지역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120000</v>
      </c>
      <c r="G1481" s="4" t="n">
        <v>1084</v>
      </c>
      <c r="H1481" s="4" t="n">
        <v>328</v>
      </c>
      <c r="I1481" s="5" t="n">
        <v>365.9</v>
      </c>
      <c r="J1481" s="5" t="n">
        <v>120.7</v>
      </c>
      <c r="K1481" s="3" t="inlineStr">
        <is>
          <t>죽림리 2차선 접한 저렴한토지 상업용건물 추천</t>
        </is>
      </c>
      <c r="L1481" s="6">
        <f>HYPERLINK("https://fin.land.naver.com/articles/2645873630", "매물Link")</f>
        <v/>
      </c>
      <c r="M1481" s="6">
        <f>HYPERLINK("https://map.naver.com/p/search/조치원읍 번암리 66-1", "지도Link")</f>
        <v/>
      </c>
      <c r="N1481" s="6">
        <f>HYPERLINK("https://www.eum.go.kr/web/mp/mpMapDet.jsp?pnu=3611025031100660001&amp;isNoScr=script&amp;mode=search", "토지이음")</f>
        <v/>
      </c>
      <c r="O1481" s="3" t="inlineStr">
        <is>
          <t>OK수</t>
        </is>
      </c>
      <c r="P1481" s="4" t="n">
        <v>1</v>
      </c>
      <c r="Q1481" s="4" t="n">
        <v>500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번암리 86-1</t>
        </is>
      </c>
      <c r="B1482" s="3" t="inlineStr">
        <is>
          <t>제2종일반주거지역</t>
        </is>
      </c>
      <c r="C1482" s="3" t="inlineStr">
        <is>
          <t>과수원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331</v>
      </c>
      <c r="H1482" s="4" t="n">
        <v>100</v>
      </c>
      <c r="I1482" s="5" t="n">
        <v>500</v>
      </c>
      <c r="J1482" s="5" t="n">
        <v>190.1</v>
      </c>
      <c r="K1482" s="3" t="inlineStr">
        <is>
          <t>초기 투자 부담 적고 활용도 높은 규모</t>
        </is>
      </c>
      <c r="L1482" s="6">
        <f>HYPERLINK("https://fin.land.naver.com/articles/2648621896", "매물Link")</f>
        <v/>
      </c>
      <c r="M1482" s="6">
        <f>HYPERLINK("https://map.naver.com/p/search/조치원읍 번암리 86-1", "지도Link")</f>
        <v/>
      </c>
      <c r="N1482" s="6">
        <f>HYPERLINK("https://www.eum.go.kr/web/mp/mpMapDet.jsp?pnu=3611025031100860001&amp;isNoScr=script&amp;mode=search", "토지이음")</f>
        <v/>
      </c>
      <c r="O1482" s="3" t="inlineStr">
        <is>
          <t>더KEY</t>
        </is>
      </c>
      <c r="P1482" s="4" t="n">
        <v>1</v>
      </c>
      <c r="Q1482" s="4" t="n">
        <v>331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번암리 96-2</t>
        </is>
      </c>
      <c r="B1483" s="3" t="inlineStr">
        <is>
          <t>제2종일반주거지역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180000</v>
      </c>
      <c r="G1483" s="4" t="n">
        <v>943</v>
      </c>
      <c r="H1483" s="4" t="n">
        <v>285</v>
      </c>
      <c r="I1483" s="5" t="n">
        <v>631.6</v>
      </c>
      <c r="J1483" s="5" t="n">
        <v>222.5</v>
      </c>
      <c r="K1483" s="3" t="inlineStr">
        <is>
          <t>도시지역내 2종일반주거지역 토지</t>
        </is>
      </c>
      <c r="L1483" s="6">
        <f>HYPERLINK("https://fin.land.naver.com/articles/2644444574", "매물Link")</f>
        <v/>
      </c>
      <c r="M1483" s="6">
        <f>HYPERLINK("https://map.naver.com/p/search/조치원읍 번암리 96-2", "지도Link")</f>
        <v/>
      </c>
      <c r="N1483" s="6">
        <f>HYPERLINK("https://www.eum.go.kr/web/mp/mpMapDet.jsp?pnu=3611025031100960002&amp;isNoScr=script&amp;mode=search",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943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봉산리 108-1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245000</v>
      </c>
      <c r="G1484" s="4" t="n">
        <v>2188</v>
      </c>
      <c r="H1484" s="4" t="n">
        <v>662</v>
      </c>
      <c r="I1484" s="5" t="n">
        <v>370.1</v>
      </c>
      <c r="J1484" s="5" t="n">
        <v>153.9</v>
      </c>
      <c r="K1484" s="3" t="inlineStr">
        <is>
          <t>추천. 조치원 근생용지 추천</t>
        </is>
      </c>
      <c r="L1484" s="6">
        <f>HYPERLINK("https://fin.land.naver.com/articles/2645464476", "매물Link")</f>
        <v/>
      </c>
      <c r="M1484" s="6">
        <f>HYPERLINK("https://map.naver.com/p/search/조치원읍 봉산리 108-1", "지도Link")</f>
        <v/>
      </c>
      <c r="N1484" s="6">
        <f>HYPERLINK("https://www.eum.go.kr/web/mp/mpMapDet.jsp?pnu=3611025033101080001&amp;isNoScr=script&amp;mode=search",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2188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봉산리 171-3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210000</v>
      </c>
      <c r="G1485" s="4" t="n">
        <v>2313</v>
      </c>
      <c r="H1485" s="4" t="n">
        <v>700</v>
      </c>
      <c r="I1485" s="5" t="n">
        <v>300</v>
      </c>
      <c r="J1485" s="5" t="n">
        <v>129.9</v>
      </c>
      <c r="K1485" s="3" t="inlineStr">
        <is>
          <t>세종시 조치원 도심 700,  중로접 토지, 코너위치, 투자 1순위</t>
        </is>
      </c>
      <c r="L1485" s="6">
        <f>HYPERLINK("https://fin.land.naver.com/articles/2650315346", "매물Link")</f>
        <v/>
      </c>
      <c r="M1485" s="6">
        <f>HYPERLINK("https://map.naver.com/p/search/조치원읍 봉산리 171-3", "지도Link")</f>
        <v/>
      </c>
      <c r="N1485" s="6">
        <f>HYPERLINK("https://www.eum.go.kr/web/mp/mpMapDet.jsp?pnu=3611025033101710003&amp;isNoScr=script&amp;mode=search",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2313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171-5</t>
        </is>
      </c>
      <c r="B1486" s="3" t="inlineStr">
        <is>
          <t>자연녹지지역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140000</v>
      </c>
      <c r="G1486" s="4" t="n">
        <v>1695</v>
      </c>
      <c r="H1486" s="4" t="n">
        <v>513</v>
      </c>
      <c r="I1486" s="5" t="n">
        <v>272.9</v>
      </c>
      <c r="J1486" s="5" t="n">
        <v>135.2</v>
      </c>
      <c r="K1486" s="3" t="inlineStr">
        <is>
          <t>세종시 조치원읍 봉산리 토지 2필지 일괄매매입니다.</t>
        </is>
      </c>
      <c r="L1486" s="6">
        <f>HYPERLINK("https://fin.land.naver.com/articles/2648778213", "매물Link")</f>
        <v/>
      </c>
      <c r="M1486" s="6">
        <f>HYPERLINK("https://map.naver.com/p/search/조치원읍 봉산리 171-5", "지도Link")</f>
        <v/>
      </c>
      <c r="N1486" s="6">
        <f>HYPERLINK("https://www.eum.go.kr/web/mp/mpMapDet.jsp?pnu=3611025033101710005&amp;isNoScr=script&amp;mode=search",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499</v>
      </c>
      <c r="R1486" s="3" t="inlineStr">
        <is>
          <t>지정되지않음</t>
        </is>
      </c>
      <c r="S1486" s="3" t="inlineStr">
        <is>
          <t>답창고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중로한면</t>
        </is>
      </c>
    </row>
    <row r="1487">
      <c r="A1487" s="3" t="inlineStr">
        <is>
          <t>조치원읍 봉산리 225-2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65000</v>
      </c>
      <c r="G1487" s="4" t="n">
        <v>1450</v>
      </c>
      <c r="H1487" s="4" t="n">
        <v>439</v>
      </c>
      <c r="I1487" s="5" t="n">
        <v>148.1</v>
      </c>
      <c r="J1487" s="5" t="n">
        <v>69.3</v>
      </c>
      <c r="K1487" s="3" t="inlineStr">
        <is>
          <t>nan</t>
        </is>
      </c>
      <c r="L1487" s="6">
        <f>HYPERLINK("https://fin.land.naver.com/articles/2647840843", "매물Link")</f>
        <v/>
      </c>
      <c r="M1487" s="6">
        <f>HYPERLINK("https://map.naver.com/p/search/조치원읍 봉산리 225-2", "지도Link")</f>
        <v/>
      </c>
      <c r="N1487" s="6">
        <f>HYPERLINK("https://www.eum.go.kr/web/mp/mpMapDet.jsp?pnu=3611025033102250002&amp;isNoScr=script&amp;mode=search", "토지이음")</f>
        <v/>
      </c>
      <c r="O1487" s="3" t="inlineStr">
        <is>
          <t>덕천</t>
        </is>
      </c>
      <c r="P1487" s="4" t="n">
        <v>1</v>
      </c>
      <c r="Q1487" s="4" t="n">
        <v>1450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조치원읍 봉산리 235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75000</v>
      </c>
      <c r="G1488" s="4" t="n">
        <v>5924</v>
      </c>
      <c r="H1488" s="4" t="n">
        <v>1792</v>
      </c>
      <c r="I1488" s="5" t="n">
        <v>41.9</v>
      </c>
      <c r="J1488" s="5" t="n">
        <v>47</v>
      </c>
      <c r="K1488" s="3" t="inlineStr">
        <is>
          <t>지가 상승 확실한 투자처 성장계획구역 포함 미래 가치 높은 땅</t>
        </is>
      </c>
      <c r="L1488" s="6">
        <f>HYPERLINK("https://fin.land.naver.com/articles/2647330001", "매물Link")</f>
        <v/>
      </c>
      <c r="M1488" s="6">
        <f>HYPERLINK("https://map.naver.com/p/search/조치원읍 봉산리 235", "지도Link")</f>
        <v/>
      </c>
      <c r="N1488" s="6">
        <f>HYPERLINK("https://www.eum.go.kr/web/mp/mpMapDet.jsp?pnu=3611025033102350000&amp;isNoScr=script&amp;mode=search", "토지이음")</f>
        <v/>
      </c>
      <c r="O1488" s="3" t="inlineStr">
        <is>
          <t>신동아랜드</t>
        </is>
      </c>
      <c r="P1488" s="4" t="n">
        <v>1</v>
      </c>
      <c r="Q1488" s="4" t="n">
        <v>5924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조치원읍 봉산리 262-5</t>
        </is>
      </c>
      <c r="B1489" s="3" t="inlineStr">
        <is>
          <t>자연녹지지역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50000</v>
      </c>
      <c r="G1489" s="4" t="n">
        <v>760</v>
      </c>
      <c r="H1489" s="4" t="n">
        <v>230</v>
      </c>
      <c r="I1489" s="5" t="n">
        <v>217.4</v>
      </c>
      <c r="J1489" s="5" t="n">
        <v>95.5</v>
      </c>
      <c r="K1489" s="3" t="inlineStr">
        <is>
          <t>투자가치가 높은 세종시 조치원읍 봉산리 토지매매</t>
        </is>
      </c>
      <c r="L1489" s="6">
        <f>HYPERLINK("https://fin.land.naver.com/articles/2645229143", "매물Link")</f>
        <v/>
      </c>
      <c r="M1489" s="6">
        <f>HYPERLINK("https://map.naver.com/p/search/조치원읍 봉산리 262-5", "지도Link")</f>
        <v/>
      </c>
      <c r="N1489" s="6">
        <f>HYPERLINK("https://www.eum.go.kr/web/mp/mpMapDet.jsp?pnu=3611025033102620005&amp;isNoScr=script&amp;mode=search", "토지이음")</f>
        <v/>
      </c>
      <c r="O1489" s="3" t="inlineStr">
        <is>
          <t>비전</t>
        </is>
      </c>
      <c r="P1489" s="4" t="n">
        <v>1</v>
      </c>
      <c r="Q1489" s="4" t="n">
        <v>760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270-2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110000</v>
      </c>
      <c r="G1490" s="4" t="n">
        <v>774</v>
      </c>
      <c r="H1490" s="4" t="n">
        <v>234</v>
      </c>
      <c r="I1490" s="5" t="n">
        <v>470.1</v>
      </c>
      <c r="J1490" s="5" t="n">
        <v>169.9</v>
      </c>
      <c r="K1490" s="3" t="inlineStr">
        <is>
          <t>가격협의가능,2차선도로접, 개발호재지역근접, 투자용추천</t>
        </is>
      </c>
      <c r="L1490" s="6">
        <f>HYPERLINK("https://fin.land.naver.com/articles/2645980234", "매물Link")</f>
        <v/>
      </c>
      <c r="M1490" s="6">
        <f>HYPERLINK("https://map.naver.com/p/search/조치원읍 봉산리 270-2", "지도Link")</f>
        <v/>
      </c>
      <c r="N1490" s="6">
        <f>HYPERLINK("https://www.eum.go.kr/web/mp/mpMapDet.jsp?pnu=3611025033102700002&amp;isNoScr=script&amp;mode=search", "토지이음")</f>
        <v/>
      </c>
      <c r="O1490" s="3" t="inlineStr">
        <is>
          <t>현대아이파크</t>
        </is>
      </c>
      <c r="P1490" s="4" t="n">
        <v>1</v>
      </c>
      <c r="Q1490" s="4" t="n">
        <v>774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소로각지</t>
        </is>
      </c>
    </row>
    <row r="1491">
      <c r="A1491" s="3" t="inlineStr">
        <is>
          <t>조치원읍 봉산리 273-2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180000</v>
      </c>
      <c r="G1491" s="4" t="n">
        <v>1949</v>
      </c>
      <c r="H1491" s="4" t="n">
        <v>590</v>
      </c>
      <c r="I1491" s="5" t="n">
        <v>305.1</v>
      </c>
      <c r="J1491" s="5" t="n">
        <v>74.40000000000001</v>
      </c>
      <c r="K1491" s="3" t="inlineStr">
        <is>
          <t>봉산리  귀한 계획관리지역  2차선도로 접.토지거래허가구역. 투자추천매물</t>
        </is>
      </c>
      <c r="L1491" s="6">
        <f>HYPERLINK("https://fin.land.naver.com/articles/2647140613", "매물Link")</f>
        <v/>
      </c>
      <c r="M1491" s="6">
        <f>HYPERLINK("https://map.naver.com/p/search/조치원읍 봉산리 273-2", "지도Link")</f>
        <v/>
      </c>
      <c r="N1491" s="6">
        <f>HYPERLINK("https://www.eum.go.kr/web/mp/mpMapDet.jsp?pnu=3611025033102730002&amp;isNoScr=script&amp;mode=search", "토지이음")</f>
        <v/>
      </c>
      <c r="O1491" s="3" t="inlineStr">
        <is>
          <t>세종특별시</t>
        </is>
      </c>
      <c r="P1491" s="4" t="n">
        <v>1</v>
      </c>
      <c r="Q1491" s="4" t="n">
        <v>1949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봉산리 287-2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140700</v>
      </c>
      <c r="G1492" s="4" t="n">
        <v>3322</v>
      </c>
      <c r="H1492" s="4" t="n">
        <v>1005</v>
      </c>
      <c r="I1492" s="5" t="n">
        <v>140</v>
      </c>
      <c r="J1492" s="5" t="n">
        <v>70</v>
      </c>
      <c r="K1492" s="3" t="inlineStr">
        <is>
          <t>투자용</t>
        </is>
      </c>
      <c r="L1492" s="6">
        <f>HYPERLINK("https://fin.land.naver.com/articles/2648555645", "매물Link")</f>
        <v/>
      </c>
      <c r="M1492" s="6">
        <f>HYPERLINK("https://map.naver.com/p/search/조치원읍 봉산리 287-2", "지도Link")</f>
        <v/>
      </c>
      <c r="N1492" s="6">
        <f>HYPERLINK("https://www.eum.go.kr/web/mp/mpMapDet.jsp?pnu=3611025033102870002&amp;isNoScr=script&amp;mode=search", "토지이음")</f>
        <v/>
      </c>
      <c r="O1492" s="3" t="inlineStr">
        <is>
          <t>세종리츠</t>
        </is>
      </c>
      <c r="P1492" s="4" t="n">
        <v>1</v>
      </c>
      <c r="Q1492" s="4" t="n">
        <v>2628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295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329200</v>
      </c>
      <c r="G1493" s="4" t="n">
        <v>4353</v>
      </c>
      <c r="H1493" s="4" t="n">
        <v>1317</v>
      </c>
      <c r="I1493" s="5" t="n">
        <v>250</v>
      </c>
      <c r="J1493" s="5" t="n">
        <v>70.7</v>
      </c>
      <c r="K1493" s="3" t="inlineStr">
        <is>
          <t>nan</t>
        </is>
      </c>
      <c r="L1493" s="6">
        <f>HYPERLINK("https://fin.land.naver.com/articles/2646456412", "매물Link")</f>
        <v/>
      </c>
      <c r="M1493" s="6">
        <f>HYPERLINK("https://map.naver.com/p/search/조치원읍 봉산리 295", "지도Link")</f>
        <v/>
      </c>
      <c r="N1493" s="6">
        <f>HYPERLINK("https://www.eum.go.kr/web/mp/mpMapDet.jsp?pnu=3611025033102950000&amp;isNoScr=script&amp;mode=search", "토지이음")</f>
        <v/>
      </c>
      <c r="O1493" s="3" t="inlineStr">
        <is>
          <t>오송랜드</t>
        </is>
      </c>
      <c r="P1493" s="4" t="n">
        <v>1</v>
      </c>
      <c r="Q1493" s="4" t="n">
        <v>2226</v>
      </c>
      <c r="R1493" s="3" t="inlineStr">
        <is>
          <t>지정되지않음</t>
        </is>
      </c>
      <c r="S1493" s="3" t="inlineStr">
        <is>
          <t>전기타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조치원읍 봉산리 296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300000</v>
      </c>
      <c r="G1494" s="4" t="n">
        <v>2631</v>
      </c>
      <c r="H1494" s="4" t="n">
        <v>796</v>
      </c>
      <c r="I1494" s="5" t="n">
        <v>376.9</v>
      </c>
      <c r="J1494" s="5" t="n">
        <v>93.7</v>
      </c>
      <c r="K1494" s="3" t="inlineStr">
        <is>
          <t>조치원 서북부지구 도시개발사업인접. 향후 유동 인구와 인프라 확충높음</t>
        </is>
      </c>
      <c r="L1494" s="6">
        <f>HYPERLINK("https://fin.land.naver.com/articles/2649013256", "매물Link")</f>
        <v/>
      </c>
      <c r="M1494" s="6">
        <f>HYPERLINK("https://map.naver.com/p/search/조치원읍 봉산리 296", "지도Link")</f>
        <v/>
      </c>
      <c r="N1494" s="6">
        <f>HYPERLINK("https://www.eum.go.kr/web/mp/mpMapDet.jsp?pnu=3611025033102960000&amp;isNoScr=script&amp;mode=search", "토지이음")</f>
        <v/>
      </c>
      <c r="O1494" s="3" t="inlineStr">
        <is>
          <t>우리동네</t>
        </is>
      </c>
      <c r="P1494" s="4" t="n">
        <v>1</v>
      </c>
      <c r="Q1494" s="4" t="n">
        <v>2631</v>
      </c>
      <c r="R1494" s="3" t="inlineStr">
        <is>
          <t>지정되지않음</t>
        </is>
      </c>
      <c r="S1494" s="3" t="inlineStr">
        <is>
          <t>공업용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소로한면</t>
        </is>
      </c>
    </row>
    <row r="1495">
      <c r="A1495" s="3" t="inlineStr">
        <is>
          <t>조치원읍 봉산리 303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151580</v>
      </c>
      <c r="G1495" s="4" t="n">
        <v>2277</v>
      </c>
      <c r="H1495" s="4" t="n">
        <v>689</v>
      </c>
      <c r="I1495" s="5" t="n">
        <v>220</v>
      </c>
      <c r="J1495" s="5" t="n">
        <v>62.3</v>
      </c>
      <c r="K1495" s="3" t="inlineStr">
        <is>
          <t>nan</t>
        </is>
      </c>
      <c r="L1495" s="6">
        <f>HYPERLINK("https://fin.land.naver.com/articles/2646469696", "매물Link")</f>
        <v/>
      </c>
      <c r="M1495" s="6">
        <f>HYPERLINK("https://map.naver.com/p/search/조치원읍 봉산리 303", "지도Link")</f>
        <v/>
      </c>
      <c r="N1495" s="6">
        <f>HYPERLINK("https://www.eum.go.kr/web/mp/mpMapDet.jsp?pnu=3611025033103030000&amp;isNoScr=script&amp;mode=search", "토지이음")</f>
        <v/>
      </c>
      <c r="O1495" s="3" t="inlineStr">
        <is>
          <t>오송랜드</t>
        </is>
      </c>
      <c r="P1495" s="4" t="n">
        <v>1</v>
      </c>
      <c r="Q1495" s="4" t="n">
        <v>2278</v>
      </c>
      <c r="R1495" s="3" t="inlineStr">
        <is>
          <t>지정되지않음</t>
        </is>
      </c>
      <c r="S1495" s="3" t="inlineStr">
        <is>
          <t>전기타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320</t>
        </is>
      </c>
      <c r="B1496" s="3" t="inlineStr">
        <is>
          <t>계획관리지역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120000</v>
      </c>
      <c r="G1496" s="4" t="n">
        <v>1901</v>
      </c>
      <c r="H1496" s="4" t="n">
        <v>575</v>
      </c>
      <c r="I1496" s="5" t="n">
        <v>208.7</v>
      </c>
      <c r="J1496" s="5" t="n">
        <v>62.3</v>
      </c>
      <c r="K1496" s="3" t="inlineStr">
        <is>
          <t>급.조치원역인근 투자용 계획관리</t>
        </is>
      </c>
      <c r="L1496" s="6">
        <f>HYPERLINK("https://fin.land.naver.com/articles/2645465983", "매물Link")</f>
        <v/>
      </c>
      <c r="M1496" s="6">
        <f>HYPERLINK("https://map.naver.com/p/search/조치원읍 봉산리 320", "지도Link")</f>
        <v/>
      </c>
      <c r="N1496" s="6">
        <f>HYPERLINK("https://www.eum.go.kr/web/mp/mpMapDet.jsp?pnu=3611025033103200000&amp;isNoScr=script&amp;mode=search", "토지이음")</f>
        <v/>
      </c>
      <c r="O1496" s="3" t="inlineStr">
        <is>
          <t>강아지풀</t>
        </is>
      </c>
      <c r="P1496" s="4" t="n">
        <v>1</v>
      </c>
      <c r="Q1496" s="4" t="n">
        <v>1618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조치원읍 봉산리 365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1300000</v>
      </c>
      <c r="G1497" s="4" t="n">
        <v>4444</v>
      </c>
      <c r="H1497" s="4" t="n">
        <v>1344</v>
      </c>
      <c r="I1497" s="5" t="n">
        <v>967.3</v>
      </c>
      <c r="J1497" s="5" t="n">
        <v>256</v>
      </c>
      <c r="K1497" s="3" t="inlineStr">
        <is>
          <t>nan</t>
        </is>
      </c>
      <c r="L1497" s="6">
        <f>HYPERLINK("https://fin.land.naver.com/articles/2645947588", "매물Link")</f>
        <v/>
      </c>
      <c r="M1497" s="6">
        <f>HYPERLINK("https://map.naver.com/p/search/조치원읍 봉산리 365", "지도Link")</f>
        <v/>
      </c>
      <c r="N1497" s="6">
        <f>HYPERLINK("https://www.eum.go.kr/web/mp/mpMapDet.jsp?pnu=3611025033103650000&amp;isNoScr=script&amp;mode=search", "토지이음")</f>
        <v/>
      </c>
      <c r="O1497" s="3" t="inlineStr">
        <is>
          <t>테이트한남  주식회사</t>
        </is>
      </c>
      <c r="P1497" s="4" t="n">
        <v>2</v>
      </c>
      <c r="Q1497" s="4" t="n">
        <v>4444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375000</v>
      </c>
      <c r="G1498" s="4" t="n">
        <v>828</v>
      </c>
      <c r="H1498" s="4" t="n">
        <v>250</v>
      </c>
      <c r="I1498" s="5" t="n">
        <v>1500</v>
      </c>
      <c r="J1498" s="5" t="n">
        <v>274.4</v>
      </c>
      <c r="K1498" s="3" t="inlineStr">
        <is>
          <t>준주거 대지</t>
        </is>
      </c>
      <c r="L1498" s="6">
        <f>HYPERLINK("https://fin.land.naver.com/articles/2649750743", "매물Link")</f>
        <v/>
      </c>
      <c r="M1498" s="6">
        <f>HYPERLINK("https://map.naver.com/p/search/조치원읍 봉산리 393", "지도Link")</f>
        <v/>
      </c>
      <c r="N1498" s="6">
        <f>HYPERLINK("https://www.eum.go.kr/web/mp/mpMapDet.jsp?pnu=3611025033103930000&amp;isNoScr=script&amp;mode=search", "토지이음")</f>
        <v/>
      </c>
      <c r="O1498" s="3" t="inlineStr">
        <is>
          <t>세종몽땅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393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450000</v>
      </c>
      <c r="G1499" s="4" t="n">
        <v>828</v>
      </c>
      <c r="H1499" s="4" t="n">
        <v>250</v>
      </c>
      <c r="I1499" s="5" t="n">
        <v>1800</v>
      </c>
      <c r="J1499" s="5" t="n">
        <v>274.4</v>
      </c>
      <c r="K1499" s="3" t="inlineStr">
        <is>
          <t>조치원 서북부지구 아파트 앞 중심상권 토지</t>
        </is>
      </c>
      <c r="L1499" s="6">
        <f>HYPERLINK("https://fin.land.naver.com/articles/2644444573", "매물Link")</f>
        <v/>
      </c>
      <c r="M1499" s="6">
        <f>HYPERLINK("https://map.naver.com/p/search/조치원읍 봉산리 393", "지도Link")</f>
        <v/>
      </c>
      <c r="N1499" s="6">
        <f>HYPERLINK("https://www.eum.go.kr/web/mp/mpMapDet.jsp?pnu=3611025033103930000&amp;isNoScr=script&amp;mode=search",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828.7</v>
      </c>
      <c r="R1499" s="3" t="inlineStr">
        <is>
          <t>지정되지않음</t>
        </is>
      </c>
      <c r="S1499" s="3" t="inlineStr">
        <is>
          <t>상업나지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조치원읍 봉산리 산 20-16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380000</v>
      </c>
      <c r="G1500" s="4" t="n">
        <v>25657</v>
      </c>
      <c r="H1500" s="4" t="n">
        <v>7761</v>
      </c>
      <c r="I1500" s="5" t="n">
        <v>49</v>
      </c>
      <c r="J1500" s="5" t="n">
        <v>8.5</v>
      </c>
      <c r="K1500" s="3" t="inlineStr">
        <is>
          <t>봉산리 임야 매매</t>
        </is>
      </c>
      <c r="L1500" s="6">
        <f>HYPERLINK("https://fin.land.naver.com/articles/2647628421", "매물Link")</f>
        <v/>
      </c>
      <c r="M1500" s="6">
        <f>HYPERLINK("https://map.naver.com/p/search/조치원읍 봉산리 산 20-16", "지도Link")</f>
        <v/>
      </c>
      <c r="N1500" s="6">
        <f>HYPERLINK("https://www.eum.go.kr/web/mp/mpMapDet.jsp?pnu=3611025033200200016&amp;isNoScr=script&amp;mode=search", "토지이음")</f>
        <v/>
      </c>
      <c r="O1500" s="3" t="inlineStr">
        <is>
          <t>스마트</t>
        </is>
      </c>
      <c r="P1500" s="4" t="n">
        <v>1</v>
      </c>
      <c r="Q1500" s="4" t="n">
        <v>25657</v>
      </c>
      <c r="R1500" s="3" t="inlineStr">
        <is>
          <t>보전녹지지역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조치원읍 봉산리 산20-15</t>
        </is>
      </c>
      <c r="B1501" s="3" t="inlineStr">
        <is>
          <t>보전녹지지역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16084</v>
      </c>
      <c r="G1501" s="4" t="n">
        <v>13291</v>
      </c>
      <c r="H1501" s="4" t="n">
        <v>4021</v>
      </c>
      <c r="I1501" s="5" t="n">
        <v>4</v>
      </c>
      <c r="J1501" s="5" t="n">
        <v>4.1</v>
      </c>
      <c r="K1501" s="3" t="inlineStr">
        <is>
          <t>맹지 빠른매도원함 조치원읍  주변 땅 발전성 높고요 매물 가치 좋아요</t>
        </is>
      </c>
      <c r="L1501" s="6">
        <f>HYPERLINK("https://fin.land.naver.com/articles/2649267318", "매물Link")</f>
        <v/>
      </c>
      <c r="M1501" s="6">
        <f>HYPERLINK("https://map.naver.com/p/search/조치원읍 봉산리 산20-15", "지도Link")</f>
        <v/>
      </c>
      <c r="N1501" s="6">
        <f>HYPERLINK("https://www.eum.go.kr/web/mp/mpMapDet.jsp?pnu=3611025033200200015&amp;isNoScr=script&amp;mode=search", "토지이음")</f>
        <v/>
      </c>
      <c r="O1501" s="3" t="inlineStr">
        <is>
          <t>삼성래미안</t>
        </is>
      </c>
      <c r="P1501" s="4" t="n">
        <v>3</v>
      </c>
      <c r="Q1501" s="4" t="n">
        <v>13291</v>
      </c>
      <c r="R1501" s="3" t="inlineStr">
        <is>
          <t>자연녹지지역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일반상업지역 대지 매매</t>
        </is>
      </c>
      <c r="L1502" s="6">
        <f>HYPERLINK("https://fin.land.naver.com/articles/2644569861", "매물Link")</f>
        <v/>
      </c>
      <c r="M1502" s="6">
        <f>HYPERLINK("https://map.naver.com/p/search/조치원읍 상리 98", "지도Link")</f>
        <v/>
      </c>
      <c r="N1502" s="6">
        <f>HYPERLINK("https://www.eum.go.kr/web/mp/mpMapDet.jsp?pnu=3611025022100980000&amp;isNoScr=script&amp;mode=search", "토지이음")</f>
        <v/>
      </c>
      <c r="O1502" s="3" t="inlineStr">
        <is>
          <t>김준희</t>
        </is>
      </c>
      <c r="P1502" s="4" t="n">
        <v>1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조치원 버스터미널 인접 도로접 일반상업지역 9억대 나대지</t>
        </is>
      </c>
      <c r="L1503" s="6">
        <f>HYPERLINK("https://fin.land.naver.com/articles/2649751054", "매물Link")</f>
        <v/>
      </c>
      <c r="M1503" s="6">
        <f>HYPERLINK("https://map.naver.com/p/search/조치원읍 상리 98", "지도Link")</f>
        <v/>
      </c>
      <c r="N1503" s="6">
        <f>HYPERLINK("https://www.eum.go.kr/web/mp/mpMapDet.jsp?pnu=3611025022100980000&amp;isNoScr=script&amp;mode=search",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상리 98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90000</v>
      </c>
      <c r="G1504" s="4" t="n">
        <v>427</v>
      </c>
      <c r="H1504" s="4" t="n">
        <v>129</v>
      </c>
      <c r="I1504" s="5" t="n">
        <v>697.7</v>
      </c>
      <c r="J1504" s="5" t="n">
        <v>478</v>
      </c>
      <c r="K1504" s="3" t="inlineStr">
        <is>
          <t>급매 조치원 터미널 인근 도시지역 일반상업지역 지목 대</t>
        </is>
      </c>
      <c r="L1504" s="6">
        <f>HYPERLINK("https://fin.land.naver.com/articles/2648912392", "매물Link")</f>
        <v/>
      </c>
      <c r="M1504" s="6">
        <f>HYPERLINK("https://map.naver.com/p/search/조치원읍 상리 98", "지도Link")</f>
        <v/>
      </c>
      <c r="N1504" s="6">
        <f>HYPERLINK("https://www.eum.go.kr/web/mp/mpMapDet.jsp?pnu=3611025022100980000&amp;isNoScr=script&amp;mode=search", "토지이음")</f>
        <v/>
      </c>
      <c r="O1504" s="3" t="inlineStr">
        <is>
          <t>오송퍼스트영웅</t>
        </is>
      </c>
      <c r="P1504" s="4" t="n">
        <v>2</v>
      </c>
      <c r="Q1504" s="4" t="n">
        <v>427</v>
      </c>
      <c r="R1504" s="3" t="inlineStr">
        <is>
          <t>지정되지않음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조치원읍 서창리 105-10</t>
        </is>
      </c>
      <c r="B1505" s="3" t="inlineStr">
        <is>
          <t>제1종일반주거지역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185000</v>
      </c>
      <c r="G1505" s="4" t="n">
        <v>1685</v>
      </c>
      <c r="H1505" s="4" t="n">
        <v>510</v>
      </c>
      <c r="I1505" s="5" t="n">
        <v>362.7</v>
      </c>
      <c r="J1505" s="5" t="n">
        <v>228.2</v>
      </c>
      <c r="K1505" s="3" t="inlineStr">
        <is>
          <t>4차선 대로접, 물류 및 자동차 관련시설 추천</t>
        </is>
      </c>
      <c r="L1505" s="6">
        <f>HYPERLINK("https://fin.land.naver.com/articles/2649100924", "매물Link")</f>
        <v/>
      </c>
      <c r="M1505" s="6">
        <f>HYPERLINK("https://map.naver.com/p/search/조치원읍 서창리 105-10", "지도Link")</f>
        <v/>
      </c>
      <c r="N1505" s="6">
        <f>HYPERLINK("https://www.eum.go.kr/web/mp/mpMapDet.jsp?pnu=3611025034101050010&amp;isNoScr=script&amp;mode=search", "토지이음")</f>
        <v/>
      </c>
      <c r="O1505" s="3" t="inlineStr">
        <is>
          <t>세종소담114</t>
        </is>
      </c>
      <c r="P1505" s="4" t="n">
        <v>1</v>
      </c>
      <c r="Q1505" s="4" t="n">
        <v>1685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조치원읍 서창리 106-4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60000</v>
      </c>
      <c r="G1506" s="4" t="n">
        <v>540</v>
      </c>
      <c r="H1506" s="4" t="n">
        <v>163</v>
      </c>
      <c r="I1506" s="5" t="n">
        <v>368.1</v>
      </c>
      <c r="J1506" s="5" t="n">
        <v>194.8</v>
      </c>
      <c r="K1506" s="3" t="inlineStr">
        <is>
          <t>카센타 세차장 등으로 활용하면 좋을 근생시설과 단독주택을 일괄매매합니다</t>
        </is>
      </c>
      <c r="L1506" s="6">
        <f>HYPERLINK("https://fin.land.naver.com/articles/2644717830", "매물Link")</f>
        <v/>
      </c>
      <c r="M1506" s="6">
        <f>HYPERLINK("https://map.naver.com/p/search/조치원읍 서창리 106-4", "지도Link")</f>
        <v/>
      </c>
      <c r="N1506" s="6">
        <f>HYPERLINK("https://www.eum.go.kr/web/mp/mpMapDet.jsp?pnu=3611025034101060004&amp;isNoScr=script&amp;mode=search", "토지이음")</f>
        <v/>
      </c>
      <c r="O1506" s="3" t="inlineStr">
        <is>
          <t>스마일세종</t>
        </is>
      </c>
      <c r="P1506" s="4" t="n">
        <v>1</v>
      </c>
      <c r="Q1506" s="4" t="n">
        <v>540.1</v>
      </c>
      <c r="R1506" s="3" t="inlineStr">
        <is>
          <t>지정되지않음</t>
        </is>
      </c>
      <c r="S1506" s="3" t="inlineStr">
        <is>
          <t>주상용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조치원읍 서창리 124-2</t>
        </is>
      </c>
      <c r="B1507" s="3" t="inlineStr">
        <is>
          <t>자연녹지지역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98700</v>
      </c>
      <c r="G1507" s="4" t="n">
        <v>1086</v>
      </c>
      <c r="H1507" s="4" t="n">
        <v>329</v>
      </c>
      <c r="I1507" s="5" t="n">
        <v>300</v>
      </c>
      <c r="J1507" s="5" t="n">
        <v>108</v>
      </c>
      <c r="K1507" s="3" t="inlineStr">
        <is>
          <t>도시지역.자연녹지지역.공공청사</t>
        </is>
      </c>
      <c r="L1507" s="6">
        <f>HYPERLINK("https://fin.land.naver.com/articles/2645175421", "매물Link")</f>
        <v/>
      </c>
      <c r="M1507" s="6">
        <f>HYPERLINK("https://map.naver.com/p/search/조치원읍 서창리 124-2", "지도Link")</f>
        <v/>
      </c>
      <c r="N1507" s="6">
        <f>HYPERLINK("https://www.eum.go.kr/web/mp/mpMapDet.jsp?pnu=3611025034101240002&amp;isNoScr=script&amp;mode=search", "토지이음")</f>
        <v/>
      </c>
      <c r="O1507" s="3" t="inlineStr">
        <is>
          <t>광주역포스코</t>
        </is>
      </c>
      <c r="P1507" s="4" t="n">
        <v>1</v>
      </c>
      <c r="Q1507" s="4" t="n">
        <v>1086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서창리 토지 매매</t>
        </is>
      </c>
      <c r="L1508" s="6">
        <f>HYPERLINK("https://fin.land.naver.com/articles/2648992439", "매물Link")</f>
        <v/>
      </c>
      <c r="M1508" s="6">
        <f>HYPERLINK("https://map.naver.com/p/search/조치원읍 서창리 138-2", "지도Link")</f>
        <v/>
      </c>
      <c r="N1508" s="6">
        <f>HYPERLINK("https://www.eum.go.kr/web/mp/mpMapDet.jsp?pnu=3611025034101380002&amp;isNoScr=script&amp;mode=search", "토지이음")</f>
        <v/>
      </c>
      <c r="O1508" s="3" t="inlineStr">
        <is>
          <t>김준희</t>
        </is>
      </c>
      <c r="P1508" s="4" t="n">
        <v>1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84960</v>
      </c>
      <c r="G1509" s="4" t="n">
        <v>620</v>
      </c>
      <c r="H1509" s="4" t="n">
        <v>188</v>
      </c>
      <c r="I1509" s="5" t="n">
        <v>451.9</v>
      </c>
      <c r="J1509" s="5" t="n">
        <v>178.5</v>
      </c>
      <c r="K1509" s="3" t="inlineStr">
        <is>
          <t>세종시 조치원읍 서창리 토지 급매 고려대,세종여고옆 제2종주거620㎡급매</t>
        </is>
      </c>
      <c r="L1509" s="6">
        <f>HYPERLINK("https://fin.land.naver.com/articles/2650379617", "매물Link")</f>
        <v/>
      </c>
      <c r="M1509" s="6">
        <f>HYPERLINK("https://map.naver.com/p/search/조치원읍 서창리 138-2", "지도Link")</f>
        <v/>
      </c>
      <c r="N1509" s="6">
        <f>HYPERLINK("https://www.eum.go.kr/web/mp/mpMapDet.jsp?pnu=3611025034101380002&amp;isNoScr=script&amp;mode=search", "토지이음")</f>
        <v/>
      </c>
      <c r="O1509" s="3" t="inlineStr">
        <is>
          <t>세종</t>
        </is>
      </c>
      <c r="P1509" s="4" t="n">
        <v>2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nan</t>
        </is>
      </c>
      <c r="L1510" s="6">
        <f>HYPERLINK("https://fin.land.naver.com/articles/2649067843", "매물Link")</f>
        <v/>
      </c>
      <c r="M1510" s="6">
        <f>HYPERLINK("https://map.naver.com/p/search/조치원읍 서창리 138-2", "지도Link")</f>
        <v/>
      </c>
      <c r="N1510" s="6">
        <f>HYPERLINK("https://www.eum.go.kr/web/mp/mpMapDet.jsp?pnu=3611025034101380002&amp;isNoScr=script&amp;mode=search", "토지이음")</f>
        <v/>
      </c>
      <c r="O1510" s="3" t="inlineStr">
        <is>
          <t>번암주공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138-2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85000</v>
      </c>
      <c r="G1511" s="4" t="n">
        <v>620</v>
      </c>
      <c r="H1511" s="4" t="n">
        <v>188</v>
      </c>
      <c r="I1511" s="5" t="n">
        <v>452.1</v>
      </c>
      <c r="J1511" s="5" t="n">
        <v>178.5</v>
      </c>
      <c r="K1511" s="3" t="inlineStr">
        <is>
          <t>서창리 2종일반주거,2차선접 코너 나대지 토지 급매</t>
        </is>
      </c>
      <c r="L1511" s="6">
        <f>HYPERLINK("https://fin.land.naver.com/articles/2649393495", "매물Link")</f>
        <v/>
      </c>
      <c r="M1511" s="6">
        <f>HYPERLINK("https://map.naver.com/p/search/조치원읍 서창리 138-2", "지도Link")</f>
        <v/>
      </c>
      <c r="N1511" s="6">
        <f>HYPERLINK("https://www.eum.go.kr/web/mp/mpMapDet.jsp?pnu=3611025034101380002&amp;isNoScr=script&amp;mode=search", "토지이음")</f>
        <v/>
      </c>
      <c r="O1511" s="3" t="inlineStr">
        <is>
          <t>광장</t>
        </is>
      </c>
      <c r="P1511" s="4" t="n">
        <v>2</v>
      </c>
      <c r="Q1511" s="4" t="n">
        <v>289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152-2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63000</v>
      </c>
      <c r="G1512" s="4" t="n">
        <v>328</v>
      </c>
      <c r="H1512" s="4" t="n">
        <v>99</v>
      </c>
      <c r="I1512" s="5" t="n">
        <v>636.4</v>
      </c>
      <c r="J1512" s="5" t="n">
        <v>237.3</v>
      </c>
      <c r="K1512" s="3" t="inlineStr">
        <is>
          <t>급매,고려대학교 인근,도로접 도시.2종일반주거지역,다용도 건축가능</t>
        </is>
      </c>
      <c r="L1512" s="6">
        <f>HYPERLINK("https://fin.land.naver.com/articles/2649493845", "매물Link")</f>
        <v/>
      </c>
      <c r="M1512" s="6">
        <f>HYPERLINK("https://map.naver.com/p/search/조치원읍 서창리 152-2", "지도Link")</f>
        <v/>
      </c>
      <c r="N1512" s="6">
        <f>HYPERLINK("https://www.eum.go.kr/web/mp/mpMapDet.jsp?pnu=3611025034101520002&amp;isNoScr=script&amp;mode=search", "토지이음")</f>
        <v/>
      </c>
      <c r="O1512" s="3" t="inlineStr">
        <is>
          <t>고운맘</t>
        </is>
      </c>
      <c r="P1512" s="4" t="n">
        <v>1</v>
      </c>
      <c r="Q1512" s="4" t="n">
        <v>328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조치원읍 서창리 154-1</t>
        </is>
      </c>
      <c r="B1513" s="3" t="inlineStr">
        <is>
          <t>제2종일반주거지역</t>
        </is>
      </c>
      <c r="C1513" s="3" t="inlineStr">
        <is>
          <t>답</t>
        </is>
      </c>
      <c r="D1513" s="3" t="inlineStr">
        <is>
          <t>전</t>
        </is>
      </c>
      <c r="E1513" s="3" t="inlineStr">
        <is>
          <t>매매</t>
        </is>
      </c>
      <c r="F1513" s="4" t="n">
        <v>85800</v>
      </c>
      <c r="G1513" s="4" t="n">
        <v>438</v>
      </c>
      <c r="H1513" s="4" t="n">
        <v>132</v>
      </c>
      <c r="I1513" s="5" t="n">
        <v>650</v>
      </c>
      <c r="J1513" s="5" t="n">
        <v>230.4</v>
      </c>
      <c r="K1513" s="3" t="inlineStr">
        <is>
          <t>nan</t>
        </is>
      </c>
      <c r="L1513" s="6">
        <f>HYPERLINK("https://fin.land.naver.com/articles/2645382334", "매물Link")</f>
        <v/>
      </c>
      <c r="M1513" s="6">
        <f>HYPERLINK("https://map.naver.com/p/search/조치원읍 서창리 154-1", "지도Link")</f>
        <v/>
      </c>
      <c r="N1513" s="6">
        <f>HYPERLINK("https://www.eum.go.kr/web/mp/mpMapDet.jsp?pnu=3611025034101540001&amp;isNoScr=script&amp;mode=search", "토지이음")</f>
        <v/>
      </c>
      <c r="O1513" s="3" t="inlineStr">
        <is>
          <t>오송랜드</t>
        </is>
      </c>
      <c r="P1513" s="4" t="n">
        <v>1</v>
      </c>
      <c r="Q1513" s="4" t="n">
        <v>438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근생부지로 좋은 고려대학교 인근 3거리 코너 각지에 있는 준주거지역 대지</t>
        </is>
      </c>
      <c r="L1514" s="6">
        <f>HYPERLINK("https://fin.land.naver.com/articles/2645811664", "매물Link")</f>
        <v/>
      </c>
      <c r="M1514" s="6">
        <f>HYPERLINK("https://map.naver.com/p/search/조치원읍 서창리 168-2", "지도Link")</f>
        <v/>
      </c>
      <c r="N1514" s="6">
        <f>HYPERLINK("https://www.eum.go.kr/web/mp/mpMapDet.jsp?pnu=3611025034101680002&amp;isNoScr=script&amp;mode=search",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168-2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120000</v>
      </c>
      <c r="G1515" s="4" t="n">
        <v>732</v>
      </c>
      <c r="H1515" s="4" t="n">
        <v>221</v>
      </c>
      <c r="I1515" s="5" t="n">
        <v>543</v>
      </c>
      <c r="J1515" s="5" t="n">
        <v>320.9</v>
      </c>
      <c r="K1515" s="3" t="inlineStr">
        <is>
          <t>준주거지역 추천매물 고대 정문근처</t>
        </is>
      </c>
      <c r="L1515" s="6">
        <f>HYPERLINK("https://fin.land.naver.com/articles/2648069706", "매물Link")</f>
        <v/>
      </c>
      <c r="M1515" s="6">
        <f>HYPERLINK("https://map.naver.com/p/search/조치원읍 서창리 168-2", "지도Link")</f>
        <v/>
      </c>
      <c r="N1515" s="6">
        <f>HYPERLINK("https://www.eum.go.kr/web/mp/mpMapDet.jsp?pnu=3611025034101680002&amp;isNoScr=script&amp;mode=search", "토지이음")</f>
        <v/>
      </c>
      <c r="O1515" s="3" t="inlineStr">
        <is>
          <t>김준희</t>
        </is>
      </c>
      <c r="P1515" s="4" t="n">
        <v>1</v>
      </c>
      <c r="Q1515" s="4" t="n">
        <v>732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소로한면</t>
        </is>
      </c>
    </row>
    <row r="1516">
      <c r="A1516" s="3" t="inlineStr">
        <is>
          <t>조치원읍 서창리 168-31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148</v>
      </c>
      <c r="H1516" s="4" t="n">
        <v>45</v>
      </c>
      <c r="I1516" s="5" t="n">
        <v>666.7</v>
      </c>
      <c r="J1516" s="5" t="n">
        <v>307.9</v>
      </c>
      <c r="K1516" s="3" t="inlineStr">
        <is>
          <t>급매, 서창리 준주거지역 토지</t>
        </is>
      </c>
      <c r="L1516" s="6">
        <f>HYPERLINK("https://fin.land.naver.com/articles/2647570748", "매물Link")</f>
        <v/>
      </c>
      <c r="M1516" s="6">
        <f>HYPERLINK("https://map.naver.com/p/search/조치원읍 서창리 168-31", "지도Link")</f>
        <v/>
      </c>
      <c r="N1516" s="6">
        <f>HYPERLINK("https://www.eum.go.kr/web/mp/mpMapDet.jsp?pnu=3611025034101680031&amp;isNoScr=script&amp;mode=search",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148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소로한면</t>
        </is>
      </c>
    </row>
    <row r="1517">
      <c r="A1517" s="3" t="inlineStr">
        <is>
          <t>조치원읍 서창리 182-16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29000</v>
      </c>
      <c r="G1517" s="4" t="n">
        <v>446</v>
      </c>
      <c r="H1517" s="4" t="n">
        <v>135</v>
      </c>
      <c r="I1517" s="5" t="n">
        <v>214.8</v>
      </c>
      <c r="J1517" s="5" t="n">
        <v>201.7</v>
      </c>
      <c r="K1517" s="3" t="inlineStr">
        <is>
          <t>nan</t>
        </is>
      </c>
      <c r="L1517" s="6">
        <f>HYPERLINK("https://fin.land.naver.com/articles/2650246902", "매물Link")</f>
        <v/>
      </c>
      <c r="M1517" s="6">
        <f>HYPERLINK("https://map.naver.com/p/search/조치원읍 서창리 182-16", "지도Link")</f>
        <v/>
      </c>
      <c r="N1517" s="6">
        <f>HYPERLINK("https://www.eum.go.kr/web/mp/mpMapDet.jsp?pnu=3611025034101820016&amp;isNoScr=script&amp;mode=search",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446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서창리 248-18</t>
        </is>
      </c>
      <c r="B1518" s="3" t="inlineStr">
        <is>
          <t>자연녹지지역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58000</v>
      </c>
      <c r="G1518" s="4" t="n">
        <v>713</v>
      </c>
      <c r="H1518" s="4" t="n">
        <v>216</v>
      </c>
      <c r="I1518" s="5" t="n">
        <v>268.5</v>
      </c>
      <c r="J1518" s="5" t="n">
        <v>103.3</v>
      </c>
      <c r="K1518" s="3" t="inlineStr">
        <is>
          <t>세종여고 인근 토지매매</t>
        </is>
      </c>
      <c r="L1518" s="6">
        <f>HYPERLINK("https://fin.land.naver.com/articles/2648993268", "매물Link")</f>
        <v/>
      </c>
      <c r="M1518" s="6">
        <f>HYPERLINK("https://map.naver.com/p/search/조치원읍 서창리 248-18", "지도Link")</f>
        <v/>
      </c>
      <c r="N1518" s="6">
        <f>HYPERLINK("https://www.eum.go.kr/web/mp/mpMapDet.jsp?pnu=3611025034102480018&amp;isNoScr=script&amp;mode=search", "토지이음")</f>
        <v/>
      </c>
      <c r="O1518" s="3" t="inlineStr">
        <is>
          <t>김준희</t>
        </is>
      </c>
      <c r="P1518" s="4" t="n">
        <v>2</v>
      </c>
      <c r="Q1518" s="4" t="n">
        <v>377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서창리 250</t>
        </is>
      </c>
      <c r="B1519" s="3" t="inlineStr">
        <is>
          <t>제2종일반주거지역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90000</v>
      </c>
      <c r="G1519" s="4" t="n">
        <v>540</v>
      </c>
      <c r="H1519" s="4" t="n">
        <v>163</v>
      </c>
      <c r="I1519" s="5" t="n">
        <v>552.1</v>
      </c>
      <c r="J1519" s="5" t="n">
        <v>184.3</v>
      </c>
      <c r="K1519" s="3" t="inlineStr">
        <is>
          <t>조치원 서창리 제2종일반주거지역 코너각지 토지매매</t>
        </is>
      </c>
      <c r="L1519" s="6">
        <f>HYPERLINK("https://fin.land.naver.com/articles/2647993873", "매물Link")</f>
        <v/>
      </c>
      <c r="M1519" s="6">
        <f>HYPERLINK("https://map.naver.com/p/search/조치원읍 서창리 250", "지도Link")</f>
        <v/>
      </c>
      <c r="N1519" s="6">
        <f>HYPERLINK("https://www.eum.go.kr/web/mp/mpMapDet.jsp?pnu=3611025034102500000&amp;isNoScr=script&amp;mode=search", "토지이음")</f>
        <v/>
      </c>
      <c r="O1519" s="3" t="inlineStr">
        <is>
          <t>the다올</t>
        </is>
      </c>
      <c r="P1519" s="4" t="n">
        <v>2</v>
      </c>
      <c r="Q1519" s="4" t="n">
        <v>540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사다리형</t>
        </is>
      </c>
      <c r="V1519" s="3" t="inlineStr">
        <is>
          <t>소로각지</t>
        </is>
      </c>
    </row>
    <row r="1520">
      <c r="A1520" s="3" t="inlineStr">
        <is>
          <t>조치원읍 서창리 26-3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76650</v>
      </c>
      <c r="G1520" s="4" t="n">
        <v>724</v>
      </c>
      <c r="H1520" s="4" t="n">
        <v>219</v>
      </c>
      <c r="I1520" s="5" t="n">
        <v>350</v>
      </c>
      <c r="J1520" s="5" t="n">
        <v>148.7</v>
      </c>
      <c r="K1520" s="3" t="inlineStr">
        <is>
          <t>시세보다 저렴하며,
근생 및 단독주택, 월세 90만원</t>
        </is>
      </c>
      <c r="L1520" s="6">
        <f>HYPERLINK("https://fin.land.naver.com/articles/2646313740", "매물Link")</f>
        <v/>
      </c>
      <c r="M1520" s="6">
        <f>HYPERLINK("https://map.naver.com/p/search/조치원읍 서창리 26-3", "지도Link")</f>
        <v/>
      </c>
      <c r="N1520" s="6">
        <f>HYPERLINK("https://www.eum.go.kr/web/mp/mpMapDet.jsp?pnu=3611025034100260003&amp;isNoScr=script&amp;mode=search", "토지이음")</f>
        <v/>
      </c>
      <c r="O1520" s="3" t="inlineStr">
        <is>
          <t>세종땅전문</t>
        </is>
      </c>
      <c r="P1520" s="4" t="n">
        <v>1</v>
      </c>
      <c r="Q1520" s="4" t="n">
        <v>724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조치원읍 서창리 291-8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55000</v>
      </c>
      <c r="G1521" s="4" t="n">
        <v>299</v>
      </c>
      <c r="H1521" s="4" t="n">
        <v>90</v>
      </c>
      <c r="I1521" s="5" t="n">
        <v>611.1</v>
      </c>
      <c r="J1521" s="5" t="n">
        <v>348.4</v>
      </c>
      <c r="K1521" s="3" t="inlineStr">
        <is>
          <t>서창리 다가구주택이나 상가를 지을수 있는 제2종일반주거지역의 대지입니다</t>
        </is>
      </c>
      <c r="L1521" s="6">
        <f>HYPERLINK("https://fin.land.naver.com/articles/2647452131", "매물Link")</f>
        <v/>
      </c>
      <c r="M1521" s="6">
        <f>HYPERLINK("https://map.naver.com/p/search/조치원읍 서창리 291-8", "지도Link")</f>
        <v/>
      </c>
      <c r="N1521" s="6">
        <f>HYPERLINK("https://www.eum.go.kr/web/mp/mpMapDet.jsp?pnu=3611025034102910008&amp;isNoScr=script&amp;mode=search", "토지이음")</f>
        <v/>
      </c>
      <c r="O1521" s="3" t="inlineStr">
        <is>
          <t>스마일세종</t>
        </is>
      </c>
      <c r="P1521" s="4" t="n">
        <v>1</v>
      </c>
      <c r="Q1521" s="4" t="n">
        <v>299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소로각지</t>
        </is>
      </c>
    </row>
    <row r="1522">
      <c r="A1522" s="3" t="inlineStr">
        <is>
          <t>조치원읍 서창리 293-4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24638</v>
      </c>
      <c r="G1522" s="4" t="n">
        <v>181</v>
      </c>
      <c r="H1522" s="4" t="n">
        <v>55</v>
      </c>
      <c r="I1522" s="5" t="n">
        <v>448</v>
      </c>
      <c r="J1522" s="5" t="n">
        <v>289.3</v>
      </c>
      <c r="K1522" s="3" t="inlineStr">
        <is>
          <t>nan</t>
        </is>
      </c>
      <c r="L1522" s="6">
        <f>HYPERLINK("https://fin.land.naver.com/articles/2646527911", "매물Link")</f>
        <v/>
      </c>
      <c r="M1522" s="6">
        <f>HYPERLINK("https://map.naver.com/p/search/조치원읍 서창리 293-4", "지도Link")</f>
        <v/>
      </c>
      <c r="N1522" s="6">
        <f>HYPERLINK("https://www.eum.go.kr/web/mp/mpMapDet.jsp?pnu=3611025034102930004&amp;isNoScr=script&amp;mode=search", "토지이음")</f>
        <v/>
      </c>
      <c r="O1522" s="3" t="inlineStr">
        <is>
          <t>한일</t>
        </is>
      </c>
      <c r="P1522" s="4" t="n">
        <v>1</v>
      </c>
      <c r="Q1522" s="4" t="n">
        <v>181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조치원읍 서창리 306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221000</v>
      </c>
      <c r="G1523" s="4" t="n">
        <v>731</v>
      </c>
      <c r="H1523" s="4" t="n">
        <v>221</v>
      </c>
      <c r="I1523" s="5" t="n">
        <v>1000</v>
      </c>
      <c r="J1523" s="5" t="n">
        <v>274.4</v>
      </c>
      <c r="K1523" s="3" t="inlineStr">
        <is>
          <t>조치원서북부지구 가치상승. 투자가치 우수.</t>
        </is>
      </c>
      <c r="L1523" s="6">
        <f>HYPERLINK("https://fin.land.naver.com/articles/2646107991", "매물Link")</f>
        <v/>
      </c>
      <c r="M1523" s="6">
        <f>HYPERLINK("https://map.naver.com/p/search/조치원읍 서창리 306", "지도Link")</f>
        <v/>
      </c>
      <c r="N1523" s="6">
        <f>HYPERLINK("https://www.eum.go.kr/web/mp/mpMapDet.jsp?pnu=3611025034103060000&amp;isNoScr=script&amp;mode=search", "토지이음")</f>
        <v/>
      </c>
      <c r="O1523" s="3" t="inlineStr">
        <is>
          <t>진행</t>
        </is>
      </c>
      <c r="P1523" s="4" t="n">
        <v>1</v>
      </c>
      <c r="Q1523" s="4" t="n">
        <v>731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조치원읍 서창리 42-254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25000</v>
      </c>
      <c r="G1524" s="4" t="n">
        <v>330</v>
      </c>
      <c r="H1524" s="4" t="n">
        <v>100</v>
      </c>
      <c r="I1524" s="5" t="n">
        <v>250</v>
      </c>
      <c r="J1524" s="5" t="n">
        <v>133.2</v>
      </c>
      <c r="K1524" s="3" t="inlineStr">
        <is>
          <t>북쪽과 동쪽으로 도로를 낀 코너토지. 주택지추천</t>
        </is>
      </c>
      <c r="L1524" s="6">
        <f>HYPERLINK("https://fin.land.naver.com/articles/2649914344", "매물Link")</f>
        <v/>
      </c>
      <c r="M1524" s="6">
        <f>HYPERLINK("https://map.naver.com/p/search/조치원읍 서창리 42-254", "지도Link")</f>
        <v/>
      </c>
      <c r="N1524" s="6">
        <f>HYPERLINK("https://www.eum.go.kr/web/mp/mpMapDet.jsp?pnu=3611025034100420254&amp;isNoScr=script&amp;mode=search", "토지이음")</f>
        <v/>
      </c>
      <c r="O1524" s="3" t="inlineStr">
        <is>
          <t>미스터홈즈강남지사</t>
        </is>
      </c>
      <c r="P1524" s="4" t="n">
        <v>1</v>
      </c>
      <c r="Q1524" s="4" t="n">
        <v>330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조치원읍 서창리 54-1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170000</v>
      </c>
      <c r="G1525" s="4" t="n">
        <v>915</v>
      </c>
      <c r="H1525" s="4" t="n">
        <v>277</v>
      </c>
      <c r="I1525" s="5" t="n">
        <v>613.7</v>
      </c>
      <c r="J1525" s="5" t="n">
        <v>113.6</v>
      </c>
      <c r="K1525" s="3" t="inlineStr">
        <is>
          <t>1번 국도 진출입 점용허가 및 제2종근생 허가득한 토지 매매</t>
        </is>
      </c>
      <c r="L1525" s="6">
        <f>HYPERLINK("https://fin.land.naver.com/articles/2645609473", "매물Link")</f>
        <v/>
      </c>
      <c r="M1525" s="6">
        <f>HYPERLINK("https://map.naver.com/p/search/조치원읍 서창리 54-1", "지도Link")</f>
        <v/>
      </c>
      <c r="N1525" s="6">
        <f>HYPERLINK("https://www.eum.go.kr/web/mp/mpMapDet.jsp?pnu=3611025034100540001&amp;isNoScr=script&amp;mode=search", "토지이음")</f>
        <v/>
      </c>
      <c r="O1525" s="3" t="inlineStr">
        <is>
          <t>청담</t>
        </is>
      </c>
      <c r="P1525" s="4" t="n">
        <v>1</v>
      </c>
      <c r="Q1525" s="4" t="n">
        <v>915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광대로한면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180000</v>
      </c>
      <c r="G1526" s="4" t="n">
        <v>2921</v>
      </c>
      <c r="H1526" s="4" t="n">
        <v>884</v>
      </c>
      <c r="I1526" s="5" t="n">
        <v>203.6</v>
      </c>
      <c r="J1526" s="5" t="n">
        <v>59.7</v>
      </c>
      <c r="K1526" s="3" t="inlineStr">
        <is>
          <t>3필지 일괄매매</t>
        </is>
      </c>
      <c r="L1526" s="6">
        <f>HYPERLINK("https://fin.land.naver.com/articles/2646586067", "매물Link")</f>
        <v/>
      </c>
      <c r="M1526" s="6">
        <f>HYPERLINK("https://map.naver.com/p/search/조치원읍 서창리 93-20", "지도Link")</f>
        <v/>
      </c>
      <c r="N1526" s="6">
        <f>HYPERLINK("https://www.eum.go.kr/web/mp/mpMapDet.jsp?pnu=3611025034100930020&amp;isNoScr=script&amp;mode=search", "토지이음")</f>
        <v/>
      </c>
      <c r="O1526" s="3" t="inlineStr">
        <is>
          <t>오송좋은날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150000</v>
      </c>
      <c r="G1527" s="4" t="n">
        <v>2921</v>
      </c>
      <c r="H1527" s="4" t="n">
        <v>884</v>
      </c>
      <c r="I1527" s="5" t="n">
        <v>169.7</v>
      </c>
      <c r="J1527" s="5" t="n">
        <v>59.7</v>
      </c>
      <c r="K1527" s="3" t="inlineStr">
        <is>
          <t>서창리 자연녹지 토지,  대형토지, 창고 및 자동차시설 등</t>
        </is>
      </c>
      <c r="L1527" s="6">
        <f>HYPERLINK("https://fin.land.naver.com/articles/2649930474", "매물Link")</f>
        <v/>
      </c>
      <c r="M1527" s="6">
        <f>HYPERLINK("https://map.naver.com/p/search/조치원읍 서창리 93-20", "지도Link")</f>
        <v/>
      </c>
      <c r="N1527" s="6">
        <f>HYPERLINK("https://www.eum.go.kr/web/mp/mpMapDet.jsp?pnu=3611025034100930020&amp;isNoScr=script&amp;mode=search", "토지이음")</f>
        <v/>
      </c>
      <c r="O1527" s="3" t="inlineStr">
        <is>
          <t>스카이</t>
        </is>
      </c>
      <c r="P1527" s="4" t="n">
        <v>5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2920</v>
      </c>
      <c r="H1528" s="4" t="n">
        <v>883</v>
      </c>
      <c r="I1528" s="5" t="n">
        <v>169.9</v>
      </c>
      <c r="J1528" s="5" t="n">
        <v>59.7</v>
      </c>
      <c r="K1528" s="3" t="inlineStr">
        <is>
          <t>nan</t>
        </is>
      </c>
      <c r="L1528" s="6">
        <f>HYPERLINK("https://fin.land.naver.com/articles/2650423179", "매물Link")</f>
        <v/>
      </c>
      <c r="M1528" s="6">
        <f>HYPERLINK("https://map.naver.com/p/search/조치원읍 서창리 93-20", "지도Link")</f>
        <v/>
      </c>
      <c r="N1528" s="6">
        <f>HYPERLINK("https://www.eum.go.kr/web/mp/mpMapDet.jsp?pnu=3611025034100930020&amp;isNoScr=script&amp;mode=search", "토지이음")</f>
        <v/>
      </c>
      <c r="O1528" s="3" t="inlineStr">
        <is>
          <t>현대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150000</v>
      </c>
      <c r="G1529" s="4" t="n">
        <v>2921</v>
      </c>
      <c r="H1529" s="4" t="n">
        <v>884</v>
      </c>
      <c r="I1529" s="5" t="n">
        <v>169.7</v>
      </c>
      <c r="J1529" s="5" t="n">
        <v>59.7</v>
      </c>
      <c r="K1529" s="3" t="inlineStr">
        <is>
          <t>토지급매 조치원역 인근 대규모 부지 정비소, 세차장, 요양원 추천</t>
        </is>
      </c>
      <c r="L1529" s="6">
        <f>HYPERLINK("https://fin.land.naver.com/articles/2646235676", "매물Link")</f>
        <v/>
      </c>
      <c r="M1529" s="6">
        <f>HYPERLINK("https://map.naver.com/p/search/조치원읍 서창리 93-20", "지도Link")</f>
        <v/>
      </c>
      <c r="N1529" s="6">
        <f>HYPERLINK("https://www.eum.go.kr/web/mp/mpMapDet.jsp?pnu=3611025034100930020&amp;isNoScr=script&amp;mode=search", "토지이음")</f>
        <v/>
      </c>
      <c r="O1529" s="3" t="inlineStr">
        <is>
          <t>다모아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93-20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150000</v>
      </c>
      <c r="G1530" s="4" t="n">
        <v>2921</v>
      </c>
      <c r="H1530" s="4" t="n">
        <v>884</v>
      </c>
      <c r="I1530" s="5" t="n">
        <v>169.7</v>
      </c>
      <c r="J1530" s="5" t="n">
        <v>59.7</v>
      </c>
      <c r="K1530" s="3" t="inlineStr">
        <is>
          <t>조치원 생활권 평탄 대형부지 소형창고 차량보관시설 검토</t>
        </is>
      </c>
      <c r="L1530" s="6">
        <f>HYPERLINK("https://fin.land.naver.com/articles/2650423353", "매물Link")</f>
        <v/>
      </c>
      <c r="M1530" s="6">
        <f>HYPERLINK("https://map.naver.com/p/search/조치원읍 서창리 93-20", "지도Link")</f>
        <v/>
      </c>
      <c r="N1530" s="6">
        <f>HYPERLINK("https://www.eum.go.kr/web/mp/mpMapDet.jsp?pnu=3611025034100930020&amp;isNoScr=script&amp;mode=search", "토지이음")</f>
        <v/>
      </c>
      <c r="O1530" s="3" t="inlineStr">
        <is>
          <t>세종소담황금</t>
        </is>
      </c>
      <c r="P1530" s="4" t="n">
        <v>1</v>
      </c>
      <c r="Q1530" s="4" t="n">
        <v>2575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조치원읍 서창리 95-3</t>
        </is>
      </c>
      <c r="B1531" s="3" t="inlineStr">
        <is>
          <t>자연녹지지역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120000</v>
      </c>
      <c r="G1531" s="4" t="n">
        <v>1293</v>
      </c>
      <c r="H1531" s="4" t="n">
        <v>391</v>
      </c>
      <c r="I1531" s="5" t="n">
        <v>306.9</v>
      </c>
      <c r="J1531" s="5" t="n">
        <v>157.6</v>
      </c>
      <c r="K1531" s="3" t="inlineStr">
        <is>
          <t>서창리 토지 매매 자연녹지</t>
        </is>
      </c>
      <c r="L1531" s="6">
        <f>HYPERLINK("https://fin.land.naver.com/articles/2648069701", "매물Link")</f>
        <v/>
      </c>
      <c r="M1531" s="6">
        <f>HYPERLINK("https://map.naver.com/p/search/조치원읍 서창리 95-3", "지도Link")</f>
        <v/>
      </c>
      <c r="N1531" s="6">
        <f>HYPERLINK("https://www.eum.go.kr/web/mp/mpMapDet.jsp?pnu=3611025034100950003&amp;isNoScr=script&amp;mode=search", "토지이음")</f>
        <v/>
      </c>
      <c r="O1531" s="3" t="inlineStr">
        <is>
          <t>김준희</t>
        </is>
      </c>
      <c r="P1531" s="4" t="n">
        <v>1</v>
      </c>
      <c r="Q1531" s="4" t="n">
        <v>255</v>
      </c>
      <c r="R1531" s="3" t="inlineStr">
        <is>
          <t>제1종일반주거지역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중로한면</t>
        </is>
      </c>
    </row>
    <row r="1532">
      <c r="A1532" s="3" t="inlineStr">
        <is>
          <t>조치원읍 신안리 171-7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57000</v>
      </c>
      <c r="G1532" s="4" t="n">
        <v>1046</v>
      </c>
      <c r="H1532" s="4" t="n">
        <v>316</v>
      </c>
      <c r="I1532" s="5" t="n">
        <v>180.4</v>
      </c>
      <c r="J1532" s="5" t="n">
        <v>108.5</v>
      </c>
      <c r="K1532" s="3" t="inlineStr">
        <is>
          <t>세종 조치원읍 성장관리계획구역 토지 매매</t>
        </is>
      </c>
      <c r="L1532" s="6">
        <f>HYPERLINK("https://fin.land.naver.com/articles/2650361043", "매물Link")</f>
        <v/>
      </c>
      <c r="M1532" s="6">
        <f>HYPERLINK("https://map.naver.com/p/search/조치원읍 신안리 171-7", "지도Link")</f>
        <v/>
      </c>
      <c r="N1532" s="6">
        <f>HYPERLINK("https://www.eum.go.kr/web/mp/mpMapDet.jsp?pnu=3611025032101710007&amp;isNoScr=script&amp;mode=search", "토지이음")</f>
        <v/>
      </c>
      <c r="O1532" s="3" t="inlineStr">
        <is>
          <t>세종몽땅</t>
        </is>
      </c>
      <c r="P1532" s="4" t="n">
        <v>1</v>
      </c>
      <c r="Q1532" s="4" t="n">
        <v>1046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신안리 179-5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386</v>
      </c>
      <c r="H1533" s="4" t="n">
        <v>117</v>
      </c>
      <c r="I1533" s="5" t="n">
        <v>341.9</v>
      </c>
      <c r="J1533" s="5" t="n">
        <v>171.6</v>
      </c>
      <c r="K1533" s="3" t="inlineStr">
        <is>
          <t>l S l 홍익대세종캠퍼스 인근 l 자연녹지 l 자연취락지구 l</t>
        </is>
      </c>
      <c r="L1533" s="6">
        <f>HYPERLINK("https://fin.land.naver.com/articles/2647317827", "매물Link")</f>
        <v/>
      </c>
      <c r="M1533" s="6">
        <f>HYPERLINK("https://map.naver.com/p/search/조치원읍 신안리 179-5", "지도Link")</f>
        <v/>
      </c>
      <c r="N1533" s="6">
        <f>HYPERLINK("https://www.eum.go.kr/web/mp/mpMapDet.jsp?pnu=3611025032101790005&amp;isNoScr=script&amp;mode=search", "토지이음")</f>
        <v/>
      </c>
      <c r="O1533" s="3" t="inlineStr">
        <is>
          <t>에스</t>
        </is>
      </c>
      <c r="P1533" s="4" t="n">
        <v>1</v>
      </c>
      <c r="Q1533" s="4" t="n">
        <v>386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신안리 193-2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46000</v>
      </c>
      <c r="G1534" s="4" t="n">
        <v>529</v>
      </c>
      <c r="H1534" s="4" t="n">
        <v>160</v>
      </c>
      <c r="I1534" s="5" t="n">
        <v>287.5</v>
      </c>
      <c r="J1534" s="5" t="n">
        <v>147.6</v>
      </c>
      <c r="K1534" s="3" t="inlineStr">
        <is>
          <t>급매,국도1호선 서창역 인근 알토란 나대지,월룸.단독주택.투자용추천</t>
        </is>
      </c>
      <c r="L1534" s="6">
        <f>HYPERLINK("https://fin.land.naver.com/articles/2646088912", "매물Link")</f>
        <v/>
      </c>
      <c r="M1534" s="6">
        <f>HYPERLINK("https://map.naver.com/p/search/조치원읍 신안리 193-2", "지도Link")</f>
        <v/>
      </c>
      <c r="N1534" s="6">
        <f>HYPERLINK("https://www.eum.go.kr/web/mp/mpMapDet.jsp?pnu=3611025032101930002&amp;isNoScr=script&amp;mode=search", "토지이음")</f>
        <v/>
      </c>
      <c r="O1534" s="3" t="inlineStr">
        <is>
          <t>고운맘</t>
        </is>
      </c>
      <c r="P1534" s="4" t="n">
        <v>1</v>
      </c>
      <c r="Q1534" s="4" t="n">
        <v>397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조치원읍 신안리 206-7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177000</v>
      </c>
      <c r="G1535" s="4" t="n">
        <v>1063</v>
      </c>
      <c r="H1535" s="4" t="n">
        <v>322</v>
      </c>
      <c r="I1535" s="5" t="n">
        <v>549.7</v>
      </c>
      <c r="J1535" s="5" t="n">
        <v>152.1</v>
      </c>
      <c r="K1535" s="3" t="inlineStr">
        <is>
          <t>서창역 도보거리 1번국도 광고효과 매우 우수한 상가부지용 토지</t>
        </is>
      </c>
      <c r="L1535" s="6">
        <f>HYPERLINK("https://fin.land.naver.com/articles/2645609178", "매물Link")</f>
        <v/>
      </c>
      <c r="M1535" s="6">
        <f>HYPERLINK("https://map.naver.com/p/search/조치원읍 신안리 206-7", "지도Link")</f>
        <v/>
      </c>
      <c r="N1535" s="6">
        <f>HYPERLINK("https://www.eum.go.kr/web/mp/mpMapDet.jsp?pnu=3611025032102060007&amp;isNoScr=script&amp;mode=search", "토지이음")</f>
        <v/>
      </c>
      <c r="O1535" s="3" t="inlineStr">
        <is>
          <t>청담</t>
        </is>
      </c>
      <c r="P1535" s="4" t="n">
        <v>1</v>
      </c>
      <c r="Q1535" s="4" t="n">
        <v>1063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광대소각</t>
        </is>
      </c>
    </row>
    <row r="1536">
      <c r="A1536" s="3" t="inlineStr">
        <is>
          <t>조치원읍 신안리 207-53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147900</v>
      </c>
      <c r="G1536" s="4" t="n">
        <v>1630</v>
      </c>
      <c r="H1536" s="4" t="n">
        <v>493</v>
      </c>
      <c r="I1536" s="5" t="n">
        <v>300</v>
      </c>
      <c r="J1536" s="5" t="n">
        <v>95.2</v>
      </c>
      <c r="K1536" s="3" t="inlineStr">
        <is>
          <t>1번국도변 가시성좋은 자연녹지. 서창역300미터거리</t>
        </is>
      </c>
      <c r="L1536" s="6">
        <f>HYPERLINK("https://fin.land.naver.com/articles/2649892785", "매물Link")</f>
        <v/>
      </c>
      <c r="M1536" s="6">
        <f>HYPERLINK("https://map.naver.com/p/search/조치원읍 신안리 207-53", "지도Link")</f>
        <v/>
      </c>
      <c r="N1536" s="6">
        <f>HYPERLINK("https://www.eum.go.kr/web/mp/mpMapDet.jsp?pnu=3611025032102070053&amp;isNoScr=script&amp;mode=search",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1257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신안리 243-10</t>
        </is>
      </c>
      <c r="B1537" s="3" t="inlineStr">
        <is>
          <t>자연녹지지역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98000</v>
      </c>
      <c r="G1537" s="4" t="n">
        <v>1620</v>
      </c>
      <c r="H1537" s="4" t="n">
        <v>490</v>
      </c>
      <c r="I1537" s="5" t="n">
        <v>200</v>
      </c>
      <c r="J1537" s="5" t="n">
        <v>76.5</v>
      </c>
      <c r="K1537" s="3" t="inlineStr">
        <is>
          <t>서창역세권 개발예정지, 홍익대학교 인접, 철도보호지구</t>
        </is>
      </c>
      <c r="L1537" s="6">
        <f>HYPERLINK("https://fin.land.naver.com/articles/2645604979", "매물Link")</f>
        <v/>
      </c>
      <c r="M1537" s="6">
        <f>HYPERLINK("https://map.naver.com/p/search/조치원읍 신안리 243-10", "지도Link")</f>
        <v/>
      </c>
      <c r="N1537" s="6">
        <f>HYPERLINK("https://www.eum.go.kr/web/mp/mpMapDet.jsp?pnu=3611025032102430010&amp;isNoScr=script&amp;mode=search", "토지이음")</f>
        <v/>
      </c>
      <c r="O1537" s="3" t="inlineStr">
        <is>
          <t>미스터홈즈강남지사</t>
        </is>
      </c>
      <c r="P1537" s="4" t="n">
        <v>1</v>
      </c>
      <c r="Q1537" s="4" t="n">
        <v>1620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세로한면(불)</t>
        </is>
      </c>
    </row>
    <row r="1538">
      <c r="A1538" s="3" t="inlineStr">
        <is>
          <t>조치원읍 신안리 341-17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65000</v>
      </c>
      <c r="G1538" s="4" t="n">
        <v>433</v>
      </c>
      <c r="H1538" s="4" t="n">
        <v>131</v>
      </c>
      <c r="I1538" s="5" t="n">
        <v>496.2</v>
      </c>
      <c r="J1538" s="5" t="n">
        <v>233.8</v>
      </c>
      <c r="K1538" s="3" t="inlineStr">
        <is>
          <t>홍익대 근접 거리, 원룸 지으실 분 추천요.</t>
        </is>
      </c>
      <c r="L1538" s="6">
        <f>HYPERLINK("https://fin.land.naver.com/articles/2650467431", "매물Link")</f>
        <v/>
      </c>
      <c r="M1538" s="6">
        <f>HYPERLINK("https://map.naver.com/p/search/조치원읍 신안리 341-17", "지도Link")</f>
        <v/>
      </c>
      <c r="N1538" s="6">
        <f>HYPERLINK("https://www.eum.go.kr/web/mp/mpMapDet.jsp?pnu=3611025032103410017&amp;isNoScr=script&amp;mode=search", "토지이음")</f>
        <v/>
      </c>
      <c r="O1538" s="3" t="inlineStr">
        <is>
          <t>세종공감</t>
        </is>
      </c>
      <c r="P1538" s="4" t="n">
        <v>1</v>
      </c>
      <c r="Q1538" s="4" t="n">
        <v>337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세로한면(가)</t>
        </is>
      </c>
    </row>
    <row r="1539">
      <c r="A1539" s="3" t="inlineStr">
        <is>
          <t>조치원읍 신안리 35-17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285000</v>
      </c>
      <c r="G1539" s="4" t="n">
        <v>1653</v>
      </c>
      <c r="H1539" s="4" t="n">
        <v>500</v>
      </c>
      <c r="I1539" s="5" t="n">
        <v>570</v>
      </c>
      <c r="J1539" s="5" t="n">
        <v>430.4</v>
      </c>
      <c r="K1539" s="3" t="inlineStr">
        <is>
          <t>도시지역 대로접, 2종일반주거지역,넓은 면적 위치좋은 토지</t>
        </is>
      </c>
      <c r="L1539" s="6">
        <f>HYPERLINK("https://fin.land.naver.com/articles/2647781403", "매물Link")</f>
        <v/>
      </c>
      <c r="M1539" s="6">
        <f>HYPERLINK("https://map.naver.com/p/search/조치원읍 신안리 35-17", "지도Link")</f>
        <v/>
      </c>
      <c r="N1539" s="6">
        <f>HYPERLINK("https://www.eum.go.kr/web/mp/mpMapDet.jsp?pnu=3611025032100350017&amp;isNoScr=script&amp;mode=search",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1653</v>
      </c>
      <c r="R1539" s="3" t="inlineStr">
        <is>
          <t>지정되지않음</t>
        </is>
      </c>
      <c r="S1539" s="3" t="inlineStr">
        <is>
          <t>상업나지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광대로한면</t>
        </is>
      </c>
    </row>
    <row r="1540">
      <c r="A1540" s="3" t="inlineStr">
        <is>
          <t>조치원읍 신안리 383-1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30000</v>
      </c>
      <c r="G1540" s="4" t="n">
        <v>265</v>
      </c>
      <c r="H1540" s="4" t="n">
        <v>80</v>
      </c>
      <c r="I1540" s="5" t="n">
        <v>375</v>
      </c>
      <c r="J1540" s="5" t="n">
        <v>200.1</v>
      </c>
      <c r="K1540" s="3" t="inlineStr">
        <is>
          <t>소자본 투자용, 원룸신축부지로 적합</t>
        </is>
      </c>
      <c r="L1540" s="6">
        <f>HYPERLINK("https://fin.land.naver.com/articles/2650469276", "매물Link")</f>
        <v/>
      </c>
      <c r="M1540" s="6">
        <f>HYPERLINK("https://map.naver.com/p/search/조치원읍 신안리 383-1", "지도Link")</f>
        <v/>
      </c>
      <c r="N1540" s="6">
        <f>HYPERLINK("https://www.eum.go.kr/web/mp/mpMapDet.jsp?pnu=3611025032103830001&amp;isNoScr=script&amp;mode=search", "토지이음")</f>
        <v/>
      </c>
      <c r="O1540" s="3" t="inlineStr">
        <is>
          <t>세종공감</t>
        </is>
      </c>
      <c r="P1540" s="4" t="n">
        <v>1</v>
      </c>
      <c r="Q1540" s="4" t="n">
        <v>265</v>
      </c>
      <c r="R1540" s="3" t="inlineStr">
        <is>
          <t>지정되지않음</t>
        </is>
      </c>
      <c r="S1540" s="3" t="inlineStr">
        <is>
          <t>주거기타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조치원읍 신안리 399-2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100000</v>
      </c>
      <c r="G1541" s="4" t="n">
        <v>661</v>
      </c>
      <c r="H1541" s="4" t="n">
        <v>200</v>
      </c>
      <c r="I1541" s="5" t="n">
        <v>500</v>
      </c>
      <c r="J1541" s="5" t="n">
        <v>329.6</v>
      </c>
      <c r="K1541" s="3" t="inlineStr">
        <is>
          <t>nan</t>
        </is>
      </c>
      <c r="L1541" s="6">
        <f>HYPERLINK("https://fin.land.naver.com/articles/2646714026", "매물Link")</f>
        <v/>
      </c>
      <c r="M1541" s="6">
        <f>HYPERLINK("https://map.naver.com/p/search/조치원읍 신안리 399-2", "지도Link")</f>
        <v/>
      </c>
      <c r="N1541" s="6">
        <f>HYPERLINK("https://www.eum.go.kr/web/mp/mpMapDet.jsp?pnu=3611025032103990002&amp;isNoScr=script&amp;mode=search", "토지이음")</f>
        <v/>
      </c>
      <c r="O1541" s="3" t="inlineStr">
        <is>
          <t>빛나</t>
        </is>
      </c>
      <c r="P1541" s="4" t="n">
        <v>1</v>
      </c>
      <c r="Q1541" s="4" t="n">
        <v>2112</v>
      </c>
      <c r="R1541" s="3" t="inlineStr">
        <is>
          <t>지정되지않음</t>
        </is>
      </c>
      <c r="S1541" s="3" t="inlineStr">
        <is>
          <t>상업용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신안리 427-21</t>
        </is>
      </c>
      <c r="B1542" s="3" t="inlineStr">
        <is>
          <t>자연녹지지역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413800</v>
      </c>
      <c r="G1542" s="4" t="n">
        <v>6217</v>
      </c>
      <c r="H1542" s="4" t="n">
        <v>1881</v>
      </c>
      <c r="I1542" s="5" t="n">
        <v>220</v>
      </c>
      <c r="J1542" s="5" t="n">
        <v>57.8</v>
      </c>
      <c r="K1542" s="3" t="inlineStr">
        <is>
          <t>10~12m 도로접한 조치원 주거배후 대형 개발형 토지</t>
        </is>
      </c>
      <c r="L1542" s="6">
        <f>HYPERLINK("https://fin.land.naver.com/articles/2648848431", "매물Link")</f>
        <v/>
      </c>
      <c r="M1542" s="6">
        <f>HYPERLINK("https://map.naver.com/p/search/조치원읍 신안리 427-21", "지도Link")</f>
        <v/>
      </c>
      <c r="N1542" s="6">
        <f>HYPERLINK("https://www.eum.go.kr/web/mp/mpMapDet.jsp?pnu=3611025032104270021&amp;isNoScr=script&amp;mode=search", "토지이음")</f>
        <v/>
      </c>
      <c r="O1542" s="3" t="inlineStr">
        <is>
          <t>세종소담황금</t>
        </is>
      </c>
      <c r="P1542" s="4" t="n">
        <v>1</v>
      </c>
      <c r="Q1542" s="4" t="n">
        <v>3962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신안리 436-1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45000</v>
      </c>
      <c r="G1543" s="4" t="n">
        <v>661</v>
      </c>
      <c r="H1543" s="4" t="n">
        <v>200</v>
      </c>
      <c r="I1543" s="5" t="n">
        <v>225</v>
      </c>
      <c r="J1543" s="5" t="n">
        <v>64.59999999999999</v>
      </c>
      <c r="K1543" s="3" t="inlineStr">
        <is>
          <t>대단지아파트인근, 신안지구개발예정지 인근, 전원주택지 등 다용도 가능</t>
        </is>
      </c>
      <c r="L1543" s="6">
        <f>HYPERLINK("https://fin.land.naver.com/articles/2650311385", "매물Link")</f>
        <v/>
      </c>
      <c r="M1543" s="6">
        <f>HYPERLINK("https://map.naver.com/p/search/조치원읍 신안리 436-1", "지도Link")</f>
        <v/>
      </c>
      <c r="N1543" s="6">
        <f>HYPERLINK("https://www.eum.go.kr/web/mp/mpMapDet.jsp?pnu=3611025032104360001&amp;isNoScr=script&amp;mode=search", "토지이음")</f>
        <v/>
      </c>
      <c r="O1543" s="3" t="inlineStr">
        <is>
          <t>세종공감</t>
        </is>
      </c>
      <c r="P1543" s="4" t="n">
        <v>2</v>
      </c>
      <c r="Q1543" s="4" t="n">
        <v>661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조치원읍 신안리 자연녹지 토지, 네모반듯, 신안지구 개발지, 단독주택</t>
        </is>
      </c>
      <c r="L1544" s="6">
        <f>HYPERLINK("https://fin.land.naver.com/articles/2645819987", "매물Link")</f>
        <v/>
      </c>
      <c r="M1544" s="6">
        <f>HYPERLINK("https://map.naver.com/p/search/조치원읍 신안리 436-3", "지도Link")</f>
        <v/>
      </c>
      <c r="N1544" s="6">
        <f>HYPERLINK("https://www.eum.go.kr/web/mp/mpMapDet.jsp?pnu=3611025032104360003&amp;isNoScr=script&amp;mode=search", "토지이음")</f>
        <v/>
      </c>
      <c r="O1544" s="3" t="inlineStr">
        <is>
          <t>스카이</t>
        </is>
      </c>
      <c r="P1544" s="4" t="n">
        <v>1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436-3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46000</v>
      </c>
      <c r="G1545" s="4" t="n">
        <v>662</v>
      </c>
      <c r="H1545" s="4" t="n">
        <v>200</v>
      </c>
      <c r="I1545" s="5" t="n">
        <v>230</v>
      </c>
      <c r="J1545" s="5" t="n">
        <v>67.8</v>
      </c>
      <c r="K1545" s="3" t="inlineStr">
        <is>
          <t>이편한세상 아파트 983세대  초인접 공영주차장 이용가능</t>
        </is>
      </c>
      <c r="L1545" s="6">
        <f>HYPERLINK("https://fin.land.naver.com/articles/2649611209", "매물Link")</f>
        <v/>
      </c>
      <c r="M1545" s="6">
        <f>HYPERLINK("https://map.naver.com/p/search/조치원읍 신안리 436-3", "지도Link")</f>
        <v/>
      </c>
      <c r="N1545" s="6">
        <f>HYPERLINK("https://www.eum.go.kr/web/mp/mpMapDet.jsp?pnu=3611025032104360003&amp;isNoScr=script&amp;mode=search", "토지이음")</f>
        <v/>
      </c>
      <c r="O1545" s="3" t="inlineStr">
        <is>
          <t>그래그</t>
        </is>
      </c>
      <c r="P1545" s="4" t="n">
        <v>2</v>
      </c>
      <c r="Q1545" s="4" t="n">
        <v>662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HYPERLINK("https://www.eum.go.kr/web/mp/mpMapDet.jsp?pnu=3611025032104360004&amp;isNoScr=script&amp;mode=search",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932</v>
      </c>
      <c r="H1547" s="4" t="n">
        <v>282</v>
      </c>
      <c r="I1547" s="5" t="n">
        <v>425.5</v>
      </c>
      <c r="J1547" s="5" t="n">
        <v>72.2</v>
      </c>
      <c r="K1547" s="3" t="inlineStr">
        <is>
          <t>3면 포장도로 접함 이편한세상 984세대 인접 공영주차장이용가능</t>
        </is>
      </c>
      <c r="L1547" s="6">
        <f>HYPERLINK("https://fin.land.naver.com/articles/2649618845", "매물Link")</f>
        <v/>
      </c>
      <c r="M1547" s="6">
        <f>HYPERLINK("https://map.naver.com/p/search/조치원읍 신안리 436-4", "지도Link")</f>
        <v/>
      </c>
      <c r="N1547" s="6">
        <f>HYPERLINK("https://www.eum.go.kr/web/mp/mpMapDet.jsp?pnu=3611025032104360004&amp;isNoScr=script&amp;mode=search", "토지이음")</f>
        <v/>
      </c>
      <c r="O1547" s="3" t="inlineStr">
        <is>
          <t>그래그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436-4</t>
        </is>
      </c>
      <c r="B1548" s="3" t="inlineStr">
        <is>
          <t>자연녹지지역</t>
        </is>
      </c>
      <c r="C1548" s="3" t="inlineStr">
        <is>
          <t>전</t>
        </is>
      </c>
      <c r="D1548" s="3" t="inlineStr">
        <is>
          <t>답</t>
        </is>
      </c>
      <c r="E1548" s="3" t="inlineStr">
        <is>
          <t>매매</t>
        </is>
      </c>
      <c r="F1548" s="4" t="n">
        <v>120000</v>
      </c>
      <c r="G1548" s="4" t="n">
        <v>1256</v>
      </c>
      <c r="H1548" s="4" t="n">
        <v>380</v>
      </c>
      <c r="I1548" s="5" t="n">
        <v>315.8</v>
      </c>
      <c r="J1548" s="5" t="n">
        <v>72.2</v>
      </c>
      <c r="K1548" s="3" t="inlineStr">
        <is>
          <t>신안리 이편한세상 아파트 초인접, 3면 포장도로 접한 음식점,커피숍</t>
        </is>
      </c>
      <c r="L1548" s="6">
        <f>HYPERLINK("https://fin.land.naver.com/articles/2645198043", "매물Link")</f>
        <v/>
      </c>
      <c r="M1548" s="6">
        <f>HYPERLINK("https://map.naver.com/p/search/조치원읍 신안리 436-4", "지도Link")</f>
        <v/>
      </c>
      <c r="N1548" s="6">
        <f>HYPERLINK("https://www.eum.go.kr/web/mp/mpMapDet.jsp?pnu=3611025032104360004&amp;isNoScr=script&amp;mode=search", "토지이음")</f>
        <v/>
      </c>
      <c r="O1548" s="3" t="inlineStr">
        <is>
          <t>세종나라</t>
        </is>
      </c>
      <c r="P1548" s="4" t="n">
        <v>1</v>
      </c>
      <c r="Q1548" s="4" t="n">
        <v>932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445-4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150000</v>
      </c>
      <c r="G1549" s="4" t="n">
        <v>635</v>
      </c>
      <c r="H1549" s="4" t="n">
        <v>192</v>
      </c>
      <c r="I1549" s="5" t="n">
        <v>781.2</v>
      </c>
      <c r="J1549" s="5" t="n">
        <v>336.2</v>
      </c>
      <c r="K1549" s="3" t="inlineStr">
        <is>
          <t>입지가 최상인 토지입니다.</t>
        </is>
      </c>
      <c r="L1549" s="6">
        <f>HYPERLINK("https://fin.land.naver.com/articles/2649402434", "매물Link")</f>
        <v/>
      </c>
      <c r="M1549" s="6">
        <f>HYPERLINK("https://map.naver.com/p/search/조치원읍 신안리 445-4", "지도Link")</f>
        <v/>
      </c>
      <c r="N1549" s="6">
        <f>HYPERLINK("https://www.eum.go.kr/web/mp/mpMapDet.jsp?pnu=3611025032104450004&amp;isNoScr=script&amp;mode=search", "토지이음")</f>
        <v/>
      </c>
      <c r="O1549" s="3" t="inlineStr">
        <is>
          <t>부자터</t>
        </is>
      </c>
      <c r="P1549" s="4" t="n">
        <v>1</v>
      </c>
      <c r="Q1549" s="4" t="n">
        <v>635</v>
      </c>
      <c r="R1549" s="3" t="inlineStr">
        <is>
          <t>지정되지않음</t>
        </is>
      </c>
      <c r="S1549" s="3" t="inlineStr">
        <is>
          <t>주상기타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조치원읍 신안리 68-19</t>
        </is>
      </c>
      <c r="B1550" s="3" t="inlineStr">
        <is>
          <t>생산녹지지역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2234</v>
      </c>
      <c r="H1550" s="4" t="n">
        <v>676</v>
      </c>
      <c r="I1550" s="5" t="n">
        <v>74</v>
      </c>
      <c r="J1550" s="5" t="n">
        <v>35.4</v>
      </c>
      <c r="K1550" s="3" t="inlineStr">
        <is>
          <t>하우스,전기,지하수 관정이 있는 밭</t>
        </is>
      </c>
      <c r="L1550" s="6">
        <f>HYPERLINK("https://fin.land.naver.com/articles/2648499050", "매물Link")</f>
        <v/>
      </c>
      <c r="M1550" s="6">
        <f>HYPERLINK("https://map.naver.com/p/search/조치원읍 신안리 68-19", "지도Link")</f>
        <v/>
      </c>
      <c r="N1550" s="6">
        <f>HYPERLINK("https://www.eum.go.kr/web/mp/mpMapDet.jsp?pnu=3611025032100680019&amp;isNoScr=script&amp;mode=search", "토지이음")</f>
        <v/>
      </c>
      <c r="O1550" s="3" t="inlineStr">
        <is>
          <t>지성</t>
        </is>
      </c>
      <c r="P1550" s="4" t="n">
        <v>1</v>
      </c>
      <c r="Q1550" s="4" t="n">
        <v>1188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산13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300000</v>
      </c>
      <c r="G1551" s="4" t="n">
        <v>10909</v>
      </c>
      <c r="H1551" s="4" t="n">
        <v>3300</v>
      </c>
      <c r="I1551" s="5" t="n">
        <v>90.90000000000001</v>
      </c>
      <c r="J1551" s="5" t="n">
        <v>18.7</v>
      </c>
      <c r="K1551" s="3" t="inlineStr">
        <is>
          <t>제2종일반주거지역 성장관리계획구역</t>
        </is>
      </c>
      <c r="L1551" s="6">
        <f>HYPERLINK("https://fin.land.naver.com/articles/2646637900", "매물Link")</f>
        <v/>
      </c>
      <c r="M1551" s="6">
        <f>HYPERLINK("https://map.naver.com/p/search/조치원읍 신안리 산13", "지도Link")</f>
        <v/>
      </c>
      <c r="N1551" s="6">
        <f>HYPERLINK("https://www.eum.go.kr/web/mp/mpMapDet.jsp?pnu=3611025032200130000&amp;isNoScr=script&amp;mode=search", "토지이음")</f>
        <v/>
      </c>
      <c r="O1551" s="3" t="inlineStr">
        <is>
          <t>건국</t>
        </is>
      </c>
      <c r="P1551" s="4" t="n">
        <v>1</v>
      </c>
      <c r="Q1551" s="4" t="n">
        <v>10909</v>
      </c>
      <c r="R1551" s="3" t="inlineStr">
        <is>
          <t>제2종일반주거지역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조치원읍 신안리 산8-37</t>
        </is>
      </c>
      <c r="B1552" s="3" t="inlineStr">
        <is>
          <t>자연녹지지역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10118</v>
      </c>
      <c r="H1552" s="4" t="n">
        <v>3061</v>
      </c>
      <c r="I1552" s="5" t="n">
        <v>49</v>
      </c>
      <c r="J1552" s="5" t="n">
        <v>9.199999999999999</v>
      </c>
      <c r="K1552" s="3" t="inlineStr">
        <is>
          <t>총5필지,세종 홍대근접,도로접</t>
        </is>
      </c>
      <c r="L1552" s="6">
        <f>HYPERLINK("https://fin.land.naver.com/articles/2645456042", "매물Link")</f>
        <v/>
      </c>
      <c r="M1552" s="6">
        <f>HYPERLINK("https://map.naver.com/p/search/조치원읍 신안리 산8-37", "지도Link")</f>
        <v/>
      </c>
      <c r="N1552" s="6">
        <f>HYPERLINK("https://www.eum.go.kr/web/mp/mpMapDet.jsp?pnu=3611025032200080037&amp;isNoScr=script&amp;mode=search", "토지이음")</f>
        <v/>
      </c>
      <c r="O1552" s="3" t="inlineStr">
        <is>
          <t>담뜰</t>
        </is>
      </c>
      <c r="P1552" s="4" t="n">
        <v>1</v>
      </c>
      <c r="Q1552" s="4" t="n">
        <v>1652</v>
      </c>
      <c r="R1552" s="3" t="inlineStr">
        <is>
          <t>보전녹지지역</t>
        </is>
      </c>
      <c r="S1552" s="3" t="inlineStr">
        <is>
          <t>자연림</t>
        </is>
      </c>
      <c r="T1552" s="3" t="inlineStr">
        <is>
          <t>급경사</t>
        </is>
      </c>
      <c r="U1552" s="3" t="inlineStr">
        <is>
          <t>사다리형</t>
        </is>
      </c>
      <c r="V1552" s="3" t="inlineStr">
        <is>
          <t>맹지</t>
        </is>
      </c>
    </row>
    <row r="1553">
      <c r="A1553" s="3" t="inlineStr">
        <is>
          <t>조치원읍 신흥리 1-5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77000</v>
      </c>
      <c r="G1553" s="4" t="n">
        <v>513</v>
      </c>
      <c r="H1553" s="4" t="n">
        <v>155</v>
      </c>
      <c r="I1553" s="5" t="n">
        <v>496.8</v>
      </c>
      <c r="J1553" s="5" t="n">
        <v>188.2</v>
      </c>
      <c r="K1553" s="3" t="inlineStr">
        <is>
          <t>신흥리 코너 넓은나대지 활용가치좋음</t>
        </is>
      </c>
      <c r="L1553" s="6">
        <f>HYPERLINK("https://fin.land.naver.com/articles/2646394433", "매물Link")</f>
        <v/>
      </c>
      <c r="M1553" s="6">
        <f>HYPERLINK("https://map.naver.com/p/search/조치원읍 신흥리 1-5", "지도Link")</f>
        <v/>
      </c>
      <c r="N1553" s="6">
        <f>HYPERLINK("https://www.eum.go.kr/web/mp/mpMapDet.jsp?pnu=3611025029100010005&amp;isNoScr=script&amp;mode=search",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513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소로각지</t>
        </is>
      </c>
    </row>
    <row r="1554">
      <c r="A1554" s="3" t="inlineStr">
        <is>
          <t>조치원읍 신흥리 100-2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17000</v>
      </c>
      <c r="G1554" s="4" t="n">
        <v>188</v>
      </c>
      <c r="H1554" s="4" t="n">
        <v>57</v>
      </c>
      <c r="I1554" s="5" t="n">
        <v>298.2</v>
      </c>
      <c r="J1554" s="5" t="n">
        <v>196.8</v>
      </c>
      <c r="K1554" s="3" t="inlineStr">
        <is>
          <t>신흥리 2종일반주거지역 급매. 맹지이나 진입로 있음</t>
        </is>
      </c>
      <c r="L1554" s="6">
        <f>HYPERLINK("https://fin.land.naver.com/articles/2645324837", "매물Link")</f>
        <v/>
      </c>
      <c r="M1554" s="6">
        <f>HYPERLINK("https://map.naver.com/p/search/조치원읍 신흥리 100-2", "지도Link")</f>
        <v/>
      </c>
      <c r="N1554" s="6">
        <f>HYPERLINK("https://www.eum.go.kr/web/mp/mpMapDet.jsp?pnu=3611025029101000002&amp;isNoScr=script&amp;mode=search", "토지이음")</f>
        <v/>
      </c>
      <c r="O1554" s="3" t="inlineStr">
        <is>
          <t>세종대장</t>
        </is>
      </c>
      <c r="P1554" s="4" t="n">
        <v>1</v>
      </c>
      <c r="Q1554" s="4" t="n">
        <v>188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세로한면(불)</t>
        </is>
      </c>
    </row>
    <row r="1555">
      <c r="A1555" s="3" t="inlineStr">
        <is>
          <t>조치원읍 신흥리 198-1</t>
        </is>
      </c>
      <c r="B1555" s="3" t="inlineStr">
        <is>
          <t>제2종일반주거지역</t>
        </is>
      </c>
      <c r="C1555" s="3" t="inlineStr">
        <is>
          <t>잡종지</t>
        </is>
      </c>
      <c r="D1555" s="3" t="inlineStr">
        <is>
          <t>잡종지</t>
        </is>
      </c>
      <c r="E1555" s="3" t="inlineStr">
        <is>
          <t>매매</t>
        </is>
      </c>
      <c r="F1555" s="4" t="n">
        <v>390000</v>
      </c>
      <c r="G1555" s="4" t="n">
        <v>1797</v>
      </c>
      <c r="H1555" s="4" t="n">
        <v>544</v>
      </c>
      <c r="I1555" s="5" t="n">
        <v>716.9</v>
      </c>
      <c r="J1555" s="5" t="n">
        <v>435.4</v>
      </c>
      <c r="K1555" s="3" t="inlineStr">
        <is>
          <t>신흥 아파트단지 중심지역 대도로변 코너각지</t>
        </is>
      </c>
      <c r="L1555" s="6">
        <f>HYPERLINK("https://fin.land.naver.com/articles/2648777123", "매물Link")</f>
        <v/>
      </c>
      <c r="M1555" s="6">
        <f>HYPERLINK("https://map.naver.com/p/search/조치원읍 신흥리 198-1", "지도Link")</f>
        <v/>
      </c>
      <c r="N1555" s="6">
        <f>HYPERLINK("https://www.eum.go.kr/web/mp/mpMapDet.jsp?pnu=3611025029101980001&amp;isNoScr=script&amp;mode=search", "토지이음")</f>
        <v/>
      </c>
      <c r="O1555" s="3" t="inlineStr">
        <is>
          <t>뉴신세계</t>
        </is>
      </c>
      <c r="P1555" s="4" t="n">
        <v>2</v>
      </c>
      <c r="Q1555" s="4" t="n">
        <v>1797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중로각지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추천. 조치원 신흥사거리 대지</t>
        </is>
      </c>
      <c r="L1556" s="6">
        <f>HYPERLINK("https://fin.land.naver.com/articles/2649193837", "매물Link")</f>
        <v/>
      </c>
      <c r="M1556" s="6">
        <f>HYPERLINK("https://map.naver.com/p/search/조치원읍 신흥리 288-1", "지도Link")</f>
        <v/>
      </c>
      <c r="N1556" s="6">
        <f>HYPERLINK("https://www.eum.go.kr/web/mp/mpMapDet.jsp?pnu=3611025029102880001&amp;isNoScr=script&amp;mode=search", "토지이음")</f>
        <v/>
      </c>
      <c r="O1556" s="3" t="inlineStr">
        <is>
          <t>강아지풀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31000</v>
      </c>
      <c r="G1557" s="4" t="n">
        <v>245</v>
      </c>
      <c r="H1557" s="4" t="n">
        <v>74</v>
      </c>
      <c r="I1557" s="5" t="n">
        <v>418.9</v>
      </c>
      <c r="J1557" s="5" t="n">
        <v>246.6</v>
      </c>
      <c r="K1557" s="3" t="inlineStr">
        <is>
          <t>투자가치가 높은 세종시 조치원읍 신흥리 토지</t>
        </is>
      </c>
      <c r="L1557" s="6">
        <f>HYPERLINK("https://fin.land.naver.com/articles/2648407574", "매물Link")</f>
        <v/>
      </c>
      <c r="M1557" s="6">
        <f>HYPERLINK("https://map.naver.com/p/search/조치원읍 신흥리 288-1", "지도Link")</f>
        <v/>
      </c>
      <c r="N1557" s="6">
        <f>HYPERLINK("https://www.eum.go.kr/web/mp/mpMapDet.jsp?pnu=3611025029102880001&amp;isNoScr=script&amp;mode=search",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245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소로한면</t>
        </is>
      </c>
    </row>
    <row r="1558">
      <c r="A1558" s="3" t="inlineStr">
        <is>
          <t>조치원읍 신흥리 288-2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45000</v>
      </c>
      <c r="G1558" s="4" t="n">
        <v>299</v>
      </c>
      <c r="H1558" s="4" t="n">
        <v>90</v>
      </c>
      <c r="I1558" s="5" t="n">
        <v>500</v>
      </c>
      <c r="J1558" s="5" t="n">
        <v>244.2</v>
      </c>
      <c r="K1558" s="3" t="inlineStr">
        <is>
          <t>투자가치가 높은 세종시 조치원읍 신흥리 토지</t>
        </is>
      </c>
      <c r="L1558" s="6">
        <f>HYPERLINK("https://fin.land.naver.com/articles/2647920832", "매물Link")</f>
        <v/>
      </c>
      <c r="M1558" s="6">
        <f>HYPERLINK("https://map.naver.com/p/search/조치원읍 신흥리 288-2", "지도Link")</f>
        <v/>
      </c>
      <c r="N1558" s="6">
        <f>HYPERLINK("https://www.eum.go.kr/web/mp/mpMapDet.jsp?pnu=3611025029102880002&amp;isNoScr=script&amp;mode=search", "토지이음")</f>
        <v/>
      </c>
      <c r="O1558" s="3" t="inlineStr">
        <is>
          <t>비전</t>
        </is>
      </c>
      <c r="P1558" s="4" t="n">
        <v>1</v>
      </c>
      <c r="Q1558" s="4" t="n">
        <v>299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신흥리 49-19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36000</v>
      </c>
      <c r="G1559" s="4" t="n">
        <v>239</v>
      </c>
      <c r="H1559" s="4" t="n">
        <v>72</v>
      </c>
      <c r="I1559" s="5" t="n">
        <v>500</v>
      </c>
      <c r="J1559" s="5" t="n">
        <v>161.8</v>
      </c>
      <c r="K1559" s="3" t="inlineStr">
        <is>
          <t>신흥파닭인근 신축투자,보유 좋은 저렴토지</t>
        </is>
      </c>
      <c r="L1559" s="6">
        <f>HYPERLINK("https://fin.land.naver.com/articles/2646394684", "매물Link")</f>
        <v/>
      </c>
      <c r="M1559" s="6">
        <f>HYPERLINK("https://map.naver.com/p/search/조치원읍 신흥리 49-19", "지도Link")</f>
        <v/>
      </c>
      <c r="N1559" s="6">
        <f>HYPERLINK("https://www.eum.go.kr/web/mp/mpMapDet.jsp?pnu=3611025029100490019&amp;isNoScr=script&amp;mode=search", "토지이음")</f>
        <v/>
      </c>
      <c r="O1559" s="3" t="inlineStr">
        <is>
          <t>다옴</t>
        </is>
      </c>
      <c r="P1559" s="4" t="n">
        <v>1</v>
      </c>
      <c r="Q1559" s="4" t="n">
        <v>130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자루형</t>
        </is>
      </c>
      <c r="V1559" s="3" t="inlineStr">
        <is>
          <t>세로한면(가)</t>
        </is>
      </c>
    </row>
    <row r="1560">
      <c r="A1560" s="3" t="inlineStr">
        <is>
          <t>조치원읍 신흥리 55-2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22000</v>
      </c>
      <c r="G1560" s="4" t="n">
        <v>121</v>
      </c>
      <c r="H1560" s="4" t="n">
        <v>37</v>
      </c>
      <c r="I1560" s="5" t="n">
        <v>594.6</v>
      </c>
      <c r="J1560" s="5" t="n">
        <v>187.2</v>
      </c>
      <c r="K1560" s="3" t="inlineStr">
        <is>
          <t>보건소옆 코너각지 토지매매</t>
        </is>
      </c>
      <c r="L1560" s="6">
        <f>HYPERLINK("https://fin.land.naver.com/articles/2646862734", "매물Link")</f>
        <v/>
      </c>
      <c r="M1560" s="6">
        <f>HYPERLINK("https://map.naver.com/p/search/조치원읍 신흥리 55-2", "지도Link")</f>
        <v/>
      </c>
      <c r="N1560" s="6">
        <f>HYPERLINK("https://www.eum.go.kr/web/mp/mpMapDet.jsp?pnu=3611025029100550002&amp;isNoScr=script&amp;mode=search", "토지이음")</f>
        <v/>
      </c>
      <c r="O1560" s="3" t="inlineStr">
        <is>
          <t>세종땅사랑</t>
        </is>
      </c>
      <c r="P1560" s="4" t="n">
        <v>1</v>
      </c>
      <c r="Q1560" s="4" t="n">
        <v>121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소로각지</t>
        </is>
      </c>
    </row>
    <row r="1561">
      <c r="A1561" s="3" t="inlineStr">
        <is>
          <t>조치원읍 신흥리 62-8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63900</v>
      </c>
      <c r="G1561" s="4" t="n">
        <v>469</v>
      </c>
      <c r="H1561" s="4" t="n">
        <v>142</v>
      </c>
      <c r="I1561" s="5" t="n">
        <v>450</v>
      </c>
      <c r="J1561" s="5" t="n">
        <v>302.4</v>
      </c>
      <c r="K1561" s="3" t="inlineStr">
        <is>
          <t>신흥리 2차선 접한 토지 사옥및주택추천</t>
        </is>
      </c>
      <c r="L1561" s="6">
        <f>HYPERLINK("https://fin.land.naver.com/articles/2645871900", "매물Link")</f>
        <v/>
      </c>
      <c r="M1561" s="6">
        <f>HYPERLINK("https://map.naver.com/p/search/조치원읍 신흥리 62-8", "지도Link")</f>
        <v/>
      </c>
      <c r="N1561" s="6">
        <f>HYPERLINK("https://www.eum.go.kr/web/mp/mpMapDet.jsp?pnu=3611025029100620008&amp;isNoScr=script&amp;mode=search", "토지이음")</f>
        <v/>
      </c>
      <c r="O1561" s="3" t="inlineStr">
        <is>
          <t>OK수</t>
        </is>
      </c>
      <c r="P1561" s="4" t="n">
        <v>1</v>
      </c>
      <c r="Q1561" s="4" t="n">
        <v>400</v>
      </c>
      <c r="R1561" s="3" t="inlineStr">
        <is>
          <t>지정되지않음</t>
        </is>
      </c>
      <c r="S1561" s="3" t="inlineStr">
        <is>
          <t>공업용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소로한면</t>
        </is>
      </c>
    </row>
    <row r="1562">
      <c r="A1562" s="3" t="inlineStr">
        <is>
          <t>조치원읍 원리 8-9</t>
        </is>
      </c>
      <c r="B1562" s="3" t="inlineStr">
        <is>
          <t>일반상업지역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546</v>
      </c>
      <c r="H1562" s="4" t="n">
        <v>165</v>
      </c>
      <c r="I1562" s="5" t="n">
        <v>1575.8</v>
      </c>
      <c r="J1562" s="5" t="n">
        <v>1082.3</v>
      </c>
      <c r="K1562" s="3" t="inlineStr">
        <is>
          <t>nan</t>
        </is>
      </c>
      <c r="L1562" s="6">
        <f>HYPERLINK("https://fin.land.naver.com/articles/2645024365", "매물Link")</f>
        <v/>
      </c>
      <c r="M1562" s="6">
        <f>HYPERLINK("https://map.naver.com/p/search/조치원읍 원리 8-9", "지도Link")</f>
        <v/>
      </c>
      <c r="N1562" s="6">
        <f>HYPERLINK("https://www.eum.go.kr/web/mp/mpMapDet.jsp?pnu=3611025021100080009&amp;isNoScr=script&amp;mode=search", "토지이음")</f>
        <v/>
      </c>
      <c r="O1562" s="3" t="inlineStr">
        <is>
          <t>한아름</t>
        </is>
      </c>
      <c r="P1562" s="4" t="n">
        <v>1</v>
      </c>
      <c r="Q1562" s="4" t="n">
        <v>473.1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중로각지</t>
        </is>
      </c>
    </row>
    <row r="1563">
      <c r="A1563" s="3" t="inlineStr">
        <is>
          <t>조치원읍 정리 52-6</t>
        </is>
      </c>
      <c r="B1563" s="3" t="inlineStr">
        <is>
          <t>준주거지역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260000</v>
      </c>
      <c r="G1563" s="4" t="n">
        <v>1191</v>
      </c>
      <c r="H1563" s="4" t="n">
        <v>360</v>
      </c>
      <c r="I1563" s="5" t="n">
        <v>722.2</v>
      </c>
      <c r="J1563" s="5" t="n">
        <v>194.4</v>
      </c>
      <c r="K1563" s="3" t="inlineStr">
        <is>
          <t>전통시장 근접한 대지로 단독주택 또는 원룸건축에 좋은 위치입니다.</t>
        </is>
      </c>
      <c r="L1563" s="6">
        <f>HYPERLINK("https://fin.land.naver.com/articles/2649493411", "매물Link")</f>
        <v/>
      </c>
      <c r="M1563" s="6">
        <f>HYPERLINK("https://map.naver.com/p/search/조치원읍 정리 52-6", "지도Link")</f>
        <v/>
      </c>
      <c r="N1563" s="6">
        <f>HYPERLINK("https://www.eum.go.kr/web/mp/mpMapDet.jsp?pnu=3611025025100520006&amp;isNoScr=script&amp;mode=search",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468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조치원읍 죽림리 156-15</t>
        </is>
      </c>
      <c r="B1564" s="3" t="inlineStr">
        <is>
          <t>일반상업지역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245000</v>
      </c>
      <c r="G1564" s="4" t="n">
        <v>810</v>
      </c>
      <c r="H1564" s="4" t="n">
        <v>245</v>
      </c>
      <c r="I1564" s="5" t="n">
        <v>1000</v>
      </c>
      <c r="J1564" s="5" t="n">
        <v>119.3</v>
      </c>
      <c r="K1564" s="3" t="inlineStr">
        <is>
          <t>2차선변 일반상업지역, 투자가치 최고</t>
        </is>
      </c>
      <c r="L1564" s="6">
        <f>HYPERLINK("https://fin.land.naver.com/articles/2650316280", "매물Link")</f>
        <v/>
      </c>
      <c r="M1564" s="6">
        <f>HYPERLINK("https://map.naver.com/p/search/조치원읍 죽림리 156-15", "지도Link")</f>
        <v/>
      </c>
      <c r="N1564" s="6">
        <f>HYPERLINK("https://www.eum.go.kr/web/mp/mpMapDet.jsp?pnu=3611025030101560015&amp;isNoScr=script&amp;mode=search", "토지이음")</f>
        <v/>
      </c>
      <c r="O1564" s="3" t="inlineStr">
        <is>
          <t>세종공감</t>
        </is>
      </c>
      <c r="P1564" s="4" t="n">
        <v>1</v>
      </c>
      <c r="Q1564" s="4" t="n">
        <v>716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죽림리 184-15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48500</v>
      </c>
      <c r="G1565" s="4" t="n">
        <v>321</v>
      </c>
      <c r="H1565" s="4" t="n">
        <v>97</v>
      </c>
      <c r="I1565" s="5" t="n">
        <v>500</v>
      </c>
      <c r="J1565" s="5" t="n">
        <v>198.2</v>
      </c>
      <c r="K1565" s="3" t="inlineStr">
        <is>
          <t>2차선3거리코너,주변아파트.상가주택형성,투자가치좋아요</t>
        </is>
      </c>
      <c r="L1565" s="6">
        <f>HYPERLINK("https://fin.land.naver.com/articles/2646023344", "매물Link")</f>
        <v/>
      </c>
      <c r="M1565" s="6">
        <f>HYPERLINK("https://map.naver.com/p/search/조치원읍 죽림리 184-15", "지도Link")</f>
        <v/>
      </c>
      <c r="N1565" s="6">
        <f>HYPERLINK("https://www.eum.go.kr/web/mp/mpMapDet.jsp?pnu=3611025030101840015&amp;isNoScr=script&amp;mode=search", "토지이음")</f>
        <v/>
      </c>
      <c r="O1565" s="3" t="inlineStr">
        <is>
          <t>힐스테이트행복</t>
        </is>
      </c>
      <c r="P1565" s="4" t="n">
        <v>1</v>
      </c>
      <c r="Q1565" s="4" t="n">
        <v>321.2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소로각지</t>
        </is>
      </c>
    </row>
    <row r="1566">
      <c r="A1566" s="3" t="inlineStr">
        <is>
          <t>조치원읍 죽림리 240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700000</v>
      </c>
      <c r="G1566" s="4" t="n">
        <v>4045</v>
      </c>
      <c r="H1566" s="4" t="n">
        <v>1224</v>
      </c>
      <c r="I1566" s="5" t="n">
        <v>571.9</v>
      </c>
      <c r="J1566" s="5" t="n">
        <v>131.4</v>
      </c>
      <c r="K1566" s="3" t="inlineStr">
        <is>
          <t>2면 도로접한 도시지역,근생시설,제2종일반주거지역,다용도 사용가능</t>
        </is>
      </c>
      <c r="L1566" s="6">
        <f>HYPERLINK("https://fin.land.naver.com/articles/2647778364", "매물Link")</f>
        <v/>
      </c>
      <c r="M1566" s="6">
        <f>HYPERLINK("https://map.naver.com/p/search/조치원읍 죽림리 240", "지도Link")</f>
        <v/>
      </c>
      <c r="N1566" s="6">
        <f>HYPERLINK("https://www.eum.go.kr/web/mp/mpMapDet.jsp?pnu=3611025030102400000&amp;isNoScr=script&amp;mode=search",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2590</v>
      </c>
      <c r="R1566" s="3" t="inlineStr">
        <is>
          <t>지정되지않음</t>
        </is>
      </c>
      <c r="S1566" s="3" t="inlineStr">
        <is>
          <t>전기타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죽림리 315-2</t>
        </is>
      </c>
      <c r="B1567" s="3" t="inlineStr">
        <is>
          <t>자연녹지지역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695000</v>
      </c>
      <c r="G1567" s="4" t="n">
        <v>5079</v>
      </c>
      <c r="H1567" s="4" t="n">
        <v>1536</v>
      </c>
      <c r="I1567" s="5" t="n">
        <v>452.5</v>
      </c>
      <c r="J1567" s="5" t="n">
        <v>124.8</v>
      </c>
      <c r="K1567" s="3" t="inlineStr">
        <is>
          <t>Click 홈플러스 옆 3필지 도로접 Click</t>
        </is>
      </c>
      <c r="L1567" s="6">
        <f>HYPERLINK("https://fin.land.naver.com/articles/2645847490", "매물Link")</f>
        <v/>
      </c>
      <c r="M1567" s="6">
        <f>HYPERLINK("https://map.naver.com/p/search/조치원읍 죽림리 315-2", "지도Link")</f>
        <v/>
      </c>
      <c r="N1567" s="6">
        <f>HYPERLINK("https://www.eum.go.kr/web/mp/mpMapDet.jsp?pnu=3611025030103150002&amp;isNoScr=script&amp;mode=search", "토지이음")</f>
        <v/>
      </c>
      <c r="O1567" s="3" t="inlineStr">
        <is>
          <t>해뜰</t>
        </is>
      </c>
      <c r="P1567" s="4" t="n">
        <v>1</v>
      </c>
      <c r="Q1567" s="4" t="n">
        <v>3538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광대로한면</t>
        </is>
      </c>
    </row>
    <row r="1568">
      <c r="A1568" s="3" t="inlineStr">
        <is>
          <t>조치원읍 죽림리 342</t>
        </is>
      </c>
      <c r="B1568" s="3" t="inlineStr">
        <is>
          <t>제2종일반주거지역</t>
        </is>
      </c>
      <c r="C1568" s="3" t="inlineStr">
        <is>
          <t>과수원</t>
        </is>
      </c>
      <c r="D1568" s="3" t="inlineStr">
        <is>
          <t>과수원</t>
        </is>
      </c>
      <c r="E1568" s="3" t="inlineStr">
        <is>
          <t>매매</t>
        </is>
      </c>
      <c r="F1568" s="4" t="n">
        <v>110000</v>
      </c>
      <c r="G1568" s="4" t="n">
        <v>587</v>
      </c>
      <c r="H1568" s="4" t="n">
        <v>178</v>
      </c>
      <c r="I1568" s="5" t="n">
        <v>618</v>
      </c>
      <c r="J1568" s="5" t="n">
        <v>190.2</v>
      </c>
      <c r="K1568" s="3" t="inlineStr">
        <is>
          <t>세종북부경찰서와 파밀리에아파트, 그리고 원룸이 인접해 있음</t>
        </is>
      </c>
      <c r="L1568" s="6">
        <f>HYPERLINK("https://fin.land.naver.com/articles/2646696438", "매물Link")</f>
        <v/>
      </c>
      <c r="M1568" s="6">
        <f>HYPERLINK("https://map.naver.com/p/search/조치원읍 죽림리 342", "지도Link")</f>
        <v/>
      </c>
      <c r="N1568" s="6">
        <f>HYPERLINK("https://www.eum.go.kr/web/mp/mpMapDet.jsp?pnu=3611025030103420000&amp;isNoScr=script&amp;mode=search", "토지이음")</f>
        <v/>
      </c>
      <c r="O1568" s="3" t="inlineStr">
        <is>
          <t>가람</t>
        </is>
      </c>
      <c r="P1568" s="4" t="n">
        <v>1</v>
      </c>
      <c r="Q1568" s="4" t="n">
        <v>587</v>
      </c>
      <c r="R1568" s="3" t="inlineStr">
        <is>
          <t>지정되지않음</t>
        </is>
      </c>
      <c r="S1568" s="3" t="inlineStr">
        <is>
          <t>과수원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중로한면</t>
        </is>
      </c>
    </row>
    <row r="1569">
      <c r="A1569" s="3" t="inlineStr">
        <is>
          <t>조치원읍 죽림리 46-2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260000</v>
      </c>
      <c r="G1569" s="4" t="n">
        <v>1793</v>
      </c>
      <c r="H1569" s="4" t="n">
        <v>542</v>
      </c>
      <c r="I1569" s="5" t="n">
        <v>479.7</v>
      </c>
      <c r="J1569" s="5" t="n">
        <v>254.6</v>
      </c>
      <c r="K1569" s="3" t="inlineStr">
        <is>
          <t>죽림오거리 엘지전자샾 주변,도시지역,제2종일반주거지역.도로접함,다용도 굿</t>
        </is>
      </c>
      <c r="L1569" s="6">
        <f>HYPERLINK("https://fin.land.naver.com/articles/2649742867", "매물Link")</f>
        <v/>
      </c>
      <c r="M1569" s="6">
        <f>HYPERLINK("https://map.naver.com/p/search/조치원읍 죽림리 46-2", "지도Link")</f>
        <v/>
      </c>
      <c r="N1569" s="6">
        <f>HYPERLINK("https://www.eum.go.kr/web/mp/mpMapDet.jsp?pnu=3611025030100460002&amp;isNoScr=script&amp;mode=search", "토지이음")</f>
        <v/>
      </c>
      <c r="O1569" s="3" t="inlineStr">
        <is>
          <t>미래타운</t>
        </is>
      </c>
      <c r="P1569" s="4" t="n">
        <v>1</v>
      </c>
      <c r="Q1569" s="4" t="n">
        <v>1209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침산리 111-18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11400</v>
      </c>
      <c r="G1570" s="4" t="n">
        <v>102</v>
      </c>
      <c r="H1570" s="4" t="n">
        <v>31</v>
      </c>
      <c r="I1570" s="5" t="n">
        <v>367.7</v>
      </c>
      <c r="J1570" s="5" t="n">
        <v>175.7</v>
      </c>
      <c r="K1570" s="3" t="inlineStr">
        <is>
          <t>조치원 침산리 토지 매매 102㎡ 단독필지</t>
        </is>
      </c>
      <c r="L1570" s="6">
        <f>HYPERLINK("https://fin.land.naver.com/articles/2645278744", "매물Link")</f>
        <v/>
      </c>
      <c r="M1570" s="6">
        <f>HYPERLINK("https://map.naver.com/p/search/조치원읍 침산리 111-18", "지도Link")</f>
        <v/>
      </c>
      <c r="N1570" s="6">
        <f>HYPERLINK("https://www.eum.go.kr/web/mp/mpMapDet.jsp?pnu=3611025028101110018&amp;isNoScr=script&amp;mode=search", "토지이음")</f>
        <v/>
      </c>
      <c r="O1570" s="3" t="inlineStr">
        <is>
          <t>세종공감</t>
        </is>
      </c>
      <c r="P1570" s="4" t="n">
        <v>1</v>
      </c>
      <c r="Q1570" s="4" t="n">
        <v>102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조치원읍 침산리 123-2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27000</v>
      </c>
      <c r="G1571" s="4" t="n">
        <v>238</v>
      </c>
      <c r="H1571" s="4" t="n">
        <v>72</v>
      </c>
      <c r="I1571" s="5" t="n">
        <v>375</v>
      </c>
      <c r="J1571" s="5" t="n">
        <v>177.6</v>
      </c>
      <c r="K1571" s="3" t="inlineStr">
        <is>
          <t>조치원역인접.나대지상태.상가주택부지.장기투자가치.교통편리.제2종주거지역</t>
        </is>
      </c>
      <c r="L1571" s="6">
        <f>HYPERLINK("https://fin.land.naver.com/articles/2649220962", "매물Link")</f>
        <v/>
      </c>
      <c r="M1571" s="6">
        <f>HYPERLINK("https://map.naver.com/p/search/조치원읍 침산리 123-2", "지도Link")</f>
        <v/>
      </c>
      <c r="N1571" s="6">
        <f>HYPERLINK("https://www.eum.go.kr/web/mp/mpMapDet.jsp?pnu=3611025028101230002&amp;isNoScr=script&amp;mode=search", "토지이음")</f>
        <v/>
      </c>
      <c r="O1571" s="3" t="inlineStr">
        <is>
          <t>돈방석</t>
        </is>
      </c>
      <c r="P1571" s="4" t="n">
        <v>1</v>
      </c>
      <c r="Q1571" s="4" t="n">
        <v>238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52000</v>
      </c>
      <c r="G1572" s="4" t="n">
        <v>129</v>
      </c>
      <c r="H1572" s="4" t="n">
        <v>39</v>
      </c>
      <c r="I1572" s="5" t="n">
        <v>1333.3</v>
      </c>
      <c r="J1572" s="5" t="n">
        <v>404.6</v>
      </c>
      <c r="K1572" s="3" t="inlineStr">
        <is>
          <t>조치원역 도보권, 입지좋은상가 2층건물 포함 일괄매매</t>
        </is>
      </c>
      <c r="L1572" s="6">
        <f>HYPERLINK("https://fin.land.naver.com/articles/2646909998", "매물Link")</f>
        <v/>
      </c>
      <c r="M1572" s="6">
        <f>HYPERLINK("https://map.naver.com/p/search/조치원읍 침산리 144-9", "지도Link")</f>
        <v/>
      </c>
      <c r="N1572" s="6">
        <f>HYPERLINK("https://www.eum.go.kr/web/mp/mpMapDet.jsp?pnu=3611025028101440009&amp;isNoScr=script&amp;mode=search",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129</v>
      </c>
      <c r="R1572" s="3" t="inlineStr">
        <is>
          <t>지정되지않음</t>
        </is>
      </c>
      <c r="S1572" s="3" t="inlineStr">
        <is>
          <t>주상용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중로한면</t>
        </is>
      </c>
    </row>
    <row r="1573">
      <c r="A1573" s="3" t="inlineStr">
        <is>
          <t>조치원읍 침산리 167-10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95000</v>
      </c>
      <c r="G1573" s="4" t="n">
        <v>332</v>
      </c>
      <c r="H1573" s="4" t="n">
        <v>100</v>
      </c>
      <c r="I1573" s="5" t="n">
        <v>950</v>
      </c>
      <c r="J1573" s="5" t="n">
        <v>440.3</v>
      </c>
      <c r="K1573" s="3" t="inlineStr">
        <is>
          <t>조치원역뒤, 상가포함 좋은입지 일괄매매</t>
        </is>
      </c>
      <c r="L1573" s="6">
        <f>HYPERLINK("https://fin.land.naver.com/articles/2644592261", "매물Link")</f>
        <v/>
      </c>
      <c r="M1573" s="6">
        <f>HYPERLINK("https://map.naver.com/p/search/조치원읍 침산리 167-10", "지도Link")</f>
        <v/>
      </c>
      <c r="N1573" s="6">
        <f>HYPERLINK("https://www.eum.go.kr/web/mp/mpMapDet.jsp?pnu=3611025028101670010&amp;isNoScr=script&amp;mode=search", "토지이음")</f>
        <v/>
      </c>
      <c r="O1573" s="3" t="inlineStr">
        <is>
          <t>다옴</t>
        </is>
      </c>
      <c r="P1573" s="4" t="n">
        <v>1</v>
      </c>
      <c r="Q1573" s="4" t="n">
        <v>332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광대로한면</t>
        </is>
      </c>
    </row>
    <row r="1574">
      <c r="A1574" s="3" t="inlineStr">
        <is>
          <t>조치원읍 침산리 185-13</t>
        </is>
      </c>
      <c r="B1574" s="3" t="inlineStr">
        <is>
          <t>제2종일반주거지역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33000</v>
      </c>
      <c r="G1574" s="4" t="n">
        <v>283</v>
      </c>
      <c r="H1574" s="4" t="n">
        <v>86</v>
      </c>
      <c r="I1574" s="5" t="n">
        <v>383.7</v>
      </c>
      <c r="J1574" s="5" t="n">
        <v>136.4</v>
      </c>
      <c r="K1574" s="3" t="inlineStr">
        <is>
          <t>조치원역세권 개발 배후지.도시가스.상하수도 연결 완료</t>
        </is>
      </c>
      <c r="L1574" s="6">
        <f>HYPERLINK("https://fin.land.naver.com/articles/2644538359", "매물Link")</f>
        <v/>
      </c>
      <c r="M1574" s="6">
        <f>HYPERLINK("https://map.naver.com/p/search/조치원읍 침산리 185-13", "지도Link")</f>
        <v/>
      </c>
      <c r="N1574" s="6">
        <f>HYPERLINK("https://www.eum.go.kr/web/mp/mpMapDet.jsp?pnu=3611025028101850013&amp;isNoScr=script&amp;mode=search", "토지이음")</f>
        <v/>
      </c>
      <c r="O1574" s="3" t="inlineStr">
        <is>
          <t>굿모닝</t>
        </is>
      </c>
      <c r="P1574" s="4" t="n">
        <v>1</v>
      </c>
      <c r="Q1574" s="4" t="n">
        <v>283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조치원읍 침산리 185-19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80400</v>
      </c>
      <c r="G1575" s="4" t="n">
        <v>664</v>
      </c>
      <c r="H1575" s="4" t="n">
        <v>201</v>
      </c>
      <c r="I1575" s="5" t="n">
        <v>400</v>
      </c>
      <c r="J1575" s="5" t="n">
        <v>155.1</v>
      </c>
      <c r="K1575" s="3" t="inlineStr">
        <is>
          <t>침산리 위치 좋은 곳으로 커피숍이나 음식점 자리</t>
        </is>
      </c>
      <c r="L1575" s="6">
        <f>HYPERLINK("https://fin.land.naver.com/articles/2647576266", "매물Link")</f>
        <v/>
      </c>
      <c r="M1575" s="6">
        <f>HYPERLINK("https://map.naver.com/p/search/조치원읍 침산리 185-19", "지도Link")</f>
        <v/>
      </c>
      <c r="N1575" s="6">
        <f>HYPERLINK("https://www.eum.go.kr/web/mp/mpMapDet.jsp?pnu=3611025028101850019&amp;isNoScr=script&amp;mode=search", "토지이음")</f>
        <v/>
      </c>
      <c r="O1575" s="3" t="inlineStr">
        <is>
          <t>KB세종</t>
        </is>
      </c>
      <c r="P1575" s="4" t="n">
        <v>1</v>
      </c>
      <c r="Q1575" s="4" t="n">
        <v>580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조치원읍 침산리 203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193000</v>
      </c>
      <c r="G1576" s="4" t="n">
        <v>2362</v>
      </c>
      <c r="H1576" s="4" t="n">
        <v>715</v>
      </c>
      <c r="I1576" s="5" t="n">
        <v>269.9</v>
      </c>
      <c r="J1576" s="5" t="n">
        <v>187</v>
      </c>
      <c r="K1576" s="3" t="inlineStr">
        <is>
          <t>1번국도 인근토지로 지대가 높고 다양한 용도로 활용가능. 가격조율 가능.</t>
        </is>
      </c>
      <c r="L1576" s="6">
        <f>HYPERLINK("https://fin.land.naver.com/articles/2647427896", "매물Link")</f>
        <v/>
      </c>
      <c r="M1576" s="6">
        <f>HYPERLINK("https://map.naver.com/p/search/조치원읍 침산리 203", "지도Link")</f>
        <v/>
      </c>
      <c r="N1576" s="6">
        <f>HYPERLINK("https://www.eum.go.kr/web/mp/mpMapDet.jsp?pnu=3611025028102030000&amp;isNoScr=script&amp;mode=search", "토지이음")</f>
        <v/>
      </c>
      <c r="O1576" s="3" t="inlineStr">
        <is>
          <t>세종대장</t>
        </is>
      </c>
      <c r="P1576" s="4" t="n">
        <v>1</v>
      </c>
      <c r="Q1576" s="4" t="n">
        <v>2362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광대로한면</t>
        </is>
      </c>
    </row>
    <row r="1577">
      <c r="A1577" s="3" t="inlineStr">
        <is>
          <t>조치원읍 침산리 219-3</t>
        </is>
      </c>
      <c r="B1577" s="3" t="inlineStr">
        <is>
          <t>제1종일반주거지역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268000</v>
      </c>
      <c r="G1577" s="4" t="n">
        <v>1971</v>
      </c>
      <c r="H1577" s="4" t="n">
        <v>596</v>
      </c>
      <c r="I1577" s="5" t="n">
        <v>449.7</v>
      </c>
      <c r="J1577" s="5" t="n">
        <v>183.4</v>
      </c>
      <c r="K1577" s="3" t="inlineStr">
        <is>
          <t>도도리파크, 문화예술회관 맞은편 토지</t>
        </is>
      </c>
      <c r="L1577" s="6">
        <f>HYPERLINK("https://fin.land.naver.com/articles/2648317472", "매물Link")</f>
        <v/>
      </c>
      <c r="M1577" s="6">
        <f>HYPERLINK("https://map.naver.com/p/search/조치원읍 침산리 219-3", "지도Link")</f>
        <v/>
      </c>
      <c r="N1577" s="6">
        <f>HYPERLINK("https://www.eum.go.kr/web/mp/mpMapDet.jsp?pnu=3611025028102190003&amp;isNoScr=script&amp;mode=search", "토지이음")</f>
        <v/>
      </c>
      <c r="O1577" s="3" t="inlineStr">
        <is>
          <t>KB세종</t>
        </is>
      </c>
      <c r="P1577" s="4" t="n">
        <v>1</v>
      </c>
      <c r="Q1577" s="4" t="n">
        <v>1887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중로한면</t>
        </is>
      </c>
    </row>
    <row r="1578">
      <c r="A1578" s="3" t="inlineStr">
        <is>
          <t>조치원읍 침산리 219-7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136000</v>
      </c>
      <c r="G1578" s="4" t="n">
        <v>566</v>
      </c>
      <c r="H1578" s="4" t="n">
        <v>171</v>
      </c>
      <c r="I1578" s="5" t="n">
        <v>795.3</v>
      </c>
      <c r="J1578" s="5" t="n">
        <v>272.3</v>
      </c>
      <c r="K1578" s="3" t="inlineStr">
        <is>
          <t>침산리 대로변 활용만점 넓고반듯한 토지 매매</t>
        </is>
      </c>
      <c r="L1578" s="6">
        <f>HYPERLINK("https://fin.land.naver.com/articles/2646395308", "매물Link")</f>
        <v/>
      </c>
      <c r="M1578" s="6">
        <f>HYPERLINK("https://map.naver.com/p/search/조치원읍 침산리 219-7", "지도Link")</f>
        <v/>
      </c>
      <c r="N1578" s="6">
        <f>HYPERLINK("https://www.eum.go.kr/web/mp/mpMapDet.jsp?pnu=3611025028102190007&amp;isNoScr=script&amp;mode=search", "토지이음")</f>
        <v/>
      </c>
      <c r="O1578" s="3" t="inlineStr">
        <is>
          <t>다옴</t>
        </is>
      </c>
      <c r="P1578" s="4" t="n">
        <v>1</v>
      </c>
      <c r="Q1578" s="4" t="n">
        <v>566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중로각지</t>
        </is>
      </c>
    </row>
    <row r="1579">
      <c r="A1579" s="3" t="inlineStr">
        <is>
          <t>조치원읍 침산리 255-7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251</v>
      </c>
      <c r="H1579" s="4" t="n">
        <v>76</v>
      </c>
      <c r="I1579" s="5" t="n">
        <v>526.3</v>
      </c>
      <c r="J1579" s="5" t="n">
        <v>289.8</v>
      </c>
      <c r="K1579" s="3" t="inlineStr">
        <is>
          <t>침산리 건축가능한 대지매물</t>
        </is>
      </c>
      <c r="L1579" s="6">
        <f>HYPERLINK("https://fin.land.naver.com/articles/2644454795", "매물Link")</f>
        <v/>
      </c>
      <c r="M1579" s="6">
        <f>HYPERLINK("https://map.naver.com/p/search/조치원읍 침산리 255-7", "지도Link")</f>
        <v/>
      </c>
      <c r="N1579" s="6">
        <f>HYPERLINK("https://www.eum.go.kr/web/mp/mpMapDet.jsp?pnu=3611025028102550007&amp;isNoScr=script&amp;mode=search", "토지이음")</f>
        <v/>
      </c>
      <c r="O1579" s="3" t="inlineStr">
        <is>
          <t>상희</t>
        </is>
      </c>
      <c r="P1579" s="4" t="n">
        <v>1</v>
      </c>
      <c r="Q1579" s="4" t="n">
        <v>251.7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세로한면(가)</t>
        </is>
      </c>
    </row>
    <row r="1580">
      <c r="A1580" s="3" t="inlineStr">
        <is>
          <t>조치원읍 침산리 272-9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40000</v>
      </c>
      <c r="G1580" s="4" t="n">
        <v>187</v>
      </c>
      <c r="H1580" s="4" t="n">
        <v>57</v>
      </c>
      <c r="I1580" s="5" t="n">
        <v>701.8</v>
      </c>
      <c r="J1580" s="5" t="n">
        <v>323.2</v>
      </c>
      <c r="K1580" s="3" t="inlineStr">
        <is>
          <t>nan</t>
        </is>
      </c>
      <c r="L1580" s="6">
        <f>HYPERLINK("https://fin.land.naver.com/articles/2647365125", "매물Link")</f>
        <v/>
      </c>
      <c r="M1580" s="6">
        <f>HYPERLINK("https://map.naver.com/p/search/조치원읍 침산리 272-9", "지도Link")</f>
        <v/>
      </c>
      <c r="N1580" s="6">
        <f>HYPERLINK("https://www.eum.go.kr/web/mp/mpMapDet.jsp?pnu=3611025028102720009&amp;isNoScr=script&amp;mode=search", "토지이음")</f>
        <v/>
      </c>
      <c r="O1580" s="3" t="inlineStr">
        <is>
          <t>KB세종</t>
        </is>
      </c>
      <c r="P1580" s="4" t="n">
        <v>1</v>
      </c>
      <c r="Q1580" s="4" t="n">
        <v>187.5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소로각지</t>
        </is>
      </c>
    </row>
    <row r="1581">
      <c r="A1581" s="3" t="inlineStr">
        <is>
          <t>조치원읍 침산리 275-4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81900</v>
      </c>
      <c r="G1581" s="4" t="n">
        <v>387</v>
      </c>
      <c r="H1581" s="4" t="n">
        <v>117</v>
      </c>
      <c r="I1581" s="5" t="n">
        <v>700</v>
      </c>
      <c r="J1581" s="5" t="n">
        <v>348.4</v>
      </c>
      <c r="K1581" s="3" t="inlineStr">
        <is>
          <t>침산리 신봉초맞은편 1번국도초입 큰도로 접함</t>
        </is>
      </c>
      <c r="L1581" s="6">
        <f>HYPERLINK("https://fin.land.naver.com/articles/2645227377", "매물Link")</f>
        <v/>
      </c>
      <c r="M1581" s="6">
        <f>HYPERLINK("https://map.naver.com/p/search/조치원읍 침산리 275-4", "지도Link")</f>
        <v/>
      </c>
      <c r="N1581" s="6">
        <f>HYPERLINK("https://www.eum.go.kr/web/mp/mpMapDet.jsp?pnu=3611025028102750004&amp;isNoScr=script&amp;mode=search", "토지이음")</f>
        <v/>
      </c>
      <c r="O1581" s="3" t="inlineStr">
        <is>
          <t>OK수</t>
        </is>
      </c>
      <c r="P1581" s="4" t="n">
        <v>1</v>
      </c>
      <c r="Q1581" s="4" t="n">
        <v>387.3</v>
      </c>
      <c r="R1581" s="3" t="inlineStr">
        <is>
          <t>지정되지않음</t>
        </is>
      </c>
      <c r="S1581" s="3" t="inlineStr">
        <is>
          <t>주거기타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조치원읍 침산리 278-1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100000</v>
      </c>
      <c r="G1582" s="4" t="n">
        <v>281</v>
      </c>
      <c r="H1582" s="4" t="n">
        <v>85</v>
      </c>
      <c r="I1582" s="5" t="n">
        <v>1176.5</v>
      </c>
      <c r="J1582" s="5" t="n">
        <v>363.6</v>
      </c>
      <c r="K1582" s="3" t="inlineStr">
        <is>
          <t>침산리 대로접한 귀한토지</t>
        </is>
      </c>
      <c r="L1582" s="6">
        <f>HYPERLINK("https://fin.land.naver.com/articles/2648014040", "매물Link")</f>
        <v/>
      </c>
      <c r="M1582" s="6">
        <f>HYPERLINK("https://map.naver.com/p/search/조치원읍 침산리 278-1", "지도Link")</f>
        <v/>
      </c>
      <c r="N1582" s="6">
        <f>HYPERLINK("https://www.eum.go.kr/web/mp/mpMapDet.jsp?pnu=3611025028102780001&amp;isNoScr=script&amp;mode=search", "토지이음")</f>
        <v/>
      </c>
      <c r="O1582" s="3" t="inlineStr">
        <is>
          <t>동백</t>
        </is>
      </c>
      <c r="P1582" s="4" t="n">
        <v>1</v>
      </c>
      <c r="Q1582" s="4" t="n">
        <v>281.3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조치원읍 침산리 283-8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265</v>
      </c>
      <c r="H1583" s="4" t="n">
        <v>80</v>
      </c>
      <c r="I1583" s="5" t="n">
        <v>687.5</v>
      </c>
      <c r="J1583" s="5" t="n">
        <v>441.7</v>
      </c>
      <c r="K1583" s="3" t="inlineStr">
        <is>
          <t>코너 대지 매매</t>
        </is>
      </c>
      <c r="L1583" s="6">
        <f>HYPERLINK("https://fin.land.naver.com/articles/2646280200", "매물Link")</f>
        <v/>
      </c>
      <c r="M1583" s="6">
        <f>HYPERLINK("https://map.naver.com/p/search/조치원읍 침산리 283-8", "지도Link")</f>
        <v/>
      </c>
      <c r="N1583" s="6">
        <f>HYPERLINK("https://www.eum.go.kr/web/mp/mpMapDet.jsp?pnu=3611025028102830008&amp;isNoScr=script&amp;mode=search",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265.6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조치원읍 침산리 284-9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60000</v>
      </c>
      <c r="G1584" s="4" t="n">
        <v>238</v>
      </c>
      <c r="H1584" s="4" t="n">
        <v>72</v>
      </c>
      <c r="I1584" s="5" t="n">
        <v>833.3</v>
      </c>
      <c r="J1584" s="5" t="n">
        <v>283.1</v>
      </c>
      <c r="K1584" s="3" t="inlineStr">
        <is>
          <t>스타벅스가 선택한 그 입지, 세종 조치원 침산리 금쪽같은 토지 매매</t>
        </is>
      </c>
      <c r="L1584" s="6">
        <f>HYPERLINK("https://fin.land.naver.com/articles/2648828796", "매물Link")</f>
        <v/>
      </c>
      <c r="M1584" s="6">
        <f>HYPERLINK("https://map.naver.com/p/search/조치원읍 침산리 284-9", "지도Link")</f>
        <v/>
      </c>
      <c r="N1584" s="6">
        <f>HYPERLINK("https://www.eum.go.kr/web/mp/mpMapDet.jsp?pnu=3611025028102840009&amp;isNoScr=script&amp;mode=search",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238.8</v>
      </c>
      <c r="R1584" s="3" t="inlineStr">
        <is>
          <t>지정되지않음</t>
        </is>
      </c>
      <c r="S1584" s="3" t="inlineStr">
        <is>
          <t>주거기타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침산리 285-16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38630</v>
      </c>
      <c r="G1585" s="4" t="n">
        <v>255</v>
      </c>
      <c r="H1585" s="4" t="n">
        <v>77</v>
      </c>
      <c r="I1585" s="5" t="n">
        <v>501.7</v>
      </c>
      <c r="J1585" s="5" t="n">
        <v>301.6</v>
      </c>
      <c r="K1585" s="3" t="inlineStr">
        <is>
          <t>구역정리된 지역임</t>
        </is>
      </c>
      <c r="L1585" s="6">
        <f>HYPERLINK("https://fin.land.naver.com/articles/2646527314", "매물Link")</f>
        <v/>
      </c>
      <c r="M1585" s="6">
        <f>HYPERLINK("https://map.naver.com/p/search/조치원읍 침산리 285-16", "지도Link")</f>
        <v/>
      </c>
      <c r="N1585" s="6">
        <f>HYPERLINK("https://www.eum.go.kr/web/mp/mpMapDet.jsp?pnu=3611025028102850016&amp;isNoScr=script&amp;mode=search", "토지이음")</f>
        <v/>
      </c>
      <c r="O1585" s="3" t="inlineStr">
        <is>
          <t>한일</t>
        </is>
      </c>
      <c r="P1585" s="4" t="n">
        <v>1</v>
      </c>
      <c r="Q1585" s="4" t="n">
        <v>255.4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정방형</t>
        </is>
      </c>
      <c r="V1585" s="3" t="inlineStr">
        <is>
          <t>소로한면</t>
        </is>
      </c>
    </row>
    <row r="1586">
      <c r="A1586" s="3" t="inlineStr">
        <is>
          <t>조치원읍 침산리 40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256000</v>
      </c>
      <c r="G1586" s="4" t="n">
        <v>2116</v>
      </c>
      <c r="H1586" s="4" t="n">
        <v>640</v>
      </c>
      <c r="I1586" s="5" t="n">
        <v>400</v>
      </c>
      <c r="J1586" s="5" t="n">
        <v>177.6</v>
      </c>
      <c r="K1586" s="3" t="inlineStr">
        <is>
          <t>침산리 토지매매</t>
        </is>
      </c>
      <c r="L1586" s="6">
        <f>HYPERLINK("https://fin.land.naver.com/articles/2648993462", "매물Link")</f>
        <v/>
      </c>
      <c r="M1586" s="6">
        <f>HYPERLINK("https://map.naver.com/p/search/조치원읍 침산리 40", "지도Link")</f>
        <v/>
      </c>
      <c r="N1586" s="6">
        <f>HYPERLINK("https://www.eum.go.kr/web/mp/mpMapDet.jsp?pnu=3611025028100400000&amp;isNoScr=script&amp;mode=search",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1924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침산리 79-4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700000</v>
      </c>
      <c r="G1587" s="4" t="n">
        <v>1842</v>
      </c>
      <c r="H1587" s="4" t="n">
        <v>557</v>
      </c>
      <c r="I1587" s="5" t="n">
        <v>1256.7</v>
      </c>
      <c r="J1587" s="5" t="n">
        <v>416.9</v>
      </c>
      <c r="K1587" s="3" t="inlineStr">
        <is>
          <t>1번국도와 55m 접해있어 근린생활시설을 지으면 좋은 일반주거지역 대지</t>
        </is>
      </c>
      <c r="L1587" s="6">
        <f>HYPERLINK("https://fin.land.naver.com/articles/2650207703", "매물Link")</f>
        <v/>
      </c>
      <c r="M1587" s="6">
        <f>HYPERLINK("https://map.naver.com/p/search/조치원읍 침산리 79-4", "지도Link")</f>
        <v/>
      </c>
      <c r="N1587" s="6">
        <f>HYPERLINK("https://www.eum.go.kr/web/mp/mpMapDet.jsp?pnu=3611025028100790004&amp;isNoScr=script&amp;mode=search", "토지이음")</f>
        <v/>
      </c>
      <c r="O1587" s="3" t="inlineStr">
        <is>
          <t>스마일세종</t>
        </is>
      </c>
      <c r="P1587" s="4" t="n">
        <v>2</v>
      </c>
      <c r="Q1587" s="4" t="n">
        <v>1380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평리 101-2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356</v>
      </c>
      <c r="H1588" s="4" t="n">
        <v>108</v>
      </c>
      <c r="I1588" s="5" t="n">
        <v>555.6</v>
      </c>
      <c r="J1588" s="5" t="n">
        <v>175.8</v>
      </c>
      <c r="K1588" s="3" t="inlineStr">
        <is>
          <t>8미터도로연접, 다가구부지 추천매매</t>
        </is>
      </c>
      <c r="L1588" s="6">
        <f>HYPERLINK("https://fin.land.naver.com/articles/2646874049", "매물Link")</f>
        <v/>
      </c>
      <c r="M1588" s="6">
        <f>HYPERLINK("https://map.naver.com/p/search/조치원읍 평리 101-2", "지도Link")</f>
        <v/>
      </c>
      <c r="N1588" s="6">
        <f>HYPERLINK("https://www.eum.go.kr/web/mp/mpMapDet.jsp?pnu=3611025023101010002&amp;isNoScr=script&amp;mode=search", "토지이음")</f>
        <v/>
      </c>
      <c r="O1588" s="3" t="inlineStr">
        <is>
          <t>Home</t>
        </is>
      </c>
      <c r="P1588" s="4" t="n">
        <v>1</v>
      </c>
      <c r="Q1588" s="4" t="n">
        <v>356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집현동 1203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215000</v>
      </c>
      <c r="G1589" s="4" t="n">
        <v>569</v>
      </c>
      <c r="H1589" s="4" t="n">
        <v>172</v>
      </c>
      <c r="I1589" s="5" t="n">
        <v>1250</v>
      </c>
      <c r="J1589" s="5" t="n">
        <v>320.7</v>
      </c>
      <c r="K1589" s="3" t="inlineStr">
        <is>
          <t>일반음식점 가능 2종근생, 자이 1200세대 정문 앞 횡단보도 버스정류장</t>
        </is>
      </c>
      <c r="L1589" s="6">
        <f>HYPERLINK("https://fin.land.naver.com/articles/2650179158", "매물Link")</f>
        <v/>
      </c>
      <c r="M1589" s="6">
        <f>HYPERLINK("https://map.naver.com/p/search/집현동 1203", "지도Link")</f>
        <v/>
      </c>
      <c r="N1589" s="6">
        <f>HYPERLINK("https://www.eum.go.kr/web/mp/mpMapDet.jsp?pnu=3611011800112030000&amp;isNoScr=script&amp;mode=search", "토지이음")</f>
        <v/>
      </c>
      <c r="O1589" s="3" t="inlineStr">
        <is>
          <t>오송3산단  사무소</t>
        </is>
      </c>
      <c r="P1589" s="4" t="n">
        <v>1</v>
      </c>
      <c r="Q1589" s="4" t="n">
        <v>569.7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정방형</t>
        </is>
      </c>
      <c r="V1589" s="3" t="inlineStr">
        <is>
          <t>광대소각</t>
        </is>
      </c>
    </row>
    <row r="1590">
      <c r="A1590" s="3" t="inlineStr">
        <is>
          <t>집현동 1217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42000</v>
      </c>
      <c r="G1590" s="4" t="n">
        <v>320</v>
      </c>
      <c r="H1590" s="4" t="n">
        <v>97</v>
      </c>
      <c r="I1590" s="5" t="n">
        <v>433</v>
      </c>
      <c r="J1590" s="5" t="n">
        <v>267.1</v>
      </c>
      <c r="K1590" s="3" t="inlineStr">
        <is>
          <t>nan</t>
        </is>
      </c>
      <c r="L1590" s="6">
        <f>HYPERLINK("https://fin.land.naver.com/articles/2647860306", "매물Link")</f>
        <v/>
      </c>
      <c r="M1590" s="6">
        <f>HYPERLINK("https://map.naver.com/p/search/집현동 1217", "지도Link")</f>
        <v/>
      </c>
      <c r="N1590" s="6">
        <f>HYPERLINK("https://www.eum.go.kr/web/mp/mpMapDet.jsp?pnu=3611011800112170000&amp;isNoScr=script&amp;mode=search", "토지이음")</f>
        <v/>
      </c>
      <c r="O1590" s="3" t="inlineStr">
        <is>
          <t>열린자이</t>
        </is>
      </c>
      <c r="P1590" s="4" t="n">
        <v>2</v>
      </c>
      <c r="Q1590" s="4" t="n">
        <v>320.9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1219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47000</v>
      </c>
      <c r="G1591" s="4" t="n">
        <v>318</v>
      </c>
      <c r="H1591" s="4" t="n">
        <v>96</v>
      </c>
      <c r="I1591" s="5" t="n">
        <v>489.6</v>
      </c>
      <c r="J1591" s="5" t="n">
        <v>277.7</v>
      </c>
      <c r="K1591" s="3" t="inlineStr">
        <is>
          <t>급매 집현동 택지</t>
        </is>
      </c>
      <c r="L1591" s="6">
        <f>HYPERLINK("https://fin.land.naver.com/articles/2646823668", "매물Link")</f>
        <v/>
      </c>
      <c r="M1591" s="6">
        <f>HYPERLINK("https://map.naver.com/p/search/집현동 1219", "지도Link")</f>
        <v/>
      </c>
      <c r="N1591" s="6">
        <f>HYPERLINK("https://www.eum.go.kr/web/mp/mpMapDet.jsp?pnu=3611011800112190000&amp;isNoScr=script&amp;mode=search", "토지이음")</f>
        <v/>
      </c>
      <c r="O1591" s="3" t="inlineStr">
        <is>
          <t>강아지풀</t>
        </is>
      </c>
      <c r="P1591" s="4" t="n">
        <v>1</v>
      </c>
      <c r="Q1591" s="4" t="n">
        <v>318.9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소로각지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HYPERLINK("https://www.eum.go.kr/web/mp/mpMapDet.jsp?pnu=3611011800112260000&amp;isNoScr=script&amp;mode=search",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HYPERLINK("https://www.eum.go.kr/web/mp/mpMapDet.jsp?pnu=3611011800112260000&amp;isNoScr=script&amp;mode=search",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1226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54000</v>
      </c>
      <c r="G1594" s="4" t="n">
        <v>305</v>
      </c>
      <c r="H1594" s="4" t="n">
        <v>92</v>
      </c>
      <c r="I1594" s="5" t="n">
        <v>587</v>
      </c>
      <c r="J1594" s="5" t="n">
        <v>267.1</v>
      </c>
      <c r="K1594" s="3" t="inlineStr">
        <is>
          <t>집현동 위치 좋은 단독주택, 사거리 코너 입지</t>
        </is>
      </c>
      <c r="L1594" s="6">
        <f>HYPERLINK("https://fin.land.naver.com/articles/2646691295", "매물Link")</f>
        <v/>
      </c>
      <c r="M1594" s="6">
        <f>HYPERLINK("https://map.naver.com/p/search/집현동 1226", "지도Link")</f>
        <v/>
      </c>
      <c r="N1594" s="6">
        <f>HYPERLINK("https://www.eum.go.kr/web/mp/mpMapDet.jsp?pnu=3611011800112260000&amp;isNoScr=script&amp;mode=search", "토지이음")</f>
        <v/>
      </c>
      <c r="O1594" s="3" t="inlineStr">
        <is>
          <t>세종무지개</t>
        </is>
      </c>
      <c r="P1594" s="4" t="n">
        <v>1</v>
      </c>
      <c r="Q1594" s="4" t="n">
        <v>305.3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코너각지 위치한 토지매매, 공원과 삼성천 뷰 가능</t>
        </is>
      </c>
      <c r="L1595" s="6">
        <f>HYPERLINK("https://fin.land.naver.com/articles/2649592856", "매물Link")</f>
        <v/>
      </c>
      <c r="M1595" s="6">
        <f>HYPERLINK("https://map.naver.com/p/search/집현동 1244", "지도Link")</f>
        <v/>
      </c>
      <c r="N1595" s="6">
        <f>HYPERLINK("https://www.eum.go.kr/web/mp/mpMapDet.jsp?pnu=3611011800112440000&amp;isNoScr=script&amp;mode=search",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1244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60000</v>
      </c>
      <c r="G1596" s="4" t="n">
        <v>323</v>
      </c>
      <c r="H1596" s="4" t="n">
        <v>98</v>
      </c>
      <c r="I1596" s="5" t="n">
        <v>612.2</v>
      </c>
      <c r="J1596" s="5" t="n">
        <v>275</v>
      </c>
      <c r="K1596" s="3" t="inlineStr">
        <is>
          <t>최고위치 코너각지 공원뷰 삼성천뷰</t>
        </is>
      </c>
      <c r="L1596" s="6">
        <f>HYPERLINK("https://fin.land.naver.com/articles/2650366745", "매물Link")</f>
        <v/>
      </c>
      <c r="M1596" s="6">
        <f>HYPERLINK("https://map.naver.com/p/search/집현동 1244", "지도Link")</f>
        <v/>
      </c>
      <c r="N1596" s="6">
        <f>HYPERLINK("https://www.eum.go.kr/web/mp/mpMapDet.jsp?pnu=3611011800112440000&amp;isNoScr=script&amp;mode=search",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323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1255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42000</v>
      </c>
      <c r="G1597" s="4" t="n">
        <v>277</v>
      </c>
      <c r="H1597" s="4" t="n">
        <v>84</v>
      </c>
      <c r="I1597" s="5" t="n">
        <v>500</v>
      </c>
      <c r="J1597" s="5" t="n">
        <v>275</v>
      </c>
      <c r="K1597" s="3" t="inlineStr">
        <is>
          <t>추천. 집현동 코너 택지</t>
        </is>
      </c>
      <c r="L1597" s="6">
        <f>HYPERLINK("https://fin.land.naver.com/articles/2645463798", "매물Link")</f>
        <v/>
      </c>
      <c r="M1597" s="6">
        <f>HYPERLINK("https://map.naver.com/p/search/집현동 1255", "지도Link")</f>
        <v/>
      </c>
      <c r="N1597" s="6">
        <f>HYPERLINK("https://www.eum.go.kr/web/mp/mpMapDet.jsp?pnu=3611011800112550000&amp;isNoScr=script&amp;mode=search",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277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소로각지</t>
        </is>
      </c>
    </row>
    <row r="1598">
      <c r="A1598" s="3" t="inlineStr">
        <is>
          <t>집현동 1281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160000</v>
      </c>
      <c r="G1598" s="4" t="n">
        <v>521</v>
      </c>
      <c r="H1598" s="4" t="n">
        <v>158</v>
      </c>
      <c r="I1598" s="5" t="n">
        <v>1012.7</v>
      </c>
      <c r="J1598" s="5" t="n">
        <v>320.7</v>
      </c>
      <c r="K1598" s="3" t="inlineStr">
        <is>
          <t>집현동 자이아파트 맞은편 횡단보도 앞 근생용지</t>
        </is>
      </c>
      <c r="L1598" s="6">
        <f>HYPERLINK("https://fin.land.naver.com/articles/2649329293", "매물Link")</f>
        <v/>
      </c>
      <c r="M1598" s="6">
        <f>HYPERLINK("https://map.naver.com/p/search/집현동 1281", "지도Link")</f>
        <v/>
      </c>
      <c r="N1598" s="6">
        <f>HYPERLINK("https://www.eum.go.kr/web/mp/mpMapDet.jsp?pnu=3611011800112810000&amp;isNoScr=script&amp;mode=search", "토지이음")</f>
        <v/>
      </c>
      <c r="O1598" s="3" t="inlineStr">
        <is>
          <t>국제</t>
        </is>
      </c>
      <c r="P1598" s="4" t="n">
        <v>2</v>
      </c>
      <c r="Q1598" s="4" t="n">
        <v>520.5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광대소각</t>
        </is>
      </c>
    </row>
    <row r="1599">
      <c r="A1599" s="3" t="inlineStr">
        <is>
          <t>집현동 1304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47000</v>
      </c>
      <c r="G1599" s="4" t="n">
        <v>309</v>
      </c>
      <c r="H1599" s="4" t="n">
        <v>93</v>
      </c>
      <c r="I1599" s="5" t="n">
        <v>505.4</v>
      </c>
      <c r="J1599" s="5" t="n">
        <v>268.2</v>
      </c>
      <c r="K1599" s="3" t="inlineStr">
        <is>
          <t>명성공인, 전용93, 집현동 택지 추천 매물</t>
        </is>
      </c>
      <c r="L1599" s="6">
        <f>HYPERLINK("https://fin.land.naver.com/articles/2648044957", "매물Link")</f>
        <v/>
      </c>
      <c r="M1599" s="6">
        <f>HYPERLINK("https://map.naver.com/p/search/집현동 1304", "지도Link")</f>
        <v/>
      </c>
      <c r="N1599" s="6">
        <f>HYPERLINK("https://www.eum.go.kr/web/mp/mpMapDet.jsp?pnu=3611011800113040000&amp;isNoScr=script&amp;mode=search", "토지이음")</f>
        <v/>
      </c>
      <c r="O1599" s="3" t="inlineStr">
        <is>
          <t>명성</t>
        </is>
      </c>
      <c r="P1599" s="4" t="n">
        <v>1</v>
      </c>
      <c r="Q1599" s="4" t="n">
        <v>308.7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1310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37000</v>
      </c>
      <c r="G1600" s="4" t="n">
        <v>279</v>
      </c>
      <c r="H1600" s="4" t="n">
        <v>84</v>
      </c>
      <c r="I1600" s="5" t="n">
        <v>440.5</v>
      </c>
      <c r="J1600" s="5" t="n">
        <v>265.5</v>
      </c>
      <c r="K1600" s="3" t="inlineStr">
        <is>
          <t>급매 D2 남북트인위치 남향 건축가능</t>
        </is>
      </c>
      <c r="L1600" s="6">
        <f>HYPERLINK("https://fin.land.naver.com/articles/2649617809", "매물Link")</f>
        <v/>
      </c>
      <c r="M1600" s="6">
        <f>HYPERLINK("https://map.naver.com/p/search/집현동 1310", "지도Link")</f>
        <v/>
      </c>
      <c r="N1600" s="6">
        <f>HYPERLINK("https://www.eum.go.kr/web/mp/mpMapDet.jsp?pnu=3611011800113100000&amp;isNoScr=script&amp;mode=search", "토지이음")</f>
        <v/>
      </c>
      <c r="O1600" s="3" t="inlineStr">
        <is>
          <t>세종스타</t>
        </is>
      </c>
      <c r="P1600" s="4" t="n">
        <v>3</v>
      </c>
      <c r="Q1600" s="4" t="n">
        <v>279.8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1313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52000</v>
      </c>
      <c r="G1601" s="4" t="n">
        <v>284</v>
      </c>
      <c r="H1601" s="4" t="n">
        <v>86</v>
      </c>
      <c r="I1601" s="5" t="n">
        <v>604.7</v>
      </c>
      <c r="J1601" s="5" t="n">
        <v>265.5</v>
      </c>
      <c r="K1601" s="3" t="inlineStr">
        <is>
          <t>앞,뒤 양면도로 접한 남향필지</t>
        </is>
      </c>
      <c r="L1601" s="6">
        <f>HYPERLINK("https://fin.land.naver.com/articles/2649762430", "매물Link")</f>
        <v/>
      </c>
      <c r="M1601" s="6">
        <f>HYPERLINK("https://map.naver.com/p/search/집현동 1313", "지도Link")</f>
        <v/>
      </c>
      <c r="N1601" s="6">
        <f>HYPERLINK("https://www.eum.go.kr/web/mp/mpMapDet.jsp?pnu=3611011800113130000&amp;isNoScr=script&amp;mode=search", "토지이음")</f>
        <v/>
      </c>
      <c r="O1601" s="3" t="inlineStr">
        <is>
          <t>킹세종</t>
        </is>
      </c>
      <c r="P1601" s="4" t="n">
        <v>1</v>
      </c>
      <c r="Q1601" s="4" t="n">
        <v>284.8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1325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305</v>
      </c>
      <c r="H1602" s="4" t="n">
        <v>92</v>
      </c>
      <c r="I1602" s="5" t="n">
        <v>489.1</v>
      </c>
      <c r="J1602" s="5" t="n">
        <v>265.5</v>
      </c>
      <c r="K1602" s="3" t="inlineStr">
        <is>
          <t>nan</t>
        </is>
      </c>
      <c r="L1602" s="6">
        <f>HYPERLINK("https://fin.land.naver.com/articles/2645608454", "매물Link")</f>
        <v/>
      </c>
      <c r="M1602" s="6">
        <f>HYPERLINK("https://map.naver.com/p/search/집현동 1325", "지도Link")</f>
        <v/>
      </c>
      <c r="N1602" s="6">
        <f>HYPERLINK("https://www.eum.go.kr/web/mp/mpMapDet.jsp?pnu=3611011800113250000&amp;isNoScr=script&amp;mode=search", "토지이음")</f>
        <v/>
      </c>
      <c r="O1602" s="3" t="inlineStr">
        <is>
          <t>열린자이</t>
        </is>
      </c>
      <c r="P1602" s="4" t="n">
        <v>1</v>
      </c>
      <c r="Q1602" s="4" t="n">
        <v>304.8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집현동 1337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357</v>
      </c>
      <c r="H1603" s="4" t="n">
        <v>108</v>
      </c>
      <c r="I1603" s="5" t="n">
        <v>509.3</v>
      </c>
      <c r="J1603" s="5" t="n">
        <v>276</v>
      </c>
      <c r="K1603" s="3" t="inlineStr">
        <is>
          <t>코너자리로 위치좋은 단독택지 가격조정가능</t>
        </is>
      </c>
      <c r="L1603" s="6">
        <f>HYPERLINK("https://fin.land.naver.com/articles/2648981730", "매물Link")</f>
        <v/>
      </c>
      <c r="M1603" s="6">
        <f>HYPERLINK("https://map.naver.com/p/search/집현동 1337", "지도Link")</f>
        <v/>
      </c>
      <c r="N1603" s="6">
        <f>HYPERLINK("https://www.eum.go.kr/web/mp/mpMapDet.jsp?pnu=3611011800113370000&amp;isNoScr=script&amp;mode=search",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357.7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1348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55000</v>
      </c>
      <c r="G1604" s="4" t="n">
        <v>414</v>
      </c>
      <c r="H1604" s="4" t="n">
        <v>125</v>
      </c>
      <c r="I1604" s="5" t="n">
        <v>440</v>
      </c>
      <c r="J1604" s="5" t="n">
        <v>278.9</v>
      </c>
      <c r="K1604" s="3" t="inlineStr">
        <is>
          <t>위치좋은 집현동토지매매 평수넓어요</t>
        </is>
      </c>
      <c r="L1604" s="6">
        <f>HYPERLINK("https://fin.land.naver.com/articles/2646730771", "매물Link")</f>
        <v/>
      </c>
      <c r="M1604" s="6">
        <f>HYPERLINK("https://map.naver.com/p/search/집현동 1348", "지도Link")</f>
        <v/>
      </c>
      <c r="N1604" s="6">
        <f>HYPERLINK("https://www.eum.go.kr/web/mp/mpMapDet.jsp?pnu=3611011800113480000&amp;isNoScr=script&amp;mode=search", "토지이음")</f>
        <v/>
      </c>
      <c r="O1604" s="3" t="inlineStr">
        <is>
          <t>고운동리치세종</t>
        </is>
      </c>
      <c r="P1604" s="4" t="n">
        <v>1</v>
      </c>
      <c r="Q1604" s="4" t="n">
        <v>414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277</v>
      </c>
      <c r="H1605" s="4" t="n">
        <v>84</v>
      </c>
      <c r="I1605" s="5" t="n">
        <v>494</v>
      </c>
      <c r="J1605" s="5" t="n">
        <v>314.9</v>
      </c>
      <c r="K1605" s="3" t="inlineStr">
        <is>
          <t>급매, 84.1p, 삼거리 코너, 상가와 공원 인근</t>
        </is>
      </c>
      <c r="L1605" s="6">
        <f>HYPERLINK("https://fin.land.naver.com/articles/2648349468", "매물Link")</f>
        <v/>
      </c>
      <c r="M1605" s="6">
        <f>HYPERLINK("https://map.naver.com/p/search/한솔동 1000", "지도Link")</f>
        <v/>
      </c>
      <c r="N1605" s="6">
        <f>HYPERLINK("https://www.eum.go.kr/web/mp/mpMapDet.jsp?pnu=3611010600110000000&amp;isNoScr=script&amp;mode=search", "토지이음")</f>
        <v/>
      </c>
      <c r="O1605" s="3" t="inlineStr">
        <is>
          <t>명진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275</v>
      </c>
      <c r="H1606" s="4" t="n">
        <v>83</v>
      </c>
      <c r="I1606" s="5" t="n">
        <v>500</v>
      </c>
      <c r="J1606" s="5" t="n">
        <v>314.9</v>
      </c>
      <c r="K1606" s="3" t="inlineStr">
        <is>
          <t>급매, 총 84.1p, 삼거리 코너 토지</t>
        </is>
      </c>
      <c r="L1606" s="6">
        <f>HYPERLINK("https://fin.land.naver.com/articles/2646696153", "매물Link")</f>
        <v/>
      </c>
      <c r="M1606" s="6">
        <f>HYPERLINK("https://map.naver.com/p/search/한솔동 1000", "지도Link")</f>
        <v/>
      </c>
      <c r="N1606" s="6">
        <f>HYPERLINK("https://www.eum.go.kr/web/mp/mpMapDet.jsp?pnu=3611010600110000000&amp;isNoScr=script&amp;mode=search", "토지이음")</f>
        <v/>
      </c>
      <c r="O1606" s="3" t="inlineStr">
        <is>
          <t>세종무지개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1000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40500</v>
      </c>
      <c r="G1607" s="4" t="n">
        <v>277</v>
      </c>
      <c r="H1607" s="4" t="n">
        <v>84</v>
      </c>
      <c r="I1607" s="5" t="n">
        <v>482.1</v>
      </c>
      <c r="J1607" s="5" t="n">
        <v>314.9</v>
      </c>
      <c r="K1607" s="3" t="inlineStr">
        <is>
          <t>채광좋음 상권가깝고 뒤로 보행로접함</t>
        </is>
      </c>
      <c r="L1607" s="6">
        <f>HYPERLINK("https://fin.land.naver.com/articles/2648615386", "매물Link")</f>
        <v/>
      </c>
      <c r="M1607" s="6">
        <f>HYPERLINK("https://map.naver.com/p/search/한솔동 1000", "지도Link")</f>
        <v/>
      </c>
      <c r="N1607" s="6">
        <f>HYPERLINK("https://www.eum.go.kr/web/mp/mpMapDet.jsp?pnu=3611010600110000000&amp;isNoScr=script&amp;mode=search",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277.5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52000</v>
      </c>
      <c r="G1608" s="4" t="n">
        <v>277</v>
      </c>
      <c r="H1608" s="4" t="n">
        <v>84</v>
      </c>
      <c r="I1608" s="5" t="n">
        <v>619</v>
      </c>
      <c r="J1608" s="5" t="n">
        <v>314.9</v>
      </c>
      <c r="K1608" s="3" t="inlineStr">
        <is>
          <t>가치있는  즉시 신축 가능 추천  단독주택 도심속전원 시내 시외 진출입</t>
        </is>
      </c>
      <c r="L1608" s="6">
        <f>HYPERLINK("https://fin.land.naver.com/articles/2645899705", "매물Link")</f>
        <v/>
      </c>
      <c r="M1608" s="6">
        <f>HYPERLINK("https://map.naver.com/p/search/한솔동 1003", "지도Link")</f>
        <v/>
      </c>
      <c r="N1608" s="6">
        <f>HYPERLINK("https://www.eum.go.kr/web/mp/mpMapDet.jsp?pnu=3611010600110030000&amp;isNoScr=script&amp;mode=search", "토지이음")</f>
        <v/>
      </c>
      <c r="O1608" s="3" t="inlineStr">
        <is>
          <t>세종시삼성래미안</t>
        </is>
      </c>
      <c r="P1608" s="4" t="n">
        <v>1</v>
      </c>
      <c r="Q1608" s="4" t="n">
        <v>277.8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HYPERLINK("https://www.eum.go.kr/web/mp/mpMapDet.jsp?pnu=3611010600110060000&amp;isNoScr=script&amp;mode=search",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62000</v>
      </c>
      <c r="G1610" s="4" t="n">
        <v>394</v>
      </c>
      <c r="H1610" s="4" t="n">
        <v>119</v>
      </c>
      <c r="I1610" s="5" t="n">
        <v>521</v>
      </c>
      <c r="J1610" s="5" t="n">
        <v>314.9</v>
      </c>
      <c r="K1610" s="3" t="inlineStr">
        <is>
          <t>단독주택 토지, 학군인접</t>
        </is>
      </c>
      <c r="L1610" s="6">
        <f>HYPERLINK("https://fin.land.naver.com/articles/2646690148", "매물Link")</f>
        <v/>
      </c>
      <c r="M1610" s="6">
        <f>HYPERLINK("https://map.naver.com/p/search/한솔동 1006", "지도Link")</f>
        <v/>
      </c>
      <c r="N1610" s="6">
        <f>HYPERLINK("https://www.eum.go.kr/web/mp/mpMapDet.jsp?pnu=3611010600110060000&amp;isNoScr=script&amp;mode=search",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59500</v>
      </c>
      <c r="G1611" s="4" t="n">
        <v>395</v>
      </c>
      <c r="H1611" s="4" t="n">
        <v>119</v>
      </c>
      <c r="I1611" s="5" t="n">
        <v>500</v>
      </c>
      <c r="J1611" s="5" t="n">
        <v>314.9</v>
      </c>
      <c r="K1611" s="3" t="inlineStr">
        <is>
          <t>넓은평형 평단가 저렴한택지 추가조율가능</t>
        </is>
      </c>
      <c r="L1611" s="6">
        <f>HYPERLINK("https://fin.land.naver.com/articles/2645487020", "매물Link")</f>
        <v/>
      </c>
      <c r="M1611" s="6">
        <f>HYPERLINK("https://map.naver.com/p/search/한솔동 1006", "지도Link")</f>
        <v/>
      </c>
      <c r="N1611" s="6">
        <f>HYPERLINK("https://www.eum.go.kr/web/mp/mpMapDet.jsp?pnu=3611010600110060000&amp;isNoScr=script&amp;mode=search", "토지이음")</f>
        <v/>
      </c>
      <c r="O1611" s="3" t="inlineStr">
        <is>
          <t>세종스타</t>
        </is>
      </c>
      <c r="P1611" s="4" t="n">
        <v>2</v>
      </c>
      <c r="Q1611" s="4" t="n">
        <v>394.9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소로각지</t>
        </is>
      </c>
    </row>
    <row r="1612">
      <c r="A1612" s="3" t="inlineStr">
        <is>
          <t>한솔동 1007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62000</v>
      </c>
      <c r="G1612" s="4" t="n">
        <v>395</v>
      </c>
      <c r="H1612" s="4" t="n">
        <v>119</v>
      </c>
      <c r="I1612" s="5" t="n">
        <v>521</v>
      </c>
      <c r="J1612" s="5" t="n">
        <v>302.8</v>
      </c>
      <c r="K1612" s="3" t="inlineStr">
        <is>
          <t>조정가능 한솔초중고 이마트 코스트코 인근 단독 주택지</t>
        </is>
      </c>
      <c r="L1612" s="6">
        <f>HYPERLINK("https://fin.land.naver.com/articles/2649609420", "매물Link")</f>
        <v/>
      </c>
      <c r="M1612" s="6">
        <f>HYPERLINK("https://map.naver.com/p/search/한솔동 1007", "지도Link")</f>
        <v/>
      </c>
      <c r="N1612" s="6">
        <f>HYPERLINK("https://www.eum.go.kr/web/mp/mpMapDet.jsp?pnu=3611010600110070000&amp;isNoScr=script&amp;mode=search", "토지이음")</f>
        <v/>
      </c>
      <c r="O1612" s="3" t="inlineStr">
        <is>
          <t>그래그</t>
        </is>
      </c>
      <c r="P1612" s="4" t="n">
        <v>1</v>
      </c>
      <c r="Q1612" s="4" t="n">
        <v>395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1010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317</v>
      </c>
      <c r="H1613" s="4" t="n">
        <v>96</v>
      </c>
      <c r="I1613" s="5" t="n">
        <v>520.8</v>
      </c>
      <c r="J1613" s="5" t="n">
        <v>302.8</v>
      </c>
      <c r="K1613" s="3" t="inlineStr">
        <is>
          <t>급매 추가조율가능 한솔동D3택지</t>
        </is>
      </c>
      <c r="L1613" s="6">
        <f>HYPERLINK("https://fin.land.naver.com/articles/2649812151", "매물Link")</f>
        <v/>
      </c>
      <c r="M1613" s="6">
        <f>HYPERLINK("https://map.naver.com/p/search/한솔동 1010", "지도Link")</f>
        <v/>
      </c>
      <c r="N1613" s="6">
        <f>HYPERLINK("https://www.eum.go.kr/web/mp/mpMapDet.jsp?pnu=3611010600110100000&amp;isNoScr=script&amp;mode=search",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317.1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1033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52000</v>
      </c>
      <c r="G1614" s="4" t="n">
        <v>302</v>
      </c>
      <c r="H1614" s="4" t="n">
        <v>91</v>
      </c>
      <c r="I1614" s="5" t="n">
        <v>571.4</v>
      </c>
      <c r="J1614" s="5" t="n">
        <v>314.9</v>
      </c>
      <c r="K1614" s="3" t="inlineStr">
        <is>
          <t>네모 반듯한  내 집 지을 예쁜  토지.주변 인프라 좋음</t>
        </is>
      </c>
      <c r="L1614" s="6">
        <f>HYPERLINK("https://fin.land.naver.com/articles/2650388988", "매물Link")</f>
        <v/>
      </c>
      <c r="M1614" s="6">
        <f>HYPERLINK("https://map.naver.com/p/search/한솔동 1033", "지도Link")</f>
        <v/>
      </c>
      <c r="N1614" s="6">
        <f>HYPERLINK("https://www.eum.go.kr/web/mp/mpMapDet.jsp?pnu=3611010600110330000&amp;isNoScr=script&amp;mode=search", "토지이음")</f>
        <v/>
      </c>
      <c r="O1614" s="3" t="inlineStr">
        <is>
          <t>석촌</t>
        </is>
      </c>
      <c r="P1614" s="4" t="n">
        <v>1</v>
      </c>
      <c r="Q1614" s="4" t="n">
        <v>302.1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소로각지</t>
        </is>
      </c>
    </row>
    <row r="1615">
      <c r="A1615" s="3" t="inlineStr">
        <is>
          <t>한솔동 1036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403</v>
      </c>
      <c r="H1615" s="4" t="n">
        <v>122</v>
      </c>
      <c r="I1615" s="5" t="n">
        <v>450.8</v>
      </c>
      <c r="J1615" s="5" t="n">
        <v>290.7</v>
      </c>
      <c r="K1615" s="3" t="inlineStr">
        <is>
          <t>가격 좋은 넓은 평형 토지매매, 조율도 가능</t>
        </is>
      </c>
      <c r="L1615" s="6">
        <f>HYPERLINK("https://fin.land.naver.com/articles/2650427563", "매물Link")</f>
        <v/>
      </c>
      <c r="M1615" s="6">
        <f>HYPERLINK("https://map.naver.com/p/search/한솔동 1036", "지도Link")</f>
        <v/>
      </c>
      <c r="N1615" s="6">
        <f>HYPERLINK("https://www.eum.go.kr/web/mp/mpMapDet.jsp?pnu=3611010600110360000&amp;isNoScr=script&amp;mode=search",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405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자루형</t>
        </is>
      </c>
      <c r="V1615" s="3" t="inlineStr">
        <is>
          <t>소로한면</t>
        </is>
      </c>
    </row>
    <row r="1616">
      <c r="A1616" s="3" t="inlineStr">
        <is>
          <t>한솔동 1058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312</v>
      </c>
      <c r="H1616" s="4" t="n">
        <v>94</v>
      </c>
      <c r="I1616" s="5" t="n">
        <v>478.7</v>
      </c>
      <c r="J1616" s="5" t="n">
        <v>373.6</v>
      </c>
      <c r="K1616" s="3" t="inlineStr">
        <is>
          <t>국유지 있어 마당 넓게 나오는 택지</t>
        </is>
      </c>
      <c r="L1616" s="6">
        <f>HYPERLINK("https://fin.land.naver.com/articles/2645225616", "매물Link")</f>
        <v/>
      </c>
      <c r="M1616" s="6">
        <f>HYPERLINK("https://map.naver.com/p/search/한솔동 1058", "지도Link")</f>
        <v/>
      </c>
      <c r="N1616" s="6">
        <f>HYPERLINK("https://www.eum.go.kr/web/mp/mpMapDet.jsp?pnu=3611010600110580000&amp;isNoScr=script&amp;mode=search", "토지이음")</f>
        <v/>
      </c>
      <c r="O1616" s="3" t="inlineStr">
        <is>
          <t>어반나래</t>
        </is>
      </c>
      <c r="P1616" s="4" t="n">
        <v>1</v>
      </c>
      <c r="Q1616" s="4" t="n">
        <v>312.2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1059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312</v>
      </c>
      <c r="H1617" s="4" t="n">
        <v>94</v>
      </c>
      <c r="I1617" s="5" t="n">
        <v>531.9</v>
      </c>
      <c r="J1617" s="5" t="n">
        <v>373.6</v>
      </c>
      <c r="K1617" s="3" t="inlineStr">
        <is>
          <t>상가 및 대중교통 이용 편리한 위치,근린공원 근접</t>
        </is>
      </c>
      <c r="L1617" s="6">
        <f>HYPERLINK("https://fin.land.naver.com/articles/2647781186", "매물Link")</f>
        <v/>
      </c>
      <c r="M1617" s="6">
        <f>HYPERLINK("https://map.naver.com/p/search/한솔동 1059", "지도Link")</f>
        <v/>
      </c>
      <c r="N1617" s="6">
        <f>HYPERLINK("https://www.eum.go.kr/web/mp/mpMapDet.jsp?pnu=3611010600110590000&amp;isNoScr=script&amp;mode=search", "토지이음")</f>
        <v/>
      </c>
      <c r="O1617" s="3" t="inlineStr">
        <is>
          <t>현대파라곤</t>
        </is>
      </c>
      <c r="P1617" s="4" t="n">
        <v>2</v>
      </c>
      <c r="Q1617" s="4" t="n">
        <v>312.4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막힘없는 택지,아침뜰근린공원,학군 및 상권 생활권 편리한 위치,가격조정가</t>
        </is>
      </c>
      <c r="L1618" s="6">
        <f>HYPERLINK("https://fin.land.naver.com/articles/2644745241", "매물Link")</f>
        <v/>
      </c>
      <c r="M1618" s="6">
        <f>HYPERLINK("https://map.naver.com/p/search/한솔동 1080", "지도Link")</f>
        <v/>
      </c>
      <c r="N1618" s="6">
        <f>HYPERLINK("https://www.eum.go.kr/web/mp/mpMapDet.jsp?pnu=3611010600110800000&amp;isNoScr=script&amp;mode=search",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총 91.2p, 근린공원인근, 조율가능</t>
        </is>
      </c>
      <c r="L1619" s="6">
        <f>HYPERLINK("https://fin.land.naver.com/articles/2646690642", "매물Link")</f>
        <v/>
      </c>
      <c r="M1619" s="6">
        <f>HYPERLINK("https://map.naver.com/p/search/한솔동 1080", "지도Link")</f>
        <v/>
      </c>
      <c r="N1619" s="6">
        <f>HYPERLINK("https://www.eum.go.kr/web/mp/mpMapDet.jsp?pnu=3611010600110800000&amp;isNoScr=script&amp;mode=search",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1080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59000</v>
      </c>
      <c r="G1620" s="4" t="n">
        <v>301</v>
      </c>
      <c r="H1620" s="4" t="n">
        <v>91</v>
      </c>
      <c r="I1620" s="5" t="n">
        <v>648.4</v>
      </c>
      <c r="J1620" s="5" t="n">
        <v>369.3</v>
      </c>
      <c r="K1620" s="3" t="inlineStr">
        <is>
          <t>총 91.2p, 한솔동 전원주택지, 위치좋은 토지</t>
        </is>
      </c>
      <c r="L1620" s="6">
        <f>HYPERLINK("https://fin.land.naver.com/articles/2648904535", "매물Link")</f>
        <v/>
      </c>
      <c r="M1620" s="6">
        <f>HYPERLINK("https://map.naver.com/p/search/한솔동 1080", "지도Link")</f>
        <v/>
      </c>
      <c r="N1620" s="6">
        <f>HYPERLINK("https://www.eum.go.kr/web/mp/mpMapDet.jsp?pnu=3611010600110800000&amp;isNoScr=script&amp;mode=search", "토지이음")</f>
        <v/>
      </c>
      <c r="O1620" s="3" t="inlineStr">
        <is>
          <t>명진</t>
        </is>
      </c>
      <c r="P1620" s="4" t="n">
        <v>1</v>
      </c>
      <c r="Q1620" s="4" t="n">
        <v>301.1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소로한면</t>
        </is>
      </c>
    </row>
    <row r="1621">
      <c r="A1621" s="3" t="inlineStr">
        <is>
          <t>한솔동 1086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302</v>
      </c>
      <c r="H1621" s="4" t="n">
        <v>91</v>
      </c>
      <c r="I1621" s="5" t="n">
        <v>659.3</v>
      </c>
      <c r="J1621" s="5" t="n">
        <v>377.2</v>
      </c>
      <c r="K1621" s="3" t="inlineStr">
        <is>
          <t>황제급매 즉시신축 핵심시설 어울린 전원주택 먼곳 찾을필요 없을것 같아요</t>
        </is>
      </c>
      <c r="L1621" s="6">
        <f>HYPERLINK("https://fin.land.naver.com/articles/2649269011", "매물Link")</f>
        <v/>
      </c>
      <c r="M1621" s="6">
        <f>HYPERLINK("https://map.naver.com/p/search/한솔동 1086", "지도Link")</f>
        <v/>
      </c>
      <c r="N1621" s="6">
        <f>HYPERLINK("https://www.eum.go.kr/web/mp/mpMapDet.jsp?pnu=3611010600110860000&amp;isNoScr=script&amp;mode=search", "토지이음")</f>
        <v/>
      </c>
      <c r="O1621" s="3" t="inlineStr">
        <is>
          <t>삼성래미안</t>
        </is>
      </c>
      <c r="P1621" s="4" t="n">
        <v>3</v>
      </c>
      <c r="Q1621" s="4" t="n">
        <v>302.9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1087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85000</v>
      </c>
      <c r="G1622" s="4" t="n">
        <v>303</v>
      </c>
      <c r="H1622" s="4" t="n">
        <v>92</v>
      </c>
      <c r="I1622" s="5" t="n">
        <v>923.9</v>
      </c>
      <c r="J1622" s="5" t="n">
        <v>377.2</v>
      </c>
      <c r="K1622" s="3" t="inlineStr">
        <is>
          <t>한솔동, 단독주택지 토지매매</t>
        </is>
      </c>
      <c r="L1622" s="6">
        <f>HYPERLINK("https://fin.land.naver.com/articles/2649875547", "매물Link")</f>
        <v/>
      </c>
      <c r="M1622" s="6">
        <f>HYPERLINK("https://map.naver.com/p/search/한솔동 1087", "지도Link")</f>
        <v/>
      </c>
      <c r="N1622" s="6">
        <f>HYPERLINK("https://www.eum.go.kr/web/mp/mpMapDet.jsp?pnu=3611010600110870000&amp;isNoScr=script&amp;mode=search",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303.9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95.4p, 삼거리코너 맞은편, 새뜸1단지 앞 단독주택 토지</t>
        </is>
      </c>
      <c r="L1623" s="6">
        <f>HYPERLINK("https://fin.land.naver.com/articles/2649004548", "매물Link")</f>
        <v/>
      </c>
      <c r="M1623" s="6">
        <f>HYPERLINK("https://map.naver.com/p/search/한솔동 1098", "지도Link")</f>
        <v/>
      </c>
      <c r="N1623" s="6">
        <f>HYPERLINK("https://www.eum.go.kr/web/mp/mpMapDet.jsp?pnu=3611010600110980000&amp;isNoScr=script&amp;mode=search", "토지이음")</f>
        <v/>
      </c>
      <c r="O1623" s="3" t="inlineStr">
        <is>
          <t>명진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조건 파격조율가능 도심속전원 시내 시외 진출입편리 이곳은 엘도라도입니다</t>
        </is>
      </c>
      <c r="L1624" s="6">
        <f>HYPERLINK("https://fin.land.naver.com/articles/2648082909", "매물Link")</f>
        <v/>
      </c>
      <c r="M1624" s="6">
        <f>HYPERLINK("https://map.naver.com/p/search/한솔동 1098", "지도Link")</f>
        <v/>
      </c>
      <c r="N1624" s="6">
        <f>HYPERLINK("https://www.eum.go.kr/web/mp/mpMapDet.jsp?pnu=3611010600110980000&amp;isNoScr=script&amp;mode=search",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1098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80000</v>
      </c>
      <c r="G1625" s="4" t="n">
        <v>314</v>
      </c>
      <c r="H1625" s="4" t="n">
        <v>95</v>
      </c>
      <c r="I1625" s="5" t="n">
        <v>842.1</v>
      </c>
      <c r="J1625" s="5" t="n">
        <v>373.6</v>
      </c>
      <c r="K1625" s="3" t="inlineStr">
        <is>
          <t>삼거리 코너입지, 한솔동 단독주택지</t>
        </is>
      </c>
      <c r="L1625" s="6">
        <f>HYPERLINK("https://fin.land.naver.com/articles/2650427968", "매물Link")</f>
        <v/>
      </c>
      <c r="M1625" s="6">
        <f>HYPERLINK("https://map.naver.com/p/search/한솔동 1098", "지도Link")</f>
        <v/>
      </c>
      <c r="N1625" s="6">
        <f>HYPERLINK("https://www.eum.go.kr/web/mp/mpMapDet.jsp?pnu=3611010600110980000&amp;isNoScr=script&amp;mode=search", "토지이음")</f>
        <v/>
      </c>
      <c r="O1625" s="3" t="inlineStr">
        <is>
          <t>세종무지개</t>
        </is>
      </c>
      <c r="P1625" s="4" t="n">
        <v>1</v>
      </c>
      <c r="Q1625" s="4" t="n">
        <v>314.9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1113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320</v>
      </c>
      <c r="H1626" s="4" t="n">
        <v>97</v>
      </c>
      <c r="I1626" s="5" t="n">
        <v>618.6</v>
      </c>
      <c r="J1626" s="5" t="n">
        <v>373.6</v>
      </c>
      <c r="K1626" s="3" t="inlineStr">
        <is>
          <t>적극협의가능 시유지넓게접함 선호위치</t>
        </is>
      </c>
      <c r="L1626" s="6">
        <f>HYPERLINK("https://fin.land.naver.com/articles/2649812097", "매물Link")</f>
        <v/>
      </c>
      <c r="M1626" s="6">
        <f>HYPERLINK("https://map.naver.com/p/search/한솔동 1113", "지도Link")</f>
        <v/>
      </c>
      <c r="N1626" s="6">
        <f>HYPERLINK("https://www.eum.go.kr/web/mp/mpMapDet.jsp?pnu=3611010600111130000&amp;isNoScr=script&amp;mode=search", "토지이음")</f>
        <v/>
      </c>
      <c r="O1626" s="3" t="inlineStr">
        <is>
          <t>세종스타</t>
        </is>
      </c>
      <c r="P1626" s="4" t="n">
        <v>1</v>
      </c>
      <c r="Q1626" s="4" t="n">
        <v>320.1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한솔동 단독주택 토지매매</t>
        </is>
      </c>
      <c r="L1627" s="6">
        <f>HYPERLINK("https://fin.land.naver.com/articles/2650427036", "매물Link")</f>
        <v/>
      </c>
      <c r="M1627" s="6">
        <f>HYPERLINK("https://map.naver.com/p/search/한솔동 1122", "지도Link")</f>
        <v/>
      </c>
      <c r="N1627" s="6">
        <f>HYPERLINK("https://www.eum.go.kr/web/mp/mpMapDet.jsp?pnu=3611010600111220000&amp;isNoScr=script&amp;mode=search",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80000</v>
      </c>
      <c r="G1628" s="4" t="n">
        <v>310</v>
      </c>
      <c r="H1628" s="4" t="n">
        <v>94</v>
      </c>
      <c r="I1628" s="5" t="n">
        <v>851.1</v>
      </c>
      <c r="J1628" s="5" t="n">
        <v>376.9</v>
      </c>
      <c r="K1628" s="3" t="inlineStr">
        <is>
          <t>총 94p, 한솔동 단독주택지 토지</t>
        </is>
      </c>
      <c r="L1628" s="6">
        <f>HYPERLINK("https://fin.land.naver.com/articles/2648901069", "매물Link")</f>
        <v/>
      </c>
      <c r="M1628" s="6">
        <f>HYPERLINK("https://map.naver.com/p/search/한솔동 1122", "지도Link")</f>
        <v/>
      </c>
      <c r="N1628" s="6">
        <f>HYPERLINK("https://www.eum.go.kr/web/mp/mpMapDet.jsp?pnu=3611010600111220000&amp;isNoScr=script&amp;mode=search", "토지이음")</f>
        <v/>
      </c>
      <c r="O1628" s="3" t="inlineStr">
        <is>
          <t>명진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1122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78790</v>
      </c>
      <c r="G1629" s="4" t="n">
        <v>310</v>
      </c>
      <c r="H1629" s="4" t="n">
        <v>94</v>
      </c>
      <c r="I1629" s="5" t="n">
        <v>838.2</v>
      </c>
      <c r="J1629" s="5" t="n">
        <v>376.9</v>
      </c>
      <c r="K1629" s="3" t="inlineStr">
        <is>
          <t>세종시 인기주택단지, 조율가</t>
        </is>
      </c>
      <c r="L1629" s="6">
        <f>HYPERLINK("https://fin.land.naver.com/articles/2645211525", "매물Link")</f>
        <v/>
      </c>
      <c r="M1629" s="6">
        <f>HYPERLINK("https://map.naver.com/p/search/한솔동 1122", "지도Link")</f>
        <v/>
      </c>
      <c r="N1629" s="6">
        <f>HYPERLINK("https://www.eum.go.kr/web/mp/mpMapDet.jsp?pnu=3611010600111220000&amp;isNoScr=script&amp;mode=search", "토지이음")</f>
        <v/>
      </c>
      <c r="O1629" s="3" t="inlineStr">
        <is>
          <t>바로그</t>
        </is>
      </c>
      <c r="P1629" s="4" t="n">
        <v>1</v>
      </c>
      <c r="Q1629" s="4" t="n">
        <v>310.1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1131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52000</v>
      </c>
      <c r="G1630" s="4" t="n">
        <v>303</v>
      </c>
      <c r="H1630" s="4" t="n">
        <v>92</v>
      </c>
      <c r="I1630" s="5" t="n">
        <v>565.2</v>
      </c>
      <c r="J1630" s="5" t="n">
        <v>391.7</v>
      </c>
      <c r="K1630" s="3" t="inlineStr">
        <is>
          <t>코너각지 주택지 추천</t>
        </is>
      </c>
      <c r="L1630" s="6">
        <f>HYPERLINK("https://fin.land.naver.com/articles/2646560933", "매물Link")</f>
        <v/>
      </c>
      <c r="M1630" s="6">
        <f>HYPERLINK("https://map.naver.com/p/search/한솔동 1131", "지도Link")</f>
        <v/>
      </c>
      <c r="N1630" s="6">
        <f>HYPERLINK("https://www.eum.go.kr/web/mp/mpMapDet.jsp?pnu=3611010600111310000&amp;isNoScr=script&amp;mode=search", "토지이음")</f>
        <v/>
      </c>
      <c r="O1630" s="3" t="inlineStr">
        <is>
          <t>소나무</t>
        </is>
      </c>
      <c r="P1630" s="4" t="n">
        <v>1</v>
      </c>
      <c r="Q1630" s="4" t="n">
        <v>303.8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소로각지</t>
        </is>
      </c>
    </row>
    <row r="1631">
      <c r="A1631" s="3" t="inlineStr">
        <is>
          <t>한솔동 1135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55000</v>
      </c>
      <c r="G1631" s="4" t="n">
        <v>309</v>
      </c>
      <c r="H1631" s="4" t="n">
        <v>93</v>
      </c>
      <c r="I1631" s="5" t="n">
        <v>591.4</v>
      </c>
      <c r="J1631" s="5" t="n">
        <v>376.9</v>
      </c>
      <c r="K1631" s="3" t="inlineStr">
        <is>
          <t>새롬동과 한솔동사이 경사진 단독전용 택지,협의가능</t>
        </is>
      </c>
      <c r="L1631" s="6">
        <f>HYPERLINK("https://fin.land.naver.com/articles/2647375576", "매물Link")</f>
        <v/>
      </c>
      <c r="M1631" s="6">
        <f>HYPERLINK("https://map.naver.com/p/search/한솔동 1135", "지도Link")</f>
        <v/>
      </c>
      <c r="N1631" s="6">
        <f>HYPERLINK("https://www.eum.go.kr/web/mp/mpMapDet.jsp?pnu=3611010600111350000&amp;isNoScr=script&amp;mode=search", "토지이음")</f>
        <v/>
      </c>
      <c r="O1631" s="3" t="inlineStr">
        <is>
          <t>세종나라</t>
        </is>
      </c>
      <c r="P1631" s="4" t="n">
        <v>3</v>
      </c>
      <c r="Q1631" s="4" t="n">
        <v>309.9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총 123.4p, 새뜸1단지 맞은편</t>
        </is>
      </c>
      <c r="L1632" s="6">
        <f>HYPERLINK("https://fin.land.naver.com/articles/2648127460", "매물Link")</f>
        <v/>
      </c>
      <c r="M1632" s="6">
        <f>HYPERLINK("https://map.naver.com/p/search/한솔동 1175", "지도Link")</f>
        <v/>
      </c>
      <c r="N1632" s="6">
        <f>HYPERLINK("https://www.eum.go.kr/web/mp/mpMapDet.jsp?pnu=3611010600111750000&amp;isNoScr=script&amp;mode=search", "토지이음")</f>
        <v/>
      </c>
      <c r="O1632" s="3" t="inlineStr">
        <is>
          <t>명진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1175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90000</v>
      </c>
      <c r="G1633" s="4" t="n">
        <v>407</v>
      </c>
      <c r="H1633" s="4" t="n">
        <v>123</v>
      </c>
      <c r="I1633" s="5" t="n">
        <v>731.7</v>
      </c>
      <c r="J1633" s="5" t="n">
        <v>389.8</v>
      </c>
      <c r="K1633" s="3" t="inlineStr">
        <is>
          <t>넓은 평형 토지매매, 한솔동</t>
        </is>
      </c>
      <c r="L1633" s="6">
        <f>HYPERLINK("https://fin.land.naver.com/articles/2650427381", "매물Link")</f>
        <v/>
      </c>
      <c r="M1633" s="6">
        <f>HYPERLINK("https://map.naver.com/p/search/한솔동 1175", "지도Link")</f>
        <v/>
      </c>
      <c r="N1633" s="6">
        <f>HYPERLINK("https://www.eum.go.kr/web/mp/mpMapDet.jsp?pnu=3611010600111750000&amp;isNoScr=script&amp;mode=search",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407.1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1187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420</v>
      </c>
      <c r="H1634" s="4" t="n">
        <v>127</v>
      </c>
      <c r="I1634" s="5" t="n">
        <v>472.4</v>
      </c>
      <c r="J1634" s="5" t="n">
        <v>391.7</v>
      </c>
      <c r="K1634" s="3" t="inlineStr">
        <is>
          <t>대형평수 코너각지 위치최상 조율협의</t>
        </is>
      </c>
      <c r="L1634" s="6">
        <f>HYPERLINK("https://fin.land.naver.com/articles/2649479860", "매물Link")</f>
        <v/>
      </c>
      <c r="M1634" s="6">
        <f>HYPERLINK("https://map.naver.com/p/search/한솔동 1187", "지도Link")</f>
        <v/>
      </c>
      <c r="N1634" s="6">
        <f>HYPERLINK("https://www.eum.go.kr/web/mp/mpMapDet.jsp?pnu=3611010600111870000&amp;isNoScr=script&amp;mode=search",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420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1193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65000</v>
      </c>
      <c r="G1635" s="4" t="n">
        <v>320</v>
      </c>
      <c r="H1635" s="4" t="n">
        <v>97</v>
      </c>
      <c r="I1635" s="5" t="n">
        <v>670.1</v>
      </c>
      <c r="J1635" s="5" t="n">
        <v>391.7</v>
      </c>
      <c r="K1635" s="3" t="inlineStr">
        <is>
          <t>코너위치좋은한솔동단독택지매매 가격조정가능</t>
        </is>
      </c>
      <c r="L1635" s="6">
        <f>HYPERLINK("https://fin.land.naver.com/articles/2646135502", "매물Link")</f>
        <v/>
      </c>
      <c r="M1635" s="6">
        <f>HYPERLINK("https://map.naver.com/p/search/한솔동 1193", "지도Link")</f>
        <v/>
      </c>
      <c r="N1635" s="6">
        <f>HYPERLINK("https://www.eum.go.kr/web/mp/mpMapDet.jsp?pnu=3611010600111930000&amp;isNoScr=script&amp;mode=search", "토지이음")</f>
        <v/>
      </c>
      <c r="O1635" s="3" t="inlineStr">
        <is>
          <t>고운동리치세종</t>
        </is>
      </c>
      <c r="P1635" s="4" t="n">
        <v>2</v>
      </c>
      <c r="Q1635" s="4" t="n">
        <v>320.1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소로각지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급매 추가조율가능 한솔D2 최저가 초중고도보 상권인접</t>
        </is>
      </c>
      <c r="L1636" s="6">
        <f>HYPERLINK("https://fin.land.naver.com/articles/2648979487", "매물Link")</f>
        <v/>
      </c>
      <c r="M1636" s="6">
        <f>HYPERLINK("https://map.naver.com/p/search/한솔동 1194", "지도Link")</f>
        <v/>
      </c>
      <c r="N1636" s="6">
        <f>HYPERLINK("https://www.eum.go.kr/web/mp/mpMapDet.jsp?pnu=3611010600111940000&amp;isNoScr=script&amp;mode=search",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49000</v>
      </c>
      <c r="G1637" s="4" t="n">
        <v>335</v>
      </c>
      <c r="H1637" s="4" t="n">
        <v>101</v>
      </c>
      <c r="I1637" s="5" t="n">
        <v>485.1</v>
      </c>
      <c r="J1637" s="5" t="n">
        <v>376.9</v>
      </c>
      <c r="K1637" s="3" t="inlineStr">
        <is>
          <t>101p.단독택지.1분거리.학원.마트.초중고.5분.단독주택.전원주택.추천</t>
        </is>
      </c>
      <c r="L1637" s="6">
        <f>HYPERLINK("https://fin.land.naver.com/articles/2649858793", "매물Link")</f>
        <v/>
      </c>
      <c r="M1637" s="6">
        <f>HYPERLINK("https://map.naver.com/p/search/한솔동 1194", "지도Link")</f>
        <v/>
      </c>
      <c r="N1637" s="6">
        <f>HYPERLINK("https://www.eum.go.kr/web/mp/mpMapDet.jsp?pnu=3611010600111940000&amp;isNoScr=script&amp;mode=search", "토지이음")</f>
        <v/>
      </c>
      <c r="O1637" s="3" t="inlineStr">
        <is>
          <t>원</t>
        </is>
      </c>
      <c r="P1637" s="4" t="n">
        <v>1</v>
      </c>
      <c r="Q1637" s="4" t="n">
        <v>335.4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1197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75000</v>
      </c>
      <c r="G1638" s="4" t="n">
        <v>320</v>
      </c>
      <c r="H1638" s="4" t="n">
        <v>97</v>
      </c>
      <c r="I1638" s="5" t="n">
        <v>773.2</v>
      </c>
      <c r="J1638" s="5" t="n">
        <v>391.7</v>
      </c>
      <c r="K1638" s="3" t="inlineStr">
        <is>
          <t>공원앞 코너각지토지 97p 답답하지않은 위치</t>
        </is>
      </c>
      <c r="L1638" s="6">
        <f>HYPERLINK("https://fin.land.naver.com/articles/2646827225", "매물Link")</f>
        <v/>
      </c>
      <c r="M1638" s="6">
        <f>HYPERLINK("https://map.naver.com/p/search/한솔동 1197", "지도Link")</f>
        <v/>
      </c>
      <c r="N1638" s="6">
        <f>HYPERLINK("https://www.eum.go.kr/web/mp/mpMapDet.jsp?pnu=3611010600111970000&amp;isNoScr=script&amp;mode=search", "토지이음")</f>
        <v/>
      </c>
      <c r="O1638" s="3" t="inlineStr">
        <is>
          <t>세종365</t>
        </is>
      </c>
      <c r="P1638" s="4" t="n">
        <v>1</v>
      </c>
      <c r="Q1638" s="4" t="n">
        <v>320.4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소로각지</t>
        </is>
      </c>
    </row>
    <row r="1639">
      <c r="A1639" s="3" t="inlineStr">
        <is>
          <t>한솔동 1201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294</v>
      </c>
      <c r="H1639" s="4" t="n">
        <v>89</v>
      </c>
      <c r="I1639" s="5" t="n">
        <v>674.2</v>
      </c>
      <c r="J1639" s="5" t="n">
        <v>376.9</v>
      </c>
      <c r="K1639" s="3" t="inlineStr">
        <is>
          <t>위치좋은 단독주택지, 직접보시면 더 좋아요</t>
        </is>
      </c>
      <c r="L1639" s="6">
        <f>HYPERLINK("https://fin.land.naver.com/articles/2649375943", "매물Link")</f>
        <v/>
      </c>
      <c r="M1639" s="6">
        <f>HYPERLINK("https://map.naver.com/p/search/한솔동 1201", "지도Link")</f>
        <v/>
      </c>
      <c r="N1639" s="6">
        <f>HYPERLINK("https://www.eum.go.kr/web/mp/mpMapDet.jsp?pnu=3611010600112010000&amp;isNoScr=script&amp;mode=search", "토지이음")</f>
        <v/>
      </c>
      <c r="O1639" s="3" t="inlineStr">
        <is>
          <t>리브</t>
        </is>
      </c>
      <c r="P1639" s="4" t="n">
        <v>1</v>
      </c>
      <c r="Q1639" s="4" t="n">
        <v>294.6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총 99.8p, 조율가능, 네모반듯한 남향 예쁜 토지</t>
        </is>
      </c>
      <c r="L1640" s="6">
        <f>HYPERLINK("https://fin.land.naver.com/articles/2645542409", "매물Link")</f>
        <v/>
      </c>
      <c r="M1640" s="6">
        <f>HYPERLINK("https://map.naver.com/p/search/한솔동 1207", "지도Link")</f>
        <v/>
      </c>
      <c r="N1640" s="6">
        <f>HYPERLINK("https://www.eum.go.kr/web/mp/mpMapDet.jsp?pnu=3611010600112070000&amp;isNoScr=script&amp;mode=search", "토지이음")</f>
        <v/>
      </c>
      <c r="O1640" s="3" t="inlineStr">
        <is>
          <t>명진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329</v>
      </c>
      <c r="H1641" s="4" t="n">
        <v>100</v>
      </c>
      <c r="I1641" s="5" t="n">
        <v>500</v>
      </c>
      <c r="J1641" s="5" t="n">
        <v>376.9</v>
      </c>
      <c r="K1641" s="3" t="inlineStr">
        <is>
          <t>네모 반듯한 예쁜 토지 매매, 입지 굿</t>
        </is>
      </c>
      <c r="L1641" s="6">
        <f>HYPERLINK("https://fin.land.naver.com/articles/2644483128", "매물Link")</f>
        <v/>
      </c>
      <c r="M1641" s="6">
        <f>HYPERLINK("https://map.naver.com/p/search/한솔동 1207", "지도Link")</f>
        <v/>
      </c>
      <c r="N1641" s="6">
        <f>HYPERLINK("https://www.eum.go.kr/web/mp/mpMapDet.jsp?pnu=3611010600112070000&amp;isNoScr=script&amp;mode=search",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329.5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1208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45000</v>
      </c>
      <c r="G1642" s="4" t="n">
        <v>299</v>
      </c>
      <c r="H1642" s="4" t="n">
        <v>90</v>
      </c>
      <c r="I1642" s="5" t="n">
        <v>500</v>
      </c>
      <c r="J1642" s="5" t="n">
        <v>376.9</v>
      </c>
      <c r="K1642" s="3" t="inlineStr">
        <is>
          <t>nan</t>
        </is>
      </c>
      <c r="L1642" s="6">
        <f>HYPERLINK("https://fin.land.naver.com/articles/2649014156", "매물Link")</f>
        <v/>
      </c>
      <c r="M1642" s="6">
        <f>HYPERLINK("https://map.naver.com/p/search/한솔동 1208", "지도Link")</f>
        <v/>
      </c>
      <c r="N1642" s="6">
        <f>HYPERLINK("https://www.eum.go.kr/web/mp/mpMapDet.jsp?pnu=3611010600112080000&amp;isNoScr=script&amp;mode=search", "토지이음")</f>
        <v/>
      </c>
      <c r="O1642" s="3" t="inlineStr">
        <is>
          <t>봄마중</t>
        </is>
      </c>
      <c r="P1642" s="4" t="n">
        <v>1</v>
      </c>
      <c r="Q1642" s="4" t="n">
        <v>299.8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주변 편익 시설과 교통 좋은 위치</t>
        </is>
      </c>
      <c r="L1643" s="6">
        <f>HYPERLINK("https://fin.land.naver.com/articles/2645522248", "매물Link")</f>
        <v/>
      </c>
      <c r="M1643" s="6">
        <f>HYPERLINK("https://map.naver.com/p/search/한솔동 1211", "지도Link")</f>
        <v/>
      </c>
      <c r="N1643" s="6">
        <f>HYPERLINK("https://www.eum.go.kr/web/mp/mpMapDet.jsp?pnu=3611010600112110000&amp;isNoScr=script&amp;mode=search", "토지이음")</f>
        <v/>
      </c>
      <c r="O1643" s="3" t="inlineStr">
        <is>
          <t>소나무</t>
        </is>
      </c>
      <c r="P1643" s="4" t="n">
        <v>1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급매, 한솔동 단독주택지 가격 좋은 토지</t>
        </is>
      </c>
      <c r="L1644" s="6">
        <f>HYPERLINK("https://fin.land.naver.com/articles/2645343318", "매물Link")</f>
        <v/>
      </c>
      <c r="M1644" s="6">
        <f>HYPERLINK("https://map.naver.com/p/search/한솔동 1211", "지도Link")</f>
        <v/>
      </c>
      <c r="N1644" s="6">
        <f>HYPERLINK("https://www.eum.go.kr/web/mp/mpMapDet.jsp?pnu=3611010600112110000&amp;isNoScr=script&amp;mode=search",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1211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</v>
      </c>
      <c r="G1645" s="4" t="n">
        <v>323</v>
      </c>
      <c r="H1645" s="4" t="n">
        <v>98</v>
      </c>
      <c r="I1645" s="5" t="n">
        <v>387.8</v>
      </c>
      <c r="J1645" s="5" t="n">
        <v>373.6</v>
      </c>
      <c r="K1645" s="3" t="inlineStr">
        <is>
          <t>급매 한솔동d2 최저가 조율가능</t>
        </is>
      </c>
      <c r="L1645" s="6">
        <f>HYPERLINK("https://fin.land.naver.com/articles/2650195191", "매물Link")</f>
        <v/>
      </c>
      <c r="M1645" s="6">
        <f>HYPERLINK("https://map.naver.com/p/search/한솔동 1211", "지도Link")</f>
        <v/>
      </c>
      <c r="N1645" s="6">
        <f>HYPERLINK("https://www.eum.go.kr/web/mp/mpMapDet.jsp?pnu=3611010600112110000&amp;isNoScr=script&amp;mode=search", "토지이음")</f>
        <v/>
      </c>
      <c r="O1645" s="3" t="inlineStr">
        <is>
          <t>세종스타</t>
        </is>
      </c>
      <c r="P1645" s="4" t="n">
        <v>2</v>
      </c>
      <c r="Q1645" s="4" t="n">
        <v>323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소로한면</t>
        </is>
      </c>
    </row>
    <row r="1646">
      <c r="A1646" s="3" t="inlineStr">
        <is>
          <t>한솔동 1221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75000</v>
      </c>
      <c r="G1646" s="4" t="n">
        <v>330</v>
      </c>
      <c r="H1646" s="4" t="n">
        <v>100</v>
      </c>
      <c r="I1646" s="5" t="n">
        <v>750</v>
      </c>
      <c r="J1646" s="5" t="n">
        <v>373.6</v>
      </c>
      <c r="K1646" s="3" t="inlineStr">
        <is>
          <t>한솔동 단독택지 중 선호되는 D2 , 근린공원 근접한 전원풍 택지임</t>
        </is>
      </c>
      <c r="L1646" s="6">
        <f>HYPERLINK("https://fin.land.naver.com/articles/2645211132", "매물Link")</f>
        <v/>
      </c>
      <c r="M1646" s="6">
        <f>HYPERLINK("https://map.naver.com/p/search/한솔동 1221", "지도Link")</f>
        <v/>
      </c>
      <c r="N1646" s="6">
        <f>HYPERLINK("https://www.eum.go.kr/web/mp/mpMapDet.jsp?pnu=3611010600112210000&amp;isNoScr=script&amp;mode=search", "토지이음")</f>
        <v/>
      </c>
      <c r="O1646" s="3" t="inlineStr">
        <is>
          <t>바로그</t>
        </is>
      </c>
      <c r="P1646" s="4" t="n">
        <v>1</v>
      </c>
      <c r="Q1646" s="4" t="n">
        <v>330.9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세종시 한솔동 도심속 전원주택부지 매매</t>
        </is>
      </c>
      <c r="L1647" s="6">
        <f>HYPERLINK("https://fin.land.naver.com/articles/2646189999", "매물Link")</f>
        <v/>
      </c>
      <c r="M1647" s="6">
        <f>HYPERLINK("https://map.naver.com/p/search/한솔동 865", "지도Link")</f>
        <v/>
      </c>
      <c r="N1647" s="6">
        <f>HYPERLINK("https://www.eum.go.kr/web/mp/mpMapDet.jsp?pnu=3611010600108650000&amp;isNoScr=script&amp;mode=search", "토지이음")</f>
        <v/>
      </c>
      <c r="O1647" s="3" t="inlineStr">
        <is>
          <t>전원</t>
        </is>
      </c>
      <c r="P1647" s="4" t="n">
        <v>2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353</v>
      </c>
      <c r="H1648" s="4" t="n">
        <v>107</v>
      </c>
      <c r="I1648" s="5" t="n">
        <v>747.7</v>
      </c>
      <c r="J1648" s="5" t="n">
        <v>403</v>
      </c>
      <c r="K1648" s="3" t="inlineStr">
        <is>
          <t>총 107.1p, 한솔동 단독주택지</t>
        </is>
      </c>
      <c r="L1648" s="6">
        <f>HYPERLINK("https://fin.land.naver.com/articles/2647421737", "매물Link")</f>
        <v/>
      </c>
      <c r="M1648" s="6">
        <f>HYPERLINK("https://map.naver.com/p/search/한솔동 865", "지도Link")</f>
        <v/>
      </c>
      <c r="N1648" s="6">
        <f>HYPERLINK("https://www.eum.go.kr/web/mp/mpMapDet.jsp?pnu=3611010600108650000&amp;isNoScr=script&amp;mode=search",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865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352</v>
      </c>
      <c r="H1649" s="4" t="n">
        <v>106</v>
      </c>
      <c r="I1649" s="5" t="n">
        <v>754.7</v>
      </c>
      <c r="J1649" s="5" t="n">
        <v>403</v>
      </c>
      <c r="K1649" s="3" t="inlineStr">
        <is>
          <t>공원 인근, 조용한고 편리한 단독주택지 토지매매</t>
        </is>
      </c>
      <c r="L1649" s="6">
        <f>HYPERLINK("https://fin.land.naver.com/articles/2650427090", "매물Link")</f>
        <v/>
      </c>
      <c r="M1649" s="6">
        <f>HYPERLINK("https://map.naver.com/p/search/한솔동 865", "지도Link")</f>
        <v/>
      </c>
      <c r="N1649" s="6">
        <f>HYPERLINK("https://www.eum.go.kr/web/mp/mpMapDet.jsp?pnu=3611010600108650000&amp;isNoScr=script&amp;mode=search", "토지이음")</f>
        <v/>
      </c>
      <c r="O1649" s="3" t="inlineStr">
        <is>
          <t>세종무지개</t>
        </is>
      </c>
      <c r="P1649" s="4" t="n">
        <v>1</v>
      </c>
      <c r="Q1649" s="4" t="n">
        <v>353.4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한솔동 885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57000</v>
      </c>
      <c r="G1650" s="4" t="n">
        <v>292</v>
      </c>
      <c r="H1650" s="4" t="n">
        <v>88</v>
      </c>
      <c r="I1650" s="5" t="n">
        <v>647.7</v>
      </c>
      <c r="J1650" s="5" t="n">
        <v>410.9</v>
      </c>
      <c r="K1650" s="3" t="inlineStr">
        <is>
          <t>D1 귀한매물 새롬동학원가도보 조율가능</t>
        </is>
      </c>
      <c r="L1650" s="6">
        <f>HYPERLINK("https://fin.land.naver.com/articles/2645488134", "매물Link")</f>
        <v/>
      </c>
      <c r="M1650" s="6">
        <f>HYPERLINK("https://map.naver.com/p/search/한솔동 885", "지도Link")</f>
        <v/>
      </c>
      <c r="N1650" s="6">
        <f>HYPERLINK("https://www.eum.go.kr/web/mp/mpMapDet.jsp?pnu=3611010600108850000&amp;isNoScr=script&amp;mode=search",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292.2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967</t>
        </is>
      </c>
      <c r="B1651" s="3" t="inlineStr">
        <is>
          <t>준주거지역</t>
        </is>
      </c>
      <c r="C1651" s="3" t="inlineStr">
        <is>
          <t>주차장</t>
        </is>
      </c>
      <c r="D1651" s="3" t="inlineStr">
        <is>
          <t>주차장</t>
        </is>
      </c>
      <c r="E1651" s="3" t="inlineStr">
        <is>
          <t>매매</t>
        </is>
      </c>
      <c r="F1651" s="4" t="n">
        <v>580000</v>
      </c>
      <c r="G1651" s="4" t="n">
        <v>1407</v>
      </c>
      <c r="H1651" s="4" t="n">
        <v>426</v>
      </c>
      <c r="I1651" s="5" t="n">
        <v>1361.5</v>
      </c>
      <c r="J1651" s="5" t="n">
        <v>741.2</v>
      </c>
      <c r="K1651" s="3" t="inlineStr">
        <is>
          <t>세종 첫마을 넓은 주차장으로 대형마트나 고급 식당 사옥 추천 드립니다</t>
        </is>
      </c>
      <c r="L1651" s="6">
        <f>HYPERLINK("https://fin.land.naver.com/articles/2645973030", "매물Link")</f>
        <v/>
      </c>
      <c r="M1651" s="6">
        <f>HYPERLINK("https://map.naver.com/p/search/한솔동 967", "지도Link")</f>
        <v/>
      </c>
      <c r="N1651" s="6">
        <f>HYPERLINK("https://www.eum.go.kr/web/mp/mpMapDet.jsp?pnu=3611010600109670000&amp;isNoScr=script&amp;mode=search", "토지이음")</f>
        <v/>
      </c>
      <c r="O1651" s="3" t="inlineStr">
        <is>
          <t>자이행복</t>
        </is>
      </c>
      <c r="P1651" s="4" t="n">
        <v>1</v>
      </c>
      <c r="Q1651" s="4" t="n">
        <v>1407</v>
      </c>
      <c r="R1651" s="3" t="inlineStr">
        <is>
          <t>지정되지않음</t>
        </is>
      </c>
      <c r="S1651" s="3" t="inlineStr">
        <is>
          <t>주차장등</t>
        </is>
      </c>
      <c r="T1651" s="3" t="inlineStr">
        <is>
          <t>평지</t>
        </is>
      </c>
      <c r="U1651" s="3" t="inlineStr">
        <is>
          <t>가로장방</t>
        </is>
      </c>
      <c r="V1651" s="3" t="inlineStr">
        <is>
          <t>중로한면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생활 인프라가 완비된 2생활권 내 희소성 높은 알짜 토지.</t>
        </is>
      </c>
      <c r="L1652" s="6">
        <f>HYPERLINK("https://fin.land.naver.com/articles/2648288398", "매물Link")</f>
        <v/>
      </c>
      <c r="M1652" s="6">
        <f>HYPERLINK("https://map.naver.com/p/search/한솔동 989", "지도Link")</f>
        <v/>
      </c>
      <c r="N1652" s="6">
        <f>HYPERLINK("https://www.eum.go.kr/web/mp/mpMapDet.jsp?pnu=3611010600109890000&amp;isNoScr=script&amp;mode=search", "토지이음")</f>
        <v/>
      </c>
      <c r="O1652" s="3" t="inlineStr">
        <is>
          <t>이룸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989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326</v>
      </c>
      <c r="H1653" s="4" t="n">
        <v>99</v>
      </c>
      <c r="I1653" s="5" t="n">
        <v>555.6</v>
      </c>
      <c r="J1653" s="5" t="n">
        <v>302.8</v>
      </c>
      <c r="K1653" s="3" t="inlineStr">
        <is>
          <t>나리꽃어린이공원  인접,학군 한솔초.중.고, 이마트 인근,가격조정가능</t>
        </is>
      </c>
      <c r="L1653" s="6">
        <f>HYPERLINK("https://fin.land.naver.com/articles/2647522138", "매물Link")</f>
        <v/>
      </c>
      <c r="M1653" s="6">
        <f>HYPERLINK("https://map.naver.com/p/search/한솔동 989", "지도Link")</f>
        <v/>
      </c>
      <c r="N1653" s="6">
        <f>HYPERLINK("https://www.eum.go.kr/web/mp/mpMapDet.jsp?pnu=3611010600109890000&amp;isNoScr=script&amp;mode=search", "토지이음")</f>
        <v/>
      </c>
      <c r="O1653" s="3" t="inlineStr">
        <is>
          <t>고운맘</t>
        </is>
      </c>
      <c r="P1653" s="4" t="n">
        <v>1</v>
      </c>
      <c r="Q1653" s="4" t="n">
        <v>326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992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355</v>
      </c>
      <c r="H1654" s="4" t="n">
        <v>107</v>
      </c>
      <c r="I1654" s="5" t="n">
        <v>514</v>
      </c>
      <c r="J1654" s="5" t="n">
        <v>314.9</v>
      </c>
      <c r="K1654" s="3" t="inlineStr">
        <is>
          <t>조율가능 옆에 공원낀위치 상권최인접 한솔초중고 도보5분</t>
        </is>
      </c>
      <c r="L1654" s="6">
        <f>HYPERLINK("https://fin.land.naver.com/articles/2648047441", "매물Link")</f>
        <v/>
      </c>
      <c r="M1654" s="6">
        <f>HYPERLINK("https://map.naver.com/p/search/한솔동 992", "지도Link")</f>
        <v/>
      </c>
      <c r="N1654" s="6">
        <f>HYPERLINK("https://www.eum.go.kr/web/mp/mpMapDet.jsp?pnu=3611010600109920000&amp;isNoScr=script&amp;mode=search",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355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소로각지</t>
        </is>
      </c>
    </row>
    <row r="1655">
      <c r="A1655" s="3" t="inlineStr">
        <is>
          <t>해밀동 668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360000</v>
      </c>
      <c r="G1655" s="4" t="n">
        <v>1070</v>
      </c>
      <c r="H1655" s="4" t="n">
        <v>324</v>
      </c>
      <c r="I1655" s="5" t="n">
        <v>1111.1</v>
      </c>
      <c r="J1655" s="5" t="n">
        <v>407.6</v>
      </c>
      <c r="K1655" s="3" t="inlineStr">
        <is>
          <t>급매 대형 상가건물 부지 추가조율협의 옆필지도 매매가능</t>
        </is>
      </c>
      <c r="L1655" s="6">
        <f>HYPERLINK("https://fin.land.naver.com/articles/2649812128", "매물Link")</f>
        <v/>
      </c>
      <c r="M1655" s="6">
        <f>HYPERLINK("https://map.naver.com/p/search/해밀동 668", "지도Link")</f>
        <v/>
      </c>
      <c r="N1655" s="6">
        <f>HYPERLINK("https://www.eum.go.kr/web/mp/mpMapDet.jsp?pnu=3611011600106680000&amp;isNoScr=script&amp;mode=search", "토지이음")</f>
        <v/>
      </c>
      <c r="O1655" s="3" t="inlineStr">
        <is>
          <t>세종스타</t>
        </is>
      </c>
      <c r="P1655" s="4" t="n">
        <v>1</v>
      </c>
      <c r="Q1655" s="4" t="n">
        <v>1070.9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광대소각</t>
        </is>
      </c>
    </row>
    <row r="1656">
      <c r="A1656" s="3" t="inlineStr">
        <is>
          <t>해밀동 670</t>
        </is>
      </c>
      <c r="B1656" s="3" t="inlineStr">
        <is>
          <t>제2종일반주거지역</t>
        </is>
      </c>
      <c r="C1656" s="3" t="inlineStr">
        <is>
          <t>주차장</t>
        </is>
      </c>
      <c r="D1656" s="3" t="inlineStr">
        <is>
          <t>대</t>
        </is>
      </c>
      <c r="E1656" s="3" t="inlineStr">
        <is>
          <t>매매</t>
        </is>
      </c>
      <c r="F1656" s="4" t="n">
        <v>483000</v>
      </c>
      <c r="G1656" s="4" t="n">
        <v>1065</v>
      </c>
      <c r="H1656" s="4" t="n">
        <v>322</v>
      </c>
      <c r="I1656" s="5" t="n">
        <v>1500</v>
      </c>
      <c r="J1656" s="5" t="n">
        <v>285.3</v>
      </c>
      <c r="K1656" s="3" t="inlineStr">
        <is>
          <t>nan</t>
        </is>
      </c>
      <c r="L1656" s="6">
        <f>HYPERLINK("https://fin.land.naver.com/articles/2649329302", "매물Link")</f>
        <v/>
      </c>
      <c r="M1656" s="6">
        <f>HYPERLINK("https://map.naver.com/p/search/해밀동 670", "지도Link")</f>
        <v/>
      </c>
      <c r="N1656" s="6">
        <f>HYPERLINK("https://www.eum.go.kr/web/mp/mpMapDet.jsp?pnu=3611011600106700000&amp;isNoScr=script&amp;mode=search", "토지이음")</f>
        <v/>
      </c>
      <c r="O1656" s="3" t="inlineStr">
        <is>
          <t>국제</t>
        </is>
      </c>
      <c r="P1656" s="4" t="n">
        <v>1</v>
      </c>
      <c r="Q1656" s="4" t="n">
        <v>1355.8</v>
      </c>
      <c r="R1656" s="3" t="inlineStr">
        <is>
          <t>지정되지않음</t>
        </is>
      </c>
      <c r="S1656" s="3" t="inlineStr">
        <is>
          <t>주차장등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광대소각</t>
        </is>
      </c>
    </row>
    <row r="1657">
      <c r="A1657" s="3" t="inlineStr">
        <is>
          <t>해밀동 675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180000</v>
      </c>
      <c r="G1657" s="4" t="n">
        <v>446</v>
      </c>
      <c r="H1657" s="4" t="n">
        <v>135</v>
      </c>
      <c r="I1657" s="5" t="n">
        <v>1333.3</v>
      </c>
      <c r="J1657" s="5" t="n">
        <v>379.2</v>
      </c>
      <c r="K1657" s="3" t="inlineStr">
        <is>
          <t>급매 절충가능한 사거리 코너각지의 카페등을 건축할수있는 근린생활시설 부지</t>
        </is>
      </c>
      <c r="L1657" s="6">
        <f>HYPERLINK("https://fin.land.naver.com/articles/2649200797", "매물Link")</f>
        <v/>
      </c>
      <c r="M1657" s="6">
        <f>HYPERLINK("https://map.naver.com/p/search/해밀동 675", "지도Link")</f>
        <v/>
      </c>
      <c r="N1657" s="6">
        <f>HYPERLINK("https://www.eum.go.kr/web/mp/mpMapDet.jsp?pnu=3611011600106750000&amp;isNoScr=script&amp;mode=search",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446.6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678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155000</v>
      </c>
      <c r="G1658" s="4" t="n">
        <v>446</v>
      </c>
      <c r="H1658" s="4" t="n">
        <v>135</v>
      </c>
      <c r="I1658" s="5" t="n">
        <v>1148.1</v>
      </c>
      <c r="J1658" s="5" t="n">
        <v>379.2</v>
      </c>
      <c r="K1658" s="3" t="inlineStr">
        <is>
          <t>조율가능 N4 코너각지 3층건축가능 사옥 음식점 카페 애견샵 추천</t>
        </is>
      </c>
      <c r="L1658" s="6">
        <f>HYPERLINK("https://fin.land.naver.com/articles/2645635558", "매물Link")</f>
        <v/>
      </c>
      <c r="M1658" s="6">
        <f>HYPERLINK("https://map.naver.com/p/search/해밀동 678", "지도Link")</f>
        <v/>
      </c>
      <c r="N1658" s="6">
        <f>HYPERLINK("https://www.eum.go.kr/web/mp/mpMapDet.jsp?pnu=3611011600106780000&amp;isNoScr=script&amp;mode=search",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446.4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해밀동 687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145000</v>
      </c>
      <c r="G1659" s="4" t="n">
        <v>403</v>
      </c>
      <c r="H1659" s="4" t="n">
        <v>122</v>
      </c>
      <c r="I1659" s="5" t="n">
        <v>1188.5</v>
      </c>
      <c r="J1659" s="5" t="n">
        <v>383.1</v>
      </c>
      <c r="K1659" s="3" t="inlineStr">
        <is>
          <t>N5 근생부지 3층건축가능</t>
        </is>
      </c>
      <c r="L1659" s="6">
        <f>HYPERLINK("https://fin.land.naver.com/articles/2647162535", "매물Link")</f>
        <v/>
      </c>
      <c r="M1659" s="6">
        <f>HYPERLINK("https://map.naver.com/p/search/해밀동 687", "지도Link")</f>
        <v/>
      </c>
      <c r="N1659" s="6">
        <f>HYPERLINK("https://www.eum.go.kr/web/mp/mpMapDet.jsp?pnu=3611011600106870000&amp;isNoScr=script&amp;mode=search",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403.2</v>
      </c>
      <c r="R1659" s="3" t="inlineStr">
        <is>
          <t>지정되지않음</t>
        </is>
      </c>
      <c r="S1659" s="3" t="inlineStr">
        <is>
          <t>상업나지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중로한면</t>
        </is>
      </c>
    </row>
    <row r="1660">
      <c r="A1660" s="3" t="inlineStr">
        <is>
          <t>해밀동 700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401300</v>
      </c>
      <c r="G1660" s="4" t="n">
        <v>2949</v>
      </c>
      <c r="H1660" s="4" t="n">
        <v>892</v>
      </c>
      <c r="I1660" s="5" t="n">
        <v>449.9</v>
      </c>
      <c r="J1660" s="5" t="n">
        <v>219.8</v>
      </c>
      <c r="K1660" s="3" t="inlineStr">
        <is>
          <t>해밀동 제1종전용주거 타운하우스 부지, 15가구 개발가능</t>
        </is>
      </c>
      <c r="L1660" s="6">
        <f>HYPERLINK("https://fin.land.naver.com/articles/2647344856", "매물Link")</f>
        <v/>
      </c>
      <c r="M1660" s="6">
        <f>HYPERLINK("https://map.naver.com/p/search/해밀동 700", "지도Link")</f>
        <v/>
      </c>
      <c r="N1660" s="6">
        <f>HYPERLINK("https://www.eum.go.kr/web/mp/mpMapDet.jsp?pnu=3611011600107000000&amp;isNoScr=script&amp;mode=search",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2948.1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해밀동 704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289</v>
      </c>
      <c r="H1661" s="4" t="n">
        <v>87</v>
      </c>
      <c r="I1661" s="5" t="n">
        <v>689.7</v>
      </c>
      <c r="J1661" s="5" t="n">
        <v>241.1</v>
      </c>
      <c r="K1661" s="3" t="inlineStr">
        <is>
          <t>조율가능 지대높음 원수산뷰 학교,상가 가까움</t>
        </is>
      </c>
      <c r="L1661" s="6">
        <f>HYPERLINK("https://fin.land.naver.com/articles/2645721513", "매물Link")</f>
        <v/>
      </c>
      <c r="M1661" s="6">
        <f>HYPERLINK("https://map.naver.com/p/search/해밀동 704", "지도Link")</f>
        <v/>
      </c>
      <c r="N1661" s="6">
        <f>HYPERLINK("https://www.eum.go.kr/web/mp/mpMapDet.jsp?pnu=3611011600107040000&amp;isNoScr=script&amp;mode=search", "토지이음")</f>
        <v/>
      </c>
      <c r="O1661" s="3" t="inlineStr">
        <is>
          <t>세종스타</t>
        </is>
      </c>
      <c r="P1661" s="4" t="n">
        <v>1</v>
      </c>
      <c r="Q1661" s="4" t="n">
        <v>289.4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98.18p, 해밀동 네모 반듯한 단독주택 토지매매</t>
        </is>
      </c>
      <c r="L1662" s="6">
        <f>HYPERLINK("https://fin.land.naver.com/articles/2649004455", "매물Link")</f>
        <v/>
      </c>
      <c r="M1662" s="6">
        <f>HYPERLINK("https://map.naver.com/p/search/해밀동 713", "지도Link")</f>
        <v/>
      </c>
      <c r="N1662" s="6">
        <f>HYPERLINK("https://www.eum.go.kr/web/mp/mpMapDet.jsp?pnu=3611011600107130000&amp;isNoScr=script&amp;mode=search",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713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58000</v>
      </c>
      <c r="G1663" s="4" t="n">
        <v>324</v>
      </c>
      <c r="H1663" s="4" t="n">
        <v>98</v>
      </c>
      <c r="I1663" s="5" t="n">
        <v>591.8</v>
      </c>
      <c r="J1663" s="5" t="n">
        <v>241.1</v>
      </c>
      <c r="K1663" s="3" t="inlineStr">
        <is>
          <t>조율가능 남동향 트인위치 땅모양 좋음</t>
        </is>
      </c>
      <c r="L1663" s="6">
        <f>HYPERLINK("https://fin.land.naver.com/articles/2649295989", "매물Link")</f>
        <v/>
      </c>
      <c r="M1663" s="6">
        <f>HYPERLINK("https://map.naver.com/p/search/해밀동 713", "지도Link")</f>
        <v/>
      </c>
      <c r="N1663" s="6">
        <f>HYPERLINK("https://www.eum.go.kr/web/mp/mpMapDet.jsp?pnu=3611011600107130000&amp;isNoScr=script&amp;mode=search",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324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소로한면</t>
        </is>
      </c>
    </row>
    <row r="1664">
      <c r="A1664" s="3" t="inlineStr">
        <is>
          <t>해밀동 746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60000</v>
      </c>
      <c r="G1664" s="4" t="n">
        <v>315</v>
      </c>
      <c r="H1664" s="4" t="n">
        <v>95</v>
      </c>
      <c r="I1664" s="5" t="n">
        <v>631.6</v>
      </c>
      <c r="J1664" s="5" t="n">
        <v>243.3</v>
      </c>
      <c r="K1664" s="3" t="inlineStr">
        <is>
          <t>급매 위치최상 공원접함 탁트인조망</t>
        </is>
      </c>
      <c r="L1664" s="6">
        <f>HYPERLINK("https://fin.land.naver.com/articles/2644917622", "매물Link")</f>
        <v/>
      </c>
      <c r="M1664" s="6">
        <f>HYPERLINK("https://map.naver.com/p/search/해밀동 746", "지도Link")</f>
        <v/>
      </c>
      <c r="N1664" s="6">
        <f>HYPERLINK("https://www.eum.go.kr/web/mp/mpMapDet.jsp?pnu=3611011600107460000&amp;isNoScr=script&amp;mode=search",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315.3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해밀동 756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57000</v>
      </c>
      <c r="G1665" s="4" t="n">
        <v>326</v>
      </c>
      <c r="H1665" s="4" t="n">
        <v>99</v>
      </c>
      <c r="I1665" s="5" t="n">
        <v>575.8</v>
      </c>
      <c r="J1665" s="5" t="n">
        <v>241.1</v>
      </c>
      <c r="K1665" s="3" t="inlineStr">
        <is>
          <t>3면이 보행자 전용도로를 접한 쾌적한 토지</t>
        </is>
      </c>
      <c r="L1665" s="6">
        <f>HYPERLINK("https://fin.land.naver.com/articles/2649589863", "매물Link")</f>
        <v/>
      </c>
      <c r="M1665" s="6">
        <f>HYPERLINK("https://map.naver.com/p/search/해밀동 756", "지도Link")</f>
        <v/>
      </c>
      <c r="N1665" s="6">
        <f>HYPERLINK("https://www.eum.go.kr/web/mp/mpMapDet.jsp?pnu=3611011600107560000&amp;isNoScr=script&amp;mode=search", "토지이음")</f>
        <v/>
      </c>
      <c r="O1665" s="3" t="inlineStr">
        <is>
          <t>킹세종</t>
        </is>
      </c>
      <c r="P1665" s="4" t="n">
        <v>2</v>
      </c>
      <c r="Q1665" s="4" t="n">
        <v>326.4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소로한면</t>
        </is>
      </c>
    </row>
    <row r="1666">
      <c r="A1666" s="3" t="inlineStr">
        <is>
          <t>해밀동 767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55000</v>
      </c>
      <c r="G1666" s="4" t="n">
        <v>287</v>
      </c>
      <c r="H1666" s="4" t="n">
        <v>87</v>
      </c>
      <c r="I1666" s="5" t="n">
        <v>632.2</v>
      </c>
      <c r="J1666" s="5" t="n">
        <v>241.1</v>
      </c>
      <c r="K1666" s="3" t="inlineStr">
        <is>
          <t>남향 보행로접함 뒷편 공원조망 조율가능</t>
        </is>
      </c>
      <c r="L1666" s="6">
        <f>HYPERLINK("https://fin.land.naver.com/articles/2649618859", "매물Link")</f>
        <v/>
      </c>
      <c r="M1666" s="6">
        <f>HYPERLINK("https://map.naver.com/p/search/해밀동 767", "지도Link")</f>
        <v/>
      </c>
      <c r="N1666" s="6">
        <f>HYPERLINK("https://www.eum.go.kr/web/mp/mpMapDet.jsp?pnu=3611011600107670000&amp;isNoScr=script&amp;mode=search",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287.5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HYPERLINK("https://www.eum.go.kr/web/mp/mpMapDet.jsp?pnu=3611011600107770000&amp;isNoScr=script&amp;mode=search",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777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56500</v>
      </c>
      <c r="G1668" s="4" t="n">
        <v>294</v>
      </c>
      <c r="H1668" s="4" t="n">
        <v>89</v>
      </c>
      <c r="I1668" s="5" t="n">
        <v>634.8</v>
      </c>
      <c r="J1668" s="5" t="n">
        <v>243.3</v>
      </c>
      <c r="K1668" s="3" t="inlineStr">
        <is>
          <t>해밀동 가격 좋은 단독주택 매매, 공원인근</t>
        </is>
      </c>
      <c r="L1668" s="6">
        <f>HYPERLINK("https://fin.land.naver.com/articles/2647424555", "매물Link")</f>
        <v/>
      </c>
      <c r="M1668" s="6">
        <f>HYPERLINK("https://map.naver.com/p/search/해밀동 777", "지도Link")</f>
        <v/>
      </c>
      <c r="N1668" s="6">
        <f>HYPERLINK("https://www.eum.go.kr/web/mp/mpMapDet.jsp?pnu=3611011600107770000&amp;isNoScr=script&amp;mode=search", "토지이음")</f>
        <v/>
      </c>
      <c r="O1668" s="3" t="inlineStr">
        <is>
          <t>세종무지개</t>
        </is>
      </c>
      <c r="P1668" s="4" t="n">
        <v>1</v>
      </c>
      <c r="Q1668" s="4" t="n">
        <v>294.8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806</t>
        </is>
      </c>
      <c r="B1669" s="3" t="inlineStr">
        <is>
          <t>제1종전용주거지역</t>
        </is>
      </c>
      <c r="C1669" s="3" t="inlineStr">
        <is>
          <t>도로</t>
        </is>
      </c>
      <c r="D1669" s="3" t="inlineStr">
        <is>
          <t>대</t>
        </is>
      </c>
      <c r="E1669" s="3" t="inlineStr">
        <is>
          <t>매매</t>
        </is>
      </c>
      <c r="F1669" s="4" t="n">
        <v>70000</v>
      </c>
      <c r="G1669" s="4" t="n">
        <v>314</v>
      </c>
      <c r="H1669" s="4" t="n">
        <v>95</v>
      </c>
      <c r="I1669" s="5" t="n">
        <v>736.8</v>
      </c>
      <c r="J1669" s="5" t="n">
        <v>79.59999999999999</v>
      </c>
      <c r="K1669" s="3" t="inlineStr">
        <is>
          <t>조율가능 시유지접한 지대높음</t>
        </is>
      </c>
      <c r="L1669" s="6">
        <f>HYPERLINK("https://fin.land.naver.com/articles/2644725573", "매물Link")</f>
        <v/>
      </c>
      <c r="M1669" s="6">
        <f>HYPERLINK("https://map.naver.com/p/search/해밀동 806", "지도Link")</f>
        <v/>
      </c>
      <c r="N1669" s="6">
        <f>HYPERLINK("https://www.eum.go.kr/web/mp/mpMapDet.jsp?pnu=3611011600108060000&amp;isNoScr=script&amp;mode=search",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5372.8</v>
      </c>
      <c r="R1669" s="3" t="inlineStr">
        <is>
          <t>지정되지않음</t>
        </is>
      </c>
      <c r="S1669" s="3" t="inlineStr">
        <is>
          <t>도로등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지정되지않음</t>
        </is>
      </c>
    </row>
  </sheetData>
  <autoFilter ref="A1:V16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2026-09-18T08:09:02Z</dcterms:created>
  <dcterms:modified xsi:type="dcterms:W3CDTF">2026-09-18T08:09:08Z</dcterms:modified>
</cp:coreProperties>
</file>