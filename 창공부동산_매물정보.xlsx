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'공장창고매물'!$A$1:$AD$528</definedName>
    <definedName name="_xlnm._FilterDatabase" localSheetId="1" hidden="1">'주택매물'!$A$1:$AA$627</definedName>
    <definedName name="_xlnm._FilterDatabase" localSheetId="2" hidden="1">'토지매물'!$A$1:$V$1873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HYPERLINK("https://fin.land.naver.com/articles/2654706975",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250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1.7</v>
      </c>
      <c r="N12" s="3" t="inlineStr">
        <is>
          <t>1</t>
        </is>
      </c>
      <c r="O12" s="3" t="inlineStr">
        <is>
          <t>-</t>
        </is>
      </c>
      <c r="P12" s="3" t="inlineStr">
        <is>
          <t>nan</t>
        </is>
      </c>
      <c r="Q12" s="6">
        <f>HYPERLINK("https://fin.land.naver.com/articles/2650916208",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HYPERLINK("https://fin.land.naver.com/articles/2650626599",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490</v>
      </c>
      <c r="L14" s="4" t="n">
        <v>148</v>
      </c>
      <c r="M14" s="5" t="n">
        <v>1.4</v>
      </c>
      <c r="N14" s="3" t="inlineStr">
        <is>
          <t>2</t>
        </is>
      </c>
      <c r="O14" s="3" t="inlineStr">
        <is>
          <t>-</t>
        </is>
      </c>
      <c r="P14" s="3" t="inlineStr">
        <is>
          <t>세종,오송,조치원,청주 접근성과 컨디션 좋은 저렴한 창고</t>
        </is>
      </c>
      <c r="Q14" s="6">
        <f>HYPERLINK("https://fin.land.naver.com/articles/2651531591",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더오름</t>
        </is>
      </c>
      <c r="U14" s="4" t="n">
        <v>2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HYPERLINK("https://fin.land.naver.com/articles/2654990531",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</v>
      </c>
      <c r="G30" s="4" t="n">
        <v>0</v>
      </c>
      <c r="H30" s="4" t="n">
        <v>2238</v>
      </c>
      <c r="I30" s="4" t="n">
        <v>677</v>
      </c>
      <c r="J30" s="5" t="n">
        <v>295.4</v>
      </c>
      <c r="K30" s="4" t="n">
        <v>794</v>
      </c>
      <c r="L30" s="4" t="n">
        <v>240</v>
      </c>
      <c r="M30" s="5" t="n">
        <v>833.3</v>
      </c>
      <c r="N30" s="3" t="inlineStr">
        <is>
          <t>2</t>
        </is>
      </c>
      <c r="O30" s="3" t="inlineStr">
        <is>
          <t>-</t>
        </is>
      </c>
      <c r="P30" s="3" t="inlineStr">
        <is>
          <t>초급매 강내면 산단리 신축 공장 매매</t>
        </is>
      </c>
      <c r="Q30" s="6">
        <f>HYPERLINK("https://fin.land.naver.com/articles/2655153898",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30332</v>
      </c>
      <c r="I33" s="4" t="n">
        <v>9175</v>
      </c>
      <c r="J33" s="5" t="n">
        <v>218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강내일반산업단지 인근 대형물류센터 및 대형공장 강력추천 매매물건</t>
        </is>
      </c>
      <c r="Q33" s="6">
        <f>HYPERLINK("https://fin.land.naver.com/articles/2651989648",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태광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199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청주 흥덕구 강내면 산단리 창고 월세</t>
        </is>
      </c>
      <c r="Q36" s="6">
        <f>HYPERLINK("https://fin.land.naver.com/articles/2654536778",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일등무소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주건축물제2동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130</v>
      </c>
      <c r="H37" s="4" t="n">
        <v>2284</v>
      </c>
      <c r="I37" s="4" t="n">
        <v>691</v>
      </c>
      <c r="J37" s="5" t="n">
        <v>0.2</v>
      </c>
      <c r="K37" s="4" t="n">
        <v>165</v>
      </c>
      <c r="L37" s="4" t="n">
        <v>50</v>
      </c>
      <c r="M37" s="5" t="n">
        <v>2.6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강내일반산업단지 인근, 690형 대지, 대형차량 진출입좋음</t>
        </is>
      </c>
      <c r="Q37" s="6">
        <f>HYPERLINK("https://fin.land.naver.com/articles/2652595159",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태성</t>
        </is>
      </c>
      <c r="U37" s="4" t="n">
        <v>2</v>
      </c>
      <c r="V37" s="5" t="n">
        <v>58.7</v>
      </c>
      <c r="W37" s="4" t="n">
        <v>2277</v>
      </c>
      <c r="X37" s="3" t="inlineStr">
        <is>
          <t>주건축물제3동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청주IC 12분, 2차선 도로접, 강내산업단지 인근 신축</t>
        </is>
      </c>
      <c r="Q38" s="6">
        <f>HYPERLINK("https://fin.land.naver.com/articles/2654417797",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나는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 60</t>
        </is>
      </c>
      <c r="Q39" s="6">
        <f>HYPERLINK("https://fin.land.naver.com/articles/2654428605",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729</v>
      </c>
      <c r="L40" s="4" t="n">
        <v>221</v>
      </c>
      <c r="M40" s="5" t="n">
        <v>0.7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HYPERLINK("https://fin.land.naver.com/articles/2651733991",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HYPERLINK("https://fin.land.naver.com/articles/2651733895",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HYPERLINK("https://fin.land.naver.com/articles/2654684640",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8364</v>
      </c>
      <c r="I47" s="4" t="n">
        <v>2530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강내면  층고 높은 신축급공장, 넓은 마당이 있어 활용도 좋음</t>
        </is>
      </c>
      <c r="Q47" s="6">
        <f>HYPERLINK("https://fin.land.naver.com/articles/2653660114",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(주)미르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HYPERLINK("https://fin.land.naver.com/articles/2653718630",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강내면 대형차 진출입 및 회차 편리한 소형 창고</t>
        </is>
      </c>
      <c r="Q54" s="6">
        <f>HYPERLINK("https://fin.land.naver.com/articles/2654245790",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더원</t>
        </is>
      </c>
      <c r="U54" s="4" t="n">
        <v>3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247-3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1500</v>
      </c>
      <c r="G59" s="4" t="n">
        <v>110</v>
      </c>
      <c r="H59" s="4" t="n">
        <v>629</v>
      </c>
      <c r="I59" s="4" t="n">
        <v>190</v>
      </c>
      <c r="J59" s="5" t="n">
        <v>0.6</v>
      </c>
      <c r="K59" s="4" t="n">
        <v>149</v>
      </c>
      <c r="L59" s="4" t="n">
        <v>45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HYPERLINK("https://fin.land.naver.com/articles/2652988597", "매물Link")</f>
        <v/>
      </c>
      <c r="R59" s="6">
        <f>HYPERLINK("https://map.naver.com/p/search/강내면 저산리 247-3", "지도Link")</f>
        <v/>
      </c>
      <c r="S59" s="6">
        <f>HYPERLINK("http://www.eum.go.kr/web/ar/lu/luLandDet.jsp?pnu=4311331023102470003&amp;isNoScr=script&amp;mode=search",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35.2</v>
      </c>
      <c r="W59" s="4" t="n">
        <v>629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8.61m</t>
        </is>
      </c>
      <c r="AC59" s="3" t="inlineStr">
        <is>
          <t>2024-03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HYPERLINK("https://fin.land.naver.com/articles/2652510659",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365</t>
        </is>
      </c>
      <c r="U61" s="4" t="n">
        <v>4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800000</v>
      </c>
      <c r="G62" s="4" t="n">
        <v>0</v>
      </c>
      <c r="H62" s="4" t="n">
        <v>1590</v>
      </c>
      <c r="I62" s="4" t="n">
        <v>481</v>
      </c>
      <c r="J62" s="5" t="n">
        <v>1663.2</v>
      </c>
      <c r="K62" s="4" t="n">
        <v>938</v>
      </c>
      <c r="L62" s="4" t="n">
        <v>284</v>
      </c>
      <c r="M62" s="5" t="n">
        <v>2816.9</v>
      </c>
      <c r="N62" s="3" t="inlineStr">
        <is>
          <t>3</t>
        </is>
      </c>
      <c r="O62" s="3" t="inlineStr">
        <is>
          <t>-</t>
        </is>
      </c>
      <c r="P62" s="3" t="inlineStr">
        <is>
          <t>M 해당토지외 6필지 포함. 접근성 좋은 공장 및 토지 매매 M</t>
        </is>
      </c>
      <c r="Q62" s="6">
        <f>HYPERLINK("https://fin.land.naver.com/articles/2650409598",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채움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HYPERLINK("https://fin.land.naver.com/articles/2650873405",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HYPERLINK("https://fin.land.naver.com/articles/2651483405",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2차선 도로변 접함,입출구 편리, 트레일러 턴 가능, 오폐수 정화조 설치</t>
        </is>
      </c>
      <c r="Q66" s="6">
        <f>HYPERLINK("https://fin.land.naver.com/articles/2651662949",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테크노비타사사무소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준신축 공장 호이스트 3ton</t>
        </is>
      </c>
      <c r="Q69" s="6">
        <f>HYPERLINK("https://fin.land.naver.com/articles/2654091247",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수풀림</t>
        </is>
      </c>
      <c r="U69" s="4" t="n">
        <v>2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HYPERLINK("https://fin.land.naver.com/articles/2652625582",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2</t>
        </is>
      </c>
      <c r="O73" s="3" t="inlineStr">
        <is>
          <t>B2</t>
        </is>
      </c>
      <c r="P73" s="3" t="inlineStr">
        <is>
          <t>현재공실, 대형차진입가능. 청주ic 강내산업단지인근 오송산업단지인근</t>
        </is>
      </c>
      <c r="Q73" s="6">
        <f>HYPERLINK("https://fin.land.naver.com/articles/2654375140",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인근에 위치,계획관리지역,2차선 대로변으로 접근성양호</t>
        </is>
      </c>
      <c r="Q74" s="6">
        <f>HYPERLINK("https://fin.land.naver.com/articles/2655095703",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층고7m 전력50kw 청주IC 강내IC 강내일반산업단지인근 넓은야드 공장</t>
        </is>
      </c>
      <c r="Q75" s="6">
        <f>HYPERLINK("https://fin.land.naver.com/articles/2653347409",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에이피엔주식회사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HYPERLINK("https://fin.land.naver.com/articles/2652759281",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3</t>
        </is>
      </c>
      <c r="O78" s="3" t="inlineStr">
        <is>
          <t>-</t>
        </is>
      </c>
      <c r="P78" s="3" t="inlineStr">
        <is>
          <t>마당넓고 대형차 진입과 회차가 편리, 대형물류센터 추천</t>
        </is>
      </c>
      <c r="Q78" s="6">
        <f>HYPERLINK("https://fin.land.naver.com/articles/2653391220",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창고의여왕</t>
        </is>
      </c>
      <c r="U78" s="4" t="n">
        <v>3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HYPERLINK("https://fin.land.naver.com/articles/2652625602",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HYPERLINK("https://fin.land.naver.com/articles/2652625260",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강내일반산업단지 인근 2차선대로변 대형공장이나 창고가능</t>
        </is>
      </c>
      <c r="Q82" s="6">
        <f>HYPERLINK("https://fin.land.naver.com/articles/2649681628",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32274</v>
      </c>
      <c r="I85" s="4" t="n">
        <v>9763</v>
      </c>
      <c r="J85" s="5" t="n">
        <v>0.4</v>
      </c>
      <c r="K85" s="4" t="n">
        <v>5223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대형창고 공장임대 즉시입주가 추가면적가능</t>
        </is>
      </c>
      <c r="Q85" s="6">
        <f>HYPERLINK("https://fin.land.naver.com/articles/2650873431",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HYPERLINK("https://fin.land.naver.com/articles/2651984566",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17500</v>
      </c>
      <c r="G87" s="4" t="n">
        <v>1750</v>
      </c>
      <c r="H87" s="4" t="n">
        <v>209096</v>
      </c>
      <c r="I87" s="4" t="n">
        <v>63252</v>
      </c>
      <c r="J87" s="5" t="n">
        <v>0</v>
      </c>
      <c r="K87" s="4" t="n">
        <v>2291</v>
      </c>
      <c r="L87" s="4" t="n">
        <v>693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HYPERLINK("https://fin.land.naver.com/articles/2652988487",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39500</v>
      </c>
      <c r="G88" s="4" t="n">
        <v>3950</v>
      </c>
      <c r="H88" s="4" t="n">
        <v>209096</v>
      </c>
      <c r="I88" s="4" t="n">
        <v>63252</v>
      </c>
      <c r="J88" s="5" t="n">
        <v>0.1</v>
      </c>
      <c r="K88" s="4" t="n">
        <v>5224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사진有 창고 임대</t>
        </is>
      </c>
      <c r="Q88" s="6">
        <f>HYPERLINK("https://fin.land.naver.com/articles/2652988504",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월드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15000</v>
      </c>
      <c r="G89" s="4" t="n">
        <v>1500</v>
      </c>
      <c r="H89" s="4" t="n">
        <v>9917</v>
      </c>
      <c r="I89" s="4" t="n">
        <v>3000</v>
      </c>
      <c r="J89" s="5" t="n">
        <v>0.5</v>
      </c>
      <c r="K89" s="4" t="n">
        <v>1980</v>
      </c>
      <c r="L89" s="4" t="n">
        <v>599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2차선대로 강내하이테크밸리 산업단지접근성좋으며 단독사용가능한 넓은마당</t>
        </is>
      </c>
      <c r="Q89" s="6">
        <f>HYPERLINK("https://fin.land.naver.com/articles/2654182425",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2</v>
      </c>
      <c r="V89" s="5" t="n">
        <v>62.4</v>
      </c>
      <c r="W89" s="4" t="n">
        <v>209096</v>
      </c>
      <c r="X89" s="3" t="inlineStr">
        <is>
          <t>주6동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7.15m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창고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오송, 청주시내, 세종시 접근성 좋은 2차선 도로변 신축급 창고 임대</t>
        </is>
      </c>
      <c r="Q91" s="6">
        <f>HYPERLINK("https://fin.land.naver.com/articles/2654666495",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청담</t>
        </is>
      </c>
      <c r="U91" s="4" t="n">
        <v>4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87000</v>
      </c>
      <c r="G93" s="4" t="n">
        <v>0</v>
      </c>
      <c r="H93" s="4" t="n">
        <v>840</v>
      </c>
      <c r="I93" s="4" t="n">
        <v>254</v>
      </c>
      <c r="J93" s="5" t="n">
        <v>342.5</v>
      </c>
      <c r="K93" s="4" t="n">
        <v>327</v>
      </c>
      <c r="L93" s="4" t="n">
        <v>99</v>
      </c>
      <c r="M93" s="5" t="n">
        <v>878.8</v>
      </c>
      <c r="N93" s="3" t="inlineStr">
        <is>
          <t>1</t>
        </is>
      </c>
      <c r="O93" s="3" t="inlineStr">
        <is>
          <t>-</t>
        </is>
      </c>
      <c r="P93" s="3" t="inlineStr">
        <is>
          <t>2차선접</t>
        </is>
      </c>
      <c r="Q93" s="6">
        <f>HYPERLINK("https://fin.land.naver.com/articles/2653319438",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262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200000</v>
      </c>
      <c r="G94" s="4" t="n">
        <v>0</v>
      </c>
      <c r="H94" s="4" t="n">
        <v>2167</v>
      </c>
      <c r="I94" s="4" t="n">
        <v>656</v>
      </c>
      <c r="J94" s="5" t="n">
        <v>304.9</v>
      </c>
      <c r="K94" s="4" t="n">
        <v>707</v>
      </c>
      <c r="L94" s="4" t="n">
        <v>214</v>
      </c>
      <c r="M94" s="5" t="n">
        <v>934.6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HYPERLINK("https://fin.land.naver.com/articles/2654630654", "매물Link")</f>
        <v/>
      </c>
      <c r="R94" s="6">
        <f>HYPERLINK("https://map.naver.com/p/search/강내면 태성리 262", "지도Link")</f>
        <v/>
      </c>
      <c r="S94" s="6">
        <f>HYPERLINK("http://www.eum.go.kr/web/ar/lu/luLandDet.jsp?pnu=4311331027102620000&amp;isNoScr=script&amp;mode=search", "토지이음")</f>
        <v/>
      </c>
      <c r="T94" s="3" t="inlineStr">
        <is>
          <t>청주모충주공사모1·2재개발명성</t>
        </is>
      </c>
      <c r="U94" s="4" t="n">
        <v>1</v>
      </c>
      <c r="V94" s="5" t="n">
        <v>55</v>
      </c>
      <c r="W94" s="4" t="n">
        <v>2167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교육연구시설</t>
        </is>
      </c>
      <c r="AB94" s="3" t="inlineStr">
        <is>
          <t>6.2m</t>
        </is>
      </c>
      <c r="AC94" s="3" t="inlineStr">
        <is>
          <t>2019-08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HYPERLINK("https://fin.land.naver.com/articles/2650610205",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대형차 진출입 매우 편리 임대료 좋은 깔끔한 대형창고공장 임대</t>
        </is>
      </c>
      <c r="Q99" s="6">
        <f>HYPERLINK("https://fin.land.naver.com/articles/2651036703",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태광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진입로 좋은 공장임대입니다</t>
        </is>
      </c>
      <c r="Q100" s="6">
        <f>HYPERLINK("https://fin.land.naver.com/articles/2654187499",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복댕이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HYPERLINK("https://fin.land.naver.com/articles/2651673536",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사진有,오송세종청주를 잇는 최적의 입지와 접근성을 모두 갖춘 위치</t>
        </is>
      </c>
      <c r="Q102" s="6">
        <f>HYPERLINK("https://fin.land.naver.com/articles/2654495474",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태성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HYPERLINK("https://fin.land.naver.com/articles/2651673508",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청주 ic 12분 대형차 진출입, 물류이동 공장,물류창고가능</t>
        </is>
      </c>
      <c r="Q105" s="6">
        <f>HYPERLINK("https://fin.land.naver.com/articles/2651673688",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10000</v>
      </c>
      <c r="G107" s="4" t="n">
        <v>970</v>
      </c>
      <c r="H107" s="4" t="n">
        <v>3500</v>
      </c>
      <c r="I107" s="4" t="n">
        <v>1059</v>
      </c>
      <c r="J107" s="5" t="n">
        <v>0.9</v>
      </c>
      <c r="K107" s="4" t="n">
        <v>1392</v>
      </c>
      <c r="L107" s="4" t="n">
        <v>421</v>
      </c>
      <c r="M107" s="5" t="n">
        <v>2.3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HYPERLINK("https://fin.land.naver.com/articles/2649942545",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달인무소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사진有, 왕복 도로를 통한 대형차량 및 화물차 진출입, 마당 단독사용</t>
        </is>
      </c>
      <c r="Q108" s="6">
        <f>HYPERLINK("https://fin.land.naver.com/articles/2654519146",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5000</v>
      </c>
      <c r="G109" s="4" t="n">
        <v>950</v>
      </c>
      <c r="H109" s="4" t="n">
        <v>3500</v>
      </c>
      <c r="I109" s="4" t="n">
        <v>1059</v>
      </c>
      <c r="J109" s="5" t="n">
        <v>0.9</v>
      </c>
      <c r="K109" s="4" t="n">
        <v>1392</v>
      </c>
      <c r="L109" s="4" t="n">
        <v>421</v>
      </c>
      <c r="M109" s="5" t="n">
        <v>2.3</v>
      </c>
      <c r="N109" s="3" t="inlineStr">
        <is>
          <t>1</t>
        </is>
      </c>
      <c r="O109" s="3" t="inlineStr">
        <is>
          <t>-</t>
        </is>
      </c>
      <c r="P109" s="3" t="inlineStr">
        <is>
          <t>총3필지이며 대형차량 진출입용이합니다</t>
        </is>
      </c>
      <c r="Q109" s="6">
        <f>HYPERLINK("https://fin.land.naver.com/articles/2654200532",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복댕이</t>
        </is>
      </c>
      <c r="U109" s="4" t="n">
        <v>2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오송세종청주를 잇는 최적의 산업 입지와 접근성을 모두 갖춘 위치</t>
        </is>
      </c>
      <c r="Q110" s="6">
        <f>HYPERLINK("https://fin.land.naver.com/articles/2653371456",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태성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임대료 너무 좋은 대형평수 넓은 마당확보</t>
        </is>
      </c>
      <c r="Q111" s="6">
        <f>HYPERLINK("https://fin.land.naver.com/articles/2652787152",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태광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9000</v>
      </c>
      <c r="G112" s="4" t="n">
        <v>900</v>
      </c>
      <c r="H112" s="4" t="n">
        <v>3500</v>
      </c>
      <c r="I112" s="4" t="n">
        <v>1059</v>
      </c>
      <c r="J112" s="5" t="n">
        <v>0.8</v>
      </c>
      <c r="K112" s="4" t="n">
        <v>1392</v>
      </c>
      <c r="L112" s="4" t="n">
        <v>421</v>
      </c>
      <c r="M112" s="5" t="n">
        <v>2.1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청주IC10분, 넓은 마당, 층고 9m, 공장 및 물류창고로 단독 사용</t>
        </is>
      </c>
      <c r="Q112" s="6">
        <f>HYPERLINK("https://fin.land.naver.com/articles/2654665780",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청담</t>
        </is>
      </c>
      <c r="U112" s="4" t="n">
        <v>3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월세</t>
        </is>
      </c>
      <c r="F113" s="4" t="n">
        <v>2000</v>
      </c>
      <c r="G113" s="4" t="n">
        <v>130</v>
      </c>
      <c r="H113" s="4" t="n">
        <v>1434</v>
      </c>
      <c r="I113" s="4" t="n">
        <v>434</v>
      </c>
      <c r="J113" s="5" t="n">
        <v>0.3</v>
      </c>
      <c r="K113" s="4" t="n">
        <v>192</v>
      </c>
      <c r="L113" s="4" t="n">
        <v>58</v>
      </c>
      <c r="M113" s="5" t="n">
        <v>2.2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도로에 접해 접근성 용이, 창고 및 소형근생용도추천</t>
        </is>
      </c>
      <c r="Q113" s="6">
        <f>HYPERLINK("https://fin.land.naver.com/articles/2652902132",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창고의여왕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HYPERLINK("https://fin.land.naver.com/articles/2651352884",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HYPERLINK("https://fin.land.naver.com/articles/2650549059",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오송k랜드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</v>
      </c>
      <c r="G121" s="4" t="n">
        <v>200</v>
      </c>
      <c r="H121" s="4" t="n">
        <v>16546</v>
      </c>
      <c r="I121" s="4" t="n">
        <v>5005</v>
      </c>
      <c r="J121" s="5" t="n">
        <v>0</v>
      </c>
      <c r="K121" s="4" t="n">
        <v>996</v>
      </c>
      <c r="L121" s="4" t="n">
        <v>301</v>
      </c>
      <c r="M121" s="5" t="n">
        <v>0.7</v>
      </c>
      <c r="N121" s="3" t="inlineStr">
        <is>
          <t>1</t>
        </is>
      </c>
      <c r="O121" s="3" t="inlineStr">
        <is>
          <t>-</t>
        </is>
      </c>
      <c r="P121" s="3" t="inlineStr">
        <is>
          <t>현재 건축물8동중 7개동 임대중이며 1동만 임대합니다</t>
        </is>
      </c>
      <c r="Q121" s="6">
        <f>HYPERLINK("https://fin.land.naver.com/articles/2654170858",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건축물 전체임대중입니다 입주는 협의하시면됩니다</t>
        </is>
      </c>
      <c r="Q122" s="6">
        <f>HYPERLINK("https://fin.land.naver.com/articles/2649724567",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300</v>
      </c>
      <c r="H123" s="4" t="n">
        <v>5005</v>
      </c>
      <c r="I123" s="4" t="n">
        <v>1514</v>
      </c>
      <c r="J123" s="5" t="n">
        <v>0.2</v>
      </c>
      <c r="K123" s="4" t="n">
        <v>495</v>
      </c>
      <c r="L123" s="4" t="n">
        <v>150</v>
      </c>
      <c r="M123" s="5" t="n">
        <v>2</v>
      </c>
      <c r="N123" s="3" t="inlineStr">
        <is>
          <t>1</t>
        </is>
      </c>
      <c r="O123" s="3" t="inlineStr">
        <is>
          <t>-</t>
        </is>
      </c>
      <c r="P123" s="3" t="inlineStr">
        <is>
          <t>nan</t>
        </is>
      </c>
      <c r="Q123" s="6">
        <f>HYPERLINK("https://fin.land.naver.com/articles/2652988446",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60.5</v>
      </c>
      <c r="W123" s="4" t="n">
        <v>15316</v>
      </c>
      <c r="X123" s="3" t="inlineStr">
        <is>
          <t>8동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9.3m</t>
        </is>
      </c>
      <c r="AC123" s="3" t="inlineStr">
        <is>
          <t>2013-02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850000</v>
      </c>
      <c r="G124" s="4" t="n">
        <v>0</v>
      </c>
      <c r="H124" s="4" t="n">
        <v>16546</v>
      </c>
      <c r="I124" s="4" t="n">
        <v>5005</v>
      </c>
      <c r="J124" s="5" t="n">
        <v>169.8</v>
      </c>
      <c r="K124" s="4" t="n">
        <v>5728</v>
      </c>
      <c r="L124" s="4" t="n">
        <v>1733</v>
      </c>
      <c r="M124" s="5" t="n">
        <v>490.5</v>
      </c>
      <c r="N124" s="3" t="inlineStr">
        <is>
          <t>1</t>
        </is>
      </c>
      <c r="O124" s="3" t="inlineStr">
        <is>
          <t>-</t>
        </is>
      </c>
      <c r="P124" s="3" t="inlineStr">
        <is>
          <t>총8동으로 전체임대중 입니다</t>
        </is>
      </c>
      <c r="Q124" s="6">
        <f>HYPERLINK("https://fin.land.naver.com/articles/2649923305",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복댕이</t>
        </is>
      </c>
      <c r="U124" s="4" t="n">
        <v>1</v>
      </c>
      <c r="V124" s="5" t="n">
        <v>60.5</v>
      </c>
      <c r="W124" s="4" t="n">
        <v>15316</v>
      </c>
      <c r="X124" s="3" t="inlineStr">
        <is>
          <t>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9.0m</t>
        </is>
      </c>
      <c r="AC124" s="3" t="inlineStr">
        <is>
          <t>2007-12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2000</v>
      </c>
      <c r="H127" s="4" t="n">
        <v>8027</v>
      </c>
      <c r="I127" s="4" t="n">
        <v>2428</v>
      </c>
      <c r="J127" s="5" t="n">
        <v>0.8</v>
      </c>
      <c r="K127" s="4" t="n">
        <v>3206</v>
      </c>
      <c r="L127" s="4" t="n">
        <v>970</v>
      </c>
      <c r="M127" s="5" t="n">
        <v>2.1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HYPERLINK("https://fin.land.naver.com/articles/2652234361",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 4개동 일괄매매, 계획관리 2차선 진입가능</t>
        </is>
      </c>
      <c r="Q131" s="6">
        <f>HYPERLINK("https://fin.land.naver.com/articles/2653325611",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세종로또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-</t>
        </is>
      </c>
      <c r="P132" s="3" t="inlineStr">
        <is>
          <t>황탄리공장 계획관리 일괄매매 태양광관련매매대금별도있어요</t>
        </is>
      </c>
      <c r="Q132" s="6">
        <f>HYPERLINK("https://fin.land.naver.com/articles/2649783185",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오송휴먼캐슬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1851</v>
      </c>
      <c r="I134" s="4" t="n">
        <v>560</v>
      </c>
      <c r="J134" s="5" t="n">
        <v>264.3</v>
      </c>
      <c r="K134" s="4" t="n">
        <v>1123</v>
      </c>
      <c r="L134" s="4" t="n">
        <v>340</v>
      </c>
      <c r="M134" s="5" t="n">
        <v>435.3</v>
      </c>
      <c r="N134" s="3" t="inlineStr">
        <is>
          <t>1</t>
        </is>
      </c>
      <c r="O134" s="3" t="inlineStr">
        <is>
          <t>-</t>
        </is>
      </c>
      <c r="P134" s="3" t="inlineStr">
        <is>
          <t>nan</t>
        </is>
      </c>
      <c r="Q134" s="6">
        <f>HYPERLINK("https://fin.land.naver.com/articles/2650023956",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골든타임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1847</v>
      </c>
      <c r="I135" s="4" t="n">
        <v>559</v>
      </c>
      <c r="J135" s="5" t="n">
        <v>264.8</v>
      </c>
      <c r="K135" s="4" t="n">
        <v>340</v>
      </c>
      <c r="L135" s="4" t="n">
        <v>103</v>
      </c>
      <c r="M135" s="5" t="n">
        <v>1436.9</v>
      </c>
      <c r="N135" s="3" t="inlineStr">
        <is>
          <t>1</t>
        </is>
      </c>
      <c r="O135" s="3" t="inlineStr">
        <is>
          <t>-</t>
        </is>
      </c>
      <c r="P135" s="3" t="inlineStr">
        <is>
          <t>사진 有, 2순환 인접, 559형의 넉넉한 부지, 103형 신축 공장</t>
        </is>
      </c>
      <c r="Q135" s="6">
        <f>HYPERLINK("https://fin.land.naver.com/articles/2651815614",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2787</v>
      </c>
      <c r="I138" s="4" t="n">
        <v>843</v>
      </c>
      <c r="J138" s="5" t="n">
        <v>0.4</v>
      </c>
      <c r="K138" s="4" t="n">
        <v>340</v>
      </c>
      <c r="L138" s="4" t="n">
        <v>103</v>
      </c>
      <c r="M138" s="5" t="n">
        <v>2.9</v>
      </c>
      <c r="N138" s="3" t="inlineStr">
        <is>
          <t>1</t>
        </is>
      </c>
      <c r="O138" s="3" t="inlineStr">
        <is>
          <t>-</t>
        </is>
      </c>
      <c r="P138" s="3" t="inlineStr">
        <is>
          <t>건물103형 대지850형 2종근생제조</t>
        </is>
      </c>
      <c r="Q138" s="6">
        <f>HYPERLINK("https://fin.land.naver.com/articles/2649565704",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위더스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65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가마리 세광고 인근 1층 창고 사무실</t>
        </is>
      </c>
      <c r="Q139" s="6">
        <f>HYPERLINK("https://fin.land.naver.com/articles/2650134957",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지구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70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창고또는 조용히 사용할수있는 용도로 사용하기 좋음.</t>
        </is>
      </c>
      <c r="Q140" s="6">
        <f>HYPERLINK("https://fin.land.naver.com/articles/2652446684",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청주해솔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416</v>
      </c>
      <c r="I141" s="4" t="n">
        <v>126</v>
      </c>
      <c r="J141" s="5" t="n">
        <v>0.6</v>
      </c>
      <c r="K141" s="4" t="n">
        <v>275</v>
      </c>
      <c r="L141" s="4" t="n">
        <v>83</v>
      </c>
      <c r="M141" s="5" t="n">
        <v>0.8</v>
      </c>
      <c r="N141" s="3" t="inlineStr">
        <is>
          <t>1</t>
        </is>
      </c>
      <c r="O141" s="3" t="inlineStr">
        <is>
          <t>-</t>
        </is>
      </c>
      <c r="P141" s="3" t="inlineStr">
        <is>
          <t>소형 창고 추천, 즉시입주 가능</t>
        </is>
      </c>
      <c r="Q141" s="6">
        <f>HYPERLINK("https://fin.land.naver.com/articles/2650388132",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산남태강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65</v>
      </c>
      <c r="H142" s="4" t="n">
        <v>465</v>
      </c>
      <c r="I142" s="4" t="n">
        <v>141</v>
      </c>
      <c r="J142" s="5" t="n">
        <v>0.5</v>
      </c>
      <c r="K142" s="4" t="n">
        <v>190</v>
      </c>
      <c r="L142" s="4" t="n">
        <v>57</v>
      </c>
      <c r="M142" s="5" t="n">
        <v>1.1</v>
      </c>
      <c r="N142" s="3" t="inlineStr">
        <is>
          <t>2</t>
        </is>
      </c>
      <c r="O142" s="3" t="inlineStr">
        <is>
          <t>-</t>
        </is>
      </c>
      <c r="P142" s="3" t="inlineStr">
        <is>
          <t>1층 60형만 임대 창고로 활용</t>
        </is>
      </c>
      <c r="Q142" s="6">
        <f>HYPERLINK("https://fin.land.naver.com/articles/2652958822",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위더스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3360</v>
      </c>
      <c r="L145" s="4" t="n">
        <v>1016</v>
      </c>
      <c r="M145" s="5" t="n">
        <v>1.2</v>
      </c>
      <c r="N145" s="3" t="inlineStr">
        <is>
          <t>2</t>
        </is>
      </c>
      <c r="O145" s="3" t="inlineStr">
        <is>
          <t>-</t>
        </is>
      </c>
      <c r="P145" s="3" t="inlineStr">
        <is>
          <t>수도권 및 전국 물류 이동이 편리한 최적의 물류 입지.공장.창고</t>
        </is>
      </c>
      <c r="Q145" s="6">
        <f>HYPERLINK("https://fin.land.naver.com/articles/2649799972",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</t>
        </is>
      </c>
      <c r="U145" s="4" t="n">
        <v>2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남청주ic, 강서하이패스ic15분 민원 걱정없는 대형공장이나 물류창고</t>
        </is>
      </c>
      <c r="Q146" s="6">
        <f>HYPERLINK("https://fin.land.naver.com/articles/2651673588",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창고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3360</v>
      </c>
      <c r="L147" s="4" t="n">
        <v>1016</v>
      </c>
      <c r="M147" s="5" t="n">
        <v>1.2</v>
      </c>
      <c r="N147" s="3" t="inlineStr">
        <is>
          <t>2</t>
        </is>
      </c>
      <c r="O147" s="3" t="inlineStr">
        <is>
          <t>-</t>
        </is>
      </c>
      <c r="P147" s="3" t="inlineStr">
        <is>
          <t>대형 신축급 공장창고 넓은 마당 확보</t>
        </is>
      </c>
      <c r="Q147" s="6">
        <f>HYPERLINK("https://fin.land.naver.com/articles/2654876552",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태광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1680</v>
      </c>
      <c r="L148" s="4" t="n">
        <v>508</v>
      </c>
      <c r="M148" s="5" t="n">
        <v>2.5</v>
      </c>
      <c r="N148" s="3" t="inlineStr">
        <is>
          <t>2</t>
        </is>
      </c>
      <c r="O148" s="3" t="inlineStr">
        <is>
          <t>-</t>
        </is>
      </c>
      <c r="P148" s="3" t="inlineStr">
        <is>
          <t>건물 1층 단독사용, 1층 앞 마당 약 1500형 단독사용, 도크 有</t>
        </is>
      </c>
      <c r="Q148" s="6">
        <f>HYPERLINK("https://fin.land.naver.com/articles/2650262891",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태성</t>
        </is>
      </c>
      <c r="U148" s="4" t="n">
        <v>1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대형차량 진출입 편리 도크시설완비 넓은 야적장</t>
        </is>
      </c>
      <c r="Q149" s="6">
        <f>HYPERLINK("https://fin.land.naver.com/articles/2650648946",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재일합동사무소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3500</v>
      </c>
      <c r="G150" s="4" t="n">
        <v>375</v>
      </c>
      <c r="H150" s="4" t="n">
        <v>2851</v>
      </c>
      <c r="I150" s="4" t="n">
        <v>862</v>
      </c>
      <c r="J150" s="5" t="n">
        <v>0.4</v>
      </c>
      <c r="K150" s="4" t="n">
        <v>495</v>
      </c>
      <c r="L150" s="4" t="n">
        <v>150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넓은 개인 전용마당 확보 신축급 깔끔한 창고임대</t>
        </is>
      </c>
      <c r="Q150" s="6">
        <f>HYPERLINK("https://fin.land.naver.com/articles/2652803675",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태광</t>
        </is>
      </c>
      <c r="U150" s="4" t="n">
        <v>2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110000</v>
      </c>
      <c r="G151" s="4" t="n">
        <v>0</v>
      </c>
      <c r="H151" s="4" t="n">
        <v>2851</v>
      </c>
      <c r="I151" s="4" t="n">
        <v>862</v>
      </c>
      <c r="J151" s="5" t="n">
        <v>127.6</v>
      </c>
      <c r="K151" s="4" t="n">
        <v>495</v>
      </c>
      <c r="L151" s="4" t="n">
        <v>150</v>
      </c>
      <c r="M151" s="5" t="n">
        <v>733.3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10분거리이며 청주시내권 근접한 위치의 창고로 소매점 가능</t>
        </is>
      </c>
      <c r="Q151" s="6">
        <f>HYPERLINK("https://fin.land.naver.com/articles/2652625375",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3000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nan</t>
        </is>
      </c>
      <c r="Q154" s="6">
        <f>HYPERLINK("https://fin.land.naver.com/articles/2654840314",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KS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기타</t>
        </is>
      </c>
      <c r="E155" s="3" t="inlineStr">
        <is>
          <t>월세</t>
        </is>
      </c>
      <c r="F155" s="4" t="n">
        <v>3500</v>
      </c>
      <c r="G155" s="4" t="n">
        <v>375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남이면 상가창고임대 마당넓고 단독사용 층고높은 귀한매물</t>
        </is>
      </c>
      <c r="Q155" s="6">
        <f>HYPERLINK("https://fin.land.naver.com/articles/2653207257",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대박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3500</v>
      </c>
      <c r="G156" s="4" t="n">
        <v>350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2.3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남청주ic10분 마당넓은 단독창고 1종근생 사무실있음</t>
        </is>
      </c>
      <c r="Q156" s="6">
        <f>HYPERLINK("https://fin.land.naver.com/articles/2654791900",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 15분 2차선도로 호이스트2.8톤 설치 공장등록가능</t>
        </is>
      </c>
      <c r="Q166" s="6">
        <f>HYPERLINK("https://fin.land.naver.com/articles/2651749996",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290</v>
      </c>
      <c r="H167" s="4" t="n">
        <v>2579</v>
      </c>
      <c r="I167" s="4" t="n">
        <v>780</v>
      </c>
      <c r="J167" s="5" t="n">
        <v>0.4</v>
      </c>
      <c r="K167" s="4" t="n">
        <v>2579</v>
      </c>
      <c r="L167" s="4" t="n">
        <v>780</v>
      </c>
      <c r="M167" s="5" t="n">
        <v>0.4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2차선에서 바로 진출입 가능한 공장입니다</t>
        </is>
      </c>
      <c r="Q167" s="6">
        <f>HYPERLINK("https://fin.land.naver.com/articles/2653100457",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복댕이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300</v>
      </c>
      <c r="H168" s="4" t="n">
        <v>1157</v>
      </c>
      <c r="I168" s="4" t="n">
        <v>350</v>
      </c>
      <c r="J168" s="5" t="n">
        <v>0.9</v>
      </c>
      <c r="K168" s="4" t="n">
        <v>492</v>
      </c>
      <c r="L168" s="4" t="n">
        <v>149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호이스트 설치된 저렴한 공장임대 진출입 매우 편리</t>
        </is>
      </c>
      <c r="Q168" s="6">
        <f>HYPERLINK("https://fin.land.naver.com/articles/2654141849",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태광</t>
        </is>
      </c>
      <c r="U168" s="4" t="n">
        <v>4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5200</v>
      </c>
      <c r="G169" s="4" t="n">
        <v>520</v>
      </c>
      <c r="H169" s="4" t="n">
        <v>5147</v>
      </c>
      <c r="I169" s="4" t="n">
        <v>1557</v>
      </c>
      <c r="J169" s="5" t="n">
        <v>0.3</v>
      </c>
      <c r="K169" s="4" t="n">
        <v>745</v>
      </c>
      <c r="L169" s="4" t="n">
        <v>225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사진有 공장 임대</t>
        </is>
      </c>
      <c r="Q169" s="6">
        <f>HYPERLINK("https://fin.land.naver.com/articles/2653030443",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월드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 도로 접,민원 소지 없는 위치,호이스트 있음,대형차량 진출입 편함</t>
        </is>
      </c>
      <c r="Q170" s="6">
        <f>HYPERLINK("https://fin.land.naver.com/articles/2653871755",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나는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 접한 넓은 마당, 높은 층고와 츄레라 진입 및 야적 가능</t>
        </is>
      </c>
      <c r="Q172" s="6">
        <f>HYPERLINK("https://fin.land.naver.com/articles/2655153345",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더오름</t>
        </is>
      </c>
      <c r="U172" s="4" t="n">
        <v>6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 진출입 편리한 공장 창고임대</t>
        </is>
      </c>
      <c r="Q173" s="6">
        <f>HYPERLINK("https://fin.land.naver.com/articles/2654875511",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630</v>
      </c>
      <c r="H177" s="4" t="n">
        <v>4997</v>
      </c>
      <c r="I177" s="4" t="n">
        <v>1512</v>
      </c>
      <c r="J177" s="5" t="n">
        <v>0.4</v>
      </c>
      <c r="K177" s="4" t="n">
        <v>992</v>
      </c>
      <c r="L177" s="4" t="n">
        <v>300</v>
      </c>
      <c r="M177" s="5" t="n">
        <v>2.1</v>
      </c>
      <c r="N177" s="3" t="inlineStr">
        <is>
          <t>1</t>
        </is>
      </c>
      <c r="O177" s="3" t="inlineStr">
        <is>
          <t>-</t>
        </is>
      </c>
      <c r="P177" s="3" t="inlineStr">
        <is>
          <t>한적한 위치에 신축 공장입니다</t>
        </is>
      </c>
      <c r="Q177" s="6">
        <f>HYPERLINK("https://fin.land.naver.com/articles/2649723975",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복댕이</t>
        </is>
      </c>
      <c r="U177" s="4" t="n">
        <v>1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992</v>
      </c>
      <c r="L179" s="4" t="n">
        <v>300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사진 有, 위치 및 도로여건 좋음, 야드 넓음, 신축급 300형 임대</t>
        </is>
      </c>
      <c r="Q179" s="6">
        <f>HYPERLINK("https://fin.land.naver.com/articles/2655092815",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태성</t>
        </is>
      </c>
      <c r="U179" s="4" t="n">
        <v>3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4997</v>
      </c>
      <c r="I180" s="4" t="n">
        <v>1512</v>
      </c>
      <c r="J180" s="5" t="n">
        <v>0.5</v>
      </c>
      <c r="K180" s="4" t="n">
        <v>992</v>
      </c>
      <c r="L180" s="4" t="n">
        <v>300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 접근성좋은 위치 단독공장 즉시입주가능</t>
        </is>
      </c>
      <c r="Q180" s="6">
        <f>HYPERLINK("https://fin.land.naver.com/articles/2654142418",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996</v>
      </c>
      <c r="L181" s="4" t="n">
        <v>301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신축대형창고 진출입 매우 편리</t>
        </is>
      </c>
      <c r="Q181" s="6">
        <f>HYPERLINK("https://fin.land.naver.com/articles/2651995817",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45034</v>
      </c>
      <c r="I182" s="4" t="n">
        <v>13623</v>
      </c>
      <c r="J182" s="5" t="n">
        <v>0.4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물류창고 임대</t>
        </is>
      </c>
      <c r="Q182" s="6">
        <f>HYPERLINK("https://fin.land.naver.com/articles/2652355624",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6701</v>
      </c>
      <c r="L183" s="4" t="n">
        <v>2027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소음걱정 없는 대형 물류창고 임대 대형차 진출입 용이 도크설치 완료</t>
        </is>
      </c>
      <c r="Q183" s="6">
        <f>HYPERLINK("https://fin.land.naver.com/articles/2649685752",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17187</v>
      </c>
      <c r="I184" s="4" t="n">
        <v>5199</v>
      </c>
      <c r="J184" s="5" t="n">
        <v>1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 10분거리 단독 대형 물류창고  도크시설 완비</t>
        </is>
      </c>
      <c r="Q184" s="6">
        <f>HYPERLINK("https://fin.land.naver.com/articles/2655177920",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더원</t>
        </is>
      </c>
      <c r="U184" s="4" t="n">
        <v>2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196</v>
      </c>
      <c r="L186" s="4" t="n">
        <v>59</v>
      </c>
      <c r="M186" s="5" t="n">
        <v>2.5</v>
      </c>
      <c r="N186" s="3" t="inlineStr">
        <is>
          <t>1</t>
        </is>
      </c>
      <c r="O186" s="3" t="inlineStr">
        <is>
          <t>-</t>
        </is>
      </c>
      <c r="P186" s="3" t="inlineStr">
        <is>
          <t>즉시입주가능, 민원소지없는 2종근생제조업, 준식축급공장</t>
        </is>
      </c>
      <c r="Q186" s="6">
        <f>HYPERLINK("https://fin.land.naver.com/articles/2652908776",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세종복댕이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계확관리지역 내 제2종근생 제조업소</t>
        </is>
      </c>
      <c r="Q187" s="6">
        <f>HYPERLINK("https://fin.land.naver.com/articles/2655152936",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새로이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2000</v>
      </c>
      <c r="G189" s="4" t="n">
        <v>150</v>
      </c>
      <c r="H189" s="4" t="n">
        <v>1808</v>
      </c>
      <c r="I189" s="4" t="n">
        <v>547</v>
      </c>
      <c r="J189" s="5" t="n">
        <v>0.3</v>
      </c>
      <c r="K189" s="4" t="n">
        <v>186</v>
      </c>
      <c r="L189" s="4" t="n">
        <v>56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건물 56형 현재 공실 2종근생 제조업</t>
        </is>
      </c>
      <c r="Q189" s="6">
        <f>HYPERLINK("https://fin.land.naver.com/articles/2654155033",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위더스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매매</t>
        </is>
      </c>
      <c r="F190" s="4" t="n">
        <v>270000</v>
      </c>
      <c r="G190" s="4" t="n">
        <v>0</v>
      </c>
      <c r="H190" s="4" t="n">
        <v>5897</v>
      </c>
      <c r="I190" s="4" t="n">
        <v>1784</v>
      </c>
      <c r="J190" s="5" t="n">
        <v>151.3</v>
      </c>
      <c r="K190" s="4" t="n">
        <v>1920</v>
      </c>
      <c r="L190" s="4" t="n">
        <v>581</v>
      </c>
      <c r="M190" s="5" t="n">
        <v>464.7</v>
      </c>
      <c r="N190" s="3" t="inlineStr">
        <is>
          <t>1</t>
        </is>
      </c>
      <c r="O190" s="3" t="inlineStr">
        <is>
          <t>-</t>
        </is>
      </c>
      <c r="P190" s="3" t="inlineStr">
        <is>
          <t>신축공장 매매,청주 I.C 11분, 남청주 I.C 14분 거리 대형차진출</t>
        </is>
      </c>
      <c r="Q190" s="6">
        <f>HYPERLINK("https://fin.land.naver.com/articles/2655143258",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플러스자이합동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매매</t>
        </is>
      </c>
      <c r="F191" s="4" t="n">
        <v>140000</v>
      </c>
      <c r="G191" s="4" t="n">
        <v>0</v>
      </c>
      <c r="H191" s="4" t="n">
        <v>2645</v>
      </c>
      <c r="I191" s="4" t="n">
        <v>800</v>
      </c>
      <c r="J191" s="5" t="n">
        <v>175</v>
      </c>
      <c r="K191" s="4" t="n">
        <v>921</v>
      </c>
      <c r="L191" s="4" t="n">
        <v>279</v>
      </c>
      <c r="M191" s="5" t="n">
        <v>501.8</v>
      </c>
      <c r="N191" s="3" t="inlineStr">
        <is>
          <t>1</t>
        </is>
      </c>
      <c r="O191" s="3" t="inlineStr">
        <is>
          <t>-</t>
        </is>
      </c>
      <c r="P191" s="3" t="inlineStr">
        <is>
          <t>남청주ic 15분 신축 한동 279 층고 10.65m 소음업종가능</t>
        </is>
      </c>
      <c r="Q191" s="6">
        <f>HYPERLINK("https://fin.land.naver.com/articles/2654806126",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2948</v>
      </c>
      <c r="I192" s="4" t="n">
        <v>892</v>
      </c>
      <c r="J192" s="5" t="n">
        <v>0.8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신축단독공장,2차선인접,민원소지적고 대형차 진출입용이</t>
        </is>
      </c>
      <c r="Q192" s="6">
        <f>HYPERLINK("https://fin.land.naver.com/articles/2649545059",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세종복댕이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140000</v>
      </c>
      <c r="G193" s="4" t="n">
        <v>0</v>
      </c>
      <c r="H193" s="4" t="n">
        <v>2948</v>
      </c>
      <c r="I193" s="4" t="n">
        <v>892</v>
      </c>
      <c r="J193" s="5" t="n">
        <v>157</v>
      </c>
      <c r="K193" s="4" t="n">
        <v>998</v>
      </c>
      <c r="L193" s="4" t="n">
        <v>302</v>
      </c>
      <c r="M193" s="5" t="n">
        <v>463.6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신축단독공장,2차선인접,민원소지적고 대형차 진출입용이</t>
        </is>
      </c>
      <c r="Q193" s="6">
        <f>HYPERLINK("https://fin.land.naver.com/articles/2649544266",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세종복댕이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4470</v>
      </c>
      <c r="I194" s="4" t="n">
        <v>1352</v>
      </c>
      <c r="J194" s="5" t="n">
        <v>0.5</v>
      </c>
      <c r="K194" s="4" t="n">
        <v>1983</v>
      </c>
      <c r="L194" s="4" t="n">
        <v>600</v>
      </c>
      <c r="M194" s="5" t="n">
        <v>1.1</v>
      </c>
      <c r="N194" s="3" t="inlineStr">
        <is>
          <t>1</t>
        </is>
      </c>
      <c r="O194" s="3" t="inlineStr">
        <is>
          <t>-</t>
        </is>
      </c>
      <c r="P194" s="3" t="inlineStr">
        <is>
          <t>준공예정인 신축창고공장 임대. 총 600형 2개동으로 사용가능</t>
        </is>
      </c>
      <c r="Q194" s="6">
        <f>HYPERLINK("https://fin.land.naver.com/articles/2654143060",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태광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280000</v>
      </c>
      <c r="G195" s="4" t="n">
        <v>0</v>
      </c>
      <c r="H195" s="4" t="n">
        <v>5897</v>
      </c>
      <c r="I195" s="4" t="n">
        <v>1784</v>
      </c>
      <c r="J195" s="5" t="n">
        <v>157</v>
      </c>
      <c r="K195" s="4" t="n">
        <v>1920</v>
      </c>
      <c r="L195" s="4" t="n">
        <v>581</v>
      </c>
      <c r="M195" s="5" t="n">
        <v>481.9</v>
      </c>
      <c r="N195" s="3" t="inlineStr">
        <is>
          <t>1</t>
        </is>
      </c>
      <c r="O195" s="3" t="inlineStr">
        <is>
          <t>-</t>
        </is>
      </c>
      <c r="P195" s="3" t="inlineStr">
        <is>
          <t>사진有 공장 매매</t>
        </is>
      </c>
      <c r="Q195" s="6">
        <f>HYPERLINK("https://fin.land.naver.com/articles/2652007789",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4470</v>
      </c>
      <c r="I196" s="4" t="n">
        <v>1352</v>
      </c>
      <c r="J196" s="5" t="n">
        <v>0.5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층고높아 물류창고로 적합한 신축공장</t>
        </is>
      </c>
      <c r="Q196" s="6">
        <f>HYPERLINK("https://fin.land.naver.com/articles/2654861003",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창고의여왕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4470</v>
      </c>
      <c r="I197" s="4" t="n">
        <v>1352</v>
      </c>
      <c r="J197" s="5" t="n">
        <v>0.5</v>
      </c>
      <c r="K197" s="4" t="n">
        <v>992</v>
      </c>
      <c r="L197" s="4" t="n">
        <v>300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사진 有, 신축 중인 1개동에 300형씩 임대, 2개동 사용 가능</t>
        </is>
      </c>
      <c r="Q197" s="6">
        <f>HYPERLINK("https://fin.land.naver.com/articles/2651592763",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태성</t>
        </is>
      </c>
      <c r="U197" s="4" t="n">
        <v>2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259-8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월세</t>
        </is>
      </c>
      <c r="F198" s="4" t="n">
        <v>7000</v>
      </c>
      <c r="G198" s="4" t="n">
        <v>690</v>
      </c>
      <c r="H198" s="4" t="n">
        <v>2720</v>
      </c>
      <c r="I198" s="4" t="n">
        <v>823</v>
      </c>
      <c r="J198" s="5" t="n">
        <v>0.8</v>
      </c>
      <c r="K198" s="4" t="n">
        <v>998</v>
      </c>
      <c r="L198" s="4" t="n">
        <v>302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공장 임대</t>
        </is>
      </c>
      <c r="Q198" s="6">
        <f>HYPERLINK("https://fin.land.naver.com/articles/2653030214", "매물Link")</f>
        <v/>
      </c>
      <c r="R198" s="6">
        <f>HYPERLINK("https://map.naver.com/p/search/남이면 구미리 259-8", "지도Link")</f>
        <v/>
      </c>
      <c r="S198" s="6">
        <f>HYPERLINK("http://www.eum.go.kr/web/ar/lu/luLandDet.jsp?pnu=4311231027102590008&amp;isNoScr=script&amp;mode=search",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4.4</v>
      </c>
      <c r="W198" s="4" t="n">
        <v>1427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260-1</t>
        </is>
      </c>
      <c r="B199" s="3" t="inlineStr">
        <is>
          <t>계획관리지역</t>
        </is>
      </c>
      <c r="C199" s="3" t="inlineStr">
        <is>
          <t>전</t>
        </is>
      </c>
      <c r="D199" s="3" t="inlineStr">
        <is>
          <t>창고</t>
        </is>
      </c>
      <c r="E199" s="3" t="inlineStr">
        <is>
          <t>월세</t>
        </is>
      </c>
      <c r="F199" s="4" t="n">
        <v>14000</v>
      </c>
      <c r="G199" s="4" t="n">
        <v>1400</v>
      </c>
      <c r="H199" s="4" t="n">
        <v>4958</v>
      </c>
      <c r="I199" s="4" t="n">
        <v>1500</v>
      </c>
      <c r="J199" s="5" t="n">
        <v>0.9</v>
      </c>
      <c r="K199" s="4" t="n">
        <v>1983</v>
      </c>
      <c r="L199" s="4" t="n">
        <v>600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신축 예정인 창고 임대</t>
        </is>
      </c>
      <c r="Q199" s="6">
        <f>HYPERLINK("https://fin.land.naver.com/articles/2649684395", "매물Link")</f>
        <v/>
      </c>
      <c r="R199" s="6">
        <f>HYPERLINK("https://map.naver.com/p/search/남이면 구미리 260-1", "지도Link")</f>
        <v/>
      </c>
      <c r="S199" s="6">
        <f>HYPERLINK("http://www.eum.go.kr/web/ar/lu/luLandDet.jsp?pnu=4311231027102600001&amp;isNoScr=script&amp;mode=search", "토지이음")</f>
        <v/>
      </c>
      <c r="T199" s="3" t="inlineStr">
        <is>
          <t>태광</t>
        </is>
      </c>
      <c r="U199" s="4" t="n">
        <v>1</v>
      </c>
      <c r="V199" s="5" t="n">
        <v>16.9</v>
      </c>
      <c r="W199" s="4" t="n">
        <v>1623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사진有 대형창고 임대</t>
        </is>
      </c>
      <c r="Q200" s="6">
        <f>HYPERLINK("https://fin.land.naver.com/articles/2652355457",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남청주ic 10분 대형차 진출입 편리한 대형 물류창고 렉설치</t>
        </is>
      </c>
      <c r="Q201" s="6">
        <f>HYPERLINK("https://fin.land.naver.com/articles/2655177049",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더원</t>
        </is>
      </c>
      <c r="U201" s="4" t="n">
        <v>4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8000</v>
      </c>
      <c r="H202" s="4" t="n">
        <v>24837</v>
      </c>
      <c r="I202" s="4" t="n">
        <v>7513</v>
      </c>
      <c r="J202" s="5" t="n">
        <v>1.1</v>
      </c>
      <c r="K202" s="4" t="n">
        <v>9878</v>
      </c>
      <c r="L202" s="4" t="n">
        <v>2988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남청주IC인접.물류 이동 최적.넓은 규모의 대형창고.물류창고</t>
        </is>
      </c>
      <c r="Q202" s="6">
        <f>HYPERLINK("https://fin.land.naver.com/articles/2654721266", "매물Link")</f>
        <v/>
      </c>
      <c r="R202" s="6">
        <f>HYPERLINK("https://map.naver.com/p/search/남이면 구미리 277", "지도Link")</f>
        <v/>
      </c>
      <c r="S202" s="6">
        <f>HYPERLINK("http://www.eum.go.kr/web/ar/lu/luLandDet.jsp?pnu=4311231027102770000&amp;isNoScr=script&amp;mode=search", "토지이음")</f>
        <v/>
      </c>
      <c r="T202" s="3" t="inlineStr">
        <is>
          <t>재일</t>
        </is>
      </c>
      <c r="U202" s="4" t="n">
        <v>3</v>
      </c>
      <c r="V202" s="5" t="n">
        <v>43.5</v>
      </c>
      <c r="W202" s="4" t="n">
        <v>24837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277-2</t>
        </is>
      </c>
      <c r="B203" s="3" t="inlineStr">
        <is>
          <t>계획관리지역</t>
        </is>
      </c>
      <c r="C203" s="3" t="inlineStr">
        <is>
          <t>창고용지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80000</v>
      </c>
      <c r="G203" s="4" t="n">
        <v>8100</v>
      </c>
      <c r="H203" s="4" t="n">
        <v>16565</v>
      </c>
      <c r="I203" s="4" t="n">
        <v>5011</v>
      </c>
      <c r="J203" s="5" t="n">
        <v>1.6</v>
      </c>
      <c r="K203" s="4" t="n">
        <v>9900</v>
      </c>
      <c r="L203" s="4" t="n">
        <v>2995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HYPERLINK("https://fin.land.naver.com/articles/2649719038", "매물Link")</f>
        <v/>
      </c>
      <c r="R203" s="6">
        <f>HYPERLINK("https://map.naver.com/p/search/남이면 구미리 277-2", "지도Link")</f>
        <v/>
      </c>
      <c r="S203" s="6">
        <f>HYPERLINK("http://www.eum.go.kr/web/ar/lu/luLandDet.jsp?pnu=4311231027102770002&amp;isNoScr=script&amp;mode=search", "토지이음")</f>
        <v/>
      </c>
      <c r="T203" s="3" t="inlineStr">
        <is>
          <t>더행복</t>
        </is>
      </c>
      <c r="U203" s="4" t="n">
        <v>1</v>
      </c>
      <c r="V203" s="5" t="n">
        <v>43</v>
      </c>
      <c r="W203" s="4" t="n">
        <v>16565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28-5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450000</v>
      </c>
      <c r="G204" s="4" t="n">
        <v>0</v>
      </c>
      <c r="H204" s="4" t="n">
        <v>14324</v>
      </c>
      <c r="I204" s="4" t="n">
        <v>4333</v>
      </c>
      <c r="J204" s="5" t="n">
        <v>103.9</v>
      </c>
      <c r="K204" s="4" t="n">
        <v>864</v>
      </c>
      <c r="L204" s="4" t="n">
        <v>261</v>
      </c>
      <c r="M204" s="5" t="n">
        <v>1724.1</v>
      </c>
      <c r="N204" s="3" t="inlineStr">
        <is>
          <t>1</t>
        </is>
      </c>
      <c r="O204" s="3" t="inlineStr">
        <is>
          <t>-</t>
        </is>
      </c>
      <c r="P204" s="3" t="inlineStr">
        <is>
          <t>주요도시로 진출입 및 이동이 편리한 위치, 활용도 좋은 넓은 토지</t>
        </is>
      </c>
      <c r="Q204" s="6">
        <f>HYPERLINK("https://fin.land.naver.com/articles/2651587386", "매물Link")</f>
        <v/>
      </c>
      <c r="R204" s="6">
        <f>HYPERLINK("https://map.naver.com/p/search/남이면 구미리 28-5", "지도Link")</f>
        <v/>
      </c>
      <c r="S204" s="6">
        <f>HYPERLINK("http://www.eum.go.kr/web/ar/lu/luLandDet.jsp?pnu=4311231027100280005&amp;isNoScr=script&amp;mode=search",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44.6</v>
      </c>
      <c r="W204" s="4" t="n">
        <v>5540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청주공장임대 600제곱미터 보증금4500만원 월450만원 부가세 별도</t>
        </is>
      </c>
      <c r="Q205" s="6">
        <f>HYPERLINK("https://fin.land.naver.com/articles/2650552499",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대박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1392</v>
      </c>
      <c r="L206" s="4" t="n">
        <v>421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대형차량 진출입 편리.넉넉한 작업적재 공간</t>
        </is>
      </c>
      <c r="Q206" s="6">
        <f>HYPERLINK("https://fin.land.naver.com/articles/2654718173",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재일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창고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600</v>
      </c>
      <c r="L207" s="4" t="n">
        <v>182</v>
      </c>
      <c r="M207" s="5" t="n">
        <v>2.5</v>
      </c>
      <c r="N207" s="3" t="inlineStr">
        <is>
          <t>1</t>
        </is>
      </c>
      <c r="O207" s="3" t="inlineStr">
        <is>
          <t>-</t>
        </is>
      </c>
      <c r="P207" s="3" t="inlineStr">
        <is>
          <t>층고가 높아 3단 적재도 충분한 창고</t>
        </is>
      </c>
      <c r="Q207" s="6">
        <f>HYPERLINK("https://fin.land.naver.com/articles/2652900624",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창고의여왕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구암리 308-16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월세</t>
        </is>
      </c>
      <c r="F208" s="4" t="n">
        <v>3000</v>
      </c>
      <c r="G208" s="4" t="n">
        <v>300</v>
      </c>
      <c r="H208" s="4" t="n">
        <v>3524</v>
      </c>
      <c r="I208" s="4" t="n">
        <v>1066</v>
      </c>
      <c r="J208" s="5" t="n">
        <v>0.3</v>
      </c>
      <c r="K208" s="4" t="n">
        <v>270</v>
      </c>
      <c r="L208" s="4" t="n">
        <v>82</v>
      </c>
      <c r="M208" s="5" t="n">
        <v>3.7</v>
      </c>
      <c r="N208" s="3" t="inlineStr">
        <is>
          <t>1</t>
        </is>
      </c>
      <c r="O208" s="3" t="inlineStr">
        <is>
          <t>-</t>
        </is>
      </c>
      <c r="P208" s="3" t="inlineStr">
        <is>
          <t>건물 82형 대지 500형 단독건물</t>
        </is>
      </c>
      <c r="Q208" s="6">
        <f>HYPERLINK("https://fin.land.naver.com/articles/2654732218", "매물Link")</f>
        <v/>
      </c>
      <c r="R208" s="6">
        <f>HYPERLINK("https://map.naver.com/p/search/남이면 구암리 308-16", "지도Link")</f>
        <v/>
      </c>
      <c r="S208" s="6">
        <f>HYPERLINK("http://www.eum.go.kr/web/ar/lu/luLandDet.jsp?pnu=4311231032103080016&amp;isNoScr=script&amp;mode=search", "토지이음")</f>
        <v/>
      </c>
      <c r="T208" s="3" t="inlineStr">
        <is>
          <t>위더스</t>
        </is>
      </c>
      <c r="U208" s="4" t="n">
        <v>1</v>
      </c>
      <c r="V208" s="5" t="n">
        <v>49.5</v>
      </c>
      <c r="W208" s="4" t="n">
        <v>3524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대련리 270-1</t>
        </is>
      </c>
      <c r="B209" s="3" t="inlineStr">
        <is>
          <t>자연녹지지역</t>
        </is>
      </c>
      <c r="C209" s="3" t="inlineStr">
        <is>
          <t>잡종지</t>
        </is>
      </c>
      <c r="D209" s="3" t="inlineStr">
        <is>
          <t>창고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2066</v>
      </c>
      <c r="I209" s="4" t="n">
        <v>625</v>
      </c>
      <c r="J209" s="5" t="n">
        <v>416</v>
      </c>
      <c r="K209" s="4" t="n">
        <v>494</v>
      </c>
      <c r="L209" s="4" t="n">
        <v>149</v>
      </c>
      <c r="M209" s="5" t="n">
        <v>1745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창고 매매</t>
        </is>
      </c>
      <c r="Q209" s="6">
        <f>HYPERLINK("https://fin.land.naver.com/articles/2650521790", "매물Link")</f>
        <v/>
      </c>
      <c r="R209" s="6">
        <f>HYPERLINK("https://map.naver.com/p/search/남이면 대련리 270-1", "지도Link")</f>
        <v/>
      </c>
      <c r="S209" s="6">
        <f>HYPERLINK("http://www.eum.go.kr/web/ar/lu/luLandDet.jsp?pnu=4311231035102700001&amp;isNoScr=script&amp;mode=search",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86</v>
      </c>
      <c r="W209" s="4" t="n">
        <v>987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중로한면</t>
        </is>
      </c>
    </row>
    <row r="210">
      <c r="A210" s="3" t="inlineStr">
        <is>
          <t>남이면 대련리 57-1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월세</t>
        </is>
      </c>
      <c r="F210" s="4" t="n">
        <v>4000</v>
      </c>
      <c r="G210" s="4" t="n">
        <v>420</v>
      </c>
      <c r="H210" s="4" t="n">
        <v>2415</v>
      </c>
      <c r="I210" s="4" t="n">
        <v>731</v>
      </c>
      <c r="J210" s="5" t="n">
        <v>0.6</v>
      </c>
      <c r="K210" s="4" t="n">
        <v>534</v>
      </c>
      <c r="L210" s="4" t="n">
        <v>162</v>
      </c>
      <c r="M210" s="5" t="n">
        <v>2.6</v>
      </c>
      <c r="N210" s="3" t="inlineStr">
        <is>
          <t>2</t>
        </is>
      </c>
      <c r="O210" s="3" t="inlineStr">
        <is>
          <t>-</t>
        </is>
      </c>
      <c r="P210" s="3" t="inlineStr">
        <is>
          <t>사진有 공장 임대</t>
        </is>
      </c>
      <c r="Q210" s="6">
        <f>HYPERLINK("https://fin.land.naver.com/articles/2653028674", "매물Link")</f>
        <v/>
      </c>
      <c r="R210" s="6">
        <f>HYPERLINK("https://map.naver.com/p/search/남이면 대련리 57-1", "지도Link")</f>
        <v/>
      </c>
      <c r="S210" s="6">
        <f>HYPERLINK("http://www.eum.go.kr/web/ar/lu/luLandDet.jsp?pnu=4311231035100570001&amp;isNoScr=script&amp;mode=search",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87.59999999999999</v>
      </c>
      <c r="W210" s="4" t="n">
        <v>2687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9275</v>
      </c>
      <c r="I211" s="4" t="n">
        <v>2806</v>
      </c>
      <c r="J211" s="5" t="n">
        <v>188.9</v>
      </c>
      <c r="K211" s="4" t="n">
        <v>1488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청주JC인근, 대형차 진출입 양호, 층고 8.5m의 공장과 근생건물</t>
        </is>
      </c>
      <c r="Q211" s="6">
        <f>HYPERLINK("https://fin.land.naver.com/articles/2650621151",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(주)미르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57-4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7706</v>
      </c>
      <c r="I212" s="4" t="n">
        <v>2331</v>
      </c>
      <c r="J212" s="5" t="n">
        <v>227.4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HYPERLINK("https://fin.land.naver.com/articles/2650518771", "매물Link")</f>
        <v/>
      </c>
      <c r="R212" s="6">
        <f>HYPERLINK("https://map.naver.com/p/search/남이면 대련리 57-4", "지도Link")</f>
        <v/>
      </c>
      <c r="S212" s="6">
        <f>HYPERLINK("http://www.eum.go.kr/web/ar/lu/luLandDet.jsp?pnu=4311231035100570004&amp;isNoScr=script&amp;mode=search",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76.09999999999999</v>
      </c>
      <c r="W212" s="4" t="n">
        <v>2454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57-8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530000</v>
      </c>
      <c r="G213" s="4" t="n">
        <v>0</v>
      </c>
      <c r="H213" s="4" t="n">
        <v>7870</v>
      </c>
      <c r="I213" s="4" t="n">
        <v>2381</v>
      </c>
      <c r="J213" s="5" t="n">
        <v>222.6</v>
      </c>
      <c r="K213" s="4" t="n">
        <v>1489</v>
      </c>
      <c r="L213" s="4" t="n">
        <v>450</v>
      </c>
      <c r="M213" s="5" t="n">
        <v>1177.8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4개동으로 구성, 대형차량 진출입 편리한 공장 매매</t>
        </is>
      </c>
      <c r="Q213" s="6">
        <f>HYPERLINK("https://fin.land.naver.com/articles/2651026028", "매물Link")</f>
        <v/>
      </c>
      <c r="R213" s="6">
        <f>HYPERLINK("https://map.naver.com/p/search/남이면 대련리 57-8", "지도Link")</f>
        <v/>
      </c>
      <c r="S213" s="6">
        <f>HYPERLINK("http://www.eum.go.kr/web/ar/lu/luLandDet.jsp?pnu=4311231035100570008&amp;isNoScr=script&amp;mode=search", "토지이음")</f>
        <v/>
      </c>
      <c r="T213" s="3" t="inlineStr">
        <is>
          <t>금화랜드</t>
        </is>
      </c>
      <c r="U213" s="4" t="n">
        <v>1</v>
      </c>
      <c r="V213" s="5" t="n">
        <v>72.3</v>
      </c>
      <c r="W213" s="4" t="n">
        <v>722.5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2500</v>
      </c>
      <c r="G214" s="4" t="n">
        <v>230</v>
      </c>
      <c r="H214" s="4" t="n">
        <v>1842</v>
      </c>
      <c r="I214" s="4" t="n">
        <v>557</v>
      </c>
      <c r="J214" s="5" t="n">
        <v>0.4</v>
      </c>
      <c r="K214" s="4" t="n">
        <v>494</v>
      </c>
      <c r="L214" s="4" t="n">
        <v>149</v>
      </c>
      <c r="M214" s="5" t="n">
        <v>1.5</v>
      </c>
      <c r="N214" s="3" t="inlineStr">
        <is>
          <t>2</t>
        </is>
      </c>
      <c r="O214" s="3" t="inlineStr">
        <is>
          <t>-</t>
        </is>
      </c>
      <c r="P214" s="3" t="inlineStr">
        <is>
          <t>1층 100형 마당400형</t>
        </is>
      </c>
      <c r="Q214" s="6">
        <f>HYPERLINK("https://fin.land.naver.com/articles/2650897432",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위더스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대련리 86-1</t>
        </is>
      </c>
      <c r="B215" s="3" t="inlineStr">
        <is>
          <t>자연녹지지역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165000</v>
      </c>
      <c r="G215" s="4" t="n">
        <v>0</v>
      </c>
      <c r="H215" s="4" t="n">
        <v>2139</v>
      </c>
      <c r="I215" s="4" t="n">
        <v>647</v>
      </c>
      <c r="J215" s="5" t="n">
        <v>255</v>
      </c>
      <c r="K215" s="4" t="n">
        <v>494</v>
      </c>
      <c r="L215" s="4" t="n">
        <v>149</v>
      </c>
      <c r="M215" s="5" t="n">
        <v>1107.4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사진有, 1층 3톤 호이스트, 2층 사무실 큰 대로변에서 바로 진입</t>
        </is>
      </c>
      <c r="Q215" s="6">
        <f>HYPERLINK("https://fin.land.naver.com/articles/2649553554", "매물Link")</f>
        <v/>
      </c>
      <c r="R215" s="6">
        <f>HYPERLINK("https://map.naver.com/p/search/남이면 대련리 86-1", "지도Link")</f>
        <v/>
      </c>
      <c r="S215" s="6">
        <f>HYPERLINK("http://www.eum.go.kr/web/ar/lu/luLandDet.jsp?pnu=4311231035100860001&amp;isNoScr=script&amp;mode=search", "토지이음")</f>
        <v/>
      </c>
      <c r="T215" s="3" t="inlineStr">
        <is>
          <t>태성</t>
        </is>
      </c>
      <c r="U215" s="4" t="n">
        <v>1</v>
      </c>
      <c r="V215" s="5" t="n">
        <v>71.8</v>
      </c>
      <c r="W215" s="4" t="n">
        <v>1842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부용외천리 528-2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252000</v>
      </c>
      <c r="G216" s="4" t="n">
        <v>0</v>
      </c>
      <c r="H216" s="4" t="n">
        <v>2312</v>
      </c>
      <c r="I216" s="4" t="n">
        <v>699</v>
      </c>
      <c r="J216" s="5" t="n">
        <v>360.5</v>
      </c>
      <c r="K216" s="4" t="n">
        <v>1000</v>
      </c>
      <c r="L216" s="4" t="n">
        <v>302</v>
      </c>
      <c r="M216" s="5" t="n">
        <v>834.4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2분 거리, 사무실 신축 급 리모델링 완료</t>
        </is>
      </c>
      <c r="Q216" s="6">
        <f>HYPERLINK("https://fin.land.naver.com/articles/2653823626", "매물Link")</f>
        <v/>
      </c>
      <c r="R216" s="6">
        <f>HYPERLINK("https://map.naver.com/p/search/남이면 부용외천리 528-2", "지도Link")</f>
        <v/>
      </c>
      <c r="S216" s="6">
        <f>HYPERLINK("http://www.eum.go.kr/web/ar/lu/luLandDet.jsp?pnu=4311231040105280002&amp;isNoScr=script&amp;mode=search", "토지이음")</f>
        <v/>
      </c>
      <c r="T216" s="3" t="inlineStr">
        <is>
          <t>SK2</t>
        </is>
      </c>
      <c r="U216" s="4" t="n">
        <v>1</v>
      </c>
      <c r="V216" s="5" t="n">
        <v>79.7</v>
      </c>
      <c r="W216" s="4" t="n">
        <v>2312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796-1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15000</v>
      </c>
      <c r="G217" s="4" t="n">
        <v>1340</v>
      </c>
      <c r="H217" s="4" t="n">
        <v>6011</v>
      </c>
      <c r="I217" s="4" t="n">
        <v>1818</v>
      </c>
      <c r="J217" s="5" t="n">
        <v>0.7</v>
      </c>
      <c r="K217" s="4" t="n">
        <v>2119</v>
      </c>
      <c r="L217" s="4" t="n">
        <v>641</v>
      </c>
      <c r="M217" s="5" t="n">
        <v>2.1</v>
      </c>
      <c r="N217" s="3" t="inlineStr">
        <is>
          <t>2</t>
        </is>
      </c>
      <c r="O217" s="3" t="inlineStr">
        <is>
          <t>-</t>
        </is>
      </c>
      <c r="P217" s="3" t="inlineStr">
        <is>
          <t>사진有 공장 임대</t>
        </is>
      </c>
      <c r="Q217" s="6">
        <f>HYPERLINK("https://fin.land.naver.com/articles/2653027548", "매물Link")</f>
        <v/>
      </c>
      <c r="R217" s="6">
        <f>HYPERLINK("https://map.naver.com/p/search/남이면 부용외천리 796-1", "지도Link")</f>
        <v/>
      </c>
      <c r="S217" s="6">
        <f>HYPERLINK("http://www.eum.go.kr/web/ar/lu/luLandDet.jsp?pnu=4311231040107960001&amp;isNoScr=script&amp;mode=search",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56.6</v>
      </c>
      <c r="W217" s="4" t="n">
        <v>1782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860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인접 광고효과 가시성 최상인 위치  증축가능</t>
        </is>
      </c>
      <c r="Q218" s="6">
        <f>HYPERLINK("https://fin.land.naver.com/articles/2650936981", "매물Link")</f>
        <v/>
      </c>
      <c r="R218" s="6">
        <f>HYPERLINK("https://map.naver.com/p/search/남이면 부용외천리 860", "지도Link")</f>
        <v/>
      </c>
      <c r="S218" s="6">
        <f>HYPERLINK("http://www.eum.go.kr/web/ar/lu/luLandDet.jsp?pnu=4311231040108600000&amp;isNoScr=script&amp;mode=search",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73.40000000000001</v>
      </c>
      <c r="W218" s="4" t="n">
        <v>252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공장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인근, 광고효과좋은 공장 매매</t>
        </is>
      </c>
      <c r="Q219" s="6">
        <f>HYPERLINK("https://fin.land.naver.com/articles/2649505420",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금화랜드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부근으로 대형차 진출입이 용이한 곳, 가시성이 뛰어난 곳</t>
        </is>
      </c>
      <c r="Q220" s="6">
        <f>HYPERLINK("https://fin.land.naver.com/articles/2651585740", "매물Link")</f>
        <v/>
      </c>
      <c r="R220" s="6">
        <f>HYPERLINK("https://map.naver.com/p/search/남이면 부용외천리 862", "지도Link")</f>
        <v/>
      </c>
      <c r="S220" s="6">
        <f>HYPERLINK("http://www.eum.go.kr/web/ar/lu/luLandDet.jsp?pnu=4311231040108620000&amp;isNoScr=script&amp;mode=search",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73.40000000000001</v>
      </c>
      <c r="W220" s="4" t="n">
        <v>1261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864-1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3684</v>
      </c>
      <c r="I221" s="4" t="n">
        <v>1114</v>
      </c>
      <c r="J221" s="5" t="n">
        <v>0.3</v>
      </c>
      <c r="K221" s="4" t="n">
        <v>407</v>
      </c>
      <c r="L221" s="4" t="n">
        <v>123</v>
      </c>
      <c r="M221" s="5" t="n">
        <v>2.4</v>
      </c>
      <c r="N221" s="3" t="inlineStr">
        <is>
          <t>1</t>
        </is>
      </c>
      <c r="O221" s="3" t="inlineStr">
        <is>
          <t>B1</t>
        </is>
      </c>
      <c r="P221" s="3" t="inlineStr">
        <is>
          <t>nan</t>
        </is>
      </c>
      <c r="Q221" s="6">
        <f>HYPERLINK("https://fin.land.naver.com/articles/2654654773", "매물Link")</f>
        <v/>
      </c>
      <c r="R221" s="6">
        <f>HYPERLINK("https://map.naver.com/p/search/남이면 부용외천리 864-1", "지도Link")</f>
        <v/>
      </c>
      <c r="S221" s="6">
        <f>HYPERLINK("http://www.eum.go.kr/web/ar/lu/luLandDet.jsp?pnu=4311231040108640001&amp;isNoScr=script&amp;mode=search", "토지이음")</f>
        <v/>
      </c>
      <c r="T221" s="3" t="inlineStr">
        <is>
          <t>지웰선우</t>
        </is>
      </c>
      <c r="U221" s="4" t="n">
        <v>1</v>
      </c>
      <c r="V221" s="5" t="n">
        <v>72</v>
      </c>
      <c r="W221" s="4" t="n">
        <v>3684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864-1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3684</v>
      </c>
      <c r="I222" s="4" t="n">
        <v>1114</v>
      </c>
      <c r="J222" s="5" t="n">
        <v>0.3</v>
      </c>
      <c r="K222" s="4" t="n">
        <v>408</v>
      </c>
      <c r="L222" s="4" t="n">
        <v>123</v>
      </c>
      <c r="M222" s="5" t="n">
        <v>2.4</v>
      </c>
      <c r="N222" s="3" t="inlineStr">
        <is>
          <t>1</t>
        </is>
      </c>
      <c r="O222" s="3" t="inlineStr">
        <is>
          <t>-</t>
        </is>
      </c>
      <c r="P222" s="3" t="inlineStr">
        <is>
          <t>남청주 톨게이트 인근, 접근성 용이한 공장 및 창고 임대</t>
        </is>
      </c>
      <c r="Q222" s="6">
        <f>HYPERLINK("https://fin.land.naver.com/articles/2649944451", "매물Link")</f>
        <v/>
      </c>
      <c r="R222" s="6">
        <f>HYPERLINK("https://map.naver.com/p/search/남이면 부용외천리 864-1", "지도Link")</f>
        <v/>
      </c>
      <c r="S222" s="6">
        <f>HYPERLINK("http://www.eum.go.kr/web/ar/lu/luLandDet.jsp?pnu=4311231040108640001&amp;isNoScr=script&amp;mode=search", "토지이음")</f>
        <v/>
      </c>
      <c r="T222" s="3" t="inlineStr">
        <is>
          <t>신탄진다온</t>
        </is>
      </c>
      <c r="U222" s="4" t="n">
        <v>1</v>
      </c>
      <c r="V222" s="5" t="n">
        <v>72</v>
      </c>
      <c r="W222" s="4" t="n">
        <v>3684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즉시 사용가능 남청주 IC 인근, 호이스트 6개 층고 10M 전력300K</t>
        </is>
      </c>
      <c r="Q224" s="6">
        <f>HYPERLINK("https://fin.land.naver.com/articles/2649563368",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대전토지로무소</t>
        </is>
      </c>
      <c r="U224" s="4" t="n">
        <v>1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870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300000</v>
      </c>
      <c r="G225" s="4" t="n">
        <v>0</v>
      </c>
      <c r="H225" s="4" t="n">
        <v>4210</v>
      </c>
      <c r="I225" s="4" t="n">
        <v>1274</v>
      </c>
      <c r="J225" s="5" t="n">
        <v>235.5</v>
      </c>
      <c r="K225" s="4" t="n">
        <v>1264</v>
      </c>
      <c r="L225" s="4" t="n">
        <v>382</v>
      </c>
      <c r="M225" s="5" t="n">
        <v>785.3</v>
      </c>
      <c r="N225" s="3" t="inlineStr">
        <is>
          <t>2</t>
        </is>
      </c>
      <c r="O225" s="3" t="inlineStr">
        <is>
          <t>-</t>
        </is>
      </c>
      <c r="P225" s="3" t="inlineStr">
        <is>
          <t>남청주IC 2분거리,호이스트 2.8톤6개,층고 높고 야드 넓어 활용도 큼</t>
        </is>
      </c>
      <c r="Q225" s="6">
        <f>HYPERLINK("https://fin.land.naver.com/articles/2654660502", "매물Link")</f>
        <v/>
      </c>
      <c r="R225" s="6">
        <f>HYPERLINK("https://map.naver.com/p/search/남이면 부용외천리 870", "지도Link")</f>
        <v/>
      </c>
      <c r="S225" s="6">
        <f>HYPERLINK("http://www.eum.go.kr/web/ar/lu/luLandDet.jsp?pnu=4311231040108700000&amp;isNoScr=script&amp;mode=search", "토지이음")</f>
        <v/>
      </c>
      <c r="T225" s="3" t="inlineStr">
        <is>
          <t>금화랜드</t>
        </is>
      </c>
      <c r="U225" s="4" t="n">
        <v>2</v>
      </c>
      <c r="V225" s="5" t="n">
        <v>75.09999999999999</v>
      </c>
      <c r="W225" s="4" t="n">
        <v>4210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91-1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56500</v>
      </c>
      <c r="G226" s="4" t="n">
        <v>0</v>
      </c>
      <c r="H226" s="4" t="n">
        <v>2334</v>
      </c>
      <c r="I226" s="4" t="n">
        <v>706</v>
      </c>
      <c r="J226" s="5" t="n">
        <v>80</v>
      </c>
      <c r="K226" s="4" t="n">
        <v>469</v>
      </c>
      <c r="L226" s="4" t="n">
        <v>142</v>
      </c>
      <c r="M226" s="5" t="n">
        <v>397.9</v>
      </c>
      <c r="N226" s="3" t="inlineStr">
        <is>
          <t>1</t>
        </is>
      </c>
      <c r="O226" s="3" t="inlineStr">
        <is>
          <t>-</t>
        </is>
      </c>
      <c r="P226" s="3" t="inlineStr">
        <is>
          <t>남이면 부용외천리 평단가 80만원 파격적인 매매금액</t>
        </is>
      </c>
      <c r="Q226" s="6">
        <f>HYPERLINK("https://fin.land.naver.com/articles/2652920027", "매물Link")</f>
        <v/>
      </c>
      <c r="R226" s="6">
        <f>HYPERLINK("https://map.naver.com/p/search/남이면 부용외천리 91-1", "지도Link")</f>
        <v/>
      </c>
      <c r="S226" s="6">
        <f>HYPERLINK("http://www.eum.go.kr/web/ar/lu/luLandDet.jsp?pnu=4311231040100910001&amp;isNoScr=script&amp;mode=search", "토지이음")</f>
        <v/>
      </c>
      <c r="T226" s="3" t="inlineStr">
        <is>
          <t>왕중왕기업</t>
        </is>
      </c>
      <c r="U226" s="4" t="n">
        <v>1</v>
      </c>
      <c r="V226" s="5" t="n">
        <v>37</v>
      </c>
      <c r="W226" s="4" t="n">
        <v>1736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91-1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50000</v>
      </c>
      <c r="G227" s="4" t="n">
        <v>0</v>
      </c>
      <c r="H227" s="4" t="n">
        <v>2334</v>
      </c>
      <c r="I227" s="4" t="n">
        <v>706</v>
      </c>
      <c r="J227" s="5" t="n">
        <v>70.8</v>
      </c>
      <c r="K227" s="4" t="n">
        <v>469</v>
      </c>
      <c r="L227" s="4" t="n">
        <v>142</v>
      </c>
      <c r="M227" s="5" t="n">
        <v>352.1</v>
      </c>
      <c r="N227" s="3" t="inlineStr">
        <is>
          <t>1</t>
        </is>
      </c>
      <c r="O227" s="3" t="inlineStr">
        <is>
          <t>B1</t>
        </is>
      </c>
      <c r="P227" s="3" t="inlineStr">
        <is>
          <t>가격조정 가능, 성장관리구역으로 지정된 지역으로 투자가치 높음</t>
        </is>
      </c>
      <c r="Q227" s="6">
        <f>HYPERLINK("https://fin.land.naver.com/articles/2653049407", "매물Link")</f>
        <v/>
      </c>
      <c r="R227" s="6">
        <f>HYPERLINK("https://map.naver.com/p/search/남이면 부용외천리 91-1", "지도Link")</f>
        <v/>
      </c>
      <c r="S227" s="6">
        <f>HYPERLINK("http://www.eum.go.kr/web/ar/lu/luLandDet.jsp?pnu=4311231040100910001&amp;isNoScr=script&amp;mode=search", "토지이음")</f>
        <v/>
      </c>
      <c r="T227" s="3" t="inlineStr">
        <is>
          <t>하경</t>
        </is>
      </c>
      <c r="U227" s="4" t="n">
        <v>1</v>
      </c>
      <c r="V227" s="5" t="n">
        <v>37</v>
      </c>
      <c r="W227" s="4" t="n">
        <v>1736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334-9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5000</v>
      </c>
      <c r="G228" s="4" t="n">
        <v>500</v>
      </c>
      <c r="H228" s="4" t="n">
        <v>3452</v>
      </c>
      <c r="I228" s="4" t="n">
        <v>1044</v>
      </c>
      <c r="J228" s="5" t="n">
        <v>0.5</v>
      </c>
      <c r="K228" s="4" t="n">
        <v>494</v>
      </c>
      <c r="L228" s="4" t="n">
        <v>149</v>
      </c>
      <c r="M228" s="5" t="n">
        <v>3.4</v>
      </c>
      <c r="N228" s="3" t="inlineStr">
        <is>
          <t>1</t>
        </is>
      </c>
      <c r="O228" s="3" t="inlineStr">
        <is>
          <t>-</t>
        </is>
      </c>
      <c r="P228" s="3" t="inlineStr">
        <is>
          <t>남청주 ic 13분 오송청주 세종 등 접근성 우수 호이스트 5톤 설치</t>
        </is>
      </c>
      <c r="Q228" s="6">
        <f>HYPERLINK("https://fin.land.naver.com/articles/2652344609", "매물Link")</f>
        <v/>
      </c>
      <c r="R228" s="6">
        <f>HYPERLINK("https://map.naver.com/p/search/남이면 비룡리 334-9", "지도Link")</f>
        <v/>
      </c>
      <c r="S228" s="6">
        <f>HYPERLINK("http://www.eum.go.kr/web/ar/lu/luLandDet.jsp?pnu=4311231026103340009&amp;isNoScr=script&amp;mode=search", "토지이음")</f>
        <v/>
      </c>
      <c r="T228" s="3" t="inlineStr">
        <is>
          <t>더원</t>
        </is>
      </c>
      <c r="U228" s="4" t="n">
        <v>1</v>
      </c>
      <c r="V228" s="5" t="n">
        <v>37.5</v>
      </c>
      <c r="W228" s="4" t="n">
        <v>3452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334-9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7000</v>
      </c>
      <c r="G229" s="4" t="n">
        <v>500</v>
      </c>
      <c r="H229" s="4" t="n">
        <v>3452</v>
      </c>
      <c r="I229" s="4" t="n">
        <v>1044</v>
      </c>
      <c r="J229" s="5" t="n">
        <v>0.5</v>
      </c>
      <c r="K229" s="4" t="n">
        <v>494</v>
      </c>
      <c r="L229" s="4" t="n">
        <v>149</v>
      </c>
      <c r="M229" s="5" t="n">
        <v>3.4</v>
      </c>
      <c r="N229" s="3" t="inlineStr">
        <is>
          <t>1</t>
        </is>
      </c>
      <c r="O229" s="3" t="inlineStr">
        <is>
          <t>-</t>
        </is>
      </c>
      <c r="P229" s="3" t="inlineStr">
        <is>
          <t>사진有. 5t호이스트, 금속가공업 등. 민원없는지역</t>
        </is>
      </c>
      <c r="Q229" s="6">
        <f>HYPERLINK("https://fin.land.naver.com/articles/2652010760", "매물Link")</f>
        <v/>
      </c>
      <c r="R229" s="6">
        <f>HYPERLINK("https://map.naver.com/p/search/남이면 비룡리 334-9", "지도Link")</f>
        <v/>
      </c>
      <c r="S229" s="6">
        <f>HYPERLINK("http://www.eum.go.kr/web/ar/lu/luLandDet.jsp?pnu=4311231026103340009&amp;isNoScr=script&amp;mode=search", "토지이음")</f>
        <v/>
      </c>
      <c r="T229" s="3" t="inlineStr">
        <is>
          <t>오너스</t>
        </is>
      </c>
      <c r="U229" s="4" t="n">
        <v>2</v>
      </c>
      <c r="V229" s="5" t="n">
        <v>37.5</v>
      </c>
      <c r="W229" s="4" t="n">
        <v>3452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비룡리 336-14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7500</v>
      </c>
      <c r="G230" s="4" t="n">
        <v>750</v>
      </c>
      <c r="H230" s="4" t="n">
        <v>4985</v>
      </c>
      <c r="I230" s="4" t="n">
        <v>1508</v>
      </c>
      <c r="J230" s="5" t="n">
        <v>0.5</v>
      </c>
      <c r="K230" s="4" t="n">
        <v>990</v>
      </c>
      <c r="L230" s="4" t="n">
        <v>299</v>
      </c>
      <c r="M230" s="5" t="n">
        <v>2.5</v>
      </c>
      <c r="N230" s="3" t="inlineStr">
        <is>
          <t>1</t>
        </is>
      </c>
      <c r="O230" s="3" t="inlineStr">
        <is>
          <t>-</t>
        </is>
      </c>
      <c r="P230" s="3" t="inlineStr">
        <is>
          <t>대형차량 진출입 매우 편리 넓은 단독마당 확보</t>
        </is>
      </c>
      <c r="Q230" s="6">
        <f>HYPERLINK("https://fin.land.naver.com/articles/2652789950", "매물Link")</f>
        <v/>
      </c>
      <c r="R230" s="6">
        <f>HYPERLINK("https://map.naver.com/p/search/남이면 비룡리 336-14", "지도Link")</f>
        <v/>
      </c>
      <c r="S230" s="6">
        <f>HYPERLINK("http://www.eum.go.kr/web/ar/lu/luLandDet.jsp?pnu=4311231026103360014&amp;isNoScr=script&amp;mode=search", "토지이음")</f>
        <v/>
      </c>
      <c r="T230" s="3" t="inlineStr">
        <is>
          <t>태광</t>
        </is>
      </c>
      <c r="U230" s="4" t="n">
        <v>2</v>
      </c>
      <c r="V230" s="5" t="n">
        <v>34.2</v>
      </c>
      <c r="W230" s="4" t="n">
        <v>4543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비룡리 336-18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7500</v>
      </c>
      <c r="G231" s="4" t="n">
        <v>750</v>
      </c>
      <c r="H231" s="4" t="n">
        <v>4960</v>
      </c>
      <c r="I231" s="4" t="n">
        <v>1500</v>
      </c>
      <c r="J231" s="5" t="n">
        <v>0.5</v>
      </c>
      <c r="K231" s="4" t="n">
        <v>990</v>
      </c>
      <c r="L231" s="4" t="n">
        <v>299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넓은 전용마당 확보된 근생창고공장 임대</t>
        </is>
      </c>
      <c r="Q231" s="6">
        <f>HYPERLINK("https://fin.land.naver.com/articles/2652786122", "매물Link")</f>
        <v/>
      </c>
      <c r="R231" s="6">
        <f>HYPERLINK("https://map.naver.com/p/search/남이면 비룡리 336-18", "지도Link")</f>
        <v/>
      </c>
      <c r="S231" s="6">
        <f>HYPERLINK("http://www.eum.go.kr/web/ar/lu/luLandDet.jsp?pnu=4311231026103360018&amp;isNoScr=script&amp;mode=search", "토지이음")</f>
        <v/>
      </c>
      <c r="T231" s="3" t="inlineStr">
        <is>
          <t>태광</t>
        </is>
      </c>
      <c r="U231" s="4" t="n">
        <v>1</v>
      </c>
      <c r="V231" s="5" t="n">
        <v>28.8</v>
      </c>
      <c r="W231" s="4" t="n">
        <v>4960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2차선 도로에 접함, 마당 넓고 단독마당 가능, 컨디션 좋음</t>
        </is>
      </c>
      <c r="Q233" s="6">
        <f>HYPERLINK("https://fin.land.naver.com/articles/2652200633",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제이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144-2</t>
        </is>
      </c>
      <c r="B234" s="3" t="inlineStr">
        <is>
          <t>보전녹지지역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1133</v>
      </c>
      <c r="I234" s="4" t="n">
        <v>343</v>
      </c>
      <c r="J234" s="5" t="n">
        <v>0.4</v>
      </c>
      <c r="K234" s="4" t="n">
        <v>182</v>
      </c>
      <c r="L234" s="4" t="n">
        <v>55</v>
      </c>
      <c r="M234" s="5" t="n">
        <v>2.7</v>
      </c>
      <c r="N234" s="3" t="inlineStr">
        <is>
          <t>1</t>
        </is>
      </c>
      <c r="O234" s="3" t="inlineStr">
        <is>
          <t>-</t>
        </is>
      </c>
      <c r="P234" s="3" t="inlineStr">
        <is>
          <t>신축건물로 주차공간 넓음</t>
        </is>
      </c>
      <c r="Q234" s="6">
        <f>HYPERLINK("https://fin.land.naver.com/articles/2653383986", "매물Link")</f>
        <v/>
      </c>
      <c r="R234" s="6">
        <f>HYPERLINK("https://map.naver.com/p/search/남이면 상발리 144-2", "지도Link")</f>
        <v/>
      </c>
      <c r="S234" s="6">
        <f>HYPERLINK("http://www.eum.go.kr/web/ar/lu/luLandDet.jsp?pnu=4311231031101440002&amp;isNoScr=script&amp;mode=search", "토지이음")</f>
        <v/>
      </c>
      <c r="T234" s="3" t="inlineStr">
        <is>
          <t>길마루</t>
        </is>
      </c>
      <c r="U234" s="4" t="n">
        <v>1</v>
      </c>
      <c r="V234" s="5" t="n">
        <v>54.4</v>
      </c>
      <c r="W234" s="4" t="n">
        <v>1133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-</t>
        </is>
      </c>
      <c r="P235" s="3" t="inlineStr">
        <is>
          <t>60형 신축 공장 창고 제2종근생</t>
        </is>
      </c>
      <c r="Q235" s="6">
        <f>HYPERLINK("https://fin.land.naver.com/articles/2651814834",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위더스</t>
        </is>
      </c>
      <c r="U235" s="4" t="n">
        <v>1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마당넓어 차량회차 편리한 소형공장</t>
        </is>
      </c>
      <c r="Q236" s="6">
        <f>HYPERLINK("https://fin.land.naver.com/articles/2654742692",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창고의여왕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B1</t>
        </is>
      </c>
      <c r="P237" s="3" t="inlineStr">
        <is>
          <t>청주 남이 상발삼거리, 신축급 제2종근생, 도로변, 넓은 대지</t>
        </is>
      </c>
      <c r="Q237" s="6">
        <f>HYPERLINK("https://fin.land.naver.com/articles/2653740974",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라인</t>
        </is>
      </c>
      <c r="U237" s="4" t="n">
        <v>2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495</v>
      </c>
      <c r="I238" s="4" t="n">
        <v>150</v>
      </c>
      <c r="J238" s="5" t="n">
        <v>1.1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신축급 소형창고공장 임대 진출입편리 깔끔한 내외부</t>
        </is>
      </c>
      <c r="Q238" s="6">
        <f>HYPERLINK("https://fin.land.naver.com/articles/2654143544",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태광</t>
        </is>
      </c>
      <c r="U238" s="4" t="n">
        <v>3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신축급 창고, 진입로 좋음, 제2종근생 제조업소</t>
        </is>
      </c>
      <c r="Q239" s="6">
        <f>HYPERLINK("https://fin.land.naver.com/articles/2654821051",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나는</t>
        </is>
      </c>
      <c r="U239" s="4" t="n">
        <v>1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86-1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4969</v>
      </c>
      <c r="I240" s="4" t="n">
        <v>1503</v>
      </c>
      <c r="J240" s="5" t="n">
        <v>199.6</v>
      </c>
      <c r="K240" s="4" t="n">
        <v>882</v>
      </c>
      <c r="L240" s="4" t="n">
        <v>267</v>
      </c>
      <c r="M240" s="5" t="n">
        <v>1123.6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 일괄매매   분할매도 가능</t>
        </is>
      </c>
      <c r="Q240" s="6">
        <f>HYPERLINK("https://fin.land.naver.com/articles/2654973120", "매물Link")</f>
        <v/>
      </c>
      <c r="R240" s="6">
        <f>HYPERLINK("https://map.naver.com/p/search/남이면 상발리 86-1", "지도Link")</f>
        <v/>
      </c>
      <c r="S240" s="6">
        <f>HYPERLINK("http://www.eum.go.kr/web/ar/lu/luLandDet.jsp?pnu=4311231031100860001&amp;isNoScr=script&amp;mode=search", "토지이음")</f>
        <v/>
      </c>
      <c r="T240" s="3" t="inlineStr">
        <is>
          <t>세종로또</t>
        </is>
      </c>
      <c r="U240" s="4" t="n">
        <v>1</v>
      </c>
      <c r="V240" s="5" t="n">
        <v>61.7</v>
      </c>
      <c r="W240" s="4" t="n">
        <v>2698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87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150000</v>
      </c>
      <c r="G241" s="4" t="n">
        <v>0</v>
      </c>
      <c r="H241" s="4" t="n">
        <v>2271</v>
      </c>
      <c r="I241" s="4" t="n">
        <v>687</v>
      </c>
      <c r="J241" s="5" t="n">
        <v>218.3</v>
      </c>
      <c r="K241" s="4" t="n">
        <v>432</v>
      </c>
      <c r="L241" s="4" t="n">
        <v>131</v>
      </c>
      <c r="M241" s="5" t="n">
        <v>1145</v>
      </c>
      <c r="N241" s="3" t="inlineStr">
        <is>
          <t>1</t>
        </is>
      </c>
      <c r="O241" s="3" t="inlineStr">
        <is>
          <t>B1</t>
        </is>
      </c>
      <c r="P241" s="3" t="inlineStr">
        <is>
          <t>공장 일괄매매가능  분할매매 가능</t>
        </is>
      </c>
      <c r="Q241" s="6">
        <f>HYPERLINK("https://fin.land.naver.com/articles/2650660589", "매물Link")</f>
        <v/>
      </c>
      <c r="R241" s="6">
        <f>HYPERLINK("https://map.naver.com/p/search/남이면 상발리 87", "지도Link")</f>
        <v/>
      </c>
      <c r="S241" s="6">
        <f>HYPERLINK("http://www.eum.go.kr/web/ar/lu/luLandDet.jsp?pnu=4311231031100870000&amp;isNoScr=script&amp;mode=search", "토지이음")</f>
        <v/>
      </c>
      <c r="T241" s="3" t="inlineStr">
        <is>
          <t>세종로또</t>
        </is>
      </c>
      <c r="U241" s="4" t="n">
        <v>1</v>
      </c>
      <c r="V241" s="5" t="n">
        <v>61.7</v>
      </c>
      <c r="W241" s="4" t="n">
        <v>2271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125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150</v>
      </c>
      <c r="H242" s="4" t="n">
        <v>2357</v>
      </c>
      <c r="I242" s="4" t="n">
        <v>713</v>
      </c>
      <c r="J242" s="5" t="n">
        <v>0.2</v>
      </c>
      <c r="K242" s="4" t="n">
        <v>198</v>
      </c>
      <c r="L242" s="4" t="n">
        <v>60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건물60형 마당 크게 사용가능 2종근생제조</t>
        </is>
      </c>
      <c r="Q242" s="6">
        <f>HYPERLINK("https://fin.land.naver.com/articles/2652834931", "매물Link")</f>
        <v/>
      </c>
      <c r="R242" s="6">
        <f>HYPERLINK("https://map.naver.com/p/search/남이면 석실리 125", "지도Link")</f>
        <v/>
      </c>
      <c r="S242" s="6">
        <f>HYPERLINK("http://www.eum.go.kr/web/ar/lu/luLandDet.jsp?pnu=4311231033101250000&amp;isNoScr=script&amp;mode=search",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72.40000000000001</v>
      </c>
      <c r="W242" s="4" t="n">
        <v>2357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중로한면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2000</v>
      </c>
      <c r="G244" s="4" t="n">
        <v>120</v>
      </c>
      <c r="H244" s="4" t="n">
        <v>935</v>
      </c>
      <c r="I244" s="4" t="n">
        <v>283</v>
      </c>
      <c r="J244" s="5" t="n">
        <v>0.4</v>
      </c>
      <c r="K244" s="4" t="n">
        <v>360</v>
      </c>
      <c r="L244" s="4" t="n">
        <v>109</v>
      </c>
      <c r="M244" s="5" t="n">
        <v>1.1</v>
      </c>
      <c r="N244" s="3" t="inlineStr">
        <is>
          <t>2</t>
        </is>
      </c>
      <c r="O244" s="3" t="inlineStr">
        <is>
          <t>B2</t>
        </is>
      </c>
      <c r="P244" s="3" t="inlineStr">
        <is>
          <t>대형차량 진출입 용이, 주차 완전 편리,완전 깨끗한 2종근생 제조업소</t>
        </is>
      </c>
      <c r="Q244" s="6">
        <f>HYPERLINK("https://fin.land.naver.com/articles/2653555067",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나는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265</t>
        </is>
      </c>
      <c r="B245" s="3" t="inlineStr">
        <is>
          <t>자연녹지지역</t>
        </is>
      </c>
      <c r="C245" s="3" t="inlineStr">
        <is>
          <t>공장용지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350</v>
      </c>
      <c r="H245" s="4" t="n">
        <v>935</v>
      </c>
      <c r="I245" s="4" t="n">
        <v>283</v>
      </c>
      <c r="J245" s="5" t="n">
        <v>1.2</v>
      </c>
      <c r="K245" s="4" t="n">
        <v>360</v>
      </c>
      <c r="L245" s="4" t="n">
        <v>109</v>
      </c>
      <c r="M245" s="5" t="n">
        <v>3.2</v>
      </c>
      <c r="N245" s="3" t="inlineStr">
        <is>
          <t>2</t>
        </is>
      </c>
      <c r="O245" s="3" t="inlineStr">
        <is>
          <t>-</t>
        </is>
      </c>
      <c r="P245" s="3" t="inlineStr">
        <is>
          <t>사진有, 주차 편리, 1층 제조업소 및 창고사용, 2층 사무실 용도</t>
        </is>
      </c>
      <c r="Q245" s="6">
        <f>HYPERLINK("https://fin.land.naver.com/articles/2650485839", "매물Link")</f>
        <v/>
      </c>
      <c r="R245" s="6">
        <f>HYPERLINK("https://map.naver.com/p/search/남이면 석실리 265", "지도Link")</f>
        <v/>
      </c>
      <c r="S245" s="6">
        <f>HYPERLINK("http://www.eum.go.kr/web/ar/lu/luLandDet.jsp?pnu=4311231033102650000&amp;isNoScr=script&amp;mode=search",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95.90000000000001</v>
      </c>
      <c r="W245" s="4" t="n">
        <v>935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339-2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매매</t>
        </is>
      </c>
      <c r="F246" s="4" t="n">
        <v>61200</v>
      </c>
      <c r="G246" s="4" t="n">
        <v>0</v>
      </c>
      <c r="H246" s="4" t="n">
        <v>873</v>
      </c>
      <c r="I246" s="4" t="n">
        <v>264</v>
      </c>
      <c r="J246" s="5" t="n">
        <v>231.8</v>
      </c>
      <c r="K246" s="4" t="n">
        <v>99</v>
      </c>
      <c r="L246" s="4" t="n">
        <v>30</v>
      </c>
      <c r="M246" s="5" t="n">
        <v>2040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접,시내 인근 투자</t>
        </is>
      </c>
      <c r="Q246" s="6">
        <f>HYPERLINK("https://fin.land.naver.com/articles/2650592765", "매물Link")</f>
        <v/>
      </c>
      <c r="R246" s="6">
        <f>HYPERLINK("https://map.naver.com/p/search/남이면 석실리 339-2", "지도Link")</f>
        <v/>
      </c>
      <c r="S246" s="6">
        <f>HYPERLINK("http://www.eum.go.kr/web/ar/lu/luLandDet.jsp?pnu=4311231033103390002&amp;isNoScr=script&amp;mode=search", "토지이음")</f>
        <v/>
      </c>
      <c r="T246" s="3" t="inlineStr">
        <is>
          <t>부광</t>
        </is>
      </c>
      <c r="U246" s="4" t="n">
        <v>1</v>
      </c>
      <c r="V246" s="5" t="n">
        <v>101.7</v>
      </c>
      <c r="W246" s="4" t="n">
        <v>873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339-4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250</v>
      </c>
      <c r="H247" s="4" t="n">
        <v>1747</v>
      </c>
      <c r="I247" s="4" t="n">
        <v>528</v>
      </c>
      <c r="J247" s="5" t="n">
        <v>0.5</v>
      </c>
      <c r="K247" s="4" t="n">
        <v>238</v>
      </c>
      <c r="L247" s="4" t="n">
        <v>72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2차선 대로에 접, 청주 도심 접근성과 남이IC 인접성 동시 갖춘입지</t>
        </is>
      </c>
      <c r="Q247" s="6">
        <f>HYPERLINK("https://fin.land.naver.com/articles/2650488511", "매물Link")</f>
        <v/>
      </c>
      <c r="R247" s="6">
        <f>HYPERLINK("https://map.naver.com/p/search/남이면 석실리 339-4", "지도Link")</f>
        <v/>
      </c>
      <c r="S247" s="6">
        <f>HYPERLINK("http://www.eum.go.kr/web/ar/lu/luLandDet.jsp?pnu=4311231033103390004&amp;isNoScr=script&amp;mode=search",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101.7</v>
      </c>
      <c r="W247" s="4" t="n">
        <v>1747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354-4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130000</v>
      </c>
      <c r="G248" s="4" t="n">
        <v>0</v>
      </c>
      <c r="H248" s="4" t="n">
        <v>1283</v>
      </c>
      <c r="I248" s="4" t="n">
        <v>388</v>
      </c>
      <c r="J248" s="5" t="n">
        <v>335.1</v>
      </c>
      <c r="K248" s="4" t="n">
        <v>747</v>
      </c>
      <c r="L248" s="4" t="n">
        <v>226</v>
      </c>
      <c r="M248" s="5" t="n">
        <v>575.2</v>
      </c>
      <c r="N248" s="3" t="inlineStr">
        <is>
          <t>3</t>
        </is>
      </c>
      <c r="O248" s="3" t="inlineStr">
        <is>
          <t>-</t>
        </is>
      </c>
      <c r="P248" s="3" t="inlineStr">
        <is>
          <t>프라임공인 석실리 공장 창고 물류센터사용 도로망좋음 엘리베이터</t>
        </is>
      </c>
      <c r="Q248" s="6">
        <f>HYPERLINK("https://fin.land.naver.com/articles/2651210377", "매물Link")</f>
        <v/>
      </c>
      <c r="R248" s="6">
        <f>HYPERLINK("https://map.naver.com/p/search/남이면 석실리 354-4", "지도Link")</f>
        <v/>
      </c>
      <c r="S248" s="6">
        <f>HYPERLINK("http://www.eum.go.kr/web/ar/lu/luLandDet.jsp?pnu=4311231033103540004&amp;isNoScr=script&amp;mode=search", "토지이음")</f>
        <v/>
      </c>
      <c r="T248" s="3" t="inlineStr">
        <is>
          <t>프라임</t>
        </is>
      </c>
      <c r="U248" s="4" t="n">
        <v>2</v>
      </c>
      <c r="V248" s="5" t="n">
        <v>101.7</v>
      </c>
      <c r="W248" s="4" t="n">
        <v>1283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</t>
        </is>
      </c>
      <c r="B249" s="3" t="inlineStr">
        <is>
          <t>자연녹지지역</t>
        </is>
      </c>
      <c r="C249" s="3" t="inlineStr">
        <is>
          <t>전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192</v>
      </c>
      <c r="H249" s="4" t="n">
        <v>1010</v>
      </c>
      <c r="I249" s="4" t="n">
        <v>306</v>
      </c>
      <c r="J249" s="5" t="n">
        <v>0.6</v>
      </c>
      <c r="K249" s="4" t="n">
        <v>192</v>
      </c>
      <c r="L249" s="4" t="n">
        <v>58</v>
      </c>
      <c r="M249" s="5" t="n">
        <v>3.3</v>
      </c>
      <c r="N249" s="3" t="inlineStr">
        <is>
          <t>1</t>
        </is>
      </c>
      <c r="O249" s="3" t="inlineStr">
        <is>
          <t>-</t>
        </is>
      </c>
      <c r="P249" s="3" t="inlineStr">
        <is>
          <t>시내에서 접근성좋은 마당넓은 근생창고</t>
        </is>
      </c>
      <c r="Q249" s="6">
        <f>HYPERLINK("https://fin.land.naver.com/articles/2651890540", "매물Link")</f>
        <v/>
      </c>
      <c r="R249" s="6">
        <f>HYPERLINK("https://map.naver.com/p/search/남이면 석실리 470", "지도Link")</f>
        <v/>
      </c>
      <c r="S249" s="6">
        <f>HYPERLINK("http://www.eum.go.kr/web/ar/lu/luLandDet.jsp?pnu=4311231033104700000&amp;isNoScr=script&amp;mode=search", "토지이음")</f>
        <v/>
      </c>
      <c r="T249" s="3" t="inlineStr">
        <is>
          <t>창고의여왕</t>
        </is>
      </c>
      <c r="U249" s="4" t="n">
        <v>1</v>
      </c>
      <c r="V249" s="5" t="n">
        <v>42.8</v>
      </c>
      <c r="W249" s="4" t="n">
        <v>720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A특급A 도로변 신축 매물, 주차공간 넉넉하게 단독 사용가능</t>
        </is>
      </c>
      <c r="Q250" s="6">
        <f>HYPERLINK("https://fin.land.naver.com/articles/2650192508",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골든타임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창고</t>
        </is>
      </c>
      <c r="E251" s="3" t="inlineStr">
        <is>
          <t>월세</t>
        </is>
      </c>
      <c r="F251" s="4" t="n">
        <v>3000</v>
      </c>
      <c r="G251" s="4" t="n">
        <v>175</v>
      </c>
      <c r="H251" s="4" t="n">
        <v>1010</v>
      </c>
      <c r="I251" s="4" t="n">
        <v>306</v>
      </c>
      <c r="J251" s="5" t="n">
        <v>0.6</v>
      </c>
      <c r="K251" s="4" t="n">
        <v>182</v>
      </c>
      <c r="L251" s="4" t="n">
        <v>55</v>
      </c>
      <c r="M251" s="5" t="n">
        <v>3.2</v>
      </c>
      <c r="N251" s="3" t="inlineStr">
        <is>
          <t>1</t>
        </is>
      </c>
      <c r="O251" s="3" t="inlineStr">
        <is>
          <t>-</t>
        </is>
      </c>
      <c r="P251" s="3" t="inlineStr">
        <is>
          <t>2차선변에 위치한 소규모창고시설</t>
        </is>
      </c>
      <c r="Q251" s="6">
        <f>HYPERLINK("https://fin.land.naver.com/articles/2651890982",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1753</v>
      </c>
      <c r="I252" s="4" t="n">
        <v>530</v>
      </c>
      <c r="J252" s="5" t="n">
        <v>0.3</v>
      </c>
      <c r="K252" s="4" t="n">
        <v>165</v>
      </c>
      <c r="L252" s="4" t="n">
        <v>50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사진 有, 2차선대로변 접한 신축 창고 임대</t>
        </is>
      </c>
      <c r="Q252" s="6">
        <f>HYPERLINK("https://fin.land.naver.com/articles/2653837384",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건물 50형 대지230형</t>
        </is>
      </c>
      <c r="Q255" s="6">
        <f>HYPERLINK("https://fin.land.naver.com/articles/2654155444",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위더스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175</v>
      </c>
      <c r="H256" s="4" t="n">
        <v>724</v>
      </c>
      <c r="I256" s="4" t="n">
        <v>219</v>
      </c>
      <c r="J256" s="5" t="n">
        <v>0.8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신축 창고, 2차선 도로 접, 대형차량 진출입 용이, 접근성 좋음</t>
        </is>
      </c>
      <c r="Q256" s="6">
        <f>HYPERLINK("https://fin.land.naver.com/articles/2650247827",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나는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192</v>
      </c>
      <c r="H257" s="4" t="n">
        <v>1753</v>
      </c>
      <c r="I257" s="4" t="n">
        <v>530</v>
      </c>
      <c r="J257" s="5" t="n">
        <v>0.4</v>
      </c>
      <c r="K257" s="4" t="n">
        <v>183</v>
      </c>
      <c r="L257" s="4" t="n">
        <v>55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야적공간 충분한 마당넓은 소형근생창고</t>
        </is>
      </c>
      <c r="Q257" s="6">
        <f>HYPERLINK("https://fin.land.naver.com/articles/2652023570",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창고의여왕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석곡사거리 인근, 대형차량진출입 용이, 단층 60형 2개동, 넓은 마당</t>
        </is>
      </c>
      <c r="Q259" s="6">
        <f>HYPERLINK("https://fin.land.naver.com/articles/2653743649",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라인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7-4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창고</t>
        </is>
      </c>
      <c r="E260" s="3" t="inlineStr">
        <is>
          <t>월세</t>
        </is>
      </c>
      <c r="F260" s="4" t="n">
        <v>5000</v>
      </c>
      <c r="G260" s="4" t="n">
        <v>300</v>
      </c>
      <c r="H260" s="4" t="n">
        <v>2386</v>
      </c>
      <c r="I260" s="4" t="n">
        <v>722</v>
      </c>
      <c r="J260" s="5" t="n">
        <v>0.4</v>
      </c>
      <c r="K260" s="4" t="n">
        <v>392</v>
      </c>
      <c r="L260" s="4" t="n">
        <v>119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대형 차량 진출입 용이, 단층 60형 2개동 연결된 구조로 120형 사용</t>
        </is>
      </c>
      <c r="Q260" s="6">
        <f>HYPERLINK("https://fin.land.naver.com/articles/2653852370", "매물Link")</f>
        <v/>
      </c>
      <c r="R260" s="6">
        <f>HYPERLINK("https://map.naver.com/p/search/남이면 석실리 7-4", "지도Link")</f>
        <v/>
      </c>
      <c r="S260" s="6">
        <f>HYPERLINK("http://www.eum.go.kr/web/ar/lu/luLandDet.jsp?pnu=4311231033100070004&amp;isNoScr=script&amp;mode=search", "토지이음")</f>
        <v/>
      </c>
      <c r="T260" s="3" t="inlineStr">
        <is>
          <t>나는</t>
        </is>
      </c>
      <c r="U260" s="4" t="n">
        <v>1</v>
      </c>
      <c r="V260" s="5" t="n">
        <v>100.5</v>
      </c>
      <c r="W260" s="4" t="n">
        <v>2386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석판리 131-3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기타</t>
        </is>
      </c>
      <c r="E261" s="3" t="inlineStr">
        <is>
          <t>매매</t>
        </is>
      </c>
      <c r="F261" s="4" t="n">
        <v>280000</v>
      </c>
      <c r="G261" s="4" t="n">
        <v>0</v>
      </c>
      <c r="H261" s="4" t="n">
        <v>2725</v>
      </c>
      <c r="I261" s="4" t="n">
        <v>824</v>
      </c>
      <c r="J261" s="5" t="n">
        <v>339.8</v>
      </c>
      <c r="K261" s="4" t="n">
        <v>350</v>
      </c>
      <c r="L261" s="4" t="n">
        <v>106</v>
      </c>
      <c r="M261" s="5" t="n">
        <v>2641.5</v>
      </c>
      <c r="N261" s="3" t="inlineStr">
        <is>
          <t>1</t>
        </is>
      </c>
      <c r="O261" s="3" t="inlineStr">
        <is>
          <t>B1</t>
        </is>
      </c>
      <c r="P261" s="3" t="inlineStr">
        <is>
          <t>2차선 도로접, 시내접근성 우수, 4차선도로완공시 지가상승 기대</t>
        </is>
      </c>
      <c r="Q261" s="6">
        <f>HYPERLINK("https://fin.land.naver.com/articles/2649886887", "매물Link")</f>
        <v/>
      </c>
      <c r="R261" s="6">
        <f>HYPERLINK("https://map.naver.com/p/search/남이면 석판리 131-3", "지도Link")</f>
        <v/>
      </c>
      <c r="S261" s="6">
        <f>HYPERLINK("http://www.eum.go.kr/web/ar/lu/luLandDet.jsp?pnu=4311231034101310003&amp;isNoScr=script&amp;mode=search", "토지이음")</f>
        <v/>
      </c>
      <c r="T261" s="3" t="inlineStr">
        <is>
          <t>플러스자이합동</t>
        </is>
      </c>
      <c r="U261" s="4" t="n">
        <v>1</v>
      </c>
      <c r="V261" s="5" t="n">
        <v>105.8</v>
      </c>
      <c r="W261" s="4" t="n">
        <v>2223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200</v>
      </c>
      <c r="H263" s="4" t="n">
        <v>2953</v>
      </c>
      <c r="I263" s="4" t="n">
        <v>893</v>
      </c>
      <c r="J263" s="5" t="n">
        <v>0.2</v>
      </c>
      <c r="K263" s="4" t="n">
        <v>264</v>
      </c>
      <c r="L263" s="4" t="n">
        <v>80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건물 80형 공장 창고 건물</t>
        </is>
      </c>
      <c r="Q263" s="6">
        <f>HYPERLINK("https://fin.land.naver.com/articles/2650897401", "매물Link")</f>
        <v/>
      </c>
      <c r="R263" s="6">
        <f>HYPERLINK("https://map.naver.com/p/search/남이면 석판리 36", "지도Link")</f>
        <v/>
      </c>
      <c r="S263" s="6">
        <f>HYPERLINK("http://www.eum.go.kr/web/ar/lu/luLandDet.jsp?pnu=4311231034100360000&amp;isNoScr=script&amp;mode=search", "토지이음")</f>
        <v/>
      </c>
      <c r="T263" s="3" t="inlineStr">
        <is>
          <t>위더스</t>
        </is>
      </c>
      <c r="U263" s="4" t="n">
        <v>1</v>
      </c>
      <c r="V263" s="5" t="n">
        <v>120.8</v>
      </c>
      <c r="W263" s="4" t="n">
        <v>2813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36-2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190</v>
      </c>
      <c r="H264" s="4" t="n">
        <v>4934</v>
      </c>
      <c r="I264" s="4" t="n">
        <v>1493</v>
      </c>
      <c r="J264" s="5" t="n">
        <v>0.1</v>
      </c>
      <c r="K264" s="4" t="n">
        <v>242</v>
      </c>
      <c r="L264" s="4" t="n">
        <v>73</v>
      </c>
      <c r="M264" s="5" t="n">
        <v>2.6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HYPERLINK("https://fin.land.naver.com/articles/2653028230", "매물Link")</f>
        <v/>
      </c>
      <c r="R264" s="6">
        <f>HYPERLINK("https://map.naver.com/p/search/남이면 석판리 36-2", "지도Link")</f>
        <v/>
      </c>
      <c r="S264" s="6">
        <f>HYPERLINK("http://www.eum.go.kr/web/ar/lu/luLandDet.jsp?pnu=4311231034100360002&amp;isNoScr=script&amp;mode=search",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92.7</v>
      </c>
      <c r="W264" s="4" t="n">
        <v>4618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123-1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공장</t>
        </is>
      </c>
      <c r="E265" s="3" t="inlineStr">
        <is>
          <t>월세</t>
        </is>
      </c>
      <c r="F265" s="4" t="n">
        <v>2000</v>
      </c>
      <c r="G265" s="4" t="n">
        <v>200</v>
      </c>
      <c r="H265" s="4" t="n">
        <v>2026</v>
      </c>
      <c r="I265" s="4" t="n">
        <v>613</v>
      </c>
      <c r="J265" s="5" t="n">
        <v>0.3</v>
      </c>
      <c r="K265" s="4" t="n">
        <v>190</v>
      </c>
      <c r="L265" s="4" t="n">
        <v>57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HYPERLINK("https://fin.land.naver.com/articles/2653027917", "매물Link")</f>
        <v/>
      </c>
      <c r="R265" s="6">
        <f>HYPERLINK("https://map.naver.com/p/search/남이면 양촌리 123-1", "지도Link")</f>
        <v/>
      </c>
      <c r="S265" s="6">
        <f>HYPERLINK("http://www.eum.go.kr/web/ar/lu/luLandDet.jsp?pnu=4311231037101230001&amp;isNoScr=script&amp;mode=search",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84.8</v>
      </c>
      <c r="W265" s="4" t="n">
        <v>2026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양촌리 271</t>
        </is>
      </c>
      <c r="B266" s="3" t="inlineStr">
        <is>
          <t>자연녹지지역</t>
        </is>
      </c>
      <c r="C266" s="3" t="inlineStr">
        <is>
          <t>창고용지</t>
        </is>
      </c>
      <c r="D266" s="3" t="inlineStr">
        <is>
          <t>창고</t>
        </is>
      </c>
      <c r="E266" s="3" t="inlineStr">
        <is>
          <t>월세</t>
        </is>
      </c>
      <c r="F266" s="4" t="n">
        <v>1000</v>
      </c>
      <c r="G266" s="4" t="n">
        <v>90</v>
      </c>
      <c r="H266" s="4" t="n">
        <v>2190</v>
      </c>
      <c r="I266" s="4" t="n">
        <v>662</v>
      </c>
      <c r="J266" s="5" t="n">
        <v>0.1</v>
      </c>
      <c r="K266" s="4" t="n">
        <v>100</v>
      </c>
      <c r="L266" s="4" t="n">
        <v>30</v>
      </c>
      <c r="M266" s="5" t="n">
        <v>3</v>
      </c>
      <c r="N266" s="3" t="inlineStr">
        <is>
          <t>1</t>
        </is>
      </c>
      <c r="O266" s="3" t="inlineStr">
        <is>
          <t>B1</t>
        </is>
      </c>
      <c r="P266" s="3" t="inlineStr">
        <is>
          <t>양촌리창고임대입주빠름</t>
        </is>
      </c>
      <c r="Q266" s="6">
        <f>HYPERLINK("https://fin.land.naver.com/articles/2653086432", "매물Link")</f>
        <v/>
      </c>
      <c r="R266" s="6">
        <f>HYPERLINK("https://map.naver.com/p/search/남이면 양촌리 271", "지도Link")</f>
        <v/>
      </c>
      <c r="S266" s="6">
        <f>HYPERLINK("http://www.eum.go.kr/web/ar/lu/luLandDet.jsp?pnu=4311231037102710000&amp;isNoScr=script&amp;mode=search", "토지이음")</f>
        <v/>
      </c>
      <c r="T266" s="3" t="inlineStr">
        <is>
          <t>더큰</t>
        </is>
      </c>
      <c r="U266" s="4" t="n">
        <v>1</v>
      </c>
      <c r="V266" s="5" t="n">
        <v>98.7</v>
      </c>
      <c r="W266" s="4" t="n">
        <v>2190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사진有 저온창고 임대</t>
        </is>
      </c>
      <c r="Q267" s="6">
        <f>HYPERLINK("https://fin.land.naver.com/articles/2653029028",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월드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127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17000</v>
      </c>
      <c r="G269" s="4" t="n">
        <v>1720</v>
      </c>
      <c r="H269" s="4" t="n">
        <v>4155</v>
      </c>
      <c r="I269" s="4" t="n">
        <v>1257</v>
      </c>
      <c r="J269" s="5" t="n">
        <v>1.4</v>
      </c>
      <c r="K269" s="4" t="n">
        <v>2148</v>
      </c>
      <c r="L269" s="4" t="n">
        <v>650</v>
      </c>
      <c r="M269" s="5" t="n">
        <v>2.6</v>
      </c>
      <c r="N269" s="3" t="inlineStr">
        <is>
          <t>2</t>
        </is>
      </c>
      <c r="O269" s="3" t="inlineStr">
        <is>
          <t>B1</t>
        </is>
      </c>
      <c r="P269" s="3" t="inlineStr">
        <is>
          <t>남청주IC인근 냉장냉동 시설완비된 물류창고임대 대로변에 접함 진출입용이</t>
        </is>
      </c>
      <c r="Q269" s="6">
        <f>HYPERLINK("https://fin.land.naver.com/articles/2651986329", "매물Link")</f>
        <v/>
      </c>
      <c r="R269" s="6">
        <f>HYPERLINK("https://map.naver.com/p/search/남이면 외천리 127", "지도Link")</f>
        <v/>
      </c>
      <c r="S269" s="6">
        <f>HYPERLINK("http://www.eum.go.kr/web/ar/lu/luLandDet.jsp?pnu=4311231022101270000&amp;isNoScr=script&amp;mode=search", "토지이음")</f>
        <v/>
      </c>
      <c r="T269" s="3" t="inlineStr">
        <is>
          <t>태광</t>
        </is>
      </c>
      <c r="U269" s="4" t="n">
        <v>1</v>
      </c>
      <c r="V269" s="5" t="n">
        <v>102.5</v>
      </c>
      <c r="W269" s="4" t="n">
        <v>1088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350000</v>
      </c>
      <c r="G270" s="4" t="n">
        <v>0</v>
      </c>
      <c r="H270" s="4" t="n">
        <v>4155</v>
      </c>
      <c r="I270" s="4" t="n">
        <v>1257</v>
      </c>
      <c r="J270" s="5" t="n">
        <v>278.4</v>
      </c>
      <c r="K270" s="4" t="n">
        <v>2148</v>
      </c>
      <c r="L270" s="4" t="n">
        <v>650</v>
      </c>
      <c r="M270" s="5" t="n">
        <v>538.5</v>
      </c>
      <c r="N270" s="3" t="inlineStr">
        <is>
          <t>2</t>
        </is>
      </c>
      <c r="O270" s="3" t="inlineStr">
        <is>
          <t>B1</t>
        </is>
      </c>
      <c r="P270" s="3" t="inlineStr">
        <is>
          <t>4차선 도로접하고 도크시설 완비된 층고 높은공장,  냉동,냉장창고</t>
        </is>
      </c>
      <c r="Q270" s="6">
        <f>HYPERLINK("https://fin.land.naver.com/articles/2653660401",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(주)미르</t>
        </is>
      </c>
      <c r="U270" s="4" t="n">
        <v>2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128-2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도크시설과 냉동,냉장 설비 갖춘 대형물류창고 임대,대형차량 진출입 편리</t>
        </is>
      </c>
      <c r="Q271" s="6">
        <f>HYPERLINK("https://fin.land.naver.com/articles/2650942641", "매물Link")</f>
        <v/>
      </c>
      <c r="R271" s="6">
        <f>HYPERLINK("https://map.naver.com/p/search/남이면 외천리 128-2", "지도Link")</f>
        <v/>
      </c>
      <c r="S271" s="6">
        <f>HYPERLINK("http://www.eum.go.kr/web/ar/lu/luLandDet.jsp?pnu=4311231022101280002&amp;isNoScr=script&amp;mode=search",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102.5</v>
      </c>
      <c r="W271" s="4" t="n">
        <v>725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1515</v>
      </c>
      <c r="L272" s="4" t="n">
        <v>458</v>
      </c>
      <c r="M272" s="5" t="n">
        <v>3.8</v>
      </c>
      <c r="N272" s="3" t="inlineStr">
        <is>
          <t>1</t>
        </is>
      </c>
      <c r="O272" s="3" t="inlineStr">
        <is>
          <t>-</t>
        </is>
      </c>
      <c r="P272" s="3" t="inlineStr">
        <is>
          <t>냉동, 냉장 물류 창고, 남청주 IC 인접 대형차 진출 도크 시설</t>
        </is>
      </c>
      <c r="Q272" s="6">
        <f>HYPERLINK("https://fin.land.naver.com/articles/2654893254",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129-7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창고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4155</v>
      </c>
      <c r="I273" s="4" t="n">
        <v>1257</v>
      </c>
      <c r="J273" s="5" t="n">
        <v>278.4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냉장 냉동 물류창고 도크시설9개  전기250K 대형차 진출입 좋음</t>
        </is>
      </c>
      <c r="Q273" s="6">
        <f>HYPERLINK("https://fin.land.naver.com/articles/2654894803", "매물Link")</f>
        <v/>
      </c>
      <c r="R273" s="6">
        <f>HYPERLINK("https://map.naver.com/p/search/남이면 외천리 129-7", "지도Link")</f>
        <v/>
      </c>
      <c r="S273" s="6">
        <f>HYPERLINK("http://www.eum.go.kr/web/ar/lu/luLandDet.jsp?pnu=4311231022101290007&amp;isNoScr=script&amp;mode=search", "토지이음")</f>
        <v/>
      </c>
      <c r="T273" s="3" t="inlineStr">
        <is>
          <t>대전토지로무소</t>
        </is>
      </c>
      <c r="U273" s="4" t="n">
        <v>1</v>
      </c>
      <c r="V273" s="5" t="n">
        <v>98.5</v>
      </c>
      <c r="W273" s="4" t="n">
        <v>1453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171-1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공장</t>
        </is>
      </c>
      <c r="E274" s="3" t="inlineStr">
        <is>
          <t>월세</t>
        </is>
      </c>
      <c r="F274" s="4" t="n">
        <v>1000</v>
      </c>
      <c r="G274" s="4" t="n">
        <v>250</v>
      </c>
      <c r="H274" s="4" t="n">
        <v>433</v>
      </c>
      <c r="I274" s="4" t="n">
        <v>131</v>
      </c>
      <c r="J274" s="5" t="n">
        <v>1.9</v>
      </c>
      <c r="K274" s="4" t="n">
        <v>433</v>
      </c>
      <c r="L274" s="4" t="n">
        <v>131</v>
      </c>
      <c r="M274" s="5" t="n">
        <v>1.9</v>
      </c>
      <c r="N274" s="3" t="inlineStr">
        <is>
          <t>2</t>
        </is>
      </c>
      <c r="O274" s="3" t="inlineStr">
        <is>
          <t>-</t>
        </is>
      </c>
      <c r="P274" s="3" t="inlineStr">
        <is>
          <t>가구점  물류창고 최적지  남이면 외천리 상가 월세 매물</t>
        </is>
      </c>
      <c r="Q274" s="6">
        <f>HYPERLINK("https://fin.land.naver.com/articles/2650110955", "매물Link")</f>
        <v/>
      </c>
      <c r="R274" s="6">
        <f>HYPERLINK("https://map.naver.com/p/search/남이면 외천리 171-1", "지도Link")</f>
        <v/>
      </c>
      <c r="S274" s="6">
        <f>HYPERLINK("http://www.eum.go.kr/web/ar/lu/luLandDet.jsp?pnu=4311231022101710001&amp;isNoScr=script&amp;mode=search", "토지이음")</f>
        <v/>
      </c>
      <c r="T274" s="3" t="inlineStr">
        <is>
          <t>엔터</t>
        </is>
      </c>
      <c r="U274" s="4" t="n">
        <v>1</v>
      </c>
      <c r="V274" s="5" t="n">
        <v>122.7</v>
      </c>
      <c r="W274" s="4" t="n">
        <v>836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229-15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85000</v>
      </c>
      <c r="G275" s="4" t="n">
        <v>0</v>
      </c>
      <c r="H275" s="4" t="n">
        <v>890</v>
      </c>
      <c r="I275" s="4" t="n">
        <v>269</v>
      </c>
      <c r="J275" s="5" t="n">
        <v>316</v>
      </c>
      <c r="K275" s="4" t="n">
        <v>409</v>
      </c>
      <c r="L275" s="4" t="n">
        <v>124</v>
      </c>
      <c r="M275" s="5" t="n">
        <v>685.5</v>
      </c>
      <c r="N275" s="3" t="inlineStr">
        <is>
          <t>2</t>
        </is>
      </c>
      <c r="O275" s="3" t="inlineStr">
        <is>
          <t>-</t>
        </is>
      </c>
      <c r="P275" s="3" t="inlineStr">
        <is>
          <t>공장 및 주택 매매, 2종근생 제조업</t>
        </is>
      </c>
      <c r="Q275" s="6">
        <f>HYPERLINK("https://fin.land.naver.com/articles/2654991665", "매물Link")</f>
        <v/>
      </c>
      <c r="R275" s="6">
        <f>HYPERLINK("https://map.naver.com/p/search/남이면 외천리 229-15", "지도Link")</f>
        <v/>
      </c>
      <c r="S275" s="6">
        <f>HYPERLINK("http://www.eum.go.kr/web/ar/lu/luLandDet.jsp?pnu=4311231022102290015&amp;isNoScr=script&amp;mode=search", "토지이음")</f>
        <v/>
      </c>
      <c r="T275" s="3" t="inlineStr">
        <is>
          <t>산남태강</t>
        </is>
      </c>
      <c r="U275" s="4" t="n">
        <v>1</v>
      </c>
      <c r="V275" s="5" t="n">
        <v>66.8</v>
      </c>
      <c r="W275" s="4" t="n">
        <v>890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세로각지(가)</t>
        </is>
      </c>
    </row>
    <row r="276">
      <c r="A276" s="3" t="inlineStr">
        <is>
          <t>남이면 외천리 249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350</v>
      </c>
      <c r="H276" s="4" t="n">
        <v>1891</v>
      </c>
      <c r="I276" s="4" t="n">
        <v>572</v>
      </c>
      <c r="J276" s="5" t="n">
        <v>0.6</v>
      </c>
      <c r="K276" s="4" t="n">
        <v>750</v>
      </c>
      <c r="L276" s="4" t="n">
        <v>227</v>
      </c>
      <c r="M276" s="5" t="n">
        <v>1.5</v>
      </c>
      <c r="N276" s="3" t="inlineStr">
        <is>
          <t>1</t>
        </is>
      </c>
      <c r="O276" s="3" t="inlineStr">
        <is>
          <t>-</t>
        </is>
      </c>
      <c r="P276" s="3" t="inlineStr">
        <is>
          <t>가동 150형 나동 78형 일괄임대 대지 580형</t>
        </is>
      </c>
      <c r="Q276" s="6">
        <f>HYPERLINK("https://fin.land.naver.com/articles/2652949824", "매물Link")</f>
        <v/>
      </c>
      <c r="R276" s="6">
        <f>HYPERLINK("https://map.naver.com/p/search/남이면 외천리 249", "지도Link")</f>
        <v/>
      </c>
      <c r="S276" s="6">
        <f>HYPERLINK("http://www.eum.go.kr/web/ar/lu/luLandDet.jsp?pnu=4311231022102490000&amp;isNoScr=script&amp;mode=search", "토지이음")</f>
        <v/>
      </c>
      <c r="T276" s="3" t="inlineStr">
        <is>
          <t>위더스</t>
        </is>
      </c>
      <c r="U276" s="4" t="n">
        <v>1</v>
      </c>
      <c r="V276" s="5" t="n">
        <v>60.7</v>
      </c>
      <c r="W276" s="4" t="n">
        <v>1879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5분거리이며 대로변 접근성 좋은 사옥형 공장으로  최적</t>
        </is>
      </c>
      <c r="Q277" s="6">
        <f>HYPERLINK("https://fin.land.naver.com/articles/2652625202",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264-4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320000</v>
      </c>
      <c r="G279" s="4" t="n">
        <v>0</v>
      </c>
      <c r="H279" s="4" t="n">
        <v>2081</v>
      </c>
      <c r="I279" s="4" t="n">
        <v>630</v>
      </c>
      <c r="J279" s="5" t="n">
        <v>507.9</v>
      </c>
      <c r="K279" s="4" t="n">
        <v>1489</v>
      </c>
      <c r="L279" s="4" t="n">
        <v>450</v>
      </c>
      <c r="M279" s="5" t="n">
        <v>711.1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남청주IC 인근으로 진출입이 원할한곳,급매로 저렴,깨끗한 공장</t>
        </is>
      </c>
      <c r="Q279" s="6">
        <f>HYPERLINK("https://fin.land.naver.com/articles/2653676617", "매물Link")</f>
        <v/>
      </c>
      <c r="R279" s="6">
        <f>HYPERLINK("https://map.naver.com/p/search/남이면 외천리 264-4", "지도Link")</f>
        <v/>
      </c>
      <c r="S279" s="6">
        <f>HYPERLINK("http://www.eum.go.kr/web/ar/lu/luLandDet.jsp?pnu=4311231022102640004&amp;isNoScr=script&amp;mode=search", "토지이음")</f>
        <v/>
      </c>
      <c r="T279" s="3" t="inlineStr">
        <is>
          <t>금화랜드</t>
        </is>
      </c>
      <c r="U279" s="4" t="n">
        <v>1</v>
      </c>
      <c r="V279" s="5" t="n">
        <v>62.1</v>
      </c>
      <c r="W279" s="4" t="n">
        <v>1954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남청주ic 접근성 좋은 위치 공장 기숙사 전력200kw 호이스트설치</t>
        </is>
      </c>
      <c r="Q280" s="6">
        <f>HYPERLINK("https://fin.land.naver.com/articles/2652625373",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더원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호이스트2.8톤,층고7,5m,남청주IC 근접, 대형차량 진출입 용이</t>
        </is>
      </c>
      <c r="Q281" s="6">
        <f>HYPERLINK("https://fin.land.naver.com/articles/2652762894",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금화랜드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100000</v>
      </c>
      <c r="G282" s="4" t="n">
        <v>0</v>
      </c>
      <c r="H282" s="4" t="n">
        <v>1358</v>
      </c>
      <c r="I282" s="4" t="n">
        <v>411</v>
      </c>
      <c r="J282" s="5" t="n">
        <v>243.3</v>
      </c>
      <c r="K282" s="4" t="n">
        <v>537</v>
      </c>
      <c r="L282" s="4" t="n">
        <v>162</v>
      </c>
      <c r="M282" s="5" t="n">
        <v>617.3</v>
      </c>
      <c r="N282" s="3" t="inlineStr">
        <is>
          <t>2</t>
        </is>
      </c>
      <c r="O282" s="3" t="inlineStr">
        <is>
          <t>-</t>
        </is>
      </c>
      <c r="P282" s="3" t="inlineStr">
        <is>
          <t>남청주IC와 가까워 진출입이 용이한 곳,계획관리지역,호이스트2.8톤</t>
        </is>
      </c>
      <c r="Q282" s="6">
        <f>HYPERLINK("https://fin.land.naver.com/articles/2654300748", "매물Link")</f>
        <v/>
      </c>
      <c r="R282" s="6">
        <f>HYPERLINK("https://map.naver.com/p/search/남이면 외천리 264-5", "지도Link")</f>
        <v/>
      </c>
      <c r="S282" s="6">
        <f>HYPERLINK("http://www.eum.go.kr/web/ar/lu/luLandDet.jsp?pnu=4311231022102640005&amp;isNoScr=script&amp;mode=search",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62.1</v>
      </c>
      <c r="W282" s="4" t="n">
        <v>1358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 IC가 가까워 대형차 진출입이 편리한곳으로 물류창고로 추천</t>
        </is>
      </c>
      <c r="Q283" s="6">
        <f>HYPERLINK("https://fin.land.naver.com/articles/2654296445",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355-2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15000</v>
      </c>
      <c r="G284" s="4" t="n">
        <v>1750</v>
      </c>
      <c r="H284" s="4" t="n">
        <v>10680</v>
      </c>
      <c r="I284" s="4" t="n">
        <v>3231</v>
      </c>
      <c r="J284" s="5" t="n">
        <v>0.5</v>
      </c>
      <c r="K284" s="4" t="n">
        <v>4244</v>
      </c>
      <c r="L284" s="4" t="n">
        <v>1284</v>
      </c>
      <c r="M284" s="5" t="n">
        <v>1.4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 8분거리로 타지역으로 물류이동시최적 호이스트 설치</t>
        </is>
      </c>
      <c r="Q284" s="6">
        <f>HYPERLINK("https://fin.land.naver.com/articles/2654176997", "매물Link")</f>
        <v/>
      </c>
      <c r="R284" s="6">
        <f>HYPERLINK("https://map.naver.com/p/search/남이면 외천리 355-2", "지도Link")</f>
        <v/>
      </c>
      <c r="S284" s="6">
        <f>HYPERLINK("http://www.eum.go.kr/web/ar/lu/luLandDet.jsp?pnu=4311231022103550002&amp;isNoScr=script&amp;mode=search", "토지이음")</f>
        <v/>
      </c>
      <c r="T284" s="3" t="inlineStr">
        <is>
          <t>더원</t>
        </is>
      </c>
      <c r="U284" s="4" t="n">
        <v>1</v>
      </c>
      <c r="V284" s="5" t="n">
        <v>58</v>
      </c>
      <c r="W284" s="4" t="n">
        <v>10680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400000</v>
      </c>
      <c r="G285" s="4" t="n">
        <v>0</v>
      </c>
      <c r="H285" s="4" t="n">
        <v>6600</v>
      </c>
      <c r="I285" s="4" t="n">
        <v>1996</v>
      </c>
      <c r="J285" s="5" t="n">
        <v>200.4</v>
      </c>
      <c r="K285" s="4" t="n">
        <v>1517</v>
      </c>
      <c r="L285" s="4" t="n">
        <v>459</v>
      </c>
      <c r="M285" s="5" t="n">
        <v>871.5</v>
      </c>
      <c r="N285" s="3" t="inlineStr">
        <is>
          <t>1</t>
        </is>
      </c>
      <c r="O285" s="3" t="inlineStr">
        <is>
          <t>-</t>
        </is>
      </c>
      <c r="P285" s="3" t="inlineStr">
        <is>
          <t>남청주IC인근 신축대형창고공장 임대 층고높음 깔끔한 사무실겸 숙소완비</t>
        </is>
      </c>
      <c r="Q285" s="6">
        <f>HYPERLINK("https://fin.land.naver.com/articles/2651975021",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태광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5500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-</t>
        </is>
      </c>
      <c r="P286" s="3" t="inlineStr">
        <is>
          <t>사진 有, 신축 첫입주, 남청주IC 및 청남가구단지 인근</t>
        </is>
      </c>
      <c r="Q286" s="6">
        <f>HYPERLINK("https://fin.land.naver.com/articles/2650262549",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태성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5000</v>
      </c>
      <c r="G287" s="4" t="n">
        <v>500</v>
      </c>
      <c r="H287" s="4" t="n">
        <v>6600</v>
      </c>
      <c r="I287" s="4" t="n">
        <v>1996</v>
      </c>
      <c r="J287" s="5" t="n">
        <v>0.3</v>
      </c>
      <c r="K287" s="4" t="n">
        <v>725</v>
      </c>
      <c r="L287" s="4" t="n">
        <v>219</v>
      </c>
      <c r="M287" s="5" t="n">
        <v>2.3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남청주IC인근 신축대형창고공장 임대 층고높음</t>
        </is>
      </c>
      <c r="Q287" s="6">
        <f>HYPERLINK("https://fin.land.naver.com/articles/2651974388",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태광</t>
        </is>
      </c>
      <c r="U287" s="4" t="n">
        <v>2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12000</v>
      </c>
      <c r="G288" s="4" t="n">
        <v>1200</v>
      </c>
      <c r="H288" s="4" t="n">
        <v>6600</v>
      </c>
      <c r="I288" s="4" t="n">
        <v>1996</v>
      </c>
      <c r="J288" s="5" t="n">
        <v>0.6</v>
      </c>
      <c r="K288" s="4" t="n">
        <v>1451</v>
      </c>
      <c r="L288" s="4" t="n">
        <v>439</v>
      </c>
      <c r="M288" s="5" t="n">
        <v>2.7</v>
      </c>
      <c r="N288" s="3" t="inlineStr">
        <is>
          <t>1</t>
        </is>
      </c>
      <c r="O288" s="3" t="inlineStr">
        <is>
          <t>-</t>
        </is>
      </c>
      <c r="P288" s="3" t="inlineStr">
        <is>
          <t>사진有 공장 임대</t>
        </is>
      </c>
      <c r="Q288" s="6">
        <f>HYPERLINK("https://fin.land.naver.com/articles/2653029386",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월드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10000</v>
      </c>
      <c r="G289" s="4" t="n">
        <v>1000</v>
      </c>
      <c r="H289" s="4" t="n">
        <v>6600</v>
      </c>
      <c r="I289" s="4" t="n">
        <v>1996</v>
      </c>
      <c r="J289" s="5" t="n">
        <v>0.5</v>
      </c>
      <c r="K289" s="4" t="n">
        <v>1454</v>
      </c>
      <c r="L289" s="4" t="n">
        <v>440</v>
      </c>
      <c r="M289" s="5" t="n">
        <v>2.3</v>
      </c>
      <c r="N289" s="3" t="inlineStr">
        <is>
          <t>1</t>
        </is>
      </c>
      <c r="O289" s="3" t="inlineStr">
        <is>
          <t>B1</t>
        </is>
      </c>
      <c r="P289" s="3" t="inlineStr">
        <is>
          <t>사진O 남청주 IC 인근 신축 깨끗한 공장 창고 분할임대 가능</t>
        </is>
      </c>
      <c r="Q289" s="6">
        <f>HYPERLINK("https://fin.land.naver.com/articles/2651775083",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미래n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B1</t>
        </is>
      </c>
      <c r="P290" s="3" t="inlineStr">
        <is>
          <t>사진O 남청주 IC 인근 신축 깨끗한 공장 창고</t>
        </is>
      </c>
      <c r="Q290" s="6">
        <f>HYPERLINK("https://fin.land.naver.com/articles/2651773919",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미래n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10000</v>
      </c>
      <c r="G291" s="4" t="n">
        <v>1000</v>
      </c>
      <c r="H291" s="4" t="n">
        <v>5967</v>
      </c>
      <c r="I291" s="4" t="n">
        <v>1805</v>
      </c>
      <c r="J291" s="5" t="n">
        <v>0.6</v>
      </c>
      <c r="K291" s="4" t="n">
        <v>1541</v>
      </c>
      <c r="L291" s="4" t="n">
        <v>466</v>
      </c>
      <c r="M291" s="5" t="n">
        <v>2.1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남청주IC에서 5분거리 신축공장</t>
        </is>
      </c>
      <c r="Q291" s="6">
        <f>HYPERLINK("https://fin.land.naver.com/articles/2651889673",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창고의여왕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5500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4" t="n">
        <v>725</v>
      </c>
      <c r="L292" s="4" t="n">
        <v>219</v>
      </c>
      <c r="M292" s="5" t="n">
        <v>2.5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 근접 공장 물류전문 창고로 추천드립니다</t>
        </is>
      </c>
      <c r="Q292" s="6">
        <f>HYPERLINK("https://fin.land.naver.com/articles/2651777434", "매물Link")</f>
        <v/>
      </c>
      <c r="R292" s="6">
        <f>HYPERLINK("https://map.naver.com/p/search/남이면 외천리 379-5", "지도Link")</f>
        <v/>
      </c>
      <c r="S292" s="6">
        <f>HYPERLINK("http://www.eum.go.kr/web/ar/lu/luLandDet.jsp?pnu=4311231022103790005&amp;isNoScr=script&amp;mode=search", "토지이음")</f>
        <v/>
      </c>
      <c r="T292" s="3" t="inlineStr">
        <is>
          <t>대박</t>
        </is>
      </c>
      <c r="U292" s="4" t="n">
        <v>1</v>
      </c>
      <c r="V292" s="5" t="n">
        <v>58</v>
      </c>
      <c r="W292" s="4" t="n">
        <v>1906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393</t>
        </is>
      </c>
      <c r="B293" s="3" t="inlineStr">
        <is>
          <t>계획관리지역</t>
        </is>
      </c>
      <c r="C293" s="3" t="inlineStr">
        <is>
          <t>창고용지</t>
        </is>
      </c>
      <c r="D293" s="3" t="inlineStr">
        <is>
          <t>창고</t>
        </is>
      </c>
      <c r="E293" s="3" t="inlineStr">
        <is>
          <t>월세</t>
        </is>
      </c>
      <c r="F293" s="4" t="n">
        <v>4000</v>
      </c>
      <c r="G293" s="4" t="n">
        <v>400</v>
      </c>
      <c r="H293" s="4" t="n">
        <v>2198</v>
      </c>
      <c r="I293" s="4" t="n">
        <v>665</v>
      </c>
      <c r="J293" s="5" t="n">
        <v>0.6</v>
      </c>
      <c r="K293" s="4" t="n">
        <v>987</v>
      </c>
      <c r="L293" s="4" t="n">
        <v>299</v>
      </c>
      <c r="M293" s="5" t="n">
        <v>1.3</v>
      </c>
      <c r="N293" s="3" t="inlineStr">
        <is>
          <t>2</t>
        </is>
      </c>
      <c r="O293" s="3" t="inlineStr">
        <is>
          <t>-</t>
        </is>
      </c>
      <c r="P293" s="3" t="inlineStr">
        <is>
          <t>사진有 창고 임대</t>
        </is>
      </c>
      <c r="Q293" s="6">
        <f>HYPERLINK("https://fin.land.naver.com/articles/2653026797", "매물Link")</f>
        <v/>
      </c>
      <c r="R293" s="6">
        <f>HYPERLINK("https://map.naver.com/p/search/남이면 외천리 393", "지도Link")</f>
        <v/>
      </c>
      <c r="S293" s="6">
        <f>HYPERLINK("http://www.eum.go.kr/web/ar/lu/luLandDet.jsp?pnu=4311231022103930000&amp;isNoScr=script&amp;mode=search", "토지이음")</f>
        <v/>
      </c>
      <c r="T293" s="3" t="inlineStr">
        <is>
          <t>월드</t>
        </is>
      </c>
      <c r="U293" s="4" t="n">
        <v>1</v>
      </c>
      <c r="V293" s="5" t="n">
        <v>35</v>
      </c>
      <c r="W293" s="4" t="n">
        <v>2198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423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340000</v>
      </c>
      <c r="G295" s="4" t="n">
        <v>0</v>
      </c>
      <c r="H295" s="4" t="n">
        <v>3723</v>
      </c>
      <c r="I295" s="4" t="n">
        <v>1126</v>
      </c>
      <c r="J295" s="5" t="n">
        <v>302</v>
      </c>
      <c r="K295" s="4" t="n">
        <v>498</v>
      </c>
      <c r="L295" s="4" t="n">
        <v>151</v>
      </c>
      <c r="M295" s="5" t="n">
        <v>2251.7</v>
      </c>
      <c r="N295" s="3" t="inlineStr">
        <is>
          <t>1</t>
        </is>
      </c>
      <c r="O295" s="3" t="inlineStr">
        <is>
          <t>B2</t>
        </is>
      </c>
      <c r="P295" s="3" t="inlineStr">
        <is>
          <t>남청주 IC인근에 위치  2차선 도로 근접</t>
        </is>
      </c>
      <c r="Q295" s="6">
        <f>HYPERLINK("https://fin.land.naver.com/articles/2650550799", "매물Link")</f>
        <v/>
      </c>
      <c r="R295" s="6">
        <f>HYPERLINK("https://map.naver.com/p/search/남이면 외천리 423", "지도Link")</f>
        <v/>
      </c>
      <c r="S295" s="6">
        <f>HYPERLINK("http://www.eum.go.kr/web/ar/lu/luLandDet.jsp?pnu=4311231022104230000&amp;isNoScr=script&amp;mode=search", "토지이음")</f>
        <v/>
      </c>
      <c r="T295" s="3" t="inlineStr">
        <is>
          <t>트리풀신화</t>
        </is>
      </c>
      <c r="U295" s="4" t="n">
        <v>1</v>
      </c>
      <c r="V295" s="5" t="n">
        <v>69.09999999999999</v>
      </c>
      <c r="W295" s="4" t="n">
        <v>3723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577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창고</t>
        </is>
      </c>
      <c r="E296" s="3" t="inlineStr">
        <is>
          <t>월세</t>
        </is>
      </c>
      <c r="F296" s="4" t="n">
        <v>2000</v>
      </c>
      <c r="G296" s="4" t="n">
        <v>150</v>
      </c>
      <c r="H296" s="4" t="n">
        <v>1682</v>
      </c>
      <c r="I296" s="4" t="n">
        <v>509</v>
      </c>
      <c r="J296" s="5" t="n">
        <v>0.3</v>
      </c>
      <c r="K296" s="4" t="n">
        <v>240</v>
      </c>
      <c r="L296" s="4" t="n">
        <v>73</v>
      </c>
      <c r="M296" s="5" t="n">
        <v>2.1</v>
      </c>
      <c r="N296" s="3" t="inlineStr">
        <is>
          <t>1</t>
        </is>
      </c>
      <c r="O296" s="3" t="inlineStr">
        <is>
          <t>-</t>
        </is>
      </c>
      <c r="P296" s="3" t="inlineStr">
        <is>
          <t>사진有 창고 임대</t>
        </is>
      </c>
      <c r="Q296" s="6">
        <f>HYPERLINK("https://fin.land.naver.com/articles/2653026538", "매물Link")</f>
        <v/>
      </c>
      <c r="R296" s="6">
        <f>HYPERLINK("https://map.naver.com/p/search/남이면 외천리 577", "지도Link")</f>
        <v/>
      </c>
      <c r="S296" s="6">
        <f>HYPERLINK("http://www.eum.go.kr/web/ar/lu/luLandDet.jsp?pnu=4311231022105770000&amp;isNoScr=script&amp;mode=search", "토지이음")</f>
        <v/>
      </c>
      <c r="T296" s="3" t="inlineStr">
        <is>
          <t>월드</t>
        </is>
      </c>
      <c r="U296" s="4" t="n">
        <v>1</v>
      </c>
      <c r="V296" s="5" t="n">
        <v>66.09999999999999</v>
      </c>
      <c r="W296" s="4" t="n">
        <v>1260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94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300000</v>
      </c>
      <c r="G298" s="4" t="n">
        <v>0</v>
      </c>
      <c r="H298" s="4" t="n">
        <v>5120</v>
      </c>
      <c r="I298" s="4" t="n">
        <v>1549</v>
      </c>
      <c r="J298" s="5" t="n">
        <v>193.7</v>
      </c>
      <c r="K298" s="4" t="n">
        <v>2124</v>
      </c>
      <c r="L298" s="4" t="n">
        <v>643</v>
      </c>
      <c r="M298" s="5" t="n">
        <v>466.6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5분거리 신탄진 대전등 접근성 좋고 전력300kw 호이스트설치</t>
        </is>
      </c>
      <c r="Q298" s="6">
        <f>HYPERLINK("https://fin.land.naver.com/articles/2654178695", "매물Link")</f>
        <v/>
      </c>
      <c r="R298" s="6">
        <f>HYPERLINK("https://map.naver.com/p/search/남이면 외천리 94", "지도Link")</f>
        <v/>
      </c>
      <c r="S298" s="6">
        <f>HYPERLINK("http://www.eum.go.kr/web/ar/lu/luLandDet.jsp?pnu=4311231022100940000&amp;isNoScr=script&amp;mode=search",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63.4</v>
      </c>
      <c r="W298" s="4" t="n">
        <v>5120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120</v>
      </c>
      <c r="H299" s="4" t="n">
        <v>1587</v>
      </c>
      <c r="I299" s="4" t="n">
        <v>480</v>
      </c>
      <c r="J299" s="5" t="n">
        <v>0.2</v>
      </c>
      <c r="K299" s="4" t="n">
        <v>138</v>
      </c>
      <c r="L299" s="4" t="n">
        <v>42</v>
      </c>
      <c r="M299" s="5" t="n">
        <v>2.9</v>
      </c>
      <c r="N299" s="3" t="inlineStr">
        <is>
          <t>1</t>
        </is>
      </c>
      <c r="O299" s="3" t="inlineStr">
        <is>
          <t>-</t>
        </is>
      </c>
      <c r="P299" s="3" t="inlineStr">
        <is>
          <t>2차선도로접하고 마당넓은 신축소형창고 임대</t>
        </is>
      </c>
      <c r="Q299" s="6">
        <f>HYPERLINK("https://fin.land.naver.com/articles/2649683920",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133</v>
      </c>
      <c r="L300" s="4" t="n">
        <v>40</v>
      </c>
      <c r="M300" s="5" t="n">
        <v>3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2차선 도로접, 차량 진출입 용이 마당 넓음</t>
        </is>
      </c>
      <c r="Q300" s="6">
        <f>HYPERLINK("https://fin.land.naver.com/articles/2654705701",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35-6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3000</v>
      </c>
      <c r="G301" s="4" t="n">
        <v>220</v>
      </c>
      <c r="H301" s="4" t="n">
        <v>1587</v>
      </c>
      <c r="I301" s="4" t="n">
        <v>480</v>
      </c>
      <c r="J301" s="5" t="n">
        <v>0.5</v>
      </c>
      <c r="K301" s="4" t="n">
        <v>277</v>
      </c>
      <c r="L301" s="4" t="n">
        <v>84</v>
      </c>
      <c r="M301" s="5" t="n">
        <v>2.6</v>
      </c>
      <c r="N301" s="3" t="inlineStr">
        <is>
          <t>1</t>
        </is>
      </c>
      <c r="O301" s="3" t="inlineStr">
        <is>
          <t>-</t>
        </is>
      </c>
      <c r="P301" s="3" t="inlineStr">
        <is>
          <t>건물80형 대지큼 주차편함 소매점 창고 모두가능</t>
        </is>
      </c>
      <c r="Q301" s="6">
        <f>HYPERLINK("https://fin.land.naver.com/articles/2654732607", "매물Link")</f>
        <v/>
      </c>
      <c r="R301" s="6">
        <f>HYPERLINK("https://map.naver.com/p/search/남이면 척북리 35-6", "지도Link")</f>
        <v/>
      </c>
      <c r="S301" s="6">
        <f>HYPERLINK("http://www.eum.go.kr/web/ar/lu/luLandDet.jsp?pnu=4311231024100350006&amp;isNoScr=script&amp;mode=search", "토지이음")</f>
        <v/>
      </c>
      <c r="T301" s="3" t="inlineStr">
        <is>
          <t>위더스</t>
        </is>
      </c>
      <c r="U301" s="4" t="n">
        <v>1</v>
      </c>
      <c r="V301" s="5" t="n">
        <v>60.8</v>
      </c>
      <c r="W301" s="4" t="n">
        <v>1587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척북삼거리 인근 2차선대로변에서 바로 진입가능</t>
        </is>
      </c>
      <c r="Q302" s="6">
        <f>HYPERLINK("https://fin.land.naver.com/articles/2649845646",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4900</v>
      </c>
      <c r="G303" s="4" t="n">
        <v>490</v>
      </c>
      <c r="H303" s="4" t="n">
        <v>1777</v>
      </c>
      <c r="I303" s="4" t="n">
        <v>538</v>
      </c>
      <c r="J303" s="5" t="n">
        <v>0.9</v>
      </c>
      <c r="K303" s="4" t="n">
        <v>704</v>
      </c>
      <c r="L303" s="4" t="n">
        <v>213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진출입 매우 편리한 창고공장 임대 넓은 마당 확보. 넓은 면적가능</t>
        </is>
      </c>
      <c r="Q303" s="6">
        <f>HYPERLINK("https://fin.land.naver.com/articles/2650609474", "매물Link")</f>
        <v/>
      </c>
      <c r="R303" s="6">
        <f>HYPERLINK("https://map.naver.com/p/search/남이면 척북리 75", "지도Link")</f>
        <v/>
      </c>
      <c r="S303" s="6">
        <f>HYPERLINK("http://www.eum.go.kr/web/ar/lu/luLandDet.jsp?pnu=4311231024100750000&amp;isNoScr=script&amp;mode=search", "토지이음")</f>
        <v/>
      </c>
      <c r="T303" s="3" t="inlineStr">
        <is>
          <t>태광</t>
        </is>
      </c>
      <c r="U303" s="4" t="n">
        <v>2</v>
      </c>
      <c r="V303" s="5" t="n">
        <v>54</v>
      </c>
      <c r="W303" s="4" t="n">
        <v>1777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7000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 9분 청주도심권 2차선도로 접 식품업종 가능</t>
        </is>
      </c>
      <c r="Q304" s="6">
        <f>HYPERLINK("https://fin.land.naver.com/articles/2651673647",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더원</t>
        </is>
      </c>
      <c r="U304" s="4" t="n">
        <v>4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有, 척북삼거리 인근 2차선대로변에서 바로 진입가능</t>
        </is>
      </c>
      <c r="Q305" s="6">
        <f>HYPERLINK("https://fin.land.naver.com/articles/2651592951",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11700</v>
      </c>
      <c r="G306" s="4" t="n">
        <v>1170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인접한 두개 동 모두 임대조건 넓은 개인전용마당 확보 진출입 매우 용이</t>
        </is>
      </c>
      <c r="Q306" s="6">
        <f>HYPERLINK("https://fin.land.naver.com/articles/2650609224",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태광</t>
        </is>
      </c>
      <c r="U306" s="4" t="n">
        <v>1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75-8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6800</v>
      </c>
      <c r="G307" s="4" t="n">
        <v>680</v>
      </c>
      <c r="H307" s="4" t="n">
        <v>2473</v>
      </c>
      <c r="I307" s="4" t="n">
        <v>748</v>
      </c>
      <c r="J307" s="5" t="n">
        <v>0.9</v>
      </c>
      <c r="K307" s="4" t="n">
        <v>987</v>
      </c>
      <c r="L307" s="4" t="n">
        <v>299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더 넓은 면적 가능 상세정보 확인요망</t>
        </is>
      </c>
      <c r="Q307" s="6">
        <f>HYPERLINK("https://fin.land.naver.com/articles/2650611002", "매물Link")</f>
        <v/>
      </c>
      <c r="R307" s="6">
        <f>HYPERLINK("https://map.naver.com/p/search/남이면 척북리 75-8", "지도Link")</f>
        <v/>
      </c>
      <c r="S307" s="6">
        <f>HYPERLINK("http://www.eum.go.kr/web/ar/lu/luLandDet.jsp?pnu=4311231024100750008&amp;isNoScr=script&amp;mode=search",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2473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남청주ic 10분거리이며 민가없어 소음업종가능</t>
        </is>
      </c>
      <c r="Q308" s="6">
        <f>HYPERLINK("https://fin.land.naver.com/articles/2652964886",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더원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113-3</t>
        </is>
      </c>
      <c r="B309" s="3" t="inlineStr">
        <is>
          <t>생산관리지역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78000</v>
      </c>
      <c r="G309" s="4" t="n">
        <v>0</v>
      </c>
      <c r="H309" s="4" t="n">
        <v>2494</v>
      </c>
      <c r="I309" s="4" t="n">
        <v>754</v>
      </c>
      <c r="J309" s="5" t="n">
        <v>103.4</v>
      </c>
      <c r="K309" s="4" t="n">
        <v>475</v>
      </c>
      <c r="L309" s="4" t="n">
        <v>144</v>
      </c>
      <c r="M309" s="5" t="n">
        <v>541.7</v>
      </c>
      <c r="N309" s="3" t="inlineStr">
        <is>
          <t>2</t>
        </is>
      </c>
      <c r="O309" s="3" t="inlineStr">
        <is>
          <t>-</t>
        </is>
      </c>
      <c r="P309" s="3" t="inlineStr">
        <is>
          <t>제조 공장 부지.협의가능.</t>
        </is>
      </c>
      <c r="Q309" s="6">
        <f>HYPERLINK("https://fin.land.naver.com/articles/2652910166", "매물Link")</f>
        <v/>
      </c>
      <c r="R309" s="6">
        <f>HYPERLINK("https://map.naver.com/p/search/남이면 척산리 113-3", "지도Link")</f>
        <v/>
      </c>
      <c r="S309" s="6">
        <f>HYPERLINK("http://www.eum.go.kr/web/ar/lu/luLandDet.jsp?pnu=4311231021101130003&amp;isNoScr=script&amp;mode=search", "토지이음")</f>
        <v/>
      </c>
      <c r="T309" s="3" t="inlineStr">
        <is>
          <t>호반</t>
        </is>
      </c>
      <c r="U309" s="4" t="n">
        <v>1</v>
      </c>
      <c r="V309" s="5" t="n">
        <v>47.6</v>
      </c>
      <c r="W309" s="4" t="n">
        <v>2494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척산삼거리 인근, 도로변, 55형, 창고, 2개동사용가능, 넓은 마당</t>
        </is>
      </c>
      <c r="Q310" s="6">
        <f>HYPERLINK("https://fin.land.naver.com/articles/2650094061",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라인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1055</v>
      </c>
      <c r="I311" s="4" t="n">
        <v>319</v>
      </c>
      <c r="J311" s="5" t="n">
        <v>0.4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nan</t>
        </is>
      </c>
      <c r="Q311" s="6">
        <f>HYPERLINK("https://fin.land.naver.com/articles/2653266534",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청주원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 척산리 준 신축 창고 입니다 1동2동 둘다 사용가능</t>
        </is>
      </c>
      <c r="Q312" s="6">
        <f>HYPERLINK("https://fin.land.naver.com/articles/2654713412",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청주대장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사진 有, 척산삼거리 인근 마당 넓음, 2차선 대로변에서 진입</t>
        </is>
      </c>
      <c r="Q313" s="6">
        <f>HYPERLINK("https://fin.land.naver.com/articles/2655092124",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태성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129-5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130</v>
      </c>
      <c r="H314" s="4" t="n">
        <v>2109</v>
      </c>
      <c r="I314" s="4" t="n">
        <v>638</v>
      </c>
      <c r="J314" s="5" t="n">
        <v>0.2</v>
      </c>
      <c r="K314" s="4" t="n">
        <v>180</v>
      </c>
      <c r="L314" s="4" t="n">
        <v>54</v>
      </c>
      <c r="M314" s="5" t="n">
        <v>2.4</v>
      </c>
      <c r="N314" s="3" t="inlineStr">
        <is>
          <t>1</t>
        </is>
      </c>
      <c r="O314" s="3" t="inlineStr">
        <is>
          <t>-</t>
        </is>
      </c>
      <c r="P314" s="3" t="inlineStr">
        <is>
          <t>건물 55형 대지 200형 사용</t>
        </is>
      </c>
      <c r="Q314" s="6">
        <f>HYPERLINK("https://fin.land.naver.com/articles/2649851752", "매물Link")</f>
        <v/>
      </c>
      <c r="R314" s="6">
        <f>HYPERLINK("https://map.naver.com/p/search/남이면 척산리 129-5", "지도Link")</f>
        <v/>
      </c>
      <c r="S314" s="6">
        <f>HYPERLINK("http://www.eum.go.kr/web/ar/lu/luLandDet.jsp?pnu=4311231021101290005&amp;isNoScr=script&amp;mode=search",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62.5</v>
      </c>
      <c r="W314" s="4" t="n">
        <v>2109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136-1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3000</v>
      </c>
      <c r="G315" s="4" t="n">
        <v>250</v>
      </c>
      <c r="H315" s="4" t="n">
        <v>2121</v>
      </c>
      <c r="I315" s="4" t="n">
        <v>642</v>
      </c>
      <c r="J315" s="5" t="n">
        <v>0.4</v>
      </c>
      <c r="K315" s="4" t="n">
        <v>495</v>
      </c>
      <c r="L315" s="4" t="n">
        <v>150</v>
      </c>
      <c r="M315" s="5" t="n">
        <v>1.7</v>
      </c>
      <c r="N315" s="3" t="inlineStr">
        <is>
          <t>1</t>
        </is>
      </c>
      <c r="O315" s="3" t="inlineStr">
        <is>
          <t>-</t>
        </is>
      </c>
      <c r="P315" s="3" t="inlineStr">
        <is>
          <t>150형 공장등록 호이스트 2.8톤</t>
        </is>
      </c>
      <c r="Q315" s="6">
        <f>HYPERLINK("https://fin.land.naver.com/articles/2651815067", "매물Link")</f>
        <v/>
      </c>
      <c r="R315" s="6">
        <f>HYPERLINK("https://map.naver.com/p/search/남이면 척산리 136-1", "지도Link")</f>
        <v/>
      </c>
      <c r="S315" s="6">
        <f>HYPERLINK("http://www.eum.go.kr/web/ar/lu/luLandDet.jsp?pnu=4311231021101360001&amp;isNoScr=script&amp;mode=search", "토지이음")</f>
        <v/>
      </c>
      <c r="T315" s="3" t="inlineStr">
        <is>
          <t>위더스</t>
        </is>
      </c>
      <c r="U315" s="4" t="n">
        <v>1</v>
      </c>
      <c r="V315" s="5" t="n">
        <v>59.2</v>
      </c>
      <c r="W315" s="4" t="n">
        <v>1470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157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공장</t>
        </is>
      </c>
      <c r="E317" s="3" t="inlineStr">
        <is>
          <t>월세</t>
        </is>
      </c>
      <c r="F317" s="4" t="n">
        <v>2000</v>
      </c>
      <c r="G317" s="4" t="n">
        <v>220</v>
      </c>
      <c r="H317" s="4" t="n">
        <v>1462</v>
      </c>
      <c r="I317" s="4" t="n">
        <v>442</v>
      </c>
      <c r="J317" s="5" t="n">
        <v>0.5</v>
      </c>
      <c r="K317" s="4" t="n">
        <v>291</v>
      </c>
      <c r="L317" s="4" t="n">
        <v>88</v>
      </c>
      <c r="M317" s="5" t="n">
        <v>2.5</v>
      </c>
      <c r="N317" s="3" t="inlineStr">
        <is>
          <t>1</t>
        </is>
      </c>
      <c r="O317" s="3" t="inlineStr">
        <is>
          <t>-</t>
        </is>
      </c>
      <c r="P317" s="3" t="inlineStr">
        <is>
          <t>남이면 척산리 공장3동 개별전체임대</t>
        </is>
      </c>
      <c r="Q317" s="6">
        <f>HYPERLINK("https://fin.land.naver.com/articles/2654890323", "매물Link")</f>
        <v/>
      </c>
      <c r="R317" s="6">
        <f>HYPERLINK("https://map.naver.com/p/search/남이면 척산리 157", "지도Link")</f>
        <v/>
      </c>
      <c r="S317" s="6">
        <f>HYPERLINK("http://www.eum.go.kr/web/ar/lu/luLandDet.jsp?pnu=4311231021101570000&amp;isNoScr=script&amp;mode=search", "토지이음")</f>
        <v/>
      </c>
      <c r="T317" s="3" t="inlineStr">
        <is>
          <t>e교차로합동</t>
        </is>
      </c>
      <c r="U317" s="4" t="n">
        <v>1</v>
      </c>
      <c r="V317" s="5" t="n">
        <v>65</v>
      </c>
      <c r="W317" s="4" t="n">
        <v>1462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158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매매</t>
        </is>
      </c>
      <c r="F318" s="4" t="n">
        <v>80000</v>
      </c>
      <c r="G318" s="4" t="n">
        <v>0</v>
      </c>
      <c r="H318" s="4" t="n">
        <v>1436</v>
      </c>
      <c r="I318" s="4" t="n">
        <v>434</v>
      </c>
      <c r="J318" s="5" t="n">
        <v>184.3</v>
      </c>
      <c r="K318" s="4" t="n">
        <v>276</v>
      </c>
      <c r="L318" s="4" t="n">
        <v>83</v>
      </c>
      <c r="M318" s="5" t="n">
        <v>963.9</v>
      </c>
      <c r="N318" s="3" t="inlineStr">
        <is>
          <t>1</t>
        </is>
      </c>
      <c r="O318" s="3" t="inlineStr">
        <is>
          <t>-</t>
        </is>
      </c>
      <c r="P318" s="3" t="inlineStr">
        <is>
          <t>사진有, 척산삼거리인근, 신축 2종근생제조업소, 대형차량진입용이</t>
        </is>
      </c>
      <c r="Q318" s="6">
        <f>HYPERLINK("https://fin.land.naver.com/articles/2650897636", "매물Link")</f>
        <v/>
      </c>
      <c r="R318" s="6">
        <f>HYPERLINK("https://map.naver.com/p/search/남이면 척산리 158", "지도Link")</f>
        <v/>
      </c>
      <c r="S318" s="6">
        <f>HYPERLINK("http://www.eum.go.kr/web/ar/lu/luLandDet.jsp?pnu=4311231021101580000&amp;isNoScr=script&amp;mode=search",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64.90000000000001</v>
      </c>
      <c r="W318" s="4" t="n">
        <v>1436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</t>
        </is>
      </c>
      <c r="B320" s="3" t="inlineStr">
        <is>
          <t>계획관리지역</t>
        </is>
      </c>
      <c r="C320" s="3" t="inlineStr">
        <is>
          <t>잡종지</t>
        </is>
      </c>
      <c r="D320" s="3" t="inlineStr">
        <is>
          <t>공장</t>
        </is>
      </c>
      <c r="E320" s="3" t="inlineStr">
        <is>
          <t>매매</t>
        </is>
      </c>
      <c r="F320" s="4" t="n">
        <v>400000</v>
      </c>
      <c r="G320" s="4" t="n">
        <v>0</v>
      </c>
      <c r="H320" s="4" t="n">
        <v>7264</v>
      </c>
      <c r="I320" s="4" t="n">
        <v>2197</v>
      </c>
      <c r="J320" s="5" t="n">
        <v>182.1</v>
      </c>
      <c r="K320" s="4" t="n">
        <v>1337</v>
      </c>
      <c r="L320" s="4" t="n">
        <v>404</v>
      </c>
      <c r="M320" s="5" t="n">
        <v>990.1</v>
      </c>
      <c r="N320" s="3" t="inlineStr">
        <is>
          <t>2</t>
        </is>
      </c>
      <c r="O320" s="3" t="inlineStr">
        <is>
          <t>-</t>
        </is>
      </c>
      <c r="P320" s="3" t="inlineStr">
        <is>
          <t>공장용도</t>
        </is>
      </c>
      <c r="Q320" s="6">
        <f>HYPERLINK("https://fin.land.naver.com/articles/2650638871", "매물Link")</f>
        <v/>
      </c>
      <c r="R320" s="6">
        <f>HYPERLINK("https://map.naver.com/p/search/남이면 척산리 232", "지도Link")</f>
        <v/>
      </c>
      <c r="S320" s="6">
        <f>HYPERLINK("http://www.eum.go.kr/web/ar/lu/luLandDet.jsp?pnu=4311231021102320000&amp;isNoScr=script&amp;mode=search", "토지이음")</f>
        <v/>
      </c>
      <c r="T320" s="3" t="inlineStr">
        <is>
          <t>(주)이알에이코리아</t>
        </is>
      </c>
      <c r="U320" s="4" t="n">
        <v>1</v>
      </c>
      <c r="V320" s="5" t="n">
        <v>65.09999999999999</v>
      </c>
      <c r="W320" s="4" t="n">
        <v>7000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12000</v>
      </c>
      <c r="G321" s="4" t="n">
        <v>1200</v>
      </c>
      <c r="H321" s="4" t="n">
        <v>10144</v>
      </c>
      <c r="I321" s="4" t="n">
        <v>3069</v>
      </c>
      <c r="J321" s="5" t="n">
        <v>0.4</v>
      </c>
      <c r="K321" s="4" t="n">
        <v>1808</v>
      </c>
      <c r="L321" s="4" t="n">
        <v>547</v>
      </c>
      <c r="M321" s="5" t="n">
        <v>2.2</v>
      </c>
      <c r="N321" s="3" t="inlineStr">
        <is>
          <t>3</t>
        </is>
      </c>
      <c r="O321" s="3" t="inlineStr">
        <is>
          <t>-</t>
        </is>
      </c>
      <c r="P321" s="3" t="inlineStr">
        <is>
          <t>남청주IC인근,관리잘된 대형공장, 화물용 엘리베이터, 대형차 진입용이</t>
        </is>
      </c>
      <c r="Q321" s="6">
        <f>HYPERLINK("https://fin.land.naver.com/articles/2652109467",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(주)미르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1810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남청주 IC 인근 대형 공장, 화물 엘리베이터, 대형차 진출입 원활</t>
        </is>
      </c>
      <c r="Q322" s="6">
        <f>HYPERLINK("https://fin.land.naver.com/articles/2654970875",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대전토지로무소</t>
        </is>
      </c>
      <c r="U322" s="4" t="n">
        <v>2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1100000</v>
      </c>
      <c r="G323" s="4" t="n">
        <v>0</v>
      </c>
      <c r="H323" s="4" t="n">
        <v>10114</v>
      </c>
      <c r="I323" s="4" t="n">
        <v>3059</v>
      </c>
      <c r="J323" s="5" t="n">
        <v>359.6</v>
      </c>
      <c r="K323" s="4" t="n">
        <v>9117</v>
      </c>
      <c r="L323" s="4" t="n">
        <v>2758</v>
      </c>
      <c r="M323" s="5" t="n">
        <v>398.8</v>
      </c>
      <c r="N323" s="3" t="inlineStr">
        <is>
          <t>3</t>
        </is>
      </c>
      <c r="O323" s="3" t="inlineStr">
        <is>
          <t>B1</t>
        </is>
      </c>
      <c r="P323" s="3" t="inlineStr">
        <is>
          <t>대형 공장 및 물류창고  화물 엘리베이터있음, 남청주 IC인접 접근성편리</t>
        </is>
      </c>
      <c r="Q323" s="6">
        <f>HYPERLINK("https://fin.land.naver.com/articles/2654901006",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1200000</v>
      </c>
      <c r="G324" s="4" t="n">
        <v>0</v>
      </c>
      <c r="H324" s="4" t="n">
        <v>3068</v>
      </c>
      <c r="I324" s="4" t="n">
        <v>928</v>
      </c>
      <c r="J324" s="5" t="n">
        <v>1293.1</v>
      </c>
      <c r="K324" s="4" t="n">
        <v>2757</v>
      </c>
      <c r="L324" s="4" t="n">
        <v>834</v>
      </c>
      <c r="M324" s="5" t="n">
        <v>1438.8</v>
      </c>
      <c r="N324" s="3" t="inlineStr">
        <is>
          <t>3</t>
        </is>
      </c>
      <c r="O324" s="3" t="inlineStr">
        <is>
          <t>B1</t>
        </is>
      </c>
      <c r="P324" s="3" t="inlineStr">
        <is>
          <t>사진有 공장 매매</t>
        </is>
      </c>
      <c r="Q324" s="6">
        <f>HYPERLINK("https://fin.land.naver.com/articles/2650520423",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월드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1812</v>
      </c>
      <c r="L325" s="4" t="n">
        <v>548</v>
      </c>
      <c r="M325" s="5" t="n">
        <v>2.2</v>
      </c>
      <c r="N325" s="3" t="inlineStr">
        <is>
          <t>3</t>
        </is>
      </c>
      <c r="O325" s="3" t="inlineStr">
        <is>
          <t>B1</t>
        </is>
      </c>
      <c r="P325" s="3" t="inlineStr">
        <is>
          <t>사진有 공장 임대</t>
        </is>
      </c>
      <c r="Q325" s="6">
        <f>HYPERLINK("https://fin.land.naver.com/articles/2653027070",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월드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232-6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1100000</v>
      </c>
      <c r="G326" s="4" t="n">
        <v>0</v>
      </c>
      <c r="H326" s="4" t="n">
        <v>10144</v>
      </c>
      <c r="I326" s="4" t="n">
        <v>3069</v>
      </c>
      <c r="J326" s="5" t="n">
        <v>358.4</v>
      </c>
      <c r="K326" s="4" t="n">
        <v>9117</v>
      </c>
      <c r="L326" s="4" t="n">
        <v>2758</v>
      </c>
      <c r="M326" s="5" t="n">
        <v>398.8</v>
      </c>
      <c r="N326" s="3" t="inlineStr">
        <is>
          <t>3</t>
        </is>
      </c>
      <c r="O326" s="3" t="inlineStr">
        <is>
          <t>-</t>
        </is>
      </c>
      <c r="P326" s="3" t="inlineStr">
        <is>
          <t>남청주IC인근 대형차 진출입 용이한 관리 잘 된 대형공장, 창고</t>
        </is>
      </c>
      <c r="Q326" s="6">
        <f>HYPERLINK("https://fin.land.naver.com/articles/2652105829", "매물Link")</f>
        <v/>
      </c>
      <c r="R326" s="6">
        <f>HYPERLINK("https://map.naver.com/p/search/남이면 척산리 232-6", "지도Link")</f>
        <v/>
      </c>
      <c r="S326" s="6">
        <f>HYPERLINK("http://www.eum.go.kr/web/ar/lu/luLandDet.jsp?pnu=4311231021102320006&amp;isNoScr=script&amp;mode=search", "토지이음")</f>
        <v/>
      </c>
      <c r="T326" s="3" t="inlineStr">
        <is>
          <t>(주)미르</t>
        </is>
      </c>
      <c r="U326" s="4" t="n">
        <v>1</v>
      </c>
      <c r="V326" s="5" t="n">
        <v>69</v>
      </c>
      <c r="W326" s="4" t="n">
        <v>10144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327-1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2000</v>
      </c>
      <c r="G327" s="4" t="n">
        <v>160</v>
      </c>
      <c r="H327" s="4" t="n">
        <v>1249</v>
      </c>
      <c r="I327" s="4" t="n">
        <v>378</v>
      </c>
      <c r="J327" s="5" t="n">
        <v>0.4</v>
      </c>
      <c r="K327" s="4" t="n">
        <v>296</v>
      </c>
      <c r="L327" s="4" t="n">
        <v>90</v>
      </c>
      <c r="M327" s="5" t="n">
        <v>1.8</v>
      </c>
      <c r="N327" s="3" t="inlineStr">
        <is>
          <t>1</t>
        </is>
      </c>
      <c r="O327" s="3" t="inlineStr">
        <is>
          <t>-</t>
        </is>
      </c>
      <c r="P327" s="3" t="inlineStr">
        <is>
          <t>건물 90형 마당크게 사용가능</t>
        </is>
      </c>
      <c r="Q327" s="6">
        <f>HYPERLINK("https://fin.land.naver.com/articles/2652969989", "매물Link")</f>
        <v/>
      </c>
      <c r="R327" s="6">
        <f>HYPERLINK("https://map.naver.com/p/search/남이면 척산리 327-1", "지도Link")</f>
        <v/>
      </c>
      <c r="S327" s="6">
        <f>HYPERLINK("http://www.eum.go.kr/web/ar/lu/luLandDet.jsp?pnu=4311231021103270001&amp;isNoScr=script&amp;mode=search", "토지이음")</f>
        <v/>
      </c>
      <c r="T327" s="3" t="inlineStr">
        <is>
          <t>위더스</t>
        </is>
      </c>
      <c r="U327" s="4" t="n">
        <v>1</v>
      </c>
      <c r="V327" s="5" t="n">
        <v>65.09999999999999</v>
      </c>
      <c r="W327" s="4" t="n">
        <v>1249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343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1000</v>
      </c>
      <c r="G328" s="4" t="n">
        <v>140</v>
      </c>
      <c r="H328" s="4" t="n">
        <v>886</v>
      </c>
      <c r="I328" s="4" t="n">
        <v>268</v>
      </c>
      <c r="J328" s="5" t="n">
        <v>0.5</v>
      </c>
      <c r="K328" s="4" t="n">
        <v>196</v>
      </c>
      <c r="L328" s="4" t="n">
        <v>59</v>
      </c>
      <c r="M328" s="5" t="n">
        <v>2.4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有,남청주ic 차량7분,대형차량 진출입 용이,신축급 저렴한 창고</t>
        </is>
      </c>
      <c r="Q328" s="6">
        <f>HYPERLINK("https://fin.land.naver.com/articles/2654833536", "매물Link")</f>
        <v/>
      </c>
      <c r="R328" s="6">
        <f>HYPERLINK("https://map.naver.com/p/search/남이면 척산리 343", "지도Link")</f>
        <v/>
      </c>
      <c r="S328" s="6">
        <f>HYPERLINK("http://www.eum.go.kr/web/ar/lu/luLandDet.jsp?pnu=4311231021103430000&amp;isNoScr=script&amp;mode=search", "토지이음")</f>
        <v/>
      </c>
      <c r="T328" s="3" t="inlineStr">
        <is>
          <t>나는</t>
        </is>
      </c>
      <c r="U328" s="4" t="n">
        <v>3</v>
      </c>
      <c r="V328" s="5" t="n">
        <v>50.8</v>
      </c>
      <c r="W328" s="4" t="n">
        <v>886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1025</v>
      </c>
      <c r="L329" s="4" t="n">
        <v>310</v>
      </c>
      <c r="M329" s="5" t="n">
        <v>612.9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 8분 경부 당진영덕고속도로  접근성 좋은 소형창고매매</t>
        </is>
      </c>
      <c r="Q329" s="6">
        <f>HYPERLINK("https://fin.land.naver.com/articles/2651673718",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더원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366-9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190000</v>
      </c>
      <c r="G330" s="4" t="n">
        <v>0</v>
      </c>
      <c r="H330" s="4" t="n">
        <v>2671</v>
      </c>
      <c r="I330" s="4" t="n">
        <v>808</v>
      </c>
      <c r="J330" s="5" t="n">
        <v>235.1</v>
      </c>
      <c r="K330" s="4" t="n">
        <v>1360</v>
      </c>
      <c r="L330" s="4" t="n">
        <v>411</v>
      </c>
      <c r="M330" s="5" t="n">
        <v>462.3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계획관리지역,성장관리구역의 대형 창고시설 임대 및 매매</t>
        </is>
      </c>
      <c r="Q330" s="6">
        <f>HYPERLINK("https://fin.land.naver.com/articles/2650156131", "매물Link")</f>
        <v/>
      </c>
      <c r="R330" s="6">
        <f>HYPERLINK("https://map.naver.com/p/search/남이면 척산리 366-9", "지도Link")</f>
        <v/>
      </c>
      <c r="S330" s="6">
        <f>HYPERLINK("http://www.eum.go.kr/web/ar/lu/luLandDet.jsp?pnu=4311231021103660009&amp;isNoScr=script&amp;mode=search", "토지이음")</f>
        <v/>
      </c>
      <c r="T330" s="3" t="inlineStr">
        <is>
          <t>e교차로합동</t>
        </is>
      </c>
      <c r="U330" s="4" t="n">
        <v>1</v>
      </c>
      <c r="V330" s="5" t="n">
        <v>83.2</v>
      </c>
      <c r="W330" s="4" t="n">
        <v>2671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369-15</t>
        </is>
      </c>
      <c r="B331" s="3" t="inlineStr">
        <is>
          <t>계획관리지역</t>
        </is>
      </c>
      <c r="C331" s="3" t="inlineStr">
        <is>
          <t>창고용지</t>
        </is>
      </c>
      <c r="D331" s="3" t="inlineStr">
        <is>
          <t>창고</t>
        </is>
      </c>
      <c r="E331" s="3" t="inlineStr">
        <is>
          <t>매매</t>
        </is>
      </c>
      <c r="F331" s="4" t="n">
        <v>130000</v>
      </c>
      <c r="G331" s="4" t="n">
        <v>0</v>
      </c>
      <c r="H331" s="4" t="n">
        <v>1340</v>
      </c>
      <c r="I331" s="4" t="n">
        <v>405</v>
      </c>
      <c r="J331" s="5" t="n">
        <v>321</v>
      </c>
      <c r="K331" s="4" t="n">
        <v>317</v>
      </c>
      <c r="L331" s="4" t="n">
        <v>96</v>
      </c>
      <c r="M331" s="5" t="n">
        <v>1354.2</v>
      </c>
      <c r="N331" s="3" t="inlineStr">
        <is>
          <t>1</t>
        </is>
      </c>
      <c r="O331" s="3" t="inlineStr">
        <is>
          <t>-</t>
        </is>
      </c>
      <c r="P331" s="3" t="inlineStr">
        <is>
          <t>4차로변 광고효과가 매우 좋은 위치입니다.</t>
        </is>
      </c>
      <c r="Q331" s="6">
        <f>HYPERLINK("https://fin.land.naver.com/articles/2650137544", "매물Link")</f>
        <v/>
      </c>
      <c r="R331" s="6">
        <f>HYPERLINK("https://map.naver.com/p/search/남이면 척산리 369-15", "지도Link")</f>
        <v/>
      </c>
      <c r="S331" s="6">
        <f>HYPERLINK("http://www.eum.go.kr/web/ar/lu/luLandDet.jsp?pnu=4311231021103690015&amp;isNoScr=script&amp;mode=search", "토지이음")</f>
        <v/>
      </c>
      <c r="T331" s="3" t="inlineStr">
        <is>
          <t>정민</t>
        </is>
      </c>
      <c r="U331" s="4" t="n">
        <v>1</v>
      </c>
      <c r="V331" s="5" t="n">
        <v>110</v>
      </c>
      <c r="W331" s="4" t="n">
        <v>1340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중로한면</t>
        </is>
      </c>
    </row>
    <row r="332">
      <c r="A332" s="3" t="inlineStr">
        <is>
          <t>남이면 척산리 382-1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매매</t>
        </is>
      </c>
      <c r="F332" s="4" t="n">
        <v>110000</v>
      </c>
      <c r="G332" s="4" t="n">
        <v>0</v>
      </c>
      <c r="H332" s="4" t="n">
        <v>1749</v>
      </c>
      <c r="I332" s="4" t="n">
        <v>529</v>
      </c>
      <c r="J332" s="5" t="n">
        <v>207.9</v>
      </c>
      <c r="K332" s="4" t="n">
        <v>678</v>
      </c>
      <c r="L332" s="4" t="n">
        <v>205</v>
      </c>
      <c r="M332" s="5" t="n">
        <v>536.6</v>
      </c>
      <c r="N332" s="3" t="inlineStr">
        <is>
          <t>1</t>
        </is>
      </c>
      <c r="O332" s="3" t="inlineStr">
        <is>
          <t>-</t>
        </is>
      </c>
      <c r="P332" s="3" t="inlineStr">
        <is>
          <t>nan</t>
        </is>
      </c>
      <c r="Q332" s="6">
        <f>HYPERLINK("https://fin.land.naver.com/articles/2654501796", "매물Link")</f>
        <v/>
      </c>
      <c r="R332" s="6">
        <f>HYPERLINK("https://map.naver.com/p/search/남이면 척산리 382-1", "지도Link")</f>
        <v/>
      </c>
      <c r="S332" s="6">
        <f>HYPERLINK("http://www.eum.go.kr/web/ar/lu/luLandDet.jsp?pnu=4311231021103820001&amp;isNoScr=script&amp;mode=search", "토지이음")</f>
        <v/>
      </c>
      <c r="T332" s="3" t="inlineStr">
        <is>
          <t>수풀림</t>
        </is>
      </c>
      <c r="U332" s="4" t="n">
        <v>1</v>
      </c>
      <c r="V332" s="5" t="n">
        <v>98.2</v>
      </c>
      <c r="W332" s="4" t="n">
        <v>236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100000</v>
      </c>
      <c r="G333" s="4" t="n">
        <v>0</v>
      </c>
      <c r="H333" s="4" t="n">
        <v>1749</v>
      </c>
      <c r="I333" s="4" t="n">
        <v>529</v>
      </c>
      <c r="J333" s="5" t="n">
        <v>189</v>
      </c>
      <c r="K333" s="4" t="n">
        <v>678</v>
      </c>
      <c r="L333" s="4" t="n">
        <v>205</v>
      </c>
      <c r="M333" s="5" t="n">
        <v>487.8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 척산리 창고 매매, 남청주ic 인접, 마당 넓음, 유통물류 추천</t>
        </is>
      </c>
      <c r="Q333" s="6">
        <f>HYPERLINK("https://fin.land.naver.com/articles/2652903126",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산남태강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678</v>
      </c>
      <c r="L334" s="4" t="n">
        <v>205</v>
      </c>
      <c r="M334" s="5" t="n">
        <v>2</v>
      </c>
      <c r="N334" s="3" t="inlineStr">
        <is>
          <t>1</t>
        </is>
      </c>
      <c r="O334" s="3" t="inlineStr">
        <is>
          <t>-</t>
        </is>
      </c>
      <c r="P334" s="3" t="inlineStr">
        <is>
          <t>즉시 입주 가능,주차 공간 넓어 대형차량 진출입,회전 편리</t>
        </is>
      </c>
      <c r="Q334" s="6">
        <f>HYPERLINK("https://fin.land.naver.com/articles/2650939836",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금화랜드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4000</v>
      </c>
      <c r="G335" s="4" t="n">
        <v>400</v>
      </c>
      <c r="H335" s="4" t="n">
        <v>1749</v>
      </c>
      <c r="I335" s="4" t="n">
        <v>529</v>
      </c>
      <c r="J335" s="5" t="n">
        <v>0.8</v>
      </c>
      <c r="K335" s="4" t="n">
        <v>678</v>
      </c>
      <c r="L335" s="4" t="n">
        <v>205</v>
      </c>
      <c r="M335" s="5" t="n">
        <v>2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척산리 창고 월세,  마당 넓어요, 즉시입주 가능</t>
        </is>
      </c>
      <c r="Q335" s="6">
        <f>HYPERLINK("https://fin.land.naver.com/articles/2652902119",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매매</t>
        </is>
      </c>
      <c r="F336" s="4" t="n">
        <v>110000</v>
      </c>
      <c r="G336" s="4" t="n">
        <v>0</v>
      </c>
      <c r="H336" s="4" t="n">
        <v>1749</v>
      </c>
      <c r="I336" s="4" t="n">
        <v>529</v>
      </c>
      <c r="J336" s="5" t="n">
        <v>207.9</v>
      </c>
      <c r="K336" s="4" t="n">
        <v>341</v>
      </c>
      <c r="L336" s="4" t="n">
        <v>103</v>
      </c>
      <c r="M336" s="5" t="n">
        <v>1068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남청주ic까지 6차선확장예정.진입로25t가능.남청줏ic5분거리</t>
        </is>
      </c>
      <c r="Q336" s="6">
        <f>HYPERLINK("https://fin.land.naver.com/articles/2653147017",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옥산제일사무소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공장</t>
        </is>
      </c>
      <c r="E337" s="3" t="inlineStr">
        <is>
          <t>매매</t>
        </is>
      </c>
      <c r="F337" s="4" t="n">
        <v>125000</v>
      </c>
      <c r="G337" s="4" t="n">
        <v>0</v>
      </c>
      <c r="H337" s="4" t="n">
        <v>1379</v>
      </c>
      <c r="I337" s="4" t="n">
        <v>417</v>
      </c>
      <c r="J337" s="5" t="n">
        <v>299.8</v>
      </c>
      <c r="K337" s="4" t="n">
        <v>678</v>
      </c>
      <c r="L337" s="4" t="n">
        <v>205</v>
      </c>
      <c r="M337" s="5" t="n">
        <v>609.8</v>
      </c>
      <c r="N337" s="3" t="inlineStr">
        <is>
          <t>1</t>
        </is>
      </c>
      <c r="O337" s="3" t="inlineStr">
        <is>
          <t>-</t>
        </is>
      </c>
      <c r="P337" s="3" t="inlineStr">
        <is>
          <t>건물2동을 1동으로사용</t>
        </is>
      </c>
      <c r="Q337" s="6">
        <f>HYPERLINK("https://fin.land.naver.com/articles/2654996678",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청주합동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매매</t>
        </is>
      </c>
      <c r="F338" s="4" t="n">
        <v>120000</v>
      </c>
      <c r="G338" s="4" t="n">
        <v>0</v>
      </c>
      <c r="H338" s="4" t="n">
        <v>1749</v>
      </c>
      <c r="I338" s="4" t="n">
        <v>529</v>
      </c>
      <c r="J338" s="5" t="n">
        <v>226.8</v>
      </c>
      <c r="K338" s="4" t="n">
        <v>678</v>
      </c>
      <c r="L338" s="4" t="n">
        <v>205</v>
      </c>
      <c r="M338" s="5" t="n">
        <v>585.4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남청주IC근처  척산리 공장 매매.대형차량진입가능.</t>
        </is>
      </c>
      <c r="Q338" s="6">
        <f>HYPERLINK("https://fin.land.naver.com/articles/2650966213",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방서에이스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매매</t>
        </is>
      </c>
      <c r="F339" s="4" t="n">
        <v>110000</v>
      </c>
      <c r="G339" s="4" t="n">
        <v>0</v>
      </c>
      <c r="H339" s="4" t="n">
        <v>1749</v>
      </c>
      <c r="I339" s="4" t="n">
        <v>529</v>
      </c>
      <c r="J339" s="5" t="n">
        <v>207.9</v>
      </c>
      <c r="K339" s="4" t="n">
        <v>678</v>
      </c>
      <c r="L339" s="4" t="n">
        <v>205</v>
      </c>
      <c r="M339" s="5" t="n">
        <v>536.6</v>
      </c>
      <c r="N339" s="3" t="inlineStr">
        <is>
          <t>1</t>
        </is>
      </c>
      <c r="O339" s="3" t="inlineStr">
        <is>
          <t>-</t>
        </is>
      </c>
      <c r="P339" s="3" t="inlineStr">
        <is>
          <t>빠른입주 가능,남청주IC 인근위치, 야드 넓어 대형차량 회전 용이</t>
        </is>
      </c>
      <c r="Q339" s="6">
        <f>HYPERLINK("https://fin.land.naver.com/articles/2655142292",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금화랜드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월세</t>
        </is>
      </c>
      <c r="F340" s="4" t="n">
        <v>4000</v>
      </c>
      <c r="G340" s="4" t="n">
        <v>400</v>
      </c>
      <c r="H340" s="4" t="n">
        <v>1749</v>
      </c>
      <c r="I340" s="4" t="n">
        <v>529</v>
      </c>
      <c r="J340" s="5" t="n">
        <v>0.8</v>
      </c>
      <c r="K340" s="4" t="n">
        <v>341</v>
      </c>
      <c r="L340" s="4" t="n">
        <v>103</v>
      </c>
      <c r="M340" s="5" t="n">
        <v>3.9</v>
      </c>
      <c r="N340" s="3" t="inlineStr">
        <is>
          <t>1</t>
        </is>
      </c>
      <c r="O340" s="3" t="inlineStr">
        <is>
          <t>-</t>
        </is>
      </c>
      <c r="P340" s="3" t="inlineStr">
        <is>
          <t>남청주IC근처  척산리 공장 임대.대형차량진입가능.</t>
        </is>
      </c>
      <c r="Q340" s="6">
        <f>HYPERLINK("https://fin.land.naver.com/articles/2651304270",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방서에이스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매매</t>
        </is>
      </c>
      <c r="F341" s="4" t="n">
        <v>290000</v>
      </c>
      <c r="G341" s="4" t="n">
        <v>0</v>
      </c>
      <c r="H341" s="4" t="n">
        <v>5582</v>
      </c>
      <c r="I341" s="4" t="n">
        <v>1689</v>
      </c>
      <c r="J341" s="5" t="n">
        <v>171.7</v>
      </c>
      <c r="K341" s="4" t="n">
        <v>2126</v>
      </c>
      <c r="L341" s="4" t="n">
        <v>643</v>
      </c>
      <c r="M341" s="5" t="n">
        <v>451</v>
      </c>
      <c r="N341" s="3" t="inlineStr">
        <is>
          <t>1</t>
        </is>
      </c>
      <c r="O341" s="3" t="inlineStr">
        <is>
          <t>-</t>
        </is>
      </c>
      <c r="P341" s="3" t="inlineStr">
        <is>
          <t>공장용도</t>
        </is>
      </c>
      <c r="Q341" s="6">
        <f>HYPERLINK("https://fin.land.naver.com/articles/2650638941", "매물Link")</f>
        <v/>
      </c>
      <c r="R341" s="6">
        <f>HYPERLINK("https://map.naver.com/p/search/남이면 척산리 392", "지도Link")</f>
        <v/>
      </c>
      <c r="S341" s="6">
        <f>HYPERLINK("http://www.eum.go.kr/web/ar/lu/luLandDet.jsp?pnu=4311231021103920000&amp;isNoScr=script&amp;mode=search", "토지이음")</f>
        <v/>
      </c>
      <c r="T341" s="3" t="inlineStr">
        <is>
          <t>(주)이알에이코리아</t>
        </is>
      </c>
      <c r="U341" s="4" t="n">
        <v>1</v>
      </c>
      <c r="V341" s="5" t="n">
        <v>65.5</v>
      </c>
      <c r="W341" s="4" t="n">
        <v>4961.4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10000</v>
      </c>
      <c r="G342" s="4" t="n">
        <v>700</v>
      </c>
      <c r="H342" s="4" t="n">
        <v>5582</v>
      </c>
      <c r="I342" s="4" t="n">
        <v>1689</v>
      </c>
      <c r="J342" s="5" t="n">
        <v>0.4</v>
      </c>
      <c r="K342" s="4" t="n">
        <v>2126</v>
      </c>
      <c r="L342" s="4" t="n">
        <v>643</v>
      </c>
      <c r="M342" s="5" t="n">
        <v>1.1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 IC 5km 거리. 공장. 창고.</t>
        </is>
      </c>
      <c r="Q342" s="6">
        <f>HYPERLINK("https://fin.land.naver.com/articles/2649746738", "매물Link")</f>
        <v/>
      </c>
      <c r="R342" s="6">
        <f>HYPERLINK("https://map.naver.com/p/search/남이면 척산리 392", "지도Link")</f>
        <v/>
      </c>
      <c r="S342" s="6">
        <f>HYPERLINK("http://www.eum.go.kr/web/ar/lu/luLandDet.jsp?pnu=4311231021103920000&amp;isNoScr=script&amp;mode=search", "토지이음")</f>
        <v/>
      </c>
      <c r="T342" s="3" t="inlineStr">
        <is>
          <t>(주)이알에이코리아</t>
        </is>
      </c>
      <c r="U342" s="4" t="n">
        <v>1</v>
      </c>
      <c r="V342" s="5" t="n">
        <v>65.5</v>
      </c>
      <c r="W342" s="4" t="n">
        <v>4961.4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395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1000</v>
      </c>
      <c r="G343" s="4" t="n">
        <v>180</v>
      </c>
      <c r="H343" s="4" t="n">
        <v>1823</v>
      </c>
      <c r="I343" s="4" t="n">
        <v>551</v>
      </c>
      <c r="J343" s="5" t="n">
        <v>0.3</v>
      </c>
      <c r="K343" s="4" t="n">
        <v>263</v>
      </c>
      <c r="L343" s="4" t="n">
        <v>80</v>
      </c>
      <c r="M343" s="5" t="n">
        <v>2.2</v>
      </c>
      <c r="N343" s="3" t="inlineStr">
        <is>
          <t>1</t>
        </is>
      </c>
      <c r="O343" s="3" t="inlineStr">
        <is>
          <t>-</t>
        </is>
      </c>
      <c r="P343" s="3" t="inlineStr">
        <is>
          <t>건물 80형 공장 창고</t>
        </is>
      </c>
      <c r="Q343" s="6">
        <f>HYPERLINK("https://fin.land.naver.com/articles/2649851627", "매물Link")</f>
        <v/>
      </c>
      <c r="R343" s="6">
        <f>HYPERLINK("https://map.naver.com/p/search/남이면 척산리 395", "지도Link")</f>
        <v/>
      </c>
      <c r="S343" s="6">
        <f>HYPERLINK("http://www.eum.go.kr/web/ar/lu/luLandDet.jsp?pnu=4311231021103950000&amp;isNoScr=script&amp;mode=search",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59.8</v>
      </c>
      <c r="W343" s="4" t="n">
        <v>1823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395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월세</t>
        </is>
      </c>
      <c r="F344" s="4" t="n">
        <v>1000</v>
      </c>
      <c r="G344" s="4" t="n">
        <v>180</v>
      </c>
      <c r="H344" s="4" t="n">
        <v>1823</v>
      </c>
      <c r="I344" s="4" t="n">
        <v>551</v>
      </c>
      <c r="J344" s="5" t="n">
        <v>0.3</v>
      </c>
      <c r="K344" s="4" t="n">
        <v>263</v>
      </c>
      <c r="L344" s="4" t="n">
        <v>80</v>
      </c>
      <c r="M344" s="5" t="n">
        <v>2.2</v>
      </c>
      <c r="N344" s="3" t="inlineStr">
        <is>
          <t>1</t>
        </is>
      </c>
      <c r="O344" s="3" t="inlineStr">
        <is>
          <t>-</t>
        </is>
      </c>
      <c r="P344" s="3" t="inlineStr">
        <is>
          <t>진출입 용이, 소형 창고용도로 추천 드림, 사무실 및 화장실 있음</t>
        </is>
      </c>
      <c r="Q344" s="6">
        <f>HYPERLINK("https://fin.land.naver.com/articles/2652675497", "매물Link")</f>
        <v/>
      </c>
      <c r="R344" s="6">
        <f>HYPERLINK("https://map.naver.com/p/search/남이면 척산리 395", "지도Link")</f>
        <v/>
      </c>
      <c r="S344" s="6">
        <f>HYPERLINK("http://www.eum.go.kr/web/ar/lu/luLandDet.jsp?pnu=4311231021103950000&amp;isNoScr=script&amp;mode=search", "토지이음")</f>
        <v/>
      </c>
      <c r="T344" s="3" t="inlineStr">
        <is>
          <t>제이</t>
        </is>
      </c>
      <c r="U344" s="4" t="n">
        <v>1</v>
      </c>
      <c r="V344" s="5" t="n">
        <v>59.8</v>
      </c>
      <c r="W344" s="4" t="n">
        <v>1823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남이면 소형창고 사무실 있음 창고나 소매점가능</t>
        </is>
      </c>
      <c r="Q345" s="6">
        <f>HYPERLINK("https://fin.land.naver.com/articles/2650955465",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575-2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185</v>
      </c>
      <c r="H346" s="4" t="n">
        <v>1435</v>
      </c>
      <c r="I346" s="4" t="n">
        <v>434</v>
      </c>
      <c r="J346" s="5" t="n">
        <v>0.4</v>
      </c>
      <c r="K346" s="4" t="n">
        <v>218</v>
      </c>
      <c r="L346" s="4" t="n">
        <v>66</v>
      </c>
      <c r="M346" s="5" t="n">
        <v>2.8</v>
      </c>
      <c r="N346" s="3" t="inlineStr">
        <is>
          <t>1</t>
        </is>
      </c>
      <c r="O346" s="3" t="inlineStr">
        <is>
          <t>-</t>
        </is>
      </c>
      <c r="P346" s="3" t="inlineStr">
        <is>
          <t>남이면 척산리 공장 3동 일괄 또는 단독임대 제조업 허가 완료</t>
        </is>
      </c>
      <c r="Q346" s="6">
        <f>HYPERLINK("https://fin.land.naver.com/articles/2654890332", "매물Link")</f>
        <v/>
      </c>
      <c r="R346" s="6">
        <f>HYPERLINK("https://map.naver.com/p/search/남이면 척산리 575-2", "지도Link")</f>
        <v/>
      </c>
      <c r="S346" s="6">
        <f>HYPERLINK("http://www.eum.go.kr/web/ar/lu/luLandDet.jsp?pnu=4311231021105750002&amp;isNoScr=script&amp;mode=search", "토지이음")</f>
        <v/>
      </c>
      <c r="T346" s="3" t="inlineStr">
        <is>
          <t>e교차로합동</t>
        </is>
      </c>
      <c r="U346" s="4" t="n">
        <v>1</v>
      </c>
      <c r="V346" s="5" t="n">
        <v>64.90000000000001</v>
      </c>
      <c r="W346" s="4" t="n">
        <v>1435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592-1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공장</t>
        </is>
      </c>
      <c r="E347" s="3" t="inlineStr">
        <is>
          <t>매매</t>
        </is>
      </c>
      <c r="F347" s="4" t="n">
        <v>135000</v>
      </c>
      <c r="G347" s="4" t="n">
        <v>0</v>
      </c>
      <c r="H347" s="4" t="n">
        <v>1038</v>
      </c>
      <c r="I347" s="4" t="n">
        <v>314</v>
      </c>
      <c r="J347" s="5" t="n">
        <v>429.9</v>
      </c>
      <c r="K347" s="4" t="n">
        <v>884</v>
      </c>
      <c r="L347" s="4" t="n">
        <v>267</v>
      </c>
      <c r="M347" s="5" t="n">
        <v>505.6</v>
      </c>
      <c r="N347" s="3" t="inlineStr">
        <is>
          <t>2</t>
        </is>
      </c>
      <c r="O347" s="3" t="inlineStr">
        <is>
          <t>-</t>
        </is>
      </c>
      <c r="P347" s="3" t="inlineStr">
        <is>
          <t>식품 프랜차이즈 본사형 제조공장 매매, 수산센터 및 수산물가공공장 가능</t>
        </is>
      </c>
      <c r="Q347" s="6">
        <f>HYPERLINK("https://fin.land.naver.com/articles/2651998080", "매물Link")</f>
        <v/>
      </c>
      <c r="R347" s="6">
        <f>HYPERLINK("https://map.naver.com/p/search/남이면 척산리 592-1", "지도Link")</f>
        <v/>
      </c>
      <c r="S347" s="6">
        <f>HYPERLINK("http://www.eum.go.kr/web/ar/lu/luLandDet.jsp?pnu=4311231021105920001&amp;isNoScr=script&amp;mode=search", "토지이음")</f>
        <v/>
      </c>
      <c r="T347" s="3" t="inlineStr">
        <is>
          <t>충대</t>
        </is>
      </c>
      <c r="U347" s="4" t="n">
        <v>1</v>
      </c>
      <c r="V347" s="5" t="n">
        <v>144.9</v>
      </c>
      <c r="W347" s="4" t="n">
        <v>1021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세로각지(가)</t>
        </is>
      </c>
    </row>
    <row r="348">
      <c r="A348" s="3" t="inlineStr">
        <is>
          <t>남이면 척산리 644-2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200</v>
      </c>
      <c r="H348" s="4" t="n">
        <v>839</v>
      </c>
      <c r="I348" s="4" t="n">
        <v>254</v>
      </c>
      <c r="J348" s="5" t="n">
        <v>0.8</v>
      </c>
      <c r="K348" s="4" t="n">
        <v>325</v>
      </c>
      <c r="L348" s="4" t="n">
        <v>98</v>
      </c>
      <c r="M348" s="5" t="n">
        <v>2</v>
      </c>
      <c r="N348" s="3" t="inlineStr">
        <is>
          <t>2</t>
        </is>
      </c>
      <c r="O348" s="3" t="inlineStr">
        <is>
          <t>-</t>
        </is>
      </c>
      <c r="P348" s="3" t="inlineStr">
        <is>
          <t>건물100형 현재공실 즉시입주</t>
        </is>
      </c>
      <c r="Q348" s="6">
        <f>HYPERLINK("https://fin.land.naver.com/articles/2652949716", "매물Link")</f>
        <v/>
      </c>
      <c r="R348" s="6">
        <f>HYPERLINK("https://map.naver.com/p/search/남이면 척산리 644-2", "지도Link")</f>
        <v/>
      </c>
      <c r="S348" s="6">
        <f>HYPERLINK("http://www.eum.go.kr/web/ar/lu/luLandDet.jsp?pnu=4311231021106440002&amp;isNoScr=script&amp;mode=search",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68.90000000000001</v>
      </c>
      <c r="W348" s="4" t="n">
        <v>839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644-2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200</v>
      </c>
      <c r="H349" s="4" t="n">
        <v>839</v>
      </c>
      <c r="I349" s="4" t="n">
        <v>254</v>
      </c>
      <c r="J349" s="5" t="n">
        <v>0.8</v>
      </c>
      <c r="K349" s="4" t="n">
        <v>325</v>
      </c>
      <c r="L349" s="4" t="n">
        <v>98</v>
      </c>
      <c r="M349" s="5" t="n">
        <v>2</v>
      </c>
      <c r="N349" s="3" t="inlineStr">
        <is>
          <t>1</t>
        </is>
      </c>
      <c r="O349" s="3" t="inlineStr">
        <is>
          <t>-</t>
        </is>
      </c>
      <c r="P349" s="3" t="inlineStr">
        <is>
          <t>남청주ic 8분 시내권 접근성 좋은 위치 제조나 창고 가능</t>
        </is>
      </c>
      <c r="Q349" s="6">
        <f>HYPERLINK("https://fin.land.naver.com/articles/2652265474", "매물Link")</f>
        <v/>
      </c>
      <c r="R349" s="6">
        <f>HYPERLINK("https://map.naver.com/p/search/남이면 척산리 644-2", "지도Link")</f>
        <v/>
      </c>
      <c r="S349" s="6">
        <f>HYPERLINK("http://www.eum.go.kr/web/ar/lu/luLandDet.jsp?pnu=4311231021106440002&amp;isNoScr=script&amp;mode=search", "토지이음")</f>
        <v/>
      </c>
      <c r="T349" s="3" t="inlineStr">
        <is>
          <t>더원</t>
        </is>
      </c>
      <c r="U349" s="4" t="n">
        <v>1</v>
      </c>
      <c r="V349" s="5" t="n">
        <v>68.90000000000001</v>
      </c>
      <c r="W349" s="4" t="n">
        <v>839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644-2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200</v>
      </c>
      <c r="H350" s="4" t="n">
        <v>839</v>
      </c>
      <c r="I350" s="4" t="n">
        <v>254</v>
      </c>
      <c r="J350" s="5" t="n">
        <v>0.8</v>
      </c>
      <c r="K350" s="4" t="n">
        <v>325</v>
      </c>
      <c r="L350" s="4" t="n">
        <v>98</v>
      </c>
      <c r="M350" s="5" t="n">
        <v>2</v>
      </c>
      <c r="N350" s="3" t="inlineStr">
        <is>
          <t>2</t>
        </is>
      </c>
      <c r="O350" s="3" t="inlineStr">
        <is>
          <t>-</t>
        </is>
      </c>
      <c r="P350" s="3" t="inlineStr">
        <is>
          <t>남청주 IC 5분거리 대형차량 진입 가능 제조업소 가능</t>
        </is>
      </c>
      <c r="Q350" s="6">
        <f>HYPERLINK("https://fin.land.naver.com/articles/2652470388", "매물Link")</f>
        <v/>
      </c>
      <c r="R350" s="6">
        <f>HYPERLINK("https://map.naver.com/p/search/남이면 척산리 644-2", "지도Link")</f>
        <v/>
      </c>
      <c r="S350" s="6">
        <f>HYPERLINK("http://www.eum.go.kr/web/ar/lu/luLandDet.jsp?pnu=4311231021106440002&amp;isNoScr=script&amp;mode=search", "토지이음")</f>
        <v/>
      </c>
      <c r="T350" s="3" t="inlineStr">
        <is>
          <t>미래n</t>
        </is>
      </c>
      <c r="U350" s="4" t="n">
        <v>1</v>
      </c>
      <c r="V350" s="5" t="n">
        <v>68.90000000000001</v>
      </c>
      <c r="W350" s="4" t="n">
        <v>839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652-1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매매</t>
        </is>
      </c>
      <c r="F351" s="4" t="n">
        <v>67000</v>
      </c>
      <c r="G351" s="4" t="n">
        <v>0</v>
      </c>
      <c r="H351" s="4" t="n">
        <v>1336</v>
      </c>
      <c r="I351" s="4" t="n">
        <v>404</v>
      </c>
      <c r="J351" s="5" t="n">
        <v>165.8</v>
      </c>
      <c r="K351" s="4" t="n">
        <v>228</v>
      </c>
      <c r="L351" s="4" t="n">
        <v>69</v>
      </c>
      <c r="M351" s="5" t="n">
        <v>971</v>
      </c>
      <c r="N351" s="3" t="inlineStr">
        <is>
          <t>1</t>
        </is>
      </c>
      <c r="O351" s="3" t="inlineStr">
        <is>
          <t>-</t>
        </is>
      </c>
      <c r="P351" s="3" t="inlineStr">
        <is>
          <t>즉시사용가능 민원 소재 없는 계획관리지역의 공장부지, 대형차량 진출입편리</t>
        </is>
      </c>
      <c r="Q351" s="6">
        <f>HYPERLINK("https://fin.land.naver.com/articles/2654907037", "매물Link")</f>
        <v/>
      </c>
      <c r="R351" s="6">
        <f>HYPERLINK("https://map.naver.com/p/search/남이면 척산리 652-1", "지도Link")</f>
        <v/>
      </c>
      <c r="S351" s="6">
        <f>HYPERLINK("http://www.eum.go.kr/web/ar/lu/luLandDet.jsp?pnu=4311231021106520001&amp;isNoScr=script&amp;mode=search", "토지이음")</f>
        <v/>
      </c>
      <c r="T351" s="3" t="inlineStr">
        <is>
          <t>대전토지로무소</t>
        </is>
      </c>
      <c r="U351" s="4" t="n">
        <v>1</v>
      </c>
      <c r="V351" s="5" t="n">
        <v>64.7</v>
      </c>
      <c r="W351" s="4" t="n">
        <v>1336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세로각지(가)</t>
        </is>
      </c>
    </row>
    <row r="352">
      <c r="A352" s="3" t="inlineStr">
        <is>
          <t>남이면 척산리 665-4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1000</v>
      </c>
      <c r="G352" s="4" t="n">
        <v>110</v>
      </c>
      <c r="H352" s="4" t="n">
        <v>1058</v>
      </c>
      <c r="I352" s="4" t="n">
        <v>320</v>
      </c>
      <c r="J352" s="5" t="n">
        <v>0.3</v>
      </c>
      <c r="K352" s="4" t="n">
        <v>189</v>
      </c>
      <c r="L352" s="4" t="n">
        <v>57</v>
      </c>
      <c r="M352" s="5" t="n">
        <v>1.9</v>
      </c>
      <c r="N352" s="3" t="inlineStr">
        <is>
          <t>1</t>
        </is>
      </c>
      <c r="O352" s="3" t="inlineStr">
        <is>
          <t>-</t>
        </is>
      </c>
      <c r="P352" s="3" t="inlineStr">
        <is>
          <t>건물 55형 일반창고 35형 사무실도 있음</t>
        </is>
      </c>
      <c r="Q352" s="6">
        <f>HYPERLINK("https://fin.land.naver.com/articles/2652949730", "매물Link")</f>
        <v/>
      </c>
      <c r="R352" s="6">
        <f>HYPERLINK("https://map.naver.com/p/search/남이면 척산리 665-4", "지도Link")</f>
        <v/>
      </c>
      <c r="S352" s="6">
        <f>HYPERLINK("http://www.eum.go.kr/web/ar/lu/luLandDet.jsp?pnu=4311231021106650004&amp;isNoScr=script&amp;mode=search",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61</v>
      </c>
      <c r="W352" s="4" t="n">
        <v>893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665-4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500</v>
      </c>
      <c r="G353" s="4" t="n">
        <v>65</v>
      </c>
      <c r="H353" s="4" t="n">
        <v>1057</v>
      </c>
      <c r="I353" s="4" t="n">
        <v>320</v>
      </c>
      <c r="J353" s="5" t="n">
        <v>0.2</v>
      </c>
      <c r="K353" s="4" t="n">
        <v>111</v>
      </c>
      <c r="L353" s="4" t="n">
        <v>34</v>
      </c>
      <c r="M353" s="5" t="n">
        <v>1.9</v>
      </c>
      <c r="N353" s="3" t="inlineStr">
        <is>
          <t>1</t>
        </is>
      </c>
      <c r="O353" s="3" t="inlineStr">
        <is>
          <t>-</t>
        </is>
      </c>
      <c r="P353" s="3" t="inlineStr">
        <is>
          <t>부담없는 임대료로 사용 가능한 실용적인 창고입니다.</t>
        </is>
      </c>
      <c r="Q353" s="6">
        <f>HYPERLINK("https://fin.land.naver.com/articles/2653037551", "매물Link")</f>
        <v/>
      </c>
      <c r="R353" s="6">
        <f>HYPERLINK("https://map.naver.com/p/search/남이면 척산리 665-4", "지도Link")</f>
        <v/>
      </c>
      <c r="S353" s="6">
        <f>HYPERLINK("http://www.eum.go.kr/web/ar/lu/luLandDet.jsp?pnu=4311231021106650004&amp;isNoScr=script&amp;mode=search", "토지이음")</f>
        <v/>
      </c>
      <c r="T353" s="3" t="inlineStr">
        <is>
          <t>진천금손</t>
        </is>
      </c>
      <c r="U353" s="4" t="n">
        <v>1</v>
      </c>
      <c r="V353" s="5" t="n">
        <v>61</v>
      </c>
      <c r="W353" s="4" t="n">
        <v>893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남청주IC 인근 척산리, 공장 창고, 넓은마당, 임대료 조절, 즉시입주</t>
        </is>
      </c>
      <c r="Q354" s="6">
        <f>HYPERLINK("https://fin.land.naver.com/articles/2651938990",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라인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사진有 2종근생 제조업소 임대</t>
        </is>
      </c>
      <c r="Q355" s="6">
        <f>HYPERLINK("https://fin.land.naver.com/articles/2653029834",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월드</t>
        </is>
      </c>
      <c r="U355" s="4" t="n">
        <v>2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330</v>
      </c>
      <c r="H356" s="4" t="n">
        <v>1357</v>
      </c>
      <c r="I356" s="4" t="n">
        <v>410</v>
      </c>
      <c r="J356" s="5" t="n">
        <v>0.8</v>
      </c>
      <c r="K356" s="4" t="n">
        <v>492</v>
      </c>
      <c r="L356" s="4" t="n">
        <v>149</v>
      </c>
      <c r="M356" s="5" t="n">
        <v>2.2</v>
      </c>
      <c r="N356" s="3" t="inlineStr">
        <is>
          <t>1</t>
        </is>
      </c>
      <c r="O356" s="3" t="inlineStr">
        <is>
          <t>-</t>
        </is>
      </c>
      <c r="P356" s="3" t="inlineStr">
        <is>
          <t>도로에 접하는 물류이동이 좋은 위치의 넓은 창고용도 임대 물건이예요</t>
        </is>
      </c>
      <c r="Q356" s="6">
        <f>HYPERLINK("https://fin.land.naver.com/articles/2655034807",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4989명품</t>
        </is>
      </c>
      <c r="U356" s="4" t="n">
        <v>2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350</v>
      </c>
      <c r="H357" s="4" t="n">
        <v>1357</v>
      </c>
      <c r="I357" s="4" t="n">
        <v>410</v>
      </c>
      <c r="J357" s="5" t="n">
        <v>0.9</v>
      </c>
      <c r="K357" s="4" t="n">
        <v>492</v>
      </c>
      <c r="L357" s="4" t="n">
        <v>149</v>
      </c>
      <c r="M357" s="5" t="n">
        <v>2.3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 IC 7분거리 2종근생 창고 대형차량 진입 편리</t>
        </is>
      </c>
      <c r="Q357" s="6">
        <f>HYPERLINK("https://fin.land.naver.com/articles/2650684873",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미래n</t>
        </is>
      </c>
      <c r="U357" s="4" t="n">
        <v>1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공장</t>
        </is>
      </c>
      <c r="E358" s="3" t="inlineStr">
        <is>
          <t>월세</t>
        </is>
      </c>
      <c r="F358" s="4" t="n">
        <v>3000</v>
      </c>
      <c r="G358" s="4" t="n">
        <v>350</v>
      </c>
      <c r="H358" s="4" t="n">
        <v>1357</v>
      </c>
      <c r="I358" s="4" t="n">
        <v>410</v>
      </c>
      <c r="J358" s="5" t="n">
        <v>0.9</v>
      </c>
      <c r="K358" s="4" t="n">
        <v>492</v>
      </c>
      <c r="L358" s="4" t="n">
        <v>149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사진 有, 남청주IC 5분거리, 대형차 진입 가능, 내부사무실있음</t>
        </is>
      </c>
      <c r="Q358" s="6">
        <f>HYPERLINK("https://fin.land.naver.com/articles/2651038278",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태성</t>
        </is>
      </c>
      <c r="U358" s="4" t="n">
        <v>3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765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200</v>
      </c>
      <c r="H359" s="4" t="n">
        <v>1563</v>
      </c>
      <c r="I359" s="4" t="n">
        <v>473</v>
      </c>
      <c r="J359" s="5" t="n">
        <v>0.4</v>
      </c>
      <c r="K359" s="4" t="n">
        <v>887</v>
      </c>
      <c r="L359" s="4" t="n">
        <v>268</v>
      </c>
      <c r="M359" s="5" t="n">
        <v>0.7</v>
      </c>
      <c r="N359" s="3" t="inlineStr">
        <is>
          <t>1</t>
        </is>
      </c>
      <c r="O359" s="3" t="inlineStr">
        <is>
          <t>-</t>
        </is>
      </c>
      <c r="P359" s="3" t="inlineStr">
        <is>
          <t>면적은 넓게. 임대료는 최저.</t>
        </is>
      </c>
      <c r="Q359" s="6">
        <f>HYPERLINK("https://fin.land.naver.com/articles/2652636082", "매물Link")</f>
        <v/>
      </c>
      <c r="R359" s="6">
        <f>HYPERLINK("https://map.naver.com/p/search/남이면 척산리 765", "지도Link")</f>
        <v/>
      </c>
      <c r="S359" s="6">
        <f>HYPERLINK("http://www.eum.go.kr/web/ar/lu/luLandDet.jsp?pnu=4311231021107650000&amp;isNoScr=script&amp;mode=search", "토지이음")</f>
        <v/>
      </c>
      <c r="T359" s="3" t="inlineStr">
        <is>
          <t>바른</t>
        </is>
      </c>
      <c r="U359" s="4" t="n">
        <v>1</v>
      </c>
      <c r="V359" s="5" t="n">
        <v>62.5</v>
      </c>
      <c r="W359" s="4" t="n">
        <v>1489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850-3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1500</v>
      </c>
      <c r="G360" s="4" t="n">
        <v>130</v>
      </c>
      <c r="H360" s="4" t="n">
        <v>2936</v>
      </c>
      <c r="I360" s="4" t="n">
        <v>888</v>
      </c>
      <c r="J360" s="5" t="n">
        <v>0.1</v>
      </c>
      <c r="K360" s="4" t="n">
        <v>165</v>
      </c>
      <c r="L360" s="4" t="n">
        <v>50</v>
      </c>
      <c r="M360" s="5" t="n">
        <v>2.6</v>
      </c>
      <c r="N360" s="3" t="inlineStr">
        <is>
          <t>1</t>
        </is>
      </c>
      <c r="O360" s="3" t="inlineStr">
        <is>
          <t>-</t>
        </is>
      </c>
      <c r="P360" s="3" t="inlineStr">
        <is>
          <t>nan</t>
        </is>
      </c>
      <c r="Q360" s="6">
        <f>HYPERLINK("https://fin.land.naver.com/articles/2654732319", "매물Link")</f>
        <v/>
      </c>
      <c r="R360" s="6">
        <f>HYPERLINK("https://map.naver.com/p/search/남이면 척산리 850-3", "지도Link")</f>
        <v/>
      </c>
      <c r="S360" s="6">
        <f>HYPERLINK("http://www.eum.go.kr/web/ar/lu/luLandDet.jsp?pnu=4311231021108500003&amp;isNoScr=script&amp;mode=search", "토지이음")</f>
        <v/>
      </c>
      <c r="T360" s="3" t="inlineStr">
        <is>
          <t>위더스</t>
        </is>
      </c>
      <c r="U360" s="4" t="n">
        <v>1</v>
      </c>
      <c r="V360" s="5" t="n">
        <v>62.9</v>
      </c>
      <c r="W360" s="4" t="n">
        <v>2936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부강면 갈산리 388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매매</t>
        </is>
      </c>
      <c r="F361" s="4" t="n">
        <v>333000</v>
      </c>
      <c r="G361" s="4" t="n">
        <v>0</v>
      </c>
      <c r="H361" s="4" t="n">
        <v>2200</v>
      </c>
      <c r="I361" s="4" t="n">
        <v>666</v>
      </c>
      <c r="J361" s="5" t="n">
        <v>500</v>
      </c>
      <c r="K361" s="4" t="n">
        <v>1507</v>
      </c>
      <c r="L361" s="4" t="n">
        <v>456</v>
      </c>
      <c r="M361" s="5" t="n">
        <v>730.3</v>
      </c>
      <c r="N361" s="3" t="inlineStr">
        <is>
          <t>2</t>
        </is>
      </c>
      <c r="O361" s="3" t="inlineStr">
        <is>
          <t>-</t>
        </is>
      </c>
      <c r="P361" s="3" t="inlineStr">
        <is>
          <t>차량 도로 진입여건 좋음, 민원없는 공장 매매</t>
        </is>
      </c>
      <c r="Q361" s="6">
        <f>HYPERLINK("https://fin.land.naver.com/articles/2655242126", "매물Link")</f>
        <v/>
      </c>
      <c r="R361" s="6">
        <f>HYPERLINK("https://map.naver.com/p/search/부강면 갈산리 388", "지도Link")</f>
        <v/>
      </c>
      <c r="S361" s="6">
        <f>HYPERLINK("http://www.eum.go.kr/web/ar/lu/luLandDet.jsp?pnu=3611033024103880000&amp;isNoScr=script&amp;mode=search", "토지이음")</f>
        <v/>
      </c>
      <c r="T361" s="3" t="inlineStr">
        <is>
          <t>(주)미르</t>
        </is>
      </c>
      <c r="U361" s="4" t="n">
        <v>1</v>
      </c>
      <c r="V361" s="5" t="n">
        <v>80.3</v>
      </c>
      <c r="W361" s="4" t="n">
        <v>2149</v>
      </c>
      <c r="X361" s="3" t="inlineStr">
        <is>
          <t>미표기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-</t>
        </is>
      </c>
      <c r="AC361" s="3" t="inlineStr">
        <is>
          <t>2002-05</t>
        </is>
      </c>
      <c r="AD361" s="3" t="inlineStr">
        <is>
          <t>소로한면</t>
        </is>
      </c>
    </row>
    <row r="362">
      <c r="A362" s="3" t="inlineStr">
        <is>
          <t>부강면 갈산리 402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440</v>
      </c>
      <c r="H362" s="4" t="n">
        <v>1786</v>
      </c>
      <c r="I362" s="4" t="n">
        <v>540</v>
      </c>
      <c r="J362" s="5" t="n">
        <v>0.8</v>
      </c>
      <c r="K362" s="4" t="n">
        <v>758</v>
      </c>
      <c r="L362" s="4" t="n">
        <v>229</v>
      </c>
      <c r="M362" s="5" t="n">
        <v>1.9</v>
      </c>
      <c r="N362" s="3" t="inlineStr">
        <is>
          <t>2</t>
        </is>
      </c>
      <c r="O362" s="3" t="inlineStr">
        <is>
          <t>-</t>
        </is>
      </c>
      <c r="P362" s="3" t="inlineStr">
        <is>
          <t>교통편리한 부강교차로 옆 저렴한 공장창고 임대</t>
        </is>
      </c>
      <c r="Q362" s="6">
        <f>HYPERLINK("https://fin.land.naver.com/articles/2653276554", "매물Link")</f>
        <v/>
      </c>
      <c r="R362" s="6">
        <f>HYPERLINK("https://map.naver.com/p/search/부강면 갈산리 402", "지도Link")</f>
        <v/>
      </c>
      <c r="S362" s="6">
        <f>HYPERLINK("http://www.eum.go.kr/web/ar/lu/luLandDet.jsp?pnu=3611033024104020000&amp;isNoScr=script&amp;mode=search", "토지이음")</f>
        <v/>
      </c>
      <c r="T362" s="3" t="inlineStr">
        <is>
          <t>세종행복한</t>
        </is>
      </c>
      <c r="U362" s="4" t="n">
        <v>1</v>
      </c>
      <c r="V362" s="5" t="n">
        <v>85.09999999999999</v>
      </c>
      <c r="W362" s="4" t="n">
        <v>1786</v>
      </c>
      <c r="X362" s="3" t="inlineStr">
        <is>
          <t>A동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제2종근생</t>
        </is>
      </c>
      <c r="AB362" s="3" t="inlineStr">
        <is>
          <t>8.45m</t>
        </is>
      </c>
      <c r="AC362" s="3" t="inlineStr">
        <is>
          <t>2016-04</t>
        </is>
      </c>
      <c r="AD362" s="3" t="inlineStr">
        <is>
          <t>소로각지</t>
        </is>
      </c>
    </row>
    <row r="363">
      <c r="A363" s="3" t="inlineStr">
        <is>
          <t>부강면 갈산리 402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4000</v>
      </c>
      <c r="G363" s="4" t="n">
        <v>440</v>
      </c>
      <c r="H363" s="4" t="n">
        <v>1786</v>
      </c>
      <c r="I363" s="4" t="n">
        <v>540</v>
      </c>
      <c r="J363" s="5" t="n">
        <v>0.8</v>
      </c>
      <c r="K363" s="4" t="n">
        <v>758</v>
      </c>
      <c r="L363" s="4" t="n">
        <v>229</v>
      </c>
      <c r="M363" s="5" t="n">
        <v>1.9</v>
      </c>
      <c r="N363" s="3" t="inlineStr">
        <is>
          <t>2</t>
        </is>
      </c>
      <c r="O363" s="3" t="inlineStr">
        <is>
          <t>-</t>
        </is>
      </c>
      <c r="P363" s="3" t="inlineStr">
        <is>
          <t>2차선도로변 제조업소창고사무실 완비된 단독건물 임대</t>
        </is>
      </c>
      <c r="Q363" s="6">
        <f>HYPERLINK("https://fin.land.naver.com/articles/2654665681", "매물Link")</f>
        <v/>
      </c>
      <c r="R363" s="6">
        <f>HYPERLINK("https://map.naver.com/p/search/부강면 갈산리 402", "지도Link")</f>
        <v/>
      </c>
      <c r="S363" s="6">
        <f>HYPERLINK("http://www.eum.go.kr/web/ar/lu/luLandDet.jsp?pnu=3611033024104020000&amp;isNoScr=script&amp;mode=search", "토지이음")</f>
        <v/>
      </c>
      <c r="T363" s="3" t="inlineStr">
        <is>
          <t>청담</t>
        </is>
      </c>
      <c r="U363" s="4" t="n">
        <v>2</v>
      </c>
      <c r="V363" s="5" t="n">
        <v>85.09999999999999</v>
      </c>
      <c r="W363" s="4" t="n">
        <v>1786</v>
      </c>
      <c r="X363" s="3" t="inlineStr">
        <is>
          <t>A동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8.45m</t>
        </is>
      </c>
      <c r="AC363" s="3" t="inlineStr">
        <is>
          <t>2016-04</t>
        </is>
      </c>
      <c r="AD363" s="3" t="inlineStr">
        <is>
          <t>소로각지</t>
        </is>
      </c>
    </row>
    <row r="364">
      <c r="A364" s="3" t="inlineStr">
        <is>
          <t>부강면 갈산리 402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4000</v>
      </c>
      <c r="G364" s="4" t="n">
        <v>440</v>
      </c>
      <c r="H364" s="4" t="n">
        <v>1786</v>
      </c>
      <c r="I364" s="4" t="n">
        <v>540</v>
      </c>
      <c r="J364" s="5" t="n">
        <v>0.8</v>
      </c>
      <c r="K364" s="4" t="n">
        <v>758</v>
      </c>
      <c r="L364" s="4" t="n">
        <v>229</v>
      </c>
      <c r="M364" s="5" t="n">
        <v>1.9</v>
      </c>
      <c r="N364" s="3" t="inlineStr">
        <is>
          <t>2</t>
        </is>
      </c>
      <c r="O364" s="3" t="inlineStr">
        <is>
          <t>-</t>
        </is>
      </c>
      <c r="P364" s="3" t="inlineStr">
        <is>
          <t>접근성 편리한 부강면 공장창고임대, 대형차 출입용이</t>
        </is>
      </c>
      <c r="Q364" s="6">
        <f>HYPERLINK("https://fin.land.naver.com/articles/2650629262", "매물Link")</f>
        <v/>
      </c>
      <c r="R364" s="6">
        <f>HYPERLINK("https://map.naver.com/p/search/부강면 갈산리 402", "지도Link")</f>
        <v/>
      </c>
      <c r="S364" s="6">
        <f>HYPERLINK("http://www.eum.go.kr/web/ar/lu/luLandDet.jsp?pnu=3611033024104020000&amp;isNoScr=script&amp;mode=search", "토지이음")</f>
        <v/>
      </c>
      <c r="T364" s="3" t="inlineStr">
        <is>
          <t>신탄진다온</t>
        </is>
      </c>
      <c r="U364" s="4" t="n">
        <v>1</v>
      </c>
      <c r="V364" s="5" t="n">
        <v>85.09999999999999</v>
      </c>
      <c r="W364" s="4" t="n">
        <v>1786</v>
      </c>
      <c r="X364" s="3" t="inlineStr">
        <is>
          <t>A동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8.45m</t>
        </is>
      </c>
      <c r="AC364" s="3" t="inlineStr">
        <is>
          <t>2016-04</t>
        </is>
      </c>
      <c r="AD364" s="3" t="inlineStr">
        <is>
          <t>소로각지</t>
        </is>
      </c>
    </row>
    <row r="365">
      <c r="A365" s="3" t="inlineStr">
        <is>
          <t>부강면 갈산리 408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2000</v>
      </c>
      <c r="G365" s="4" t="n">
        <v>200</v>
      </c>
      <c r="H365" s="4" t="n">
        <v>3938</v>
      </c>
      <c r="I365" s="4" t="n">
        <v>1191</v>
      </c>
      <c r="J365" s="5" t="n">
        <v>0.2</v>
      </c>
      <c r="K365" s="4" t="n">
        <v>330</v>
      </c>
      <c r="L365" s="4" t="n">
        <v>100</v>
      </c>
      <c r="M365" s="5" t="n">
        <v>2</v>
      </c>
      <c r="N365" s="3" t="inlineStr">
        <is>
          <t>1</t>
        </is>
      </c>
      <c r="O365" s="3" t="inlineStr">
        <is>
          <t>-</t>
        </is>
      </c>
      <c r="P365" s="3" t="inlineStr">
        <is>
          <t>nan</t>
        </is>
      </c>
      <c r="Q365" s="6">
        <f>HYPERLINK("https://fin.land.naver.com/articles/2653489408", "매물Link")</f>
        <v/>
      </c>
      <c r="R365" s="6">
        <f>HYPERLINK("https://map.naver.com/p/search/부강면 갈산리 408", "지도Link")</f>
        <v/>
      </c>
      <c r="S365" s="6">
        <f>HYPERLINK("http://www.eum.go.kr/web/ar/lu/luLandDet.jsp?pnu=3611033024104080000&amp;isNoScr=script&amp;mode=search", "토지이음")</f>
        <v/>
      </c>
      <c r="T365" s="3" t="inlineStr">
        <is>
          <t>창고의여왕</t>
        </is>
      </c>
      <c r="U365" s="4" t="n">
        <v>1</v>
      </c>
      <c r="V365" s="5" t="n">
        <v>80.3</v>
      </c>
      <c r="W365" s="4" t="n">
        <v>3938</v>
      </c>
      <c r="X365" s="3" t="inlineStr">
        <is>
          <t>주1동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2018-03</t>
        </is>
      </c>
      <c r="AD365" s="3" t="inlineStr">
        <is>
          <t>소로한면</t>
        </is>
      </c>
    </row>
    <row r="366">
      <c r="A366" s="3" t="inlineStr">
        <is>
          <t>부강면 금호리 221</t>
        </is>
      </c>
      <c r="B366" s="3" t="inlineStr">
        <is>
          <t>계획관리지역</t>
        </is>
      </c>
      <c r="C366" s="3" t="inlineStr">
        <is>
          <t>답</t>
        </is>
      </c>
      <c r="D366" s="3" t="inlineStr">
        <is>
          <t>공장</t>
        </is>
      </c>
      <c r="E366" s="3" t="inlineStr">
        <is>
          <t>월세</t>
        </is>
      </c>
      <c r="F366" s="4" t="n">
        <v>10000</v>
      </c>
      <c r="G366" s="4" t="n">
        <v>400</v>
      </c>
      <c r="H366" s="4" t="n">
        <v>3831</v>
      </c>
      <c r="I366" s="4" t="n">
        <v>1159</v>
      </c>
      <c r="J366" s="5" t="n">
        <v>0.3</v>
      </c>
      <c r="K366" s="4" t="n">
        <v>386</v>
      </c>
      <c r="L366" s="4" t="n">
        <v>117</v>
      </c>
      <c r="M366" s="5" t="n">
        <v>3.4</v>
      </c>
      <c r="N366" s="3" t="inlineStr">
        <is>
          <t>1</t>
        </is>
      </c>
      <c r="O366" s="3" t="inlineStr">
        <is>
          <t>-</t>
        </is>
      </c>
      <c r="P366" s="3" t="inlineStr">
        <is>
          <t>nan</t>
        </is>
      </c>
      <c r="Q366" s="6">
        <f>HYPERLINK("https://fin.land.naver.com/articles/2651773820", "매물Link")</f>
        <v/>
      </c>
      <c r="R366" s="6">
        <f>HYPERLINK("https://map.naver.com/p/search/부강면 금호리 221", "지도Link")</f>
        <v/>
      </c>
      <c r="S366" s="6">
        <f>HYPERLINK("http://www.eum.go.kr/web/ar/lu/luLandDet.jsp?pnu=3611033028102210000&amp;isNoScr=script&amp;mode=search", "토지이음")</f>
        <v/>
      </c>
      <c r="T366" s="3" t="inlineStr">
        <is>
          <t>대박</t>
        </is>
      </c>
      <c r="U366" s="4" t="n">
        <v>1</v>
      </c>
      <c r="V366" s="5" t="n">
        <v>36.9</v>
      </c>
      <c r="W366" s="4" t="n">
        <v>948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맹지</t>
        </is>
      </c>
    </row>
    <row r="367">
      <c r="A367" s="3" t="inlineStr">
        <is>
          <t>부강면 금호리 277-2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창고</t>
        </is>
      </c>
      <c r="E367" s="3" t="inlineStr">
        <is>
          <t>월세</t>
        </is>
      </c>
      <c r="F367" s="4" t="n">
        <v>3000</v>
      </c>
      <c r="G367" s="4" t="n">
        <v>260</v>
      </c>
      <c r="H367" s="4" t="n">
        <v>894</v>
      </c>
      <c r="I367" s="4" t="n">
        <v>270</v>
      </c>
      <c r="J367" s="5" t="n">
        <v>1</v>
      </c>
      <c r="K367" s="4" t="n">
        <v>352</v>
      </c>
      <c r="L367" s="4" t="n">
        <v>106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세종시 부강 산업단지 옆 공장 및 창고 입니다</t>
        </is>
      </c>
      <c r="Q367" s="6">
        <f>HYPERLINK("https://fin.land.naver.com/articles/2652016240", "매물Link")</f>
        <v/>
      </c>
      <c r="R367" s="6">
        <f>HYPERLINK("https://map.naver.com/p/search/부강면 금호리 277-2", "지도Link")</f>
        <v/>
      </c>
      <c r="S367" s="6">
        <f>HYPERLINK("http://www.eum.go.kr/web/ar/lu/luLandDet.jsp?pnu=3611033028102770002&amp;isNoScr=script&amp;mode=search", "토지이음")</f>
        <v/>
      </c>
      <c r="T367" s="3" t="inlineStr">
        <is>
          <t>더행복</t>
        </is>
      </c>
      <c r="U367" s="4" t="n">
        <v>1</v>
      </c>
      <c r="V367" s="5" t="n">
        <v>67.59999999999999</v>
      </c>
      <c r="W367" s="4" t="n">
        <v>894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2021-07</t>
        </is>
      </c>
      <c r="AD367" s="3" t="inlineStr">
        <is>
          <t>세로한면(가)</t>
        </is>
      </c>
    </row>
    <row r="368">
      <c r="A368" s="3" t="inlineStr">
        <is>
          <t>부강면 금호리 277-2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3000</v>
      </c>
      <c r="G368" s="4" t="n">
        <v>260</v>
      </c>
      <c r="H368" s="4" t="n">
        <v>894</v>
      </c>
      <c r="I368" s="4" t="n">
        <v>270</v>
      </c>
      <c r="J368" s="5" t="n">
        <v>1</v>
      </c>
      <c r="K368" s="4" t="n">
        <v>352</v>
      </c>
      <c r="L368" s="4" t="n">
        <v>106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남청주ic 9분 세종 부강일반산업단지 옆 단독 소형 공장임대</t>
        </is>
      </c>
      <c r="Q368" s="6">
        <f>HYPERLINK("https://fin.land.naver.com/articles/2650873411", "매물Link")</f>
        <v/>
      </c>
      <c r="R368" s="6">
        <f>HYPERLINK("https://map.naver.com/p/search/부강면 금호리 277-2", "지도Link")</f>
        <v/>
      </c>
      <c r="S368" s="6">
        <f>HYPERLINK("http://www.eum.go.kr/web/ar/lu/luLandDet.jsp?pnu=3611033028102770002&amp;isNoScr=script&amp;mode=search", "토지이음")</f>
        <v/>
      </c>
      <c r="T368" s="3" t="inlineStr">
        <is>
          <t>더원</t>
        </is>
      </c>
      <c r="U368" s="4" t="n">
        <v>3</v>
      </c>
      <c r="V368" s="5" t="n">
        <v>67.59999999999999</v>
      </c>
      <c r="W368" s="4" t="n">
        <v>894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2021-07</t>
        </is>
      </c>
      <c r="AD368" s="3" t="inlineStr">
        <is>
          <t>세로한면(가)</t>
        </is>
      </c>
    </row>
    <row r="369">
      <c r="A369" s="3" t="inlineStr">
        <is>
          <t>부강면 금호리 277-2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3000</v>
      </c>
      <c r="G369" s="4" t="n">
        <v>260</v>
      </c>
      <c r="H369" s="4" t="n">
        <v>894</v>
      </c>
      <c r="I369" s="4" t="n">
        <v>270</v>
      </c>
      <c r="J369" s="5" t="n">
        <v>1</v>
      </c>
      <c r="K369" s="4" t="n">
        <v>352</v>
      </c>
      <c r="L369" s="4" t="n">
        <v>106</v>
      </c>
      <c r="M369" s="5" t="n">
        <v>2.5</v>
      </c>
      <c r="N369" s="3" t="inlineStr">
        <is>
          <t>1</t>
        </is>
      </c>
      <c r="O369" s="3" t="inlineStr">
        <is>
          <t>-</t>
        </is>
      </c>
      <c r="P369" s="3" t="inlineStr">
        <is>
          <t>사진有 2종근생 공장 임대</t>
        </is>
      </c>
      <c r="Q369" s="6">
        <f>HYPERLINK("https://fin.land.naver.com/articles/2652988056", "매물Link")</f>
        <v/>
      </c>
      <c r="R369" s="6">
        <f>HYPERLINK("https://map.naver.com/p/search/부강면 금호리 277-2", "지도Link")</f>
        <v/>
      </c>
      <c r="S369" s="6">
        <f>HYPERLINK("http://www.eum.go.kr/web/ar/lu/luLandDet.jsp?pnu=3611033028102770002&amp;isNoScr=script&amp;mode=search",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67.59999999999999</v>
      </c>
      <c r="W369" s="4" t="n">
        <v>894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제2종근생</t>
        </is>
      </c>
      <c r="AB369" s="3" t="inlineStr">
        <is>
          <t>9.9m</t>
        </is>
      </c>
      <c r="AC369" s="3" t="inlineStr">
        <is>
          <t>2021-07</t>
        </is>
      </c>
      <c r="AD369" s="3" t="inlineStr">
        <is>
          <t>세로한면(가)</t>
        </is>
      </c>
    </row>
    <row r="370">
      <c r="A370" s="3" t="inlineStr">
        <is>
          <t>부강면 금호리 389-1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매매</t>
        </is>
      </c>
      <c r="F370" s="4" t="n">
        <v>66000</v>
      </c>
      <c r="G370" s="4" t="n">
        <v>0</v>
      </c>
      <c r="H370" s="4" t="n">
        <v>662</v>
      </c>
      <c r="I370" s="4" t="n">
        <v>200</v>
      </c>
      <c r="J370" s="5" t="n">
        <v>330</v>
      </c>
      <c r="K370" s="4" t="n">
        <v>193</v>
      </c>
      <c r="L370" s="4" t="n">
        <v>58</v>
      </c>
      <c r="M370" s="5" t="n">
        <v>1137.9</v>
      </c>
      <c r="N370" s="3" t="inlineStr">
        <is>
          <t>1</t>
        </is>
      </c>
      <c r="O370" s="3" t="inlineStr">
        <is>
          <t>-</t>
        </is>
      </c>
      <c r="P370" s="3" t="inlineStr">
        <is>
          <t>앞면도로접함 주차공간 많음,일반산업단지와IC근교,일반음식점,물류창고최적</t>
        </is>
      </c>
      <c r="Q370" s="6">
        <f>HYPERLINK("https://fin.land.naver.com/articles/2651041474", "매물Link")</f>
        <v/>
      </c>
      <c r="R370" s="6">
        <f>HYPERLINK("https://map.naver.com/p/search/부강면 금호리 389-1", "지도Link")</f>
        <v/>
      </c>
      <c r="S370" s="6">
        <f>HYPERLINK("http://www.eum.go.kr/web/ar/lu/luLandDet.jsp?pnu=3611033028103890001&amp;isNoScr=script&amp;mode=search", "토지이음")</f>
        <v/>
      </c>
      <c r="T370" s="3" t="inlineStr">
        <is>
          <t>원내</t>
        </is>
      </c>
      <c r="U370" s="4" t="n">
        <v>1</v>
      </c>
      <c r="V370" s="5" t="n">
        <v>79.90000000000001</v>
      </c>
      <c r="W370" s="4" t="n">
        <v>662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경량철골구조</t>
        </is>
      </c>
      <c r="AA370" s="3" t="inlineStr">
        <is>
          <t>제2종근생</t>
        </is>
      </c>
      <c r="AB370" s="3" t="inlineStr">
        <is>
          <t>4.7m</t>
        </is>
      </c>
      <c r="AC370" s="3" t="inlineStr">
        <is>
          <t>2014-12</t>
        </is>
      </c>
      <c r="AD370" s="3" t="inlineStr">
        <is>
          <t>세로한면(가)</t>
        </is>
      </c>
    </row>
    <row r="371">
      <c r="A371" s="3" t="inlineStr">
        <is>
          <t>부강면 금호리 413-1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12000</v>
      </c>
      <c r="G371" s="4" t="n">
        <v>3700</v>
      </c>
      <c r="H371" s="4" t="n">
        <v>13866</v>
      </c>
      <c r="I371" s="4" t="n">
        <v>4194</v>
      </c>
      <c r="J371" s="5" t="n">
        <v>0.9</v>
      </c>
      <c r="K371" s="4" t="n">
        <v>6367</v>
      </c>
      <c r="L371" s="4" t="n">
        <v>1926</v>
      </c>
      <c r="M371" s="5" t="n">
        <v>1.9</v>
      </c>
      <c r="N371" s="3" t="inlineStr">
        <is>
          <t>1</t>
        </is>
      </c>
      <c r="O371" s="3" t="inlineStr">
        <is>
          <t>B1</t>
        </is>
      </c>
      <c r="P371" s="3" t="inlineStr">
        <is>
          <t>사진有 공장 임대</t>
        </is>
      </c>
      <c r="Q371" s="6">
        <f>HYPERLINK("https://fin.land.naver.com/articles/2652068004", "매물Link")</f>
        <v/>
      </c>
      <c r="R371" s="6">
        <f>HYPERLINK("https://map.naver.com/p/search/부강면 금호리 413-1", "지도Link")</f>
        <v/>
      </c>
      <c r="S371" s="6">
        <f>HYPERLINK("http://www.eum.go.kr/web/ar/lu/luLandDet.jsp?pnu=3611033028104130001&amp;isNoScr=script&amp;mode=search",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84.90000000000001</v>
      </c>
      <c r="W371" s="4" t="n">
        <v>13866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10.0m</t>
        </is>
      </c>
      <c r="AC371" s="3" t="inlineStr">
        <is>
          <t>1997-09</t>
        </is>
      </c>
      <c r="AD371" s="3" t="inlineStr">
        <is>
          <t>소로한면</t>
        </is>
      </c>
    </row>
    <row r="372">
      <c r="A372" s="3" t="inlineStr">
        <is>
          <t>부강면 금호리 413-1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1400000</v>
      </c>
      <c r="G372" s="4" t="n">
        <v>0</v>
      </c>
      <c r="H372" s="4" t="n">
        <v>13866</v>
      </c>
      <c r="I372" s="4" t="n">
        <v>4194</v>
      </c>
      <c r="J372" s="5" t="n">
        <v>333.8</v>
      </c>
      <c r="K372" s="4" t="n">
        <v>6367</v>
      </c>
      <c r="L372" s="4" t="n">
        <v>1926</v>
      </c>
      <c r="M372" s="5" t="n">
        <v>726.9</v>
      </c>
      <c r="N372" s="3" t="inlineStr">
        <is>
          <t>1</t>
        </is>
      </c>
      <c r="O372" s="3" t="inlineStr">
        <is>
          <t>-</t>
        </is>
      </c>
      <c r="P372" s="3" t="inlineStr">
        <is>
          <t>세종 대형공장 1층 단층구조 연1926p</t>
        </is>
      </c>
      <c r="Q372" s="6">
        <f>HYPERLINK("https://fin.land.naver.com/articles/2653014661", "매물Link")</f>
        <v/>
      </c>
      <c r="R372" s="6">
        <f>HYPERLINK("https://map.naver.com/p/search/부강면 금호리 413-1", "지도Link")</f>
        <v/>
      </c>
      <c r="S372" s="6">
        <f>HYPERLINK("http://www.eum.go.kr/web/ar/lu/luLandDet.jsp?pnu=3611033028104130001&amp;isNoScr=script&amp;mode=search", "토지이음")</f>
        <v/>
      </c>
      <c r="T372" s="3" t="inlineStr">
        <is>
          <t>공장플러스</t>
        </is>
      </c>
      <c r="U372" s="4" t="n">
        <v>1</v>
      </c>
      <c r="V372" s="5" t="n">
        <v>84.90000000000001</v>
      </c>
      <c r="W372" s="4" t="n">
        <v>13866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10.0m</t>
        </is>
      </c>
      <c r="AC372" s="3" t="inlineStr">
        <is>
          <t>1997-09</t>
        </is>
      </c>
      <c r="AD372" s="3" t="inlineStr">
        <is>
          <t>소로한면</t>
        </is>
      </c>
    </row>
    <row r="373">
      <c r="A373" s="3" t="inlineStr">
        <is>
          <t>부강면 금호리 413-1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12000</v>
      </c>
      <c r="G373" s="4" t="n">
        <v>4000</v>
      </c>
      <c r="H373" s="4" t="n">
        <v>13866</v>
      </c>
      <c r="I373" s="4" t="n">
        <v>4194</v>
      </c>
      <c r="J373" s="5" t="n">
        <v>1</v>
      </c>
      <c r="K373" s="4" t="n">
        <v>6367</v>
      </c>
      <c r="L373" s="4" t="n">
        <v>1926</v>
      </c>
      <c r="M373" s="5" t="n">
        <v>2.1</v>
      </c>
      <c r="N373" s="3" t="inlineStr">
        <is>
          <t>1</t>
        </is>
      </c>
      <c r="O373" s="3" t="inlineStr">
        <is>
          <t>-</t>
        </is>
      </c>
      <c r="P373" s="3" t="inlineStr">
        <is>
          <t>세종 대형공장 1층 단층구조 연1926p</t>
        </is>
      </c>
      <c r="Q373" s="6">
        <f>HYPERLINK("https://fin.land.naver.com/articles/2653008802", "매물Link")</f>
        <v/>
      </c>
      <c r="R373" s="6">
        <f>HYPERLINK("https://map.naver.com/p/search/부강면 금호리 413-1", "지도Link")</f>
        <v/>
      </c>
      <c r="S373" s="6">
        <f>HYPERLINK("http://www.eum.go.kr/web/ar/lu/luLandDet.jsp?pnu=3611033028104130001&amp;isNoScr=script&amp;mode=search", "토지이음")</f>
        <v/>
      </c>
      <c r="T373" s="3" t="inlineStr">
        <is>
          <t>공장플러스</t>
        </is>
      </c>
      <c r="U373" s="4" t="n">
        <v>1</v>
      </c>
      <c r="V373" s="5" t="n">
        <v>84.90000000000001</v>
      </c>
      <c r="W373" s="4" t="n">
        <v>13866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10.0m</t>
        </is>
      </c>
      <c r="AC373" s="3" t="inlineStr">
        <is>
          <t>1997-09</t>
        </is>
      </c>
      <c r="AD373" s="3" t="inlineStr">
        <is>
          <t>소로한면</t>
        </is>
      </c>
    </row>
    <row r="374">
      <c r="A374" s="3" t="inlineStr">
        <is>
          <t>부강면 금호리 456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375</v>
      </c>
      <c r="H374" s="4" t="n">
        <v>1260</v>
      </c>
      <c r="I374" s="4" t="n">
        <v>381</v>
      </c>
      <c r="J374" s="5" t="n">
        <v>1</v>
      </c>
      <c r="K374" s="4" t="n">
        <v>497</v>
      </c>
      <c r="L374" s="4" t="n">
        <v>150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층고 높고 마당 넓음, 부강산업단지 인근, 즉시입주 가능</t>
        </is>
      </c>
      <c r="Q374" s="6">
        <f>HYPERLINK("https://fin.land.naver.com/articles/2651475999", "매물Link")</f>
        <v/>
      </c>
      <c r="R374" s="6">
        <f>HYPERLINK("https://map.naver.com/p/search/부강면 금호리 456", "지도Link")</f>
        <v/>
      </c>
      <c r="S374" s="6">
        <f>HYPERLINK("http://www.eum.go.kr/web/ar/lu/luLandDet.jsp?pnu=3611033028104560000&amp;isNoScr=script&amp;mode=search", "토지이음")</f>
        <v/>
      </c>
      <c r="T374" s="3" t="inlineStr">
        <is>
          <t>제이</t>
        </is>
      </c>
      <c r="U374" s="4" t="n">
        <v>3</v>
      </c>
      <c r="V374" s="5" t="n">
        <v>87.2</v>
      </c>
      <c r="W374" s="4" t="n">
        <v>1260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2020-09</t>
        </is>
      </c>
      <c r="AD374" s="3" t="inlineStr">
        <is>
          <t>세로한면(가)</t>
        </is>
      </c>
    </row>
    <row r="375">
      <c r="A375" s="3" t="inlineStr">
        <is>
          <t>부강면 금호리 456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375</v>
      </c>
      <c r="H375" s="4" t="n">
        <v>1260</v>
      </c>
      <c r="I375" s="4" t="n">
        <v>381</v>
      </c>
      <c r="J375" s="5" t="n">
        <v>1</v>
      </c>
      <c r="K375" s="4" t="n">
        <v>497</v>
      </c>
      <c r="L375" s="4" t="n">
        <v>150</v>
      </c>
      <c r="M375" s="5" t="n">
        <v>2.5</v>
      </c>
      <c r="N375" s="3" t="inlineStr">
        <is>
          <t>1</t>
        </is>
      </c>
      <c r="O375" s="3" t="inlineStr">
        <is>
          <t>-</t>
        </is>
      </c>
      <c r="P375" s="3" t="inlineStr">
        <is>
          <t>부강 산업단지 인접한 공장 및 창고 입니다</t>
        </is>
      </c>
      <c r="Q375" s="6">
        <f>HYPERLINK("https://fin.land.naver.com/articles/2652033586", "매물Link")</f>
        <v/>
      </c>
      <c r="R375" s="6">
        <f>HYPERLINK("https://map.naver.com/p/search/부강면 금호리 456", "지도Link")</f>
        <v/>
      </c>
      <c r="S375" s="6">
        <f>HYPERLINK("http://www.eum.go.kr/web/ar/lu/luLandDet.jsp?pnu=3611033028104560000&amp;isNoScr=script&amp;mode=search", "토지이음")</f>
        <v/>
      </c>
      <c r="T375" s="3" t="inlineStr">
        <is>
          <t>더행복</t>
        </is>
      </c>
      <c r="U375" s="4" t="n">
        <v>1</v>
      </c>
      <c r="V375" s="5" t="n">
        <v>87.2</v>
      </c>
      <c r="W375" s="4" t="n">
        <v>1260</v>
      </c>
      <c r="X375" s="3" t="inlineStr">
        <is>
          <t>주건축물제1동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9.9m</t>
        </is>
      </c>
      <c r="AC375" s="3" t="inlineStr">
        <is>
          <t>2020-09</t>
        </is>
      </c>
      <c r="AD375" s="3" t="inlineStr">
        <is>
          <t>세로한면(가)</t>
        </is>
      </c>
    </row>
    <row r="376">
      <c r="A376" s="3" t="inlineStr">
        <is>
          <t>부강면 금호리 456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375</v>
      </c>
      <c r="H376" s="4" t="n">
        <v>1260</v>
      </c>
      <c r="I376" s="4" t="n">
        <v>381</v>
      </c>
      <c r="J376" s="5" t="n">
        <v>1</v>
      </c>
      <c r="K376" s="4" t="n">
        <v>497</v>
      </c>
      <c r="L376" s="4" t="n">
        <v>150</v>
      </c>
      <c r="M376" s="5" t="n">
        <v>2.5</v>
      </c>
      <c r="N376" s="3" t="inlineStr">
        <is>
          <t>1</t>
        </is>
      </c>
      <c r="O376" s="3" t="inlineStr">
        <is>
          <t>-</t>
        </is>
      </c>
      <c r="P376" s="3" t="inlineStr">
        <is>
          <t>사진有 2종근생 공장 임대</t>
        </is>
      </c>
      <c r="Q376" s="6">
        <f>HYPERLINK("https://fin.land.naver.com/articles/2652988007", "매물Link")</f>
        <v/>
      </c>
      <c r="R376" s="6">
        <f>HYPERLINK("https://map.naver.com/p/search/부강면 금호리 456", "지도Link")</f>
        <v/>
      </c>
      <c r="S376" s="6">
        <f>HYPERLINK("http://www.eum.go.kr/web/ar/lu/luLandDet.jsp?pnu=3611033028104560000&amp;isNoScr=script&amp;mode=search",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87.2</v>
      </c>
      <c r="W376" s="4" t="n">
        <v>1260</v>
      </c>
      <c r="X376" s="3" t="inlineStr">
        <is>
          <t>주건축물제1동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9.9m</t>
        </is>
      </c>
      <c r="AC376" s="3" t="inlineStr">
        <is>
          <t>2020-09</t>
        </is>
      </c>
      <c r="AD376" s="3" t="inlineStr">
        <is>
          <t>세로한면(가)</t>
        </is>
      </c>
    </row>
    <row r="377">
      <c r="A377" s="3" t="inlineStr">
        <is>
          <t>부강면 금호리 456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375</v>
      </c>
      <c r="H377" s="4" t="n">
        <v>1260</v>
      </c>
      <c r="I377" s="4" t="n">
        <v>381</v>
      </c>
      <c r="J377" s="5" t="n">
        <v>1</v>
      </c>
      <c r="K377" s="4" t="n">
        <v>497</v>
      </c>
      <c r="L377" s="4" t="n">
        <v>150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부강산업단지 인근 야적장 넓은 공장 창고 임대</t>
        </is>
      </c>
      <c r="Q377" s="6">
        <f>HYPERLINK("https://fin.land.naver.com/articles/2652390959", "매물Link")</f>
        <v/>
      </c>
      <c r="R377" s="6">
        <f>HYPERLINK("https://map.naver.com/p/search/부강면 금호리 456", "지도Link")</f>
        <v/>
      </c>
      <c r="S377" s="6">
        <f>HYPERLINK("http://www.eum.go.kr/web/ar/lu/luLandDet.jsp?pnu=3611033028104560000&amp;isNoScr=script&amp;mode=search", "토지이음")</f>
        <v/>
      </c>
      <c r="T377" s="3" t="inlineStr">
        <is>
          <t>KS</t>
        </is>
      </c>
      <c r="U377" s="4" t="n">
        <v>1</v>
      </c>
      <c r="V377" s="5" t="n">
        <v>87.2</v>
      </c>
      <c r="W377" s="4" t="n">
        <v>1260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2020-09</t>
        </is>
      </c>
      <c r="AD377" s="3" t="inlineStr">
        <is>
          <t>세로한면(가)</t>
        </is>
      </c>
    </row>
    <row r="378">
      <c r="A378" s="3" t="inlineStr">
        <is>
          <t>부강면 금호리 683-1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320000</v>
      </c>
      <c r="G378" s="4" t="n">
        <v>0</v>
      </c>
      <c r="H378" s="4" t="n">
        <v>1167</v>
      </c>
      <c r="I378" s="4" t="n">
        <v>353</v>
      </c>
      <c r="J378" s="5" t="n">
        <v>906.5</v>
      </c>
      <c r="K378" s="4" t="n">
        <v>448</v>
      </c>
      <c r="L378" s="4" t="n">
        <v>136</v>
      </c>
      <c r="M378" s="5" t="n">
        <v>2352.9</v>
      </c>
      <c r="N378" s="3" t="inlineStr">
        <is>
          <t>1</t>
        </is>
      </c>
      <c r="O378" s="3" t="inlineStr">
        <is>
          <t>-</t>
        </is>
      </c>
      <c r="P378" s="3" t="inlineStr">
        <is>
          <t>사진有 폐기물재활용시설 공장 매매</t>
        </is>
      </c>
      <c r="Q378" s="6">
        <f>HYPERLINK("https://fin.land.naver.com/articles/2649598812", "매물Link")</f>
        <v/>
      </c>
      <c r="R378" s="6">
        <f>HYPERLINK("https://map.naver.com/p/search/부강면 금호리 683-1", "지도Link")</f>
        <v/>
      </c>
      <c r="S378" s="6">
        <f>HYPERLINK("http://www.eum.go.kr/web/ar/lu/luLandDet.jsp?pnu=3611033028106830001&amp;isNoScr=script&amp;mode=search", "토지이음")</f>
        <v/>
      </c>
      <c r="T378" s="3" t="inlineStr">
        <is>
          <t>월드</t>
        </is>
      </c>
      <c r="U378" s="4" t="n">
        <v>1</v>
      </c>
      <c r="V378" s="5" t="n">
        <v>90.5</v>
      </c>
      <c r="W378" s="4" t="n">
        <v>1167</v>
      </c>
      <c r="X378" s="3" t="inlineStr">
        <is>
          <t>미표기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자원순환관련시설</t>
        </is>
      </c>
      <c r="AB378" s="3" t="inlineStr">
        <is>
          <t>8.1m</t>
        </is>
      </c>
      <c r="AC378" s="3" t="inlineStr">
        <is>
          <t>2001-06</t>
        </is>
      </c>
      <c r="AD378" s="3" t="inlineStr">
        <is>
          <t>세로한면(가)</t>
        </is>
      </c>
    </row>
    <row r="379">
      <c r="A379" s="3" t="inlineStr">
        <is>
          <t>부강면 금호리 689</t>
        </is>
      </c>
      <c r="B379" s="3" t="inlineStr">
        <is>
          <t>생산관리지역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200000</v>
      </c>
      <c r="G379" s="4" t="n">
        <v>0</v>
      </c>
      <c r="H379" s="4" t="n">
        <v>2498</v>
      </c>
      <c r="I379" s="4" t="n">
        <v>756</v>
      </c>
      <c r="J379" s="5" t="n">
        <v>264.6</v>
      </c>
      <c r="K379" s="4" t="n">
        <v>755</v>
      </c>
      <c r="L379" s="4" t="n">
        <v>228</v>
      </c>
      <c r="M379" s="5" t="n">
        <v>877.2</v>
      </c>
      <c r="N379" s="3" t="inlineStr">
        <is>
          <t>2</t>
        </is>
      </c>
      <c r="O379" s="3" t="inlineStr">
        <is>
          <t>-</t>
        </is>
      </c>
      <c r="P379" s="3" t="inlineStr">
        <is>
          <t>부강일반산업단지 인근 리모델링완료된 단독 공장 매매</t>
        </is>
      </c>
      <c r="Q379" s="6">
        <f>HYPERLINK("https://fin.land.naver.com/articles/2652199547", "매물Link")</f>
        <v/>
      </c>
      <c r="R379" s="6">
        <f>HYPERLINK("https://map.naver.com/p/search/부강면 금호리 689", "지도Link")</f>
        <v/>
      </c>
      <c r="S379" s="6">
        <f>HYPERLINK("http://www.eum.go.kr/web/ar/lu/luLandDet.jsp?pnu=3611033028106890000&amp;isNoScr=script&amp;mode=search", "토지이음")</f>
        <v/>
      </c>
      <c r="T379" s="3" t="inlineStr">
        <is>
          <t>드림사무소</t>
        </is>
      </c>
      <c r="U379" s="4" t="n">
        <v>2</v>
      </c>
      <c r="V379" s="5" t="n">
        <v>73.09999999999999</v>
      </c>
      <c r="W379" s="4" t="n">
        <v>2498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15.47m</t>
        </is>
      </c>
      <c r="AC379" s="3" t="inlineStr">
        <is>
          <t>2015-06</t>
        </is>
      </c>
      <c r="AD379" s="3" t="inlineStr">
        <is>
          <t>세로한면(가)</t>
        </is>
      </c>
    </row>
    <row r="380">
      <c r="A380" s="3" t="inlineStr">
        <is>
          <t>부강면 금호리 689</t>
        </is>
      </c>
      <c r="B380" s="3" t="inlineStr">
        <is>
          <t>생산관리지역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200000</v>
      </c>
      <c r="G380" s="4" t="n">
        <v>0</v>
      </c>
      <c r="H380" s="4" t="n">
        <v>2498</v>
      </c>
      <c r="I380" s="4" t="n">
        <v>756</v>
      </c>
      <c r="J380" s="5" t="n">
        <v>264.6</v>
      </c>
      <c r="K380" s="4" t="n">
        <v>755</v>
      </c>
      <c r="L380" s="4" t="n">
        <v>228</v>
      </c>
      <c r="M380" s="5" t="n">
        <v>877.2</v>
      </c>
      <c r="N380" s="3" t="inlineStr">
        <is>
          <t>2</t>
        </is>
      </c>
      <c r="O380" s="3" t="inlineStr">
        <is>
          <t>-</t>
        </is>
      </c>
      <c r="P380" s="3" t="inlineStr">
        <is>
          <t>2년전 리모델링완비, 전시판매장추천,1000여평 국유지임대가능</t>
        </is>
      </c>
      <c r="Q380" s="6">
        <f>HYPERLINK("https://fin.land.naver.com/articles/2650894474", "매물Link")</f>
        <v/>
      </c>
      <c r="R380" s="6">
        <f>HYPERLINK("https://map.naver.com/p/search/부강면 금호리 689", "지도Link")</f>
        <v/>
      </c>
      <c r="S380" s="6">
        <f>HYPERLINK("http://www.eum.go.kr/web/ar/lu/luLandDet.jsp?pnu=3611033028106890000&amp;isNoScr=script&amp;mode=search", "토지이음")</f>
        <v/>
      </c>
      <c r="T380" s="3" t="inlineStr">
        <is>
          <t>소소사무소</t>
        </is>
      </c>
      <c r="U380" s="4" t="n">
        <v>1</v>
      </c>
      <c r="V380" s="5" t="n">
        <v>73.09999999999999</v>
      </c>
      <c r="W380" s="4" t="n">
        <v>2498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15.47m</t>
        </is>
      </c>
      <c r="AC380" s="3" t="inlineStr">
        <is>
          <t>2015-06</t>
        </is>
      </c>
      <c r="AD380" s="3" t="inlineStr">
        <is>
          <t>세로한면(가)</t>
        </is>
      </c>
    </row>
    <row r="381">
      <c r="A381" s="3" t="inlineStr">
        <is>
          <t>부강면 금호리 689</t>
        </is>
      </c>
      <c r="B381" s="3" t="inlineStr">
        <is>
          <t>생산관리지역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210000</v>
      </c>
      <c r="G381" s="4" t="n">
        <v>0</v>
      </c>
      <c r="H381" s="4" t="n">
        <v>2498</v>
      </c>
      <c r="I381" s="4" t="n">
        <v>756</v>
      </c>
      <c r="J381" s="5" t="n">
        <v>277.8</v>
      </c>
      <c r="K381" s="4" t="n">
        <v>755</v>
      </c>
      <c r="L381" s="4" t="n">
        <v>228</v>
      </c>
      <c r="M381" s="5" t="n">
        <v>921.1</v>
      </c>
      <c r="N381" s="3" t="inlineStr">
        <is>
          <t>2</t>
        </is>
      </c>
      <c r="O381" s="3" t="inlineStr">
        <is>
          <t>-</t>
        </is>
      </c>
      <c r="P381" s="3" t="inlineStr">
        <is>
          <t>부강산업단지인근 도로옆 단독공장 2년전 리모델링완비</t>
        </is>
      </c>
      <c r="Q381" s="6">
        <f>HYPERLINK("https://fin.land.naver.com/articles/2650938924", "매물Link")</f>
        <v/>
      </c>
      <c r="R381" s="6">
        <f>HYPERLINK("https://map.naver.com/p/search/부강면 금호리 689", "지도Link")</f>
        <v/>
      </c>
      <c r="S381" s="6">
        <f>HYPERLINK("http://www.eum.go.kr/web/ar/lu/luLandDet.jsp?pnu=3611033028106890000&amp;isNoScr=script&amp;mode=search",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73.09999999999999</v>
      </c>
      <c r="W381" s="4" t="n">
        <v>2498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15.47m</t>
        </is>
      </c>
      <c r="AC381" s="3" t="inlineStr">
        <is>
          <t>2015-06</t>
        </is>
      </c>
      <c r="AD381" s="3" t="inlineStr">
        <is>
          <t>세로한면(가)</t>
        </is>
      </c>
    </row>
    <row r="382">
      <c r="A382" s="3" t="inlineStr">
        <is>
          <t>부강면 금호리 689</t>
        </is>
      </c>
      <c r="B382" s="3" t="inlineStr">
        <is>
          <t>생산관리지역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210000</v>
      </c>
      <c r="G382" s="4" t="n">
        <v>0</v>
      </c>
      <c r="H382" s="4" t="n">
        <v>2498</v>
      </c>
      <c r="I382" s="4" t="n">
        <v>756</v>
      </c>
      <c r="J382" s="5" t="n">
        <v>277.8</v>
      </c>
      <c r="K382" s="4" t="n">
        <v>755</v>
      </c>
      <c r="L382" s="4" t="n">
        <v>228</v>
      </c>
      <c r="M382" s="5" t="n">
        <v>921.1</v>
      </c>
      <c r="N382" s="3" t="inlineStr">
        <is>
          <t>2</t>
        </is>
      </c>
      <c r="O382" s="3" t="inlineStr">
        <is>
          <t>-</t>
        </is>
      </c>
      <c r="P382" s="3" t="inlineStr">
        <is>
          <t>사진有 공장 매매</t>
        </is>
      </c>
      <c r="Q382" s="6">
        <f>HYPERLINK("https://fin.land.naver.com/articles/2651075109", "매물Link")</f>
        <v/>
      </c>
      <c r="R382" s="6">
        <f>HYPERLINK("https://map.naver.com/p/search/부강면 금호리 689", "지도Link")</f>
        <v/>
      </c>
      <c r="S382" s="6">
        <f>HYPERLINK("http://www.eum.go.kr/web/ar/lu/luLandDet.jsp?pnu=3611033028106890000&amp;isNoScr=script&amp;mode=search",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73.09999999999999</v>
      </c>
      <c r="W382" s="4" t="n">
        <v>2498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15.47m</t>
        </is>
      </c>
      <c r="AC382" s="3" t="inlineStr">
        <is>
          <t>2015-06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15000</v>
      </c>
      <c r="G383" s="4" t="n">
        <v>1500</v>
      </c>
      <c r="H383" s="4" t="n">
        <v>8600</v>
      </c>
      <c r="I383" s="4" t="n">
        <v>2602</v>
      </c>
      <c r="J383" s="5" t="n">
        <v>0.6</v>
      </c>
      <c r="K383" s="4" t="n">
        <v>1793</v>
      </c>
      <c r="L383" s="4" t="n">
        <v>542</v>
      </c>
      <c r="M383" s="5" t="n">
        <v>2.8</v>
      </c>
      <c r="N383" s="3" t="inlineStr">
        <is>
          <t>2</t>
        </is>
      </c>
      <c r="O383" s="3" t="inlineStr">
        <is>
          <t>-</t>
        </is>
      </c>
      <c r="P383" s="3" t="inlineStr">
        <is>
          <t>민원소지 없는 야드 넓은 공장임대</t>
        </is>
      </c>
      <c r="Q383" s="6">
        <f>HYPERLINK("https://fin.land.naver.com/articles/2651586128",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금화랜드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남청주ic, 신탄진ic 접근성 우수 호이스트설치 전력700kw</t>
        </is>
      </c>
      <c r="Q385" s="6">
        <f>HYPERLINK("https://fin.land.naver.com/articles/2650204516",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더원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9566</v>
      </c>
      <c r="I386" s="4" t="n">
        <v>2894</v>
      </c>
      <c r="J386" s="5" t="n">
        <v>0.5</v>
      </c>
      <c r="K386" s="4" t="n">
        <v>1793</v>
      </c>
      <c r="L386" s="4" t="n">
        <v>542</v>
      </c>
      <c r="M386" s="5" t="n">
        <v>2.8</v>
      </c>
      <c r="N386" s="3" t="inlineStr">
        <is>
          <t>1</t>
        </is>
      </c>
      <c r="O386" s="3" t="inlineStr">
        <is>
          <t>-</t>
        </is>
      </c>
      <c r="P386" s="3" t="inlineStr">
        <is>
          <t>신탄진IC남청주IC와 중간위치, 대형차 진출입이 편리한곳,호이스트있음</t>
        </is>
      </c>
      <c r="Q386" s="6">
        <f>HYPERLINK("https://fin.land.naver.com/articles/2654296586",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(주)미르</t>
        </is>
      </c>
      <c r="U386" s="4" t="n">
        <v>2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5000</v>
      </c>
      <c r="G388" s="4" t="n">
        <v>500</v>
      </c>
      <c r="H388" s="4" t="n">
        <v>9585</v>
      </c>
      <c r="I388" s="4" t="n">
        <v>2899</v>
      </c>
      <c r="J388" s="5" t="n">
        <v>0.2</v>
      </c>
      <c r="K388" s="4" t="n">
        <v>716</v>
      </c>
      <c r="L388" s="4" t="n">
        <v>217</v>
      </c>
      <c r="M388" s="5" t="n">
        <v>2.3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남청주ic, 신탄진ic 접근성 우수 호이스트 설치된 공장</t>
        </is>
      </c>
      <c r="Q388" s="6">
        <f>HYPERLINK("https://fin.land.naver.com/articles/2650205472",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더원</t>
        </is>
      </c>
      <c r="U388" s="4" t="n">
        <v>1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570000</v>
      </c>
      <c r="G389" s="4" t="n">
        <v>0</v>
      </c>
      <c r="H389" s="4" t="n">
        <v>9585</v>
      </c>
      <c r="I389" s="4" t="n">
        <v>2899</v>
      </c>
      <c r="J389" s="5" t="n">
        <v>196.6</v>
      </c>
      <c r="K389" s="4" t="n">
        <v>1793</v>
      </c>
      <c r="L389" s="4" t="n">
        <v>542</v>
      </c>
      <c r="M389" s="5" t="n">
        <v>1051.7</v>
      </c>
      <c r="N389" s="3" t="inlineStr">
        <is>
          <t>2</t>
        </is>
      </c>
      <c r="O389" s="3" t="inlineStr">
        <is>
          <t>-</t>
        </is>
      </c>
      <c r="P389" s="3" t="inlineStr">
        <is>
          <t>사진有 공장 매매</t>
        </is>
      </c>
      <c r="Q389" s="6">
        <f>HYPERLINK("https://fin.land.naver.com/articles/2649597220",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570000</v>
      </c>
      <c r="G390" s="4" t="n">
        <v>0</v>
      </c>
      <c r="H390" s="4" t="n">
        <v>8600</v>
      </c>
      <c r="I390" s="4" t="n">
        <v>2602</v>
      </c>
      <c r="J390" s="5" t="n">
        <v>219.1</v>
      </c>
      <c r="K390" s="4" t="n">
        <v>1793</v>
      </c>
      <c r="L390" s="4" t="n">
        <v>542</v>
      </c>
      <c r="M390" s="5" t="n">
        <v>1051.7</v>
      </c>
      <c r="N390" s="3" t="inlineStr">
        <is>
          <t>1</t>
        </is>
      </c>
      <c r="O390" s="3" t="inlineStr">
        <is>
          <t>-</t>
        </is>
      </c>
      <c r="P390" s="3" t="inlineStr">
        <is>
          <t>세종 노호리 부지 넓은 대형공장 매매</t>
        </is>
      </c>
      <c r="Q390" s="6">
        <f>HYPERLINK("https://fin.land.naver.com/articles/2652510293",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SK랜드</t>
        </is>
      </c>
      <c r="U390" s="4" t="n">
        <v>2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노호리 155-1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5000</v>
      </c>
      <c r="G391" s="4" t="n">
        <v>500</v>
      </c>
      <c r="H391" s="4" t="n">
        <v>9585</v>
      </c>
      <c r="I391" s="4" t="n">
        <v>2899</v>
      </c>
      <c r="J391" s="5" t="n">
        <v>0.2</v>
      </c>
      <c r="K391" s="4" t="n">
        <v>716</v>
      </c>
      <c r="L391" s="4" t="n">
        <v>217</v>
      </c>
      <c r="M391" s="5" t="n">
        <v>2.3</v>
      </c>
      <c r="N391" s="3" t="inlineStr">
        <is>
          <t>1</t>
        </is>
      </c>
      <c r="O391" s="3" t="inlineStr">
        <is>
          <t>-</t>
        </is>
      </c>
      <c r="P391" s="3" t="inlineStr">
        <is>
          <t>사진有 공장 임대</t>
        </is>
      </c>
      <c r="Q391" s="6">
        <f>HYPERLINK("https://fin.land.naver.com/articles/2652988033", "매물Link")</f>
        <v/>
      </c>
      <c r="R391" s="6">
        <f>HYPERLINK("https://map.naver.com/p/search/부강면 노호리 155-1", "지도Link")</f>
        <v/>
      </c>
      <c r="S391" s="6">
        <f>HYPERLINK("http://www.eum.go.kr/web/ar/lu/luLandDet.jsp?pnu=3611033027101550001&amp;isNoScr=script&amp;mode=search", "토지이음")</f>
        <v/>
      </c>
      <c r="T391" s="3" t="inlineStr">
        <is>
          <t>월드</t>
        </is>
      </c>
      <c r="U391" s="4" t="n">
        <v>1</v>
      </c>
      <c r="V391" s="5" t="n">
        <v>52.6</v>
      </c>
      <c r="W391" s="4" t="n">
        <v>8600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10.3m</t>
        </is>
      </c>
      <c r="AC391" s="3" t="inlineStr">
        <is>
          <t>2002-05</t>
        </is>
      </c>
      <c r="AD391" s="3" t="inlineStr">
        <is>
          <t>세로한면(가)</t>
        </is>
      </c>
    </row>
    <row r="392">
      <c r="A392" s="3" t="inlineStr">
        <is>
          <t>부강면 노호리 76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200000</v>
      </c>
      <c r="G392" s="4" t="n">
        <v>0</v>
      </c>
      <c r="H392" s="4" t="n">
        <v>3271</v>
      </c>
      <c r="I392" s="4" t="n">
        <v>989</v>
      </c>
      <c r="J392" s="5" t="n">
        <v>202.2</v>
      </c>
      <c r="K392" s="4" t="n">
        <v>1288</v>
      </c>
      <c r="L392" s="4" t="n">
        <v>390</v>
      </c>
      <c r="M392" s="5" t="n">
        <v>512.8</v>
      </c>
      <c r="N392" s="3" t="inlineStr">
        <is>
          <t>2</t>
        </is>
      </c>
      <c r="O392" s="3" t="inlineStr">
        <is>
          <t>-</t>
        </is>
      </c>
      <c r="P392" s="3" t="inlineStr">
        <is>
          <t>사진有 공장 매매</t>
        </is>
      </c>
      <c r="Q392" s="6">
        <f>HYPERLINK("https://fin.land.naver.com/articles/2649597836", "매물Link")</f>
        <v/>
      </c>
      <c r="R392" s="6">
        <f>HYPERLINK("https://map.naver.com/p/search/부강면 노호리 76", "지도Link")</f>
        <v/>
      </c>
      <c r="S392" s="6">
        <f>HYPERLINK("http://www.eum.go.kr/web/ar/lu/luLandDet.jsp?pnu=3611033027100760000&amp;isNoScr=script&amp;mode=search",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55</v>
      </c>
      <c r="W392" s="4" t="n">
        <v>1155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10.2m</t>
        </is>
      </c>
      <c r="AC392" s="3" t="inlineStr">
        <is>
          <t>2015-05</t>
        </is>
      </c>
      <c r="AD392" s="3" t="inlineStr">
        <is>
          <t>세로한면(가)</t>
        </is>
      </c>
    </row>
    <row r="393">
      <c r="A393" s="3" t="inlineStr">
        <is>
          <t>부강면 등곡리 350-9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공장</t>
        </is>
      </c>
      <c r="E393" s="3" t="inlineStr">
        <is>
          <t>매매</t>
        </is>
      </c>
      <c r="F393" s="4" t="n">
        <v>200000</v>
      </c>
      <c r="G393" s="4" t="n">
        <v>0</v>
      </c>
      <c r="H393" s="4" t="n">
        <v>2580</v>
      </c>
      <c r="I393" s="4" t="n">
        <v>780</v>
      </c>
      <c r="J393" s="5" t="n">
        <v>256.4</v>
      </c>
      <c r="K393" s="4" t="n">
        <v>273</v>
      </c>
      <c r="L393" s="4" t="n">
        <v>83</v>
      </c>
      <c r="M393" s="5" t="n">
        <v>2409.6</v>
      </c>
      <c r="N393" s="3" t="inlineStr">
        <is>
          <t>2</t>
        </is>
      </c>
      <c r="O393" s="3" t="inlineStr">
        <is>
          <t>B2</t>
        </is>
      </c>
      <c r="P393" s="3" t="inlineStr">
        <is>
          <t>지정폐기물수집보관성업중</t>
        </is>
      </c>
      <c r="Q393" s="6">
        <f>HYPERLINK("https://fin.land.naver.com/articles/2653664868", "매물Link")</f>
        <v/>
      </c>
      <c r="R393" s="6">
        <f>HYPERLINK("https://map.naver.com/p/search/부강면 등곡리 350-9", "지도Link")</f>
        <v/>
      </c>
      <c r="S393" s="6">
        <f>HYPERLINK("http://www.eum.go.kr/web/ar/lu/luLandDet.jsp?pnu=3611033026103500009&amp;isNoScr=script&amp;mode=search", "토지이음")</f>
        <v/>
      </c>
      <c r="T393" s="3" t="inlineStr">
        <is>
          <t>우리래미안</t>
        </is>
      </c>
      <c r="U393" s="4" t="n">
        <v>1</v>
      </c>
      <c r="V393" s="5" t="n">
        <v>69.90000000000001</v>
      </c>
      <c r="W393" s="4" t="n">
        <v>2580</v>
      </c>
      <c r="X393" s="3" t="inlineStr">
        <is>
          <t>2동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위험물저장및처리시설</t>
        </is>
      </c>
      <c r="AB393" s="3" t="inlineStr">
        <is>
          <t>6.8m</t>
        </is>
      </c>
      <c r="AC393" s="3" t="inlineStr">
        <is>
          <t>2008-07</t>
        </is>
      </c>
      <c r="AD393" s="3" t="inlineStr">
        <is>
          <t>세로한면(가)</t>
        </is>
      </c>
    </row>
    <row r="394">
      <c r="A394" s="3" t="inlineStr">
        <is>
          <t>부강면 문곡리 128-3</t>
        </is>
      </c>
      <c r="B394" s="3" t="inlineStr">
        <is>
          <t>계획관리지역</t>
        </is>
      </c>
      <c r="C394" s="3" t="inlineStr">
        <is>
          <t>창고용지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6153</v>
      </c>
      <c r="I394" s="4" t="n">
        <v>1861</v>
      </c>
      <c r="J394" s="5" t="n">
        <v>403</v>
      </c>
      <c r="K394" s="4" t="n">
        <v>2303</v>
      </c>
      <c r="L394" s="4" t="n">
        <v>697</v>
      </c>
      <c r="M394" s="5" t="n">
        <v>1076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2분거리, 마당 넓고 층고 높은 대형차량 진출입 용이한 창고</t>
        </is>
      </c>
      <c r="Q394" s="6">
        <f>HYPERLINK("https://fin.land.naver.com/articles/2654725153", "매물Link")</f>
        <v/>
      </c>
      <c r="R394" s="6">
        <f>HYPERLINK("https://map.naver.com/p/search/부강면 문곡리 128-3", "지도Link")</f>
        <v/>
      </c>
      <c r="S394" s="6">
        <f>HYPERLINK("http://www.eum.go.kr/web/ar/lu/luLandDet.jsp?pnu=3611033025101280003&amp;isNoScr=script&amp;mode=search", "토지이음")</f>
        <v/>
      </c>
      <c r="T394" s="3" t="inlineStr">
        <is>
          <t>금화랜드</t>
        </is>
      </c>
      <c r="U394" s="4" t="n">
        <v>1</v>
      </c>
      <c r="V394" s="5" t="n">
        <v>102.2</v>
      </c>
      <c r="W394" s="4" t="n">
        <v>2303</v>
      </c>
      <c r="X394" s="3" t="inlineStr">
        <is>
          <t>대장없음</t>
        </is>
      </c>
      <c r="Y394" s="7" t="inlineStr">
        <is>
          <t>대장없음</t>
        </is>
      </c>
      <c r="Z394" s="3" t="inlineStr">
        <is>
          <t>대장없음</t>
        </is>
      </c>
      <c r="AA394" s="3" t="inlineStr">
        <is>
          <t>대장없음</t>
        </is>
      </c>
      <c r="AB394" s="3" t="inlineStr">
        <is>
          <t>대장없음</t>
        </is>
      </c>
      <c r="AC394" s="3" t="inlineStr">
        <is>
          <t>대장없음</t>
        </is>
      </c>
      <c r="AD394" s="3" t="inlineStr">
        <is>
          <t>소로한면</t>
        </is>
      </c>
    </row>
    <row r="395">
      <c r="A395" s="3" t="inlineStr">
        <is>
          <t>부강면 문곡리 140</t>
        </is>
      </c>
      <c r="B395" s="3" t="inlineStr">
        <is>
          <t>계획관리지역</t>
        </is>
      </c>
      <c r="C395" s="3" t="inlineStr">
        <is>
          <t>창고용지</t>
        </is>
      </c>
      <c r="D395" s="3" t="inlineStr">
        <is>
          <t>창고</t>
        </is>
      </c>
      <c r="E395" s="3" t="inlineStr">
        <is>
          <t>매매</t>
        </is>
      </c>
      <c r="F395" s="4" t="n">
        <v>750000</v>
      </c>
      <c r="G395" s="4" t="n">
        <v>0</v>
      </c>
      <c r="H395" s="4" t="n">
        <v>6153</v>
      </c>
      <c r="I395" s="4" t="n">
        <v>1861</v>
      </c>
      <c r="J395" s="5" t="n">
        <v>403</v>
      </c>
      <c r="K395" s="4" t="n">
        <v>2303</v>
      </c>
      <c r="L395" s="4" t="n">
        <v>697</v>
      </c>
      <c r="M395" s="5" t="n">
        <v>1076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남청주IC에서 4분</t>
        </is>
      </c>
      <c r="Q395" s="6">
        <f>HYPERLINK("https://fin.land.naver.com/articles/2651822681", "매물Link")</f>
        <v/>
      </c>
      <c r="R395" s="6">
        <f>HYPERLINK("https://map.naver.com/p/search/부강면 문곡리 140", "지도Link")</f>
        <v/>
      </c>
      <c r="S395" s="6">
        <f>HYPERLINK("http://www.eum.go.kr/web/ar/lu/luLandDet.jsp?pnu=3611033025101400000&amp;isNoScr=script&amp;mode=search", "토지이음")</f>
        <v/>
      </c>
      <c r="T395" s="3" t="inlineStr">
        <is>
          <t>미더스</t>
        </is>
      </c>
      <c r="U395" s="4" t="n">
        <v>3</v>
      </c>
      <c r="V395" s="5" t="n">
        <v>102.2</v>
      </c>
      <c r="W395" s="4" t="n">
        <v>3376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12.45m</t>
        </is>
      </c>
      <c r="AC395" s="3" t="inlineStr">
        <is>
          <t>2015-03</t>
        </is>
      </c>
      <c r="AD395" s="3" t="inlineStr">
        <is>
          <t>소로한면</t>
        </is>
      </c>
    </row>
    <row r="396">
      <c r="A396" s="3" t="inlineStr">
        <is>
          <t>부강면 문곡리 140</t>
        </is>
      </c>
      <c r="B396" s="3" t="inlineStr">
        <is>
          <t>계획관리지역</t>
        </is>
      </c>
      <c r="C396" s="3" t="inlineStr">
        <is>
          <t>창고용지</t>
        </is>
      </c>
      <c r="D396" s="3" t="inlineStr">
        <is>
          <t>창고</t>
        </is>
      </c>
      <c r="E396" s="3" t="inlineStr">
        <is>
          <t>매매</t>
        </is>
      </c>
      <c r="F396" s="4" t="n">
        <v>750000</v>
      </c>
      <c r="G396" s="4" t="n">
        <v>0</v>
      </c>
      <c r="H396" s="4" t="n">
        <v>6153</v>
      </c>
      <c r="I396" s="4" t="n">
        <v>1861</v>
      </c>
      <c r="J396" s="5" t="n">
        <v>403</v>
      </c>
      <c r="K396" s="4" t="n">
        <v>2303</v>
      </c>
      <c r="L396" s="4" t="n">
        <v>697</v>
      </c>
      <c r="M396" s="5" t="n">
        <v>1076</v>
      </c>
      <c r="N396" s="3" t="inlineStr">
        <is>
          <t>1</t>
        </is>
      </c>
      <c r="O396" s="3" t="inlineStr">
        <is>
          <t>B1</t>
        </is>
      </c>
      <c r="P396" s="3" t="inlineStr">
        <is>
          <t>남청주IC 인근 창고, 대형차 진출입 용이</t>
        </is>
      </c>
      <c r="Q396" s="6">
        <f>HYPERLINK("https://fin.land.naver.com/articles/2649744370", "매물Link")</f>
        <v/>
      </c>
      <c r="R396" s="6">
        <f>HYPERLINK("https://map.naver.com/p/search/부강면 문곡리 140", "지도Link")</f>
        <v/>
      </c>
      <c r="S396" s="6">
        <f>HYPERLINK("http://www.eum.go.kr/web/ar/lu/luLandDet.jsp?pnu=3611033025101400000&amp;isNoScr=script&amp;mode=search", "토지이음")</f>
        <v/>
      </c>
      <c r="T396" s="3" t="inlineStr">
        <is>
          <t>라이프</t>
        </is>
      </c>
      <c r="U396" s="4" t="n">
        <v>1</v>
      </c>
      <c r="V396" s="5" t="n">
        <v>102.2</v>
      </c>
      <c r="W396" s="4" t="n">
        <v>3376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12.45m</t>
        </is>
      </c>
      <c r="AC396" s="3" t="inlineStr">
        <is>
          <t>2015-03</t>
        </is>
      </c>
      <c r="AD396" s="3" t="inlineStr">
        <is>
          <t>소로한면</t>
        </is>
      </c>
    </row>
    <row r="397">
      <c r="A397" s="3" t="inlineStr">
        <is>
          <t>부강면 문곡리 140</t>
        </is>
      </c>
      <c r="B397" s="3" t="inlineStr">
        <is>
          <t>계획관리지역</t>
        </is>
      </c>
      <c r="C397" s="3" t="inlineStr">
        <is>
          <t>창고용지</t>
        </is>
      </c>
      <c r="D397" s="3" t="inlineStr">
        <is>
          <t>창고</t>
        </is>
      </c>
      <c r="E397" s="3" t="inlineStr">
        <is>
          <t>매매</t>
        </is>
      </c>
      <c r="F397" s="4" t="n">
        <v>750000</v>
      </c>
      <c r="G397" s="4" t="n">
        <v>0</v>
      </c>
      <c r="H397" s="4" t="n">
        <v>6153</v>
      </c>
      <c r="I397" s="4" t="n">
        <v>1861</v>
      </c>
      <c r="J397" s="5" t="n">
        <v>403</v>
      </c>
      <c r="K397" s="4" t="n">
        <v>1408</v>
      </c>
      <c r="L397" s="4" t="n">
        <v>426</v>
      </c>
      <c r="M397" s="5" t="n">
        <v>1760.6</v>
      </c>
      <c r="N397" s="3" t="inlineStr">
        <is>
          <t>2</t>
        </is>
      </c>
      <c r="O397" s="3" t="inlineStr">
        <is>
          <t>-</t>
        </is>
      </c>
      <c r="P397" s="3" t="inlineStr">
        <is>
          <t>nan</t>
        </is>
      </c>
      <c r="Q397" s="6">
        <f>HYPERLINK("https://fin.land.naver.com/articles/2653632764", "매물Link")</f>
        <v/>
      </c>
      <c r="R397" s="6">
        <f>HYPERLINK("https://map.naver.com/p/search/부강면 문곡리 140", "지도Link")</f>
        <v/>
      </c>
      <c r="S397" s="6">
        <f>HYPERLINK("http://www.eum.go.kr/web/ar/lu/luLandDet.jsp?pnu=3611033025101400000&amp;isNoScr=script&amp;mode=search", "토지이음")</f>
        <v/>
      </c>
      <c r="T397" s="3" t="inlineStr">
        <is>
          <t>다온</t>
        </is>
      </c>
      <c r="U397" s="4" t="n">
        <v>1</v>
      </c>
      <c r="V397" s="5" t="n">
        <v>102.2</v>
      </c>
      <c r="W397" s="4" t="n">
        <v>3376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12.45m</t>
        </is>
      </c>
      <c r="AC397" s="3" t="inlineStr">
        <is>
          <t>2015-03</t>
        </is>
      </c>
      <c r="AD397" s="3" t="inlineStr">
        <is>
          <t>소로한면</t>
        </is>
      </c>
    </row>
    <row r="398">
      <c r="A398" s="3" t="inlineStr">
        <is>
          <t>부강면 문곡리 154-2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공장</t>
        </is>
      </c>
      <c r="E398" s="3" t="inlineStr">
        <is>
          <t>매매</t>
        </is>
      </c>
      <c r="F398" s="4" t="n">
        <v>750000</v>
      </c>
      <c r="G398" s="4" t="n">
        <v>0</v>
      </c>
      <c r="H398" s="4" t="n">
        <v>4953</v>
      </c>
      <c r="I398" s="4" t="n">
        <v>1498</v>
      </c>
      <c r="J398" s="5" t="n">
        <v>500.7</v>
      </c>
      <c r="K398" s="4" t="n">
        <v>1543</v>
      </c>
      <c r="L398" s="4" t="n">
        <v>467</v>
      </c>
      <c r="M398" s="5" t="n">
        <v>1606</v>
      </c>
      <c r="N398" s="3" t="inlineStr">
        <is>
          <t>2</t>
        </is>
      </c>
      <c r="O398" s="3" t="inlineStr">
        <is>
          <t>B1</t>
        </is>
      </c>
      <c r="P398" s="3" t="inlineStr">
        <is>
          <t>남청주IC에서 가까워 대형차 진출입이 원활한 곳,증축 가능한 곳</t>
        </is>
      </c>
      <c r="Q398" s="6">
        <f>HYPERLINK("https://fin.land.naver.com/articles/2650626757", "매물Link")</f>
        <v/>
      </c>
      <c r="R398" s="6">
        <f>HYPERLINK("https://map.naver.com/p/search/부강면 문곡리 154-2", "지도Link")</f>
        <v/>
      </c>
      <c r="S398" s="6">
        <f>HYPERLINK("http://www.eum.go.kr/web/ar/lu/luLandDet.jsp?pnu=3611033025101540002&amp;isNoScr=script&amp;mode=search", "토지이음")</f>
        <v/>
      </c>
      <c r="T398" s="3" t="inlineStr">
        <is>
          <t>(주)미르</t>
        </is>
      </c>
      <c r="U398" s="4" t="n">
        <v>1</v>
      </c>
      <c r="V398" s="5" t="n">
        <v>141.2</v>
      </c>
      <c r="W398" s="4" t="n">
        <v>4953</v>
      </c>
      <c r="X398" s="3" t="inlineStr">
        <is>
          <t>주건축물제1동</t>
        </is>
      </c>
      <c r="Y398" s="7" t="inlineStr">
        <is>
          <t>2층</t>
        </is>
      </c>
      <c r="Z398" s="3" t="inlineStr">
        <is>
          <t>철근콘크리트구조</t>
        </is>
      </c>
      <c r="AA398" s="3" t="inlineStr">
        <is>
          <t>제1종근생</t>
        </is>
      </c>
      <c r="AB398" s="3" t="inlineStr">
        <is>
          <t>11.9m</t>
        </is>
      </c>
      <c r="AC398" s="3" t="inlineStr">
        <is>
          <t>2016-08</t>
        </is>
      </c>
      <c r="AD398" s="3" t="inlineStr">
        <is>
          <t>소로한면</t>
        </is>
      </c>
    </row>
    <row r="399">
      <c r="A399" s="3" t="inlineStr">
        <is>
          <t>부강면 문곡리 463-27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540000</v>
      </c>
      <c r="G399" s="4" t="n">
        <v>0</v>
      </c>
      <c r="H399" s="4" t="n">
        <v>5644</v>
      </c>
      <c r="I399" s="4" t="n">
        <v>1707</v>
      </c>
      <c r="J399" s="5" t="n">
        <v>316.3</v>
      </c>
      <c r="K399" s="4" t="n">
        <v>756</v>
      </c>
      <c r="L399" s="4" t="n">
        <v>229</v>
      </c>
      <c r="M399" s="5" t="n">
        <v>2358.1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남청주IC와 가깝고 대형차 진출입이 용이한 곳, 층고 11.5m</t>
        </is>
      </c>
      <c r="Q399" s="6">
        <f>HYPERLINK("https://fin.land.naver.com/articles/2654296468", "매물Link")</f>
        <v/>
      </c>
      <c r="R399" s="6">
        <f>HYPERLINK("https://map.naver.com/p/search/부강면 문곡리 463-27", "지도Link")</f>
        <v/>
      </c>
      <c r="S399" s="6">
        <f>HYPERLINK("http://www.eum.go.kr/web/ar/lu/luLandDet.jsp?pnu=3611033025104630027&amp;isNoScr=script&amp;mode=search", "토지이음")</f>
        <v/>
      </c>
      <c r="T399" s="3" t="inlineStr">
        <is>
          <t>(주)미르</t>
        </is>
      </c>
      <c r="U399" s="4" t="n">
        <v>1</v>
      </c>
      <c r="V399" s="5" t="n">
        <v>71.5</v>
      </c>
      <c r="W399" s="4" t="n">
        <v>3776</v>
      </c>
      <c r="X399" s="3" t="inlineStr">
        <is>
          <t>주1동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11.45m</t>
        </is>
      </c>
      <c r="AC399" s="3" t="inlineStr">
        <is>
          <t>2018-07</t>
        </is>
      </c>
      <c r="AD399" s="3" t="inlineStr">
        <is>
          <t>세로한면(가)</t>
        </is>
      </c>
    </row>
    <row r="400">
      <c r="A400" s="3" t="inlineStr">
        <is>
          <t>부강면 문곡리 463-32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410000</v>
      </c>
      <c r="G400" s="4" t="n">
        <v>0</v>
      </c>
      <c r="H400" s="4" t="n">
        <v>5514</v>
      </c>
      <c r="I400" s="4" t="n">
        <v>1668</v>
      </c>
      <c r="J400" s="5" t="n">
        <v>245.8</v>
      </c>
      <c r="K400" s="4" t="n">
        <v>987</v>
      </c>
      <c r="L400" s="4" t="n">
        <v>299</v>
      </c>
      <c r="M400" s="5" t="n">
        <v>1371.2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인근에 있어 진출입이 용이하고 창고시설, 물류센터추천</t>
        </is>
      </c>
      <c r="Q400" s="6">
        <f>HYPERLINK("https://fin.land.naver.com/articles/2653676865", "매물Link")</f>
        <v/>
      </c>
      <c r="R400" s="6">
        <f>HYPERLINK("https://map.naver.com/p/search/부강면 문곡리 463-32", "지도Link")</f>
        <v/>
      </c>
      <c r="S400" s="6">
        <f>HYPERLINK("http://www.eum.go.kr/web/ar/lu/luLandDet.jsp?pnu=3611033025104630032&amp;isNoScr=script&amp;mode=search", "토지이음")</f>
        <v/>
      </c>
      <c r="T400" s="3" t="inlineStr">
        <is>
          <t>금화랜드</t>
        </is>
      </c>
      <c r="U400" s="4" t="n">
        <v>2</v>
      </c>
      <c r="V400" s="5" t="n">
        <v>74.3</v>
      </c>
      <c r="W400" s="4" t="n">
        <v>4900</v>
      </c>
      <c r="X400" s="3" t="inlineStr">
        <is>
          <t>주1동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11.5m</t>
        </is>
      </c>
      <c r="AC400" s="3" t="inlineStr">
        <is>
          <t>2018-12</t>
        </is>
      </c>
      <c r="AD400" s="3" t="inlineStr">
        <is>
          <t>세로한면(가)</t>
        </is>
      </c>
    </row>
    <row r="401">
      <c r="A401" s="3" t="inlineStr">
        <is>
          <t>부강면 문곡리 680</t>
        </is>
      </c>
      <c r="B401" s="3" t="inlineStr">
        <is>
          <t>계획관리지역</t>
        </is>
      </c>
      <c r="C401" s="3" t="inlineStr">
        <is>
          <t>잡종지</t>
        </is>
      </c>
      <c r="D401" s="3" t="inlineStr">
        <is>
          <t>창고</t>
        </is>
      </c>
      <c r="E401" s="3" t="inlineStr">
        <is>
          <t>매매</t>
        </is>
      </c>
      <c r="F401" s="4" t="n">
        <v>1800000</v>
      </c>
      <c r="G401" s="4" t="n">
        <v>0</v>
      </c>
      <c r="H401" s="4" t="n">
        <v>17618</v>
      </c>
      <c r="I401" s="4" t="n">
        <v>5329</v>
      </c>
      <c r="J401" s="5" t="n">
        <v>337.8</v>
      </c>
      <c r="K401" s="4" t="n">
        <v>4986</v>
      </c>
      <c r="L401" s="4" t="n">
        <v>1508</v>
      </c>
      <c r="M401" s="5" t="n">
        <v>1193.6</v>
      </c>
      <c r="N401" s="3" t="inlineStr">
        <is>
          <t>2</t>
        </is>
      </c>
      <c r="O401" s="3" t="inlineStr">
        <is>
          <t>-</t>
        </is>
      </c>
      <c r="P401" s="3" t="inlineStr">
        <is>
          <t>남청주ic 5분 거리이며 2차선도로 접한 대형물류창고 도크시설 완비</t>
        </is>
      </c>
      <c r="Q401" s="6">
        <f>HYPERLINK("https://fin.land.naver.com/articles/2654180971", "매물Link")</f>
        <v/>
      </c>
      <c r="R401" s="6">
        <f>HYPERLINK("https://map.naver.com/p/search/부강면 문곡리 680", "지도Link")</f>
        <v/>
      </c>
      <c r="S401" s="6">
        <f>HYPERLINK("http://www.eum.go.kr/web/ar/lu/luLandDet.jsp?pnu=3611033025106800000&amp;isNoScr=script&amp;mode=search", "토지이음")</f>
        <v/>
      </c>
      <c r="T401" s="3" t="inlineStr">
        <is>
          <t>더원</t>
        </is>
      </c>
      <c r="U401" s="4" t="n">
        <v>1</v>
      </c>
      <c r="V401" s="5" t="n">
        <v>97.40000000000001</v>
      </c>
      <c r="W401" s="4" t="n">
        <v>17308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10.8m</t>
        </is>
      </c>
      <c r="AC401" s="3" t="inlineStr">
        <is>
          <t>1999-10</t>
        </is>
      </c>
      <c r="AD401" s="3" t="inlineStr">
        <is>
          <t>소로한면</t>
        </is>
      </c>
    </row>
    <row r="402">
      <c r="A402" s="3" t="inlineStr">
        <is>
          <t>부강면 문곡리 680</t>
        </is>
      </c>
      <c r="B402" s="3" t="inlineStr">
        <is>
          <t>계획관리지역</t>
        </is>
      </c>
      <c r="C402" s="3" t="inlineStr">
        <is>
          <t>잡종지</t>
        </is>
      </c>
      <c r="D402" s="3" t="inlineStr">
        <is>
          <t>창고</t>
        </is>
      </c>
      <c r="E402" s="3" t="inlineStr">
        <is>
          <t>매매</t>
        </is>
      </c>
      <c r="F402" s="4" t="n">
        <v>1800000</v>
      </c>
      <c r="G402" s="4" t="n">
        <v>0</v>
      </c>
      <c r="H402" s="4" t="n">
        <v>17618</v>
      </c>
      <c r="I402" s="4" t="n">
        <v>5329</v>
      </c>
      <c r="J402" s="5" t="n">
        <v>337.8</v>
      </c>
      <c r="K402" s="4" t="n">
        <v>4986</v>
      </c>
      <c r="L402" s="4" t="n">
        <v>1508</v>
      </c>
      <c r="M402" s="5" t="n">
        <v>1193.6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남청주IC인근, 층고 높고 마당이 넓어 활용도 좋은 대형 물류창고</t>
        </is>
      </c>
      <c r="Q402" s="6">
        <f>HYPERLINK("https://fin.land.naver.com/articles/2655095800", "매물Link")</f>
        <v/>
      </c>
      <c r="R402" s="6">
        <f>HYPERLINK("https://map.naver.com/p/search/부강면 문곡리 680", "지도Link")</f>
        <v/>
      </c>
      <c r="S402" s="6">
        <f>HYPERLINK("http://www.eum.go.kr/web/ar/lu/luLandDet.jsp?pnu=3611033025106800000&amp;isNoScr=script&amp;mode=search", "토지이음")</f>
        <v/>
      </c>
      <c r="T402" s="3" t="inlineStr">
        <is>
          <t>(주)미르</t>
        </is>
      </c>
      <c r="U402" s="4" t="n">
        <v>2</v>
      </c>
      <c r="V402" s="5" t="n">
        <v>97.40000000000001</v>
      </c>
      <c r="W402" s="4" t="n">
        <v>17308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10.8m</t>
        </is>
      </c>
      <c r="AC402" s="3" t="inlineStr">
        <is>
          <t>1999-10</t>
        </is>
      </c>
      <c r="AD402" s="3" t="inlineStr">
        <is>
          <t>소로한면</t>
        </is>
      </c>
    </row>
    <row r="403">
      <c r="A403" s="3" t="inlineStr">
        <is>
          <t>부강면 문곡리 680</t>
        </is>
      </c>
      <c r="B403" s="3" t="inlineStr">
        <is>
          <t>계획관리지역</t>
        </is>
      </c>
      <c r="C403" s="3" t="inlineStr">
        <is>
          <t>잡종지</t>
        </is>
      </c>
      <c r="D403" s="3" t="inlineStr">
        <is>
          <t>창고</t>
        </is>
      </c>
      <c r="E403" s="3" t="inlineStr">
        <is>
          <t>매매</t>
        </is>
      </c>
      <c r="F403" s="4" t="n">
        <v>1800000</v>
      </c>
      <c r="G403" s="4" t="n">
        <v>0</v>
      </c>
      <c r="H403" s="4" t="n">
        <v>17618</v>
      </c>
      <c r="I403" s="4" t="n">
        <v>5329</v>
      </c>
      <c r="J403" s="5" t="n">
        <v>337.8</v>
      </c>
      <c r="K403" s="4" t="n">
        <v>4986</v>
      </c>
      <c r="L403" s="4" t="n">
        <v>1508</v>
      </c>
      <c r="M403" s="5" t="n">
        <v>1193.6</v>
      </c>
      <c r="N403" s="3" t="inlineStr">
        <is>
          <t>2</t>
        </is>
      </c>
      <c r="O403" s="3" t="inlineStr">
        <is>
          <t>-</t>
        </is>
      </c>
      <c r="P403" s="3" t="inlineStr">
        <is>
          <t>사진有 물류창고 매매</t>
        </is>
      </c>
      <c r="Q403" s="6">
        <f>HYPERLINK("https://fin.land.naver.com/articles/2649599413", "매물Link")</f>
        <v/>
      </c>
      <c r="R403" s="6">
        <f>HYPERLINK("https://map.naver.com/p/search/부강면 문곡리 680", "지도Link")</f>
        <v/>
      </c>
      <c r="S403" s="6">
        <f>HYPERLINK("http://www.eum.go.kr/web/ar/lu/luLandDet.jsp?pnu=3611033025106800000&amp;isNoScr=script&amp;mode=search",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97.40000000000001</v>
      </c>
      <c r="W403" s="4" t="n">
        <v>17308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10.8m</t>
        </is>
      </c>
      <c r="AC403" s="3" t="inlineStr">
        <is>
          <t>1999-10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195</v>
      </c>
      <c r="I404" s="4" t="n">
        <v>59</v>
      </c>
      <c r="J404" s="5" t="n">
        <v>2.4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B1</t>
        </is>
      </c>
      <c r="P404" s="3" t="inlineStr">
        <is>
          <t>10월중순 입주협의, 2개동까지 임대 가능, 연청로 근접</t>
        </is>
      </c>
      <c r="Q404" s="6">
        <f>HYPERLINK("https://fin.land.naver.com/articles/2649933957",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세종잘하는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1500</v>
      </c>
      <c r="G405" s="4" t="n">
        <v>140</v>
      </c>
      <c r="H405" s="4" t="n">
        <v>2499</v>
      </c>
      <c r="I405" s="4" t="n">
        <v>756</v>
      </c>
      <c r="J405" s="5" t="n">
        <v>0.2</v>
      </c>
      <c r="K405" s="4" t="n">
        <v>195</v>
      </c>
      <c r="L405" s="4" t="n">
        <v>59</v>
      </c>
      <c r="M405" s="5" t="n">
        <v>2.4</v>
      </c>
      <c r="N405" s="3" t="inlineStr">
        <is>
          <t>1</t>
        </is>
      </c>
      <c r="O405" s="3" t="inlineStr">
        <is>
          <t>-</t>
        </is>
      </c>
      <c r="P405" s="3" t="inlineStr">
        <is>
          <t>교통편리한 부강면 저렴한 소형창고 임대</t>
        </is>
      </c>
      <c r="Q405" s="6">
        <f>HYPERLINK("https://fin.land.naver.com/articles/2653277043", "매물Link")</f>
        <v/>
      </c>
      <c r="R405" s="6">
        <f>HYPERLINK("https://map.naver.com/p/search/부강면 문곡리 729", "지도Link")</f>
        <v/>
      </c>
      <c r="S405" s="6">
        <f>HYPERLINK("http://www.eum.go.kr/web/ar/lu/luLandDet.jsp?pnu=3611033025107290000&amp;isNoScr=script&amp;mode=search", "토지이음")</f>
        <v/>
      </c>
      <c r="T405" s="3" t="inlineStr">
        <is>
          <t>세종행복한</t>
        </is>
      </c>
      <c r="U405" s="4" t="n">
        <v>1</v>
      </c>
      <c r="V405" s="5" t="n">
        <v>144.5</v>
      </c>
      <c r="W405" s="4" t="n">
        <v>2499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제1종근생</t>
        </is>
      </c>
      <c r="AB405" s="3" t="inlineStr">
        <is>
          <t>8.62m</t>
        </is>
      </c>
      <c r="AC405" s="3" t="inlineStr">
        <is>
          <t>2018-12</t>
        </is>
      </c>
      <c r="AD405" s="3" t="inlineStr">
        <is>
          <t>소로한면</t>
        </is>
      </c>
    </row>
    <row r="406">
      <c r="A406" s="3" t="inlineStr">
        <is>
          <t>부강면 문곡리 729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창고</t>
        </is>
      </c>
      <c r="E406" s="3" t="inlineStr">
        <is>
          <t>월세</t>
        </is>
      </c>
      <c r="F406" s="4" t="n">
        <v>1500</v>
      </c>
      <c r="G406" s="4" t="n">
        <v>140</v>
      </c>
      <c r="H406" s="4" t="n">
        <v>2499</v>
      </c>
      <c r="I406" s="4" t="n">
        <v>756</v>
      </c>
      <c r="J406" s="5" t="n">
        <v>0.2</v>
      </c>
      <c r="K406" s="4" t="n">
        <v>195</v>
      </c>
      <c r="L406" s="4" t="n">
        <v>59</v>
      </c>
      <c r="M406" s="5" t="n">
        <v>2.4</v>
      </c>
      <c r="N406" s="3" t="inlineStr">
        <is>
          <t>1</t>
        </is>
      </c>
      <c r="O406" s="3" t="inlineStr">
        <is>
          <t>-</t>
        </is>
      </c>
      <c r="P406" s="3" t="inlineStr">
        <is>
          <t>사진0, 제조업 가능하고 대형차량 진입 자유로운 창고임대</t>
        </is>
      </c>
      <c r="Q406" s="6">
        <f>HYPERLINK("https://fin.land.naver.com/articles/2649726439", "매물Link")</f>
        <v/>
      </c>
      <c r="R406" s="6">
        <f>HYPERLINK("https://map.naver.com/p/search/부강면 문곡리 729", "지도Link")</f>
        <v/>
      </c>
      <c r="S406" s="6">
        <f>HYPERLINK("http://www.eum.go.kr/web/ar/lu/luLandDet.jsp?pnu=3611033025107290000&amp;isNoScr=script&amp;mode=search", "토지이음")</f>
        <v/>
      </c>
      <c r="T406" s="3" t="inlineStr">
        <is>
          <t>비전</t>
        </is>
      </c>
      <c r="U406" s="4" t="n">
        <v>1</v>
      </c>
      <c r="V406" s="5" t="n">
        <v>144.5</v>
      </c>
      <c r="W406" s="4" t="n">
        <v>2499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8.62m</t>
        </is>
      </c>
      <c r="AC406" s="3" t="inlineStr">
        <is>
          <t>2018-12</t>
        </is>
      </c>
      <c r="AD406" s="3" t="inlineStr">
        <is>
          <t>소로한면</t>
        </is>
      </c>
    </row>
    <row r="407">
      <c r="A407" s="3" t="inlineStr">
        <is>
          <t>부강면 문곡리 729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1500</v>
      </c>
      <c r="G407" s="4" t="n">
        <v>140</v>
      </c>
      <c r="H407" s="4" t="n">
        <v>330</v>
      </c>
      <c r="I407" s="4" t="n">
        <v>100</v>
      </c>
      <c r="J407" s="5" t="n">
        <v>1.4</v>
      </c>
      <c r="K407" s="4" t="n">
        <v>195</v>
      </c>
      <c r="L407" s="4" t="n">
        <v>59</v>
      </c>
      <c r="M407" s="5" t="n">
        <v>2.4</v>
      </c>
      <c r="N407" s="3" t="inlineStr">
        <is>
          <t>1</t>
        </is>
      </c>
      <c r="O407" s="3" t="inlineStr">
        <is>
          <t>-</t>
        </is>
      </c>
      <c r="P407" s="3" t="inlineStr">
        <is>
          <t>소형 창고 임대 대로변에 접하여 진출입 매우 용이 근생건물</t>
        </is>
      </c>
      <c r="Q407" s="6">
        <f>HYPERLINK("https://fin.land.naver.com/articles/2654877663", "매물Link")</f>
        <v/>
      </c>
      <c r="R407" s="6">
        <f>HYPERLINK("https://map.naver.com/p/search/부강면 문곡리 729", "지도Link")</f>
        <v/>
      </c>
      <c r="S407" s="6">
        <f>HYPERLINK("http://www.eum.go.kr/web/ar/lu/luLandDet.jsp?pnu=3611033025107290000&amp;isNoScr=script&amp;mode=search", "토지이음")</f>
        <v/>
      </c>
      <c r="T407" s="3" t="inlineStr">
        <is>
          <t>태광</t>
        </is>
      </c>
      <c r="U407" s="4" t="n">
        <v>1</v>
      </c>
      <c r="V407" s="5" t="n">
        <v>144.5</v>
      </c>
      <c r="W407" s="4" t="n">
        <v>2499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제1종근생</t>
        </is>
      </c>
      <c r="AB407" s="3" t="inlineStr">
        <is>
          <t>8.62m</t>
        </is>
      </c>
      <c r="AC407" s="3" t="inlineStr">
        <is>
          <t>2018-12</t>
        </is>
      </c>
      <c r="AD407" s="3" t="inlineStr">
        <is>
          <t>소로한면</t>
        </is>
      </c>
    </row>
    <row r="408">
      <c r="A408" s="3" t="inlineStr">
        <is>
          <t>부강면 문곡리 729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창고</t>
        </is>
      </c>
      <c r="E408" s="3" t="inlineStr">
        <is>
          <t>월세</t>
        </is>
      </c>
      <c r="F408" s="4" t="n">
        <v>1500</v>
      </c>
      <c r="G408" s="4" t="n">
        <v>140</v>
      </c>
      <c r="H408" s="4" t="n">
        <v>2499</v>
      </c>
      <c r="I408" s="4" t="n">
        <v>756</v>
      </c>
      <c r="J408" s="5" t="n">
        <v>0.2</v>
      </c>
      <c r="K408" s="4" t="n">
        <v>195</v>
      </c>
      <c r="L408" s="4" t="n">
        <v>59</v>
      </c>
      <c r="M408" s="5" t="n">
        <v>2.4</v>
      </c>
      <c r="N408" s="3" t="inlineStr">
        <is>
          <t>1</t>
        </is>
      </c>
      <c r="O408" s="3" t="inlineStr">
        <is>
          <t>-</t>
        </is>
      </c>
      <c r="P408" s="3" t="inlineStr">
        <is>
          <t>진출입편리한 남청주인근 소형창고</t>
        </is>
      </c>
      <c r="Q408" s="6">
        <f>HYPERLINK("https://fin.land.naver.com/articles/2649562576", "매물Link")</f>
        <v/>
      </c>
      <c r="R408" s="6">
        <f>HYPERLINK("https://map.naver.com/p/search/부강면 문곡리 729", "지도Link")</f>
        <v/>
      </c>
      <c r="S408" s="6">
        <f>HYPERLINK("http://www.eum.go.kr/web/ar/lu/luLandDet.jsp?pnu=3611033025107290000&amp;isNoScr=script&amp;mode=search", "토지이음")</f>
        <v/>
      </c>
      <c r="T408" s="3" t="inlineStr">
        <is>
          <t>창고의여왕</t>
        </is>
      </c>
      <c r="U408" s="4" t="n">
        <v>1</v>
      </c>
      <c r="V408" s="5" t="n">
        <v>144.5</v>
      </c>
      <c r="W408" s="4" t="n">
        <v>2499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제1종근생</t>
        </is>
      </c>
      <c r="AB408" s="3" t="inlineStr">
        <is>
          <t>8.62m</t>
        </is>
      </c>
      <c r="AC408" s="3" t="inlineStr">
        <is>
          <t>2018-12</t>
        </is>
      </c>
      <c r="AD408" s="3" t="inlineStr">
        <is>
          <t>소로한면</t>
        </is>
      </c>
    </row>
    <row r="409">
      <c r="A409" s="3" t="inlineStr">
        <is>
          <t>부강면 문곡리 729-2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2000</v>
      </c>
      <c r="G409" s="4" t="n">
        <v>140</v>
      </c>
      <c r="H409" s="4" t="n">
        <v>1149</v>
      </c>
      <c r="I409" s="4" t="n">
        <v>348</v>
      </c>
      <c r="J409" s="5" t="n">
        <v>0.4</v>
      </c>
      <c r="K409" s="4" t="n">
        <v>176</v>
      </c>
      <c r="L409" s="4" t="n">
        <v>53</v>
      </c>
      <c r="M409" s="5" t="n">
        <v>2.6</v>
      </c>
      <c r="N409" s="3" t="inlineStr">
        <is>
          <t>1</t>
        </is>
      </c>
      <c r="O409" s="3" t="inlineStr">
        <is>
          <t>-</t>
        </is>
      </c>
      <c r="P409" s="3" t="inlineStr">
        <is>
          <t>2차선도로변접한위치의 소형창고 소매점 창고가능 남청주ic 5분거리</t>
        </is>
      </c>
      <c r="Q409" s="6">
        <f>HYPERLINK("https://fin.land.naver.com/articles/2654184143", "매물Link")</f>
        <v/>
      </c>
      <c r="R409" s="6">
        <f>HYPERLINK("https://map.naver.com/p/search/부강면 문곡리 729-2", "지도Link")</f>
        <v/>
      </c>
      <c r="S409" s="6">
        <f>HYPERLINK("http://www.eum.go.kr/web/ar/lu/luLandDet.jsp?pnu=3611033025107290002&amp;isNoScr=script&amp;mode=search", "토지이음")</f>
        <v/>
      </c>
      <c r="T409" s="3" t="inlineStr">
        <is>
          <t>더원</t>
        </is>
      </c>
      <c r="U409" s="4" t="n">
        <v>1</v>
      </c>
      <c r="V409" s="5" t="n">
        <v>137.6</v>
      </c>
      <c r="W409" s="4" t="n">
        <v>1149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제1종근생</t>
        </is>
      </c>
      <c r="AB409" s="3" t="inlineStr">
        <is>
          <t>7.5m</t>
        </is>
      </c>
      <c r="AC409" s="3" t="inlineStr">
        <is>
          <t>2024-11</t>
        </is>
      </c>
      <c r="AD409" s="3" t="inlineStr">
        <is>
          <t>소로한면</t>
        </is>
      </c>
    </row>
    <row r="410">
      <c r="A410" s="3" t="inlineStr">
        <is>
          <t>부강면 문곡리 769-1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210000</v>
      </c>
      <c r="G410" s="4" t="n">
        <v>0</v>
      </c>
      <c r="H410" s="4" t="n">
        <v>5456</v>
      </c>
      <c r="I410" s="4" t="n">
        <v>1650</v>
      </c>
      <c r="J410" s="5" t="n">
        <v>127.3</v>
      </c>
      <c r="K410" s="4" t="n">
        <v>1133</v>
      </c>
      <c r="L410" s="4" t="n">
        <v>343</v>
      </c>
      <c r="M410" s="5" t="n">
        <v>612.2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5분거리,대형차량 진출입 편리,민원 걱정 없는곳</t>
        </is>
      </c>
      <c r="Q410" s="6">
        <f>HYPERLINK("https://fin.land.naver.com/articles/2651904463", "매물Link")</f>
        <v/>
      </c>
      <c r="R410" s="6">
        <f>HYPERLINK("https://map.naver.com/p/search/부강면 문곡리 769-1", "지도Link")</f>
        <v/>
      </c>
      <c r="S410" s="6">
        <f>HYPERLINK("http://www.eum.go.kr/web/ar/lu/luLandDet.jsp?pnu=3611033025107690001&amp;isNoScr=script&amp;mode=search", "토지이음")</f>
        <v/>
      </c>
      <c r="T410" s="3" t="inlineStr">
        <is>
          <t>금화랜드</t>
        </is>
      </c>
      <c r="U410" s="4" t="n">
        <v>1</v>
      </c>
      <c r="V410" s="5" t="n">
        <v>79</v>
      </c>
      <c r="W410" s="4" t="n">
        <v>2915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8.5m</t>
        </is>
      </c>
      <c r="AC410" s="3" t="inlineStr">
        <is>
          <t>2007-07</t>
        </is>
      </c>
      <c r="AD410" s="3" t="inlineStr">
        <is>
          <t>세로한면(가)</t>
        </is>
      </c>
    </row>
    <row r="411">
      <c r="A411" s="3" t="inlineStr">
        <is>
          <t>부강면 문곡리 903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110000</v>
      </c>
      <c r="G411" s="4" t="n">
        <v>0</v>
      </c>
      <c r="H411" s="4" t="n">
        <v>1314</v>
      </c>
      <c r="I411" s="4" t="n">
        <v>397</v>
      </c>
      <c r="J411" s="5" t="n">
        <v>277.1</v>
      </c>
      <c r="K411" s="4" t="n">
        <v>446</v>
      </c>
      <c r="L411" s="4" t="n">
        <v>135</v>
      </c>
      <c r="M411" s="5" t="n">
        <v>814.8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 IC 인근 대형차 진출입 가능한 공장 및 창고</t>
        </is>
      </c>
      <c r="Q411" s="6">
        <f>HYPERLINK("https://fin.land.naver.com/articles/2653822856", "매물Link")</f>
        <v/>
      </c>
      <c r="R411" s="6">
        <f>HYPERLINK("https://map.naver.com/p/search/부강면 문곡리 903", "지도Link")</f>
        <v/>
      </c>
      <c r="S411" s="6">
        <f>HYPERLINK("http://www.eum.go.kr/web/ar/lu/luLandDet.jsp?pnu=3611033025109030000&amp;isNoScr=script&amp;mode=search", "토지이음")</f>
        <v/>
      </c>
      <c r="T411" s="3" t="inlineStr">
        <is>
          <t>대전토지로무소</t>
        </is>
      </c>
      <c r="U411" s="4" t="n">
        <v>1</v>
      </c>
      <c r="V411" s="5" t="n">
        <v>80.59999999999999</v>
      </c>
      <c r="W411" s="4" t="n">
        <v>1314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제2종근생</t>
        </is>
      </c>
      <c r="AB411" s="3" t="inlineStr">
        <is>
          <t>8.9m</t>
        </is>
      </c>
      <c r="AC411" s="3" t="inlineStr">
        <is>
          <t>2022-02</t>
        </is>
      </c>
      <c r="AD411" s="3" t="inlineStr">
        <is>
          <t>세로한면(가)</t>
        </is>
      </c>
    </row>
    <row r="412">
      <c r="A412" s="3" t="inlineStr">
        <is>
          <t>부강면 문곡리 904-4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130000</v>
      </c>
      <c r="G412" s="4" t="n">
        <v>0</v>
      </c>
      <c r="H412" s="4" t="n">
        <v>1705</v>
      </c>
      <c r="I412" s="4" t="n">
        <v>516</v>
      </c>
      <c r="J412" s="5" t="n">
        <v>251.9</v>
      </c>
      <c r="K412" s="4" t="n">
        <v>929</v>
      </c>
      <c r="L412" s="4" t="n">
        <v>281</v>
      </c>
      <c r="M412" s="5" t="n">
        <v>462.6</v>
      </c>
      <c r="N412" s="3" t="inlineStr">
        <is>
          <t>2</t>
        </is>
      </c>
      <c r="O412" s="3" t="inlineStr">
        <is>
          <t>-</t>
        </is>
      </c>
      <c r="P412" s="3" t="inlineStr">
        <is>
          <t>민원 없는  남 청주 IC인근 대형차 진 출입 편리한 공장, 창고</t>
        </is>
      </c>
      <c r="Q412" s="6">
        <f>HYPERLINK("https://fin.land.naver.com/articles/2651947886", "매물Link")</f>
        <v/>
      </c>
      <c r="R412" s="6">
        <f>HYPERLINK("https://map.naver.com/p/search/부강면 문곡리 904-4", "지도Link")</f>
        <v/>
      </c>
      <c r="S412" s="6">
        <f>HYPERLINK("http://www.eum.go.kr/web/ar/lu/luLandDet.jsp?pnu=3611033025109040004&amp;isNoScr=script&amp;mode=search", "토지이음")</f>
        <v/>
      </c>
      <c r="T412" s="3" t="inlineStr">
        <is>
          <t>대전토지로무소</t>
        </is>
      </c>
      <c r="U412" s="4" t="n">
        <v>1</v>
      </c>
      <c r="V412" s="5" t="n">
        <v>80.59999999999999</v>
      </c>
      <c r="W412" s="4" t="n">
        <v>1326</v>
      </c>
      <c r="X412" s="3" t="inlineStr">
        <is>
          <t>주1동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10.5m</t>
        </is>
      </c>
      <c r="AC412" s="3" t="inlineStr">
        <is>
          <t>2012-06</t>
        </is>
      </c>
      <c r="AD412" s="3" t="inlineStr">
        <is>
          <t>세로한면(가)</t>
        </is>
      </c>
    </row>
    <row r="413">
      <c r="A413" s="3" t="inlineStr">
        <is>
          <t>부강면 문곡리 904-4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240000</v>
      </c>
      <c r="G413" s="4" t="n">
        <v>0</v>
      </c>
      <c r="H413" s="4" t="n">
        <v>2874</v>
      </c>
      <c r="I413" s="4" t="n">
        <v>869</v>
      </c>
      <c r="J413" s="5" t="n">
        <v>276.2</v>
      </c>
      <c r="K413" s="4" t="n">
        <v>1375</v>
      </c>
      <c r="L413" s="4" t="n">
        <v>416</v>
      </c>
      <c r="M413" s="5" t="n">
        <v>576.9</v>
      </c>
      <c r="N413" s="3" t="inlineStr">
        <is>
          <t>1</t>
        </is>
      </c>
      <c r="O413" s="3" t="inlineStr">
        <is>
          <t>-</t>
        </is>
      </c>
      <c r="P413" s="3" t="inlineStr">
        <is>
          <t>민원없는 지역 공장 매매 건물2개동으로 분할매매 가능 남청주 IC 인접</t>
        </is>
      </c>
      <c r="Q413" s="6">
        <f>HYPERLINK("https://fin.land.naver.com/articles/2651910732", "매물Link")</f>
        <v/>
      </c>
      <c r="R413" s="6">
        <f>HYPERLINK("https://map.naver.com/p/search/부강면 문곡리 904-4", "지도Link")</f>
        <v/>
      </c>
      <c r="S413" s="6">
        <f>HYPERLINK("http://www.eum.go.kr/web/ar/lu/luLandDet.jsp?pnu=3611033025109040004&amp;isNoScr=script&amp;mode=search", "토지이음")</f>
        <v/>
      </c>
      <c r="T413" s="3" t="inlineStr">
        <is>
          <t>대전토지로무소</t>
        </is>
      </c>
      <c r="U413" s="4" t="n">
        <v>1</v>
      </c>
      <c r="V413" s="5" t="n">
        <v>80.59999999999999</v>
      </c>
      <c r="W413" s="4" t="n">
        <v>1326</v>
      </c>
      <c r="X413" s="3" t="inlineStr">
        <is>
          <t>주1동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10.5m</t>
        </is>
      </c>
      <c r="AC413" s="3" t="inlineStr">
        <is>
          <t>2012-06</t>
        </is>
      </c>
      <c r="AD413" s="3" t="inlineStr">
        <is>
          <t>세로한면(가)</t>
        </is>
      </c>
    </row>
    <row r="414">
      <c r="A414" s="3" t="inlineStr">
        <is>
          <t>부강면 문곡리 904-4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2000</v>
      </c>
      <c r="G414" s="4" t="n">
        <v>245</v>
      </c>
      <c r="H414" s="4" t="n">
        <v>1326</v>
      </c>
      <c r="I414" s="4" t="n">
        <v>401</v>
      </c>
      <c r="J414" s="5" t="n">
        <v>0.6</v>
      </c>
      <c r="K414" s="4" t="n">
        <v>929</v>
      </c>
      <c r="L414" s="4" t="n">
        <v>281</v>
      </c>
      <c r="M414" s="5" t="n">
        <v>0.9</v>
      </c>
      <c r="N414" s="3" t="inlineStr">
        <is>
          <t>2</t>
        </is>
      </c>
      <c r="O414" s="3" t="inlineStr">
        <is>
          <t>-</t>
        </is>
      </c>
      <c r="P414" s="3" t="inlineStr">
        <is>
          <t>1층 창고, 2층 제조업소 각 임대 가능</t>
        </is>
      </c>
      <c r="Q414" s="6">
        <f>HYPERLINK("https://fin.land.naver.com/articles/2653531252", "매물Link")</f>
        <v/>
      </c>
      <c r="R414" s="6">
        <f>HYPERLINK("https://map.naver.com/p/search/부강면 문곡리 904-4", "지도Link")</f>
        <v/>
      </c>
      <c r="S414" s="6">
        <f>HYPERLINK("http://www.eum.go.kr/web/ar/lu/luLandDet.jsp?pnu=3611033025109040004&amp;isNoScr=script&amp;mode=search", "토지이음")</f>
        <v/>
      </c>
      <c r="T414" s="3" t="inlineStr">
        <is>
          <t>어반나래</t>
        </is>
      </c>
      <c r="U414" s="4" t="n">
        <v>1</v>
      </c>
      <c r="V414" s="5" t="n">
        <v>80.59999999999999</v>
      </c>
      <c r="W414" s="4" t="n">
        <v>1326</v>
      </c>
      <c r="X414" s="3" t="inlineStr">
        <is>
          <t>주1동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10.5m</t>
        </is>
      </c>
      <c r="AC414" s="3" t="inlineStr">
        <is>
          <t>2012-06</t>
        </is>
      </c>
      <c r="AD414" s="3" t="inlineStr">
        <is>
          <t>세로한면(가)</t>
        </is>
      </c>
    </row>
    <row r="415">
      <c r="A415" s="3" t="inlineStr">
        <is>
          <t>부강면 문곡리 904-4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240000</v>
      </c>
      <c r="G415" s="4" t="n">
        <v>0</v>
      </c>
      <c r="H415" s="4" t="n">
        <v>2874</v>
      </c>
      <c r="I415" s="4" t="n">
        <v>869</v>
      </c>
      <c r="J415" s="5" t="n">
        <v>276.2</v>
      </c>
      <c r="K415" s="4" t="n">
        <v>1375</v>
      </c>
      <c r="L415" s="4" t="n">
        <v>416</v>
      </c>
      <c r="M415" s="5" t="n">
        <v>576.9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남청주IC와가까워 대형차진출입이 용이,계획관리지역,6m 도로에접함</t>
        </is>
      </c>
      <c r="Q415" s="6">
        <f>HYPERLINK("https://fin.land.naver.com/articles/2651152338", "매물Link")</f>
        <v/>
      </c>
      <c r="R415" s="6">
        <f>HYPERLINK("https://map.naver.com/p/search/부강면 문곡리 904-4", "지도Link")</f>
        <v/>
      </c>
      <c r="S415" s="6">
        <f>HYPERLINK("http://www.eum.go.kr/web/ar/lu/luLandDet.jsp?pnu=3611033025109040004&amp;isNoScr=script&amp;mode=search", "토지이음")</f>
        <v/>
      </c>
      <c r="T415" s="3" t="inlineStr">
        <is>
          <t>(주)미르</t>
        </is>
      </c>
      <c r="U415" s="4" t="n">
        <v>1</v>
      </c>
      <c r="V415" s="5" t="n">
        <v>80.59999999999999</v>
      </c>
      <c r="W415" s="4" t="n">
        <v>1326</v>
      </c>
      <c r="X415" s="3" t="inlineStr">
        <is>
          <t>주1동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창고시설</t>
        </is>
      </c>
      <c r="AB415" s="3" t="inlineStr">
        <is>
          <t>10.5m</t>
        </is>
      </c>
      <c r="AC415" s="3" t="inlineStr">
        <is>
          <t>2012-06</t>
        </is>
      </c>
      <c r="AD415" s="3" t="inlineStr">
        <is>
          <t>세로한면(가)</t>
        </is>
      </c>
    </row>
    <row r="416">
      <c r="A416" s="3" t="inlineStr">
        <is>
          <t>부강면 문곡리 953-7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창고</t>
        </is>
      </c>
      <c r="E416" s="3" t="inlineStr">
        <is>
          <t>월세</t>
        </is>
      </c>
      <c r="F416" s="4" t="n">
        <v>1000</v>
      </c>
      <c r="G416" s="4" t="n">
        <v>100</v>
      </c>
      <c r="H416" s="4" t="n">
        <v>425</v>
      </c>
      <c r="I416" s="4" t="n">
        <v>129</v>
      </c>
      <c r="J416" s="5" t="n">
        <v>0.8</v>
      </c>
      <c r="K416" s="4" t="n">
        <v>168</v>
      </c>
      <c r="L416" s="4" t="n">
        <v>51</v>
      </c>
      <c r="M416" s="5" t="n">
        <v>2</v>
      </c>
      <c r="N416" s="3" t="inlineStr">
        <is>
          <t>1</t>
        </is>
      </c>
      <c r="O416" s="3" t="inlineStr">
        <is>
          <t>B1</t>
        </is>
      </c>
      <c r="P416" s="3" t="inlineStr">
        <is>
          <t>남청주 ic부근의 2차선변접한 교통좋고 위치좋은 창고</t>
        </is>
      </c>
      <c r="Q416" s="6">
        <f>HYPERLINK("https://fin.land.naver.com/articles/2651029325", "매물Link")</f>
        <v/>
      </c>
      <c r="R416" s="6">
        <f>HYPERLINK("https://map.naver.com/p/search/부강면 문곡리 953-7", "지도Link")</f>
        <v/>
      </c>
      <c r="S416" s="6">
        <f>HYPERLINK("http://www.eum.go.kr/web/ar/lu/luLandDet.jsp?pnu=3611033025109530007&amp;isNoScr=script&amp;mode=search", "토지이음")</f>
        <v/>
      </c>
      <c r="T416" s="3" t="inlineStr">
        <is>
          <t>연동스카이</t>
        </is>
      </c>
      <c r="U416" s="4" t="n">
        <v>1</v>
      </c>
      <c r="V416" s="5" t="n">
        <v>137.6</v>
      </c>
      <c r="W416" s="4" t="n">
        <v>425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제2종근생</t>
        </is>
      </c>
      <c r="AB416" s="3" t="inlineStr">
        <is>
          <t>7.99m</t>
        </is>
      </c>
      <c r="AC416" s="3" t="inlineStr">
        <is>
          <t>1999-12</t>
        </is>
      </c>
      <c r="AD416" s="3" t="inlineStr">
        <is>
          <t>소로한면</t>
        </is>
      </c>
    </row>
    <row r="417">
      <c r="A417" s="3" t="inlineStr">
        <is>
          <t>부강면 부강리 377-11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매매</t>
        </is>
      </c>
      <c r="F417" s="4" t="n">
        <v>102000</v>
      </c>
      <c r="G417" s="4" t="n">
        <v>0</v>
      </c>
      <c r="H417" s="4" t="n">
        <v>549</v>
      </c>
      <c r="I417" s="4" t="n">
        <v>166</v>
      </c>
      <c r="J417" s="5" t="n">
        <v>614.5</v>
      </c>
      <c r="K417" s="4" t="n">
        <v>244</v>
      </c>
      <c r="L417" s="4" t="n">
        <v>74</v>
      </c>
      <c r="M417" s="5" t="n">
        <v>1378.4</v>
      </c>
      <c r="N417" s="3" t="inlineStr">
        <is>
          <t>1</t>
        </is>
      </c>
      <c r="O417" s="3" t="inlineStr">
        <is>
          <t>-</t>
        </is>
      </c>
      <c r="P417" s="3" t="inlineStr">
        <is>
          <t>사진ok, 제2종근린생활시설  제조업가능한  창고매매 .</t>
        </is>
      </c>
      <c r="Q417" s="6">
        <f>HYPERLINK("https://fin.land.naver.com/articles/2655101140", "매물Link")</f>
        <v/>
      </c>
      <c r="R417" s="6">
        <f>HYPERLINK("https://map.naver.com/p/search/부강면 부강리 377-11", "지도Link")</f>
        <v/>
      </c>
      <c r="S417" s="6">
        <f>HYPERLINK("http://www.eum.go.kr/web/ar/lu/luLandDet.jsp?pnu=3611033021103770011&amp;isNoScr=script&amp;mode=search", "토지이음")</f>
        <v/>
      </c>
      <c r="T417" s="3" t="inlineStr">
        <is>
          <t>비전</t>
        </is>
      </c>
      <c r="U417" s="4" t="n">
        <v>1</v>
      </c>
      <c r="V417" s="5" t="n">
        <v>142.6</v>
      </c>
      <c r="W417" s="4" t="n">
        <v>549</v>
      </c>
      <c r="X417" s="3" t="inlineStr">
        <is>
          <t>주건축물제1동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제2종근생</t>
        </is>
      </c>
      <c r="AB417" s="3" t="inlineStr">
        <is>
          <t>4.8m</t>
        </is>
      </c>
      <c r="AC417" s="3" t="inlineStr">
        <is>
          <t>2020-07</t>
        </is>
      </c>
      <c r="AD417" s="3" t="inlineStr">
        <is>
          <t>중로각지</t>
        </is>
      </c>
    </row>
    <row r="418">
      <c r="A418" s="3" t="inlineStr">
        <is>
          <t>부강면 부강리 377-11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공장</t>
        </is>
      </c>
      <c r="E418" s="3" t="inlineStr">
        <is>
          <t>매매</t>
        </is>
      </c>
      <c r="F418" s="4" t="n">
        <v>102000</v>
      </c>
      <c r="G418" s="4" t="n">
        <v>0</v>
      </c>
      <c r="H418" s="4" t="n">
        <v>549</v>
      </c>
      <c r="I418" s="4" t="n">
        <v>166</v>
      </c>
      <c r="J418" s="5" t="n">
        <v>614.5</v>
      </c>
      <c r="K418" s="4" t="n">
        <v>244</v>
      </c>
      <c r="L418" s="4" t="n">
        <v>74</v>
      </c>
      <c r="M418" s="5" t="n">
        <v>1378.4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 7분,공장등록가능, 대기업 사업 아이템인수가능</t>
        </is>
      </c>
      <c r="Q418" s="6">
        <f>HYPERLINK("https://fin.land.naver.com/articles/2655020169", "매물Link")</f>
        <v/>
      </c>
      <c r="R418" s="6">
        <f>HYPERLINK("https://map.naver.com/p/search/부강면 부강리 377-11", "지도Link")</f>
        <v/>
      </c>
      <c r="S418" s="6">
        <f>HYPERLINK("http://www.eum.go.kr/web/ar/lu/luLandDet.jsp?pnu=3611033021103770011&amp;isNoScr=script&amp;mode=search", "토지이음")</f>
        <v/>
      </c>
      <c r="T418" s="3" t="inlineStr">
        <is>
          <t>대성오투그란데</t>
        </is>
      </c>
      <c r="U418" s="4" t="n">
        <v>1</v>
      </c>
      <c r="V418" s="5" t="n">
        <v>142.6</v>
      </c>
      <c r="W418" s="4" t="n">
        <v>549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제2종근생</t>
        </is>
      </c>
      <c r="AB418" s="3" t="inlineStr">
        <is>
          <t>4.8m</t>
        </is>
      </c>
      <c r="AC418" s="3" t="inlineStr">
        <is>
          <t>2020-07</t>
        </is>
      </c>
      <c r="AD418" s="3" t="inlineStr">
        <is>
          <t>중로각지</t>
        </is>
      </c>
    </row>
    <row r="419">
      <c r="A419" s="3" t="inlineStr">
        <is>
          <t>부강면 산수리 105-1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5000</v>
      </c>
      <c r="G419" s="4" t="n">
        <v>500</v>
      </c>
      <c r="H419" s="4" t="n">
        <v>5826</v>
      </c>
      <c r="I419" s="4" t="n">
        <v>1762</v>
      </c>
      <c r="J419" s="5" t="n">
        <v>0.3</v>
      </c>
      <c r="K419" s="4" t="n">
        <v>793</v>
      </c>
      <c r="L419" s="4" t="n">
        <v>240</v>
      </c>
      <c r="M419" s="5" t="n">
        <v>2.1</v>
      </c>
      <c r="N419" s="3" t="inlineStr">
        <is>
          <t>1</t>
        </is>
      </c>
      <c r="O419" s="3" t="inlineStr">
        <is>
          <t>-</t>
        </is>
      </c>
      <c r="P419" s="3" t="inlineStr">
        <is>
          <t>남청주ic 접근성 좋은 위치 마당넓어 대형차 진출입 가능</t>
        </is>
      </c>
      <c r="Q419" s="6">
        <f>HYPERLINK("https://fin.land.naver.com/articles/2649683295", "매물Link")</f>
        <v/>
      </c>
      <c r="R419" s="6">
        <f>HYPERLINK("https://map.naver.com/p/search/부강면 산수리 105-1", "지도Link")</f>
        <v/>
      </c>
      <c r="S419" s="6">
        <f>HYPERLINK("http://www.eum.go.kr/web/ar/lu/luLandDet.jsp?pnu=3611033023101050001&amp;isNoScr=script&amp;mode=search", "토지이음")</f>
        <v/>
      </c>
      <c r="T419" s="3" t="inlineStr">
        <is>
          <t>더원</t>
        </is>
      </c>
      <c r="U419" s="4" t="n">
        <v>1</v>
      </c>
      <c r="V419" s="5" t="n">
        <v>77.90000000000001</v>
      </c>
      <c r="W419" s="4" t="n">
        <v>2209</v>
      </c>
      <c r="X419" s="3" t="inlineStr">
        <is>
          <t>6동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창고시설</t>
        </is>
      </c>
      <c r="AB419" s="3" t="inlineStr">
        <is>
          <t>8.3m</t>
        </is>
      </c>
      <c r="AC419" s="3" t="inlineStr">
        <is>
          <t>2007-10</t>
        </is>
      </c>
      <c r="AD419" s="3" t="inlineStr">
        <is>
          <t>세로한면(가)</t>
        </is>
      </c>
    </row>
    <row r="420">
      <c r="A420" s="3" t="inlineStr">
        <is>
          <t>부강면 산수리 105-3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창고</t>
        </is>
      </c>
      <c r="E420" s="3" t="inlineStr">
        <is>
          <t>월세</t>
        </is>
      </c>
      <c r="F420" s="4" t="n">
        <v>10000</v>
      </c>
      <c r="G420" s="4" t="n">
        <v>850</v>
      </c>
      <c r="H420" s="4" t="n">
        <v>21410</v>
      </c>
      <c r="I420" s="4" t="n">
        <v>6477</v>
      </c>
      <c r="J420" s="5" t="n">
        <v>0.1</v>
      </c>
      <c r="K420" s="4" t="n">
        <v>760</v>
      </c>
      <c r="L420" s="4" t="n">
        <v>230</v>
      </c>
      <c r="M420" s="5" t="n">
        <v>3.7</v>
      </c>
      <c r="N420" s="3" t="inlineStr">
        <is>
          <t>1</t>
        </is>
      </c>
      <c r="O420" s="3" t="inlineStr">
        <is>
          <t>-</t>
        </is>
      </c>
      <c r="P420" s="3" t="inlineStr">
        <is>
          <t>귀한 냉동창고와 냉장저온작업실을 구비한 창고 사무실 공간 완비</t>
        </is>
      </c>
      <c r="Q420" s="6">
        <f>HYPERLINK("https://fin.land.naver.com/articles/2654874674", "매물Link")</f>
        <v/>
      </c>
      <c r="R420" s="6">
        <f>HYPERLINK("https://map.naver.com/p/search/부강면 산수리 105-3", "지도Link")</f>
        <v/>
      </c>
      <c r="S420" s="6">
        <f>HYPERLINK("http://www.eum.go.kr/web/ar/lu/luLandDet.jsp?pnu=3611033023101050003&amp;isNoScr=script&amp;mode=search", "토지이음")</f>
        <v/>
      </c>
      <c r="T420" s="3" t="inlineStr">
        <is>
          <t>태광</t>
        </is>
      </c>
      <c r="U420" s="4" t="n">
        <v>1</v>
      </c>
      <c r="V420" s="5" t="n">
        <v>77.09999999999999</v>
      </c>
      <c r="W420" s="4" t="n">
        <v>21410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공장</t>
        </is>
      </c>
      <c r="AB420" s="3" t="inlineStr">
        <is>
          <t>4.7m</t>
        </is>
      </c>
      <c r="AC420" s="3" t="inlineStr">
        <is>
          <t>2009-07</t>
        </is>
      </c>
      <c r="AD420" s="3" t="inlineStr">
        <is>
          <t>세로한면(가)</t>
        </is>
      </c>
    </row>
    <row r="421">
      <c r="A421" s="3" t="inlineStr">
        <is>
          <t>부강면 산수리 105-3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4500</v>
      </c>
      <c r="G421" s="4" t="n">
        <v>450</v>
      </c>
      <c r="H421" s="4" t="n">
        <v>21410</v>
      </c>
      <c r="I421" s="4" t="n">
        <v>6477</v>
      </c>
      <c r="J421" s="5" t="n">
        <v>0.1</v>
      </c>
      <c r="K421" s="4" t="n">
        <v>726</v>
      </c>
      <c r="L421" s="4" t="n">
        <v>220</v>
      </c>
      <c r="M421" s="5" t="n">
        <v>2</v>
      </c>
      <c r="N421" s="3" t="inlineStr">
        <is>
          <t>1</t>
        </is>
      </c>
      <c r="O421" s="3" t="inlineStr">
        <is>
          <t>-</t>
        </is>
      </c>
      <c r="P421" s="3" t="inlineStr">
        <is>
          <t>사진有 공장 임대</t>
        </is>
      </c>
      <c r="Q421" s="6">
        <f>HYPERLINK("https://fin.land.naver.com/articles/2652988089", "매물Link")</f>
        <v/>
      </c>
      <c r="R421" s="6">
        <f>HYPERLINK("https://map.naver.com/p/search/부강면 산수리 105-3", "지도Link")</f>
        <v/>
      </c>
      <c r="S421" s="6">
        <f>HYPERLINK("http://www.eum.go.kr/web/ar/lu/luLandDet.jsp?pnu=3611033023101050003&amp;isNoScr=script&amp;mode=search", "토지이음")</f>
        <v/>
      </c>
      <c r="T421" s="3" t="inlineStr">
        <is>
          <t>월드</t>
        </is>
      </c>
      <c r="U421" s="4" t="n">
        <v>2</v>
      </c>
      <c r="V421" s="5" t="n">
        <v>77.09999999999999</v>
      </c>
      <c r="W421" s="4" t="n">
        <v>21410</v>
      </c>
      <c r="X421" s="3" t="inlineStr">
        <is>
          <t>미표기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공장</t>
        </is>
      </c>
      <c r="AB421" s="3" t="inlineStr">
        <is>
          <t>4.7m</t>
        </is>
      </c>
      <c r="AC421" s="3" t="inlineStr">
        <is>
          <t>2009-07</t>
        </is>
      </c>
      <c r="AD421" s="3" t="inlineStr">
        <is>
          <t>세로한면(가)</t>
        </is>
      </c>
    </row>
    <row r="422">
      <c r="A422" s="3" t="inlineStr">
        <is>
          <t>부강면 산수리 105-3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창고</t>
        </is>
      </c>
      <c r="E422" s="3" t="inlineStr">
        <is>
          <t>월세</t>
        </is>
      </c>
      <c r="F422" s="4" t="n">
        <v>4000</v>
      </c>
      <c r="G422" s="4" t="n">
        <v>440</v>
      </c>
      <c r="H422" s="4" t="n">
        <v>21410</v>
      </c>
      <c r="I422" s="4" t="n">
        <v>6477</v>
      </c>
      <c r="J422" s="5" t="n">
        <v>0.1</v>
      </c>
      <c r="K422" s="4" t="n">
        <v>733</v>
      </c>
      <c r="L422" s="4" t="n">
        <v>222</v>
      </c>
      <c r="M422" s="5" t="n">
        <v>2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남청주IC인근 임대료 저렴한 넓은 창고임대 진출입 용이 전력높음</t>
        </is>
      </c>
      <c r="Q422" s="6">
        <f>HYPERLINK("https://fin.land.naver.com/articles/2649682702", "매물Link")</f>
        <v/>
      </c>
      <c r="R422" s="6">
        <f>HYPERLINK("https://map.naver.com/p/search/부강면 산수리 105-3", "지도Link")</f>
        <v/>
      </c>
      <c r="S422" s="6">
        <f>HYPERLINK("http://www.eum.go.kr/web/ar/lu/luLandDet.jsp?pnu=3611033023101050003&amp;isNoScr=script&amp;mode=search", "토지이음")</f>
        <v/>
      </c>
      <c r="T422" s="3" t="inlineStr">
        <is>
          <t>태광</t>
        </is>
      </c>
      <c r="U422" s="4" t="n">
        <v>1</v>
      </c>
      <c r="V422" s="5" t="n">
        <v>77.09999999999999</v>
      </c>
      <c r="W422" s="4" t="n">
        <v>21410</v>
      </c>
      <c r="X422" s="3" t="inlineStr">
        <is>
          <t>미표기</t>
        </is>
      </c>
      <c r="Y422" s="7" t="inlineStr">
        <is>
          <t>1층</t>
        </is>
      </c>
      <c r="Z422" s="3" t="inlineStr">
        <is>
          <t>경량철골구조</t>
        </is>
      </c>
      <c r="AA422" s="3" t="inlineStr">
        <is>
          <t>공장</t>
        </is>
      </c>
      <c r="AB422" s="3" t="inlineStr">
        <is>
          <t>4.7m</t>
        </is>
      </c>
      <c r="AC422" s="3" t="inlineStr">
        <is>
          <t>2009-07</t>
        </is>
      </c>
      <c r="AD422" s="3" t="inlineStr">
        <is>
          <t>세로한면(가)</t>
        </is>
      </c>
    </row>
    <row r="423">
      <c r="A423" s="3" t="inlineStr">
        <is>
          <t>부강면 산수리 105-3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4500</v>
      </c>
      <c r="G423" s="4" t="n">
        <v>450</v>
      </c>
      <c r="H423" s="4" t="n">
        <v>21410</v>
      </c>
      <c r="I423" s="4" t="n">
        <v>6477</v>
      </c>
      <c r="J423" s="5" t="n">
        <v>0.1</v>
      </c>
      <c r="K423" s="4" t="n">
        <v>727</v>
      </c>
      <c r="L423" s="4" t="n">
        <v>220</v>
      </c>
      <c r="M423" s="5" t="n">
        <v>2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남청주IC약 10분거리 공장 및 창고 입니다</t>
        </is>
      </c>
      <c r="Q423" s="6">
        <f>HYPERLINK("https://fin.land.naver.com/articles/2649720688", "매물Link")</f>
        <v/>
      </c>
      <c r="R423" s="6">
        <f>HYPERLINK("https://map.naver.com/p/search/부강면 산수리 105-3", "지도Link")</f>
        <v/>
      </c>
      <c r="S423" s="6">
        <f>HYPERLINK("http://www.eum.go.kr/web/ar/lu/luLandDet.jsp?pnu=3611033023101050003&amp;isNoScr=script&amp;mode=search", "토지이음")</f>
        <v/>
      </c>
      <c r="T423" s="3" t="inlineStr">
        <is>
          <t>더행복</t>
        </is>
      </c>
      <c r="U423" s="4" t="n">
        <v>1</v>
      </c>
      <c r="V423" s="5" t="n">
        <v>77.09999999999999</v>
      </c>
      <c r="W423" s="4" t="n">
        <v>21410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공장</t>
        </is>
      </c>
      <c r="AB423" s="3" t="inlineStr">
        <is>
          <t>4.7m</t>
        </is>
      </c>
      <c r="AC423" s="3" t="inlineStr">
        <is>
          <t>2009-07</t>
        </is>
      </c>
      <c r="AD423" s="3" t="inlineStr">
        <is>
          <t>세로한면(가)</t>
        </is>
      </c>
    </row>
    <row r="424">
      <c r="A424" s="3" t="inlineStr">
        <is>
          <t>부강면 행산리 150-1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7000</v>
      </c>
      <c r="G424" s="4" t="n">
        <v>700</v>
      </c>
      <c r="H424" s="4" t="n">
        <v>6446</v>
      </c>
      <c r="I424" s="4" t="n">
        <v>1950</v>
      </c>
      <c r="J424" s="5" t="n">
        <v>0.4</v>
      </c>
      <c r="K424" s="4" t="n">
        <v>983</v>
      </c>
      <c r="L424" s="4" t="n">
        <v>297</v>
      </c>
      <c r="M424" s="5" t="n">
        <v>2.4</v>
      </c>
      <c r="N424" s="3" t="inlineStr">
        <is>
          <t>1</t>
        </is>
      </c>
      <c r="O424" s="3" t="inlineStr">
        <is>
          <t>-</t>
        </is>
      </c>
      <c r="P424" s="3" t="inlineStr">
        <is>
          <t>세종 청주 접근성 우수 2차선도로변 호이스트 3기 완비된 공장 임대</t>
        </is>
      </c>
      <c r="Q424" s="6">
        <f>HYPERLINK("https://fin.land.naver.com/articles/2649493657", "매물Link")</f>
        <v/>
      </c>
      <c r="R424" s="6">
        <f>HYPERLINK("https://map.naver.com/p/search/부강면 행산리 150-1", "지도Link")</f>
        <v/>
      </c>
      <c r="S424" s="6">
        <f>HYPERLINK("http://www.eum.go.kr/web/ar/lu/luLandDet.jsp?pnu=3611033022101500001&amp;isNoScr=script&amp;mode=search", "토지이음")</f>
        <v/>
      </c>
      <c r="T424" s="3" t="inlineStr">
        <is>
          <t>청담</t>
        </is>
      </c>
      <c r="U424" s="4" t="n">
        <v>1</v>
      </c>
      <c r="V424" s="5" t="n">
        <v>75.40000000000001</v>
      </c>
      <c r="W424" s="4" t="n">
        <v>5589</v>
      </c>
      <c r="X424" s="3" t="inlineStr">
        <is>
          <t>주건축물제1동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11.54m</t>
        </is>
      </c>
      <c r="AC424" s="3" t="inlineStr">
        <is>
          <t>2019-04</t>
        </is>
      </c>
      <c r="AD424" s="3" t="inlineStr">
        <is>
          <t>소로한면</t>
        </is>
      </c>
    </row>
    <row r="425">
      <c r="A425" s="3" t="inlineStr">
        <is>
          <t>부강면 행산리 150-1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7000</v>
      </c>
      <c r="G425" s="4" t="n">
        <v>700</v>
      </c>
      <c r="H425" s="4" t="n">
        <v>6404</v>
      </c>
      <c r="I425" s="4" t="n">
        <v>1937</v>
      </c>
      <c r="J425" s="5" t="n">
        <v>0.4</v>
      </c>
      <c r="K425" s="4" t="n">
        <v>983</v>
      </c>
      <c r="L425" s="4" t="n">
        <v>297</v>
      </c>
      <c r="M425" s="5" t="n">
        <v>2.4</v>
      </c>
      <c r="N425" s="3" t="inlineStr">
        <is>
          <t>1</t>
        </is>
      </c>
      <c r="O425" s="3" t="inlineStr">
        <is>
          <t>-</t>
        </is>
      </c>
      <c r="P425" s="3" t="inlineStr">
        <is>
          <t>민원 발생 소지 없음, 2차선 도로에 접함, 호이스트 5톤 2대, 계근대</t>
        </is>
      </c>
      <c r="Q425" s="6">
        <f>HYPERLINK("https://fin.land.naver.com/articles/2649581867", "매물Link")</f>
        <v/>
      </c>
      <c r="R425" s="6">
        <f>HYPERLINK("https://map.naver.com/p/search/부강면 행산리 150-1", "지도Link")</f>
        <v/>
      </c>
      <c r="S425" s="6">
        <f>HYPERLINK("http://www.eum.go.kr/web/ar/lu/luLandDet.jsp?pnu=3611033022101500001&amp;isNoScr=script&amp;mode=search", "토지이음")</f>
        <v/>
      </c>
      <c r="T425" s="3" t="inlineStr">
        <is>
          <t>제이</t>
        </is>
      </c>
      <c r="U425" s="4" t="n">
        <v>1</v>
      </c>
      <c r="V425" s="5" t="n">
        <v>75.40000000000001</v>
      </c>
      <c r="W425" s="4" t="n">
        <v>5589</v>
      </c>
      <c r="X425" s="3" t="inlineStr">
        <is>
          <t>주건축물제1동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11.54m</t>
        </is>
      </c>
      <c r="AC425" s="3" t="inlineStr">
        <is>
          <t>2019-04</t>
        </is>
      </c>
      <c r="AD425" s="3" t="inlineStr">
        <is>
          <t>소로한면</t>
        </is>
      </c>
    </row>
    <row r="426">
      <c r="A426" s="3" t="inlineStr">
        <is>
          <t>부강면 행산리 154-1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2000</v>
      </c>
      <c r="G426" s="4" t="n">
        <v>150</v>
      </c>
      <c r="H426" s="4" t="n">
        <v>2741</v>
      </c>
      <c r="I426" s="4" t="n">
        <v>829</v>
      </c>
      <c r="J426" s="5" t="n">
        <v>0.2</v>
      </c>
      <c r="K426" s="4" t="n">
        <v>192</v>
      </c>
      <c r="L426" s="4" t="n">
        <v>58</v>
      </c>
      <c r="M426" s="5" t="n">
        <v>2.6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접근성 좋고 청주세종간도로인근 2차선도로변</t>
        </is>
      </c>
      <c r="Q426" s="6">
        <f>HYPERLINK("https://fin.land.naver.com/articles/2652625203", "매물Link")</f>
        <v/>
      </c>
      <c r="R426" s="6">
        <f>HYPERLINK("https://map.naver.com/p/search/부강면 행산리 154-1", "지도Link")</f>
        <v/>
      </c>
      <c r="S426" s="6">
        <f>HYPERLINK("http://www.eum.go.kr/web/ar/lu/luLandDet.jsp?pnu=3611033022101540001&amp;isNoScr=script&amp;mode=search", "토지이음")</f>
        <v/>
      </c>
      <c r="T426" s="3" t="inlineStr">
        <is>
          <t>더원</t>
        </is>
      </c>
      <c r="U426" s="4" t="n">
        <v>1</v>
      </c>
      <c r="V426" s="5" t="n">
        <v>59.9</v>
      </c>
      <c r="W426" s="4" t="n">
        <v>2741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경량철골구조</t>
        </is>
      </c>
      <c r="AA426" s="3" t="inlineStr">
        <is>
          <t>제1종근생</t>
        </is>
      </c>
      <c r="AB426" s="3" t="inlineStr">
        <is>
          <t>8.1m</t>
        </is>
      </c>
      <c r="AC426" s="3" t="inlineStr">
        <is>
          <t>2022-07</t>
        </is>
      </c>
      <c r="AD426" s="3" t="inlineStr">
        <is>
          <t>소로한면</t>
        </is>
      </c>
    </row>
    <row r="427">
      <c r="A427" s="3" t="inlineStr">
        <is>
          <t>부강면 행산리 335-1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5000</v>
      </c>
      <c r="G427" s="4" t="n">
        <v>550</v>
      </c>
      <c r="H427" s="4" t="n">
        <v>20331</v>
      </c>
      <c r="I427" s="4" t="n">
        <v>6150</v>
      </c>
      <c r="J427" s="5" t="n">
        <v>0.1</v>
      </c>
      <c r="K427" s="4" t="n">
        <v>810</v>
      </c>
      <c r="L427" s="4" t="n">
        <v>245</v>
      </c>
      <c r="M427" s="5" t="n">
        <v>2.2</v>
      </c>
      <c r="N427" s="3" t="inlineStr">
        <is>
          <t>1</t>
        </is>
      </c>
      <c r="O427" s="3" t="inlineStr">
        <is>
          <t>-</t>
        </is>
      </c>
      <c r="P427" s="3" t="inlineStr">
        <is>
          <t>공장하기 편리한곳, 민원없는곳 추천드립니다.</t>
        </is>
      </c>
      <c r="Q427" s="6">
        <f>HYPERLINK("https://fin.land.naver.com/articles/2652648109", "매물Link")</f>
        <v/>
      </c>
      <c r="R427" s="6">
        <f>HYPERLINK("https://map.naver.com/p/search/부강면 행산리 335-1", "지도Link")</f>
        <v/>
      </c>
      <c r="S427" s="6">
        <f>HYPERLINK("http://www.eum.go.kr/web/ar/lu/luLandDet.jsp?pnu=3611033022103350001&amp;isNoScr=script&amp;mode=search", "토지이음")</f>
        <v/>
      </c>
      <c r="T427" s="3" t="inlineStr">
        <is>
          <t>대박</t>
        </is>
      </c>
      <c r="U427" s="4" t="n">
        <v>2</v>
      </c>
      <c r="V427" s="5" t="n">
        <v>55.8</v>
      </c>
      <c r="W427" s="4" t="n">
        <v>20331</v>
      </c>
      <c r="X427" s="3" t="inlineStr">
        <is>
          <t>4동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10.6m</t>
        </is>
      </c>
      <c r="AC427" s="3" t="inlineStr">
        <is>
          <t>2004-05</t>
        </is>
      </c>
      <c r="AD427" s="3" t="inlineStr">
        <is>
          <t>세로한면(가)</t>
        </is>
      </c>
    </row>
    <row r="428">
      <c r="A428" s="3" t="inlineStr">
        <is>
          <t>부강면 행산리 371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120000</v>
      </c>
      <c r="G428" s="4" t="n">
        <v>0</v>
      </c>
      <c r="H428" s="4" t="n">
        <v>815</v>
      </c>
      <c r="I428" s="4" t="n">
        <v>247</v>
      </c>
      <c r="J428" s="5" t="n">
        <v>485.8</v>
      </c>
      <c r="K428" s="4" t="n">
        <v>436</v>
      </c>
      <c r="L428" s="4" t="n">
        <v>132</v>
      </c>
      <c r="M428" s="5" t="n">
        <v>909.1</v>
      </c>
      <c r="N428" s="3" t="inlineStr">
        <is>
          <t>2</t>
        </is>
      </c>
      <c r="O428" s="3" t="inlineStr">
        <is>
          <t>-</t>
        </is>
      </c>
      <c r="P428" s="3" t="inlineStr">
        <is>
          <t>성업중인공장.진입도로확장예정.매도후재임대가능.남청주IC인근.중부물류터미널</t>
        </is>
      </c>
      <c r="Q428" s="6">
        <f>HYPERLINK("https://fin.land.naver.com/articles/2650318649", "매물Link")</f>
        <v/>
      </c>
      <c r="R428" s="6">
        <f>HYPERLINK("https://map.naver.com/p/search/부강면 행산리 371", "지도Link")</f>
        <v/>
      </c>
      <c r="S428" s="6">
        <f>HYPERLINK("http://www.eum.go.kr/web/ar/lu/luLandDet.jsp?pnu=3611033022103710000&amp;isNoScr=script&amp;mode=search", "토지이음")</f>
        <v/>
      </c>
      <c r="T428" s="3" t="inlineStr">
        <is>
          <t>돈방석</t>
        </is>
      </c>
      <c r="U428" s="4" t="n">
        <v>1</v>
      </c>
      <c r="V428" s="5" t="n">
        <v>41.2</v>
      </c>
      <c r="W428" s="4" t="n">
        <v>815</v>
      </c>
      <c r="X428" s="3" t="inlineStr">
        <is>
          <t>주건축물제1동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동물및식물관련시설</t>
        </is>
      </c>
      <c r="AB428" s="3" t="inlineStr">
        <is>
          <t>8.2m</t>
        </is>
      </c>
      <c r="AC428" s="3" t="inlineStr">
        <is>
          <t>2022-06</t>
        </is>
      </c>
      <c r="AD428" s="3" t="inlineStr">
        <is>
          <t>세로한면(가)</t>
        </is>
      </c>
    </row>
    <row r="429">
      <c r="A429" s="3" t="inlineStr">
        <is>
          <t>부강면 행산리 371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120000</v>
      </c>
      <c r="G429" s="4" t="n">
        <v>0</v>
      </c>
      <c r="H429" s="4" t="n">
        <v>815</v>
      </c>
      <c r="I429" s="4" t="n">
        <v>247</v>
      </c>
      <c r="J429" s="5" t="n">
        <v>485.8</v>
      </c>
      <c r="K429" s="4" t="n">
        <v>360</v>
      </c>
      <c r="L429" s="4" t="n">
        <v>109</v>
      </c>
      <c r="M429" s="5" t="n">
        <v>1100.9</v>
      </c>
      <c r="N429" s="3" t="inlineStr">
        <is>
          <t>1</t>
        </is>
      </c>
      <c r="O429" s="3" t="inlineStr">
        <is>
          <t>-</t>
        </is>
      </c>
      <c r="P429" s="3" t="inlineStr">
        <is>
          <t>2종른린생활시설로 현재 식품공장</t>
        </is>
      </c>
      <c r="Q429" s="6">
        <f>HYPERLINK("https://fin.land.naver.com/articles/2650479799", "매물Link")</f>
        <v/>
      </c>
      <c r="R429" s="6">
        <f>HYPERLINK("https://map.naver.com/p/search/부강면 행산리 371", "지도Link")</f>
        <v/>
      </c>
      <c r="S429" s="6">
        <f>HYPERLINK("http://www.eum.go.kr/web/ar/lu/luLandDet.jsp?pnu=3611033022103710000&amp;isNoScr=script&amp;mode=search", "토지이음")</f>
        <v/>
      </c>
      <c r="T429" s="3" t="inlineStr">
        <is>
          <t>창고의여왕</t>
        </is>
      </c>
      <c r="U429" s="4" t="n">
        <v>1</v>
      </c>
      <c r="V429" s="5" t="n">
        <v>41.2</v>
      </c>
      <c r="W429" s="4" t="n">
        <v>815</v>
      </c>
      <c r="X429" s="3" t="inlineStr">
        <is>
          <t>주건축물제1동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동물및식물관련시설</t>
        </is>
      </c>
      <c r="AB429" s="3" t="inlineStr">
        <is>
          <t>8.2m</t>
        </is>
      </c>
      <c r="AC429" s="3" t="inlineStr">
        <is>
          <t>2022-06</t>
        </is>
      </c>
      <c r="AD429" s="3" t="inlineStr">
        <is>
          <t>세로한면(가)</t>
        </is>
      </c>
    </row>
    <row r="430">
      <c r="A430" s="3" t="inlineStr">
        <is>
          <t>연동면 내판리 167-3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1050000</v>
      </c>
      <c r="G430" s="4" t="n">
        <v>0</v>
      </c>
      <c r="H430" s="4" t="n">
        <v>9768</v>
      </c>
      <c r="I430" s="4" t="n">
        <v>2955</v>
      </c>
      <c r="J430" s="5" t="n">
        <v>355.3</v>
      </c>
      <c r="K430" s="4" t="n">
        <v>4329</v>
      </c>
      <c r="L430" s="4" t="n">
        <v>1310</v>
      </c>
      <c r="M430" s="5" t="n">
        <v>801.5</v>
      </c>
      <c r="N430" s="3" t="inlineStr">
        <is>
          <t>2</t>
        </is>
      </c>
      <c r="O430" s="3" t="inlineStr">
        <is>
          <t>-</t>
        </is>
      </c>
      <c r="P430" s="3" t="inlineStr">
        <is>
          <t>남청주IC 10분,세종시청 20분거리,빠른 입주 가능</t>
        </is>
      </c>
      <c r="Q430" s="6">
        <f>HYPERLINK("https://fin.land.naver.com/articles/2654606972", "매물Link")</f>
        <v/>
      </c>
      <c r="R430" s="6">
        <f>HYPERLINK("https://map.naver.com/p/search/연동면 내판리 167-3", "지도Link")</f>
        <v/>
      </c>
      <c r="S430" s="6">
        <f>HYPERLINK("http://www.eum.go.kr/web/ar/lu/luLandDet.jsp?pnu=3611032021101670003&amp;isNoScr=script&amp;mode=search", "토지이음")</f>
        <v/>
      </c>
      <c r="T430" s="3" t="inlineStr">
        <is>
          <t>금화랜드</t>
        </is>
      </c>
      <c r="U430" s="4" t="n">
        <v>2</v>
      </c>
      <c r="V430" s="5" t="n">
        <v>79.09999999999999</v>
      </c>
      <c r="W430" s="4" t="n">
        <v>8450</v>
      </c>
      <c r="X430" s="3" t="inlineStr">
        <is>
          <t>미표기</t>
        </is>
      </c>
      <c r="Y430" s="7" t="inlineStr">
        <is>
          <t>2층</t>
        </is>
      </c>
      <c r="Z430" s="3" t="inlineStr">
        <is>
          <t>철근콘크리트구조</t>
        </is>
      </c>
      <c r="AA430" s="3" t="inlineStr">
        <is>
          <t>공장</t>
        </is>
      </c>
      <c r="AB430" s="3" t="inlineStr">
        <is>
          <t>-</t>
        </is>
      </c>
      <c r="AC430" s="3" t="inlineStr">
        <is>
          <t>1992</t>
        </is>
      </c>
      <c r="AD430" s="3" t="inlineStr">
        <is>
          <t>소로한면</t>
        </is>
      </c>
    </row>
    <row r="431">
      <c r="A431" s="3" t="inlineStr">
        <is>
          <t>연동면 내판리 167-3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30000</v>
      </c>
      <c r="G431" s="4" t="n">
        <v>3000</v>
      </c>
      <c r="H431" s="4" t="n">
        <v>9768</v>
      </c>
      <c r="I431" s="4" t="n">
        <v>2955</v>
      </c>
      <c r="J431" s="5" t="n">
        <v>1</v>
      </c>
      <c r="K431" s="4" t="n">
        <v>3305</v>
      </c>
      <c r="L431" s="4" t="n">
        <v>1000</v>
      </c>
      <c r="M431" s="5" t="n">
        <v>3</v>
      </c>
      <c r="N431" s="3" t="inlineStr">
        <is>
          <t>2</t>
        </is>
      </c>
      <c r="O431" s="3" t="inlineStr">
        <is>
          <t>-</t>
        </is>
      </c>
      <c r="P431" s="3" t="inlineStr">
        <is>
          <t>사진有 공장 임대</t>
        </is>
      </c>
      <c r="Q431" s="6">
        <f>HYPERLINK("https://fin.land.naver.com/articles/2653040761", "매물Link")</f>
        <v/>
      </c>
      <c r="R431" s="6">
        <f>HYPERLINK("https://map.naver.com/p/search/연동면 내판리 167-3", "지도Link")</f>
        <v/>
      </c>
      <c r="S431" s="6">
        <f>HYPERLINK("http://www.eum.go.kr/web/ar/lu/luLandDet.jsp?pnu=3611032021101670003&amp;isNoScr=script&amp;mode=search", "토지이음")</f>
        <v/>
      </c>
      <c r="T431" s="3" t="inlineStr">
        <is>
          <t>월드</t>
        </is>
      </c>
      <c r="U431" s="4" t="n">
        <v>1</v>
      </c>
      <c r="V431" s="5" t="n">
        <v>79.09999999999999</v>
      </c>
      <c r="W431" s="4" t="n">
        <v>8450</v>
      </c>
      <c r="X431" s="3" t="inlineStr">
        <is>
          <t>미표기</t>
        </is>
      </c>
      <c r="Y431" s="7" t="inlineStr">
        <is>
          <t>2층</t>
        </is>
      </c>
      <c r="Z431" s="3" t="inlineStr">
        <is>
          <t>철근콘크리트구조</t>
        </is>
      </c>
      <c r="AA431" s="3" t="inlineStr">
        <is>
          <t>공장</t>
        </is>
      </c>
      <c r="AB431" s="3" t="inlineStr">
        <is>
          <t>-</t>
        </is>
      </c>
      <c r="AC431" s="3" t="inlineStr">
        <is>
          <t>1992</t>
        </is>
      </c>
      <c r="AD431" s="3" t="inlineStr">
        <is>
          <t>소로한면</t>
        </is>
      </c>
    </row>
    <row r="432">
      <c r="A432" s="3" t="inlineStr">
        <is>
          <t>연동면 내판리 167-3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30000</v>
      </c>
      <c r="G432" s="4" t="n">
        <v>3000</v>
      </c>
      <c r="H432" s="4" t="n">
        <v>9768</v>
      </c>
      <c r="I432" s="4" t="n">
        <v>2955</v>
      </c>
      <c r="J432" s="5" t="n">
        <v>1</v>
      </c>
      <c r="K432" s="4" t="n">
        <v>4329</v>
      </c>
      <c r="L432" s="4" t="n">
        <v>1310</v>
      </c>
      <c r="M432" s="5" t="n">
        <v>2.3</v>
      </c>
      <c r="N432" s="3" t="inlineStr">
        <is>
          <t>2</t>
        </is>
      </c>
      <c r="O432" s="3" t="inlineStr">
        <is>
          <t>-</t>
        </is>
      </c>
      <c r="P432" s="3" t="inlineStr">
        <is>
          <t>천평 임대,층고5m 깔끔한 공장,현재 공실로 즉시입주 가능</t>
        </is>
      </c>
      <c r="Q432" s="6">
        <f>HYPERLINK("https://fin.land.naver.com/articles/2650689887", "매물Link")</f>
        <v/>
      </c>
      <c r="R432" s="6">
        <f>HYPERLINK("https://map.naver.com/p/search/연동면 내판리 167-3", "지도Link")</f>
        <v/>
      </c>
      <c r="S432" s="6">
        <f>HYPERLINK("http://www.eum.go.kr/web/ar/lu/luLandDet.jsp?pnu=3611032021101670003&amp;isNoScr=script&amp;mode=search", "토지이음")</f>
        <v/>
      </c>
      <c r="T432" s="3" t="inlineStr">
        <is>
          <t>금화랜드</t>
        </is>
      </c>
      <c r="U432" s="4" t="n">
        <v>1</v>
      </c>
      <c r="V432" s="5" t="n">
        <v>79.09999999999999</v>
      </c>
      <c r="W432" s="4" t="n">
        <v>8450</v>
      </c>
      <c r="X432" s="3" t="inlineStr">
        <is>
          <t>미표기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1992</t>
        </is>
      </c>
      <c r="AD432" s="3" t="inlineStr">
        <is>
          <t>소로한면</t>
        </is>
      </c>
    </row>
    <row r="433">
      <c r="A433" s="3" t="inlineStr">
        <is>
          <t>연동면 내판리 187-2</t>
        </is>
      </c>
      <c r="B433" s="3" t="inlineStr">
        <is>
          <t>계획관리지역</t>
        </is>
      </c>
      <c r="C433" s="3" t="inlineStr">
        <is>
          <t>창고용지</t>
        </is>
      </c>
      <c r="D433" s="3" t="inlineStr">
        <is>
          <t>창고</t>
        </is>
      </c>
      <c r="E433" s="3" t="inlineStr">
        <is>
          <t>월세</t>
        </is>
      </c>
      <c r="F433" s="4" t="n">
        <v>5000</v>
      </c>
      <c r="G433" s="4" t="n">
        <v>400</v>
      </c>
      <c r="H433" s="4" t="n">
        <v>2828</v>
      </c>
      <c r="I433" s="4" t="n">
        <v>855</v>
      </c>
      <c r="J433" s="5" t="n">
        <v>0.5</v>
      </c>
      <c r="K433" s="4" t="n">
        <v>660</v>
      </c>
      <c r="L433" s="4" t="n">
        <v>200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사진有 창고 임대</t>
        </is>
      </c>
      <c r="Q433" s="6">
        <f>HYPERLINK("https://fin.land.naver.com/articles/2652987986", "매물Link")</f>
        <v/>
      </c>
      <c r="R433" s="6">
        <f>HYPERLINK("https://map.naver.com/p/search/연동면 내판리 187-2", "지도Link")</f>
        <v/>
      </c>
      <c r="S433" s="6">
        <f>HYPERLINK("http://www.eum.go.kr/web/ar/lu/luLandDet.jsp?pnu=3611032021101870002&amp;isNoScr=script&amp;mode=search", "토지이음")</f>
        <v/>
      </c>
      <c r="T433" s="3" t="inlineStr">
        <is>
          <t>월드</t>
        </is>
      </c>
      <c r="U433" s="4" t="n">
        <v>1</v>
      </c>
      <c r="V433" s="5" t="n">
        <v>200.9</v>
      </c>
      <c r="W433" s="4" t="n">
        <v>2828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8.4m</t>
        </is>
      </c>
      <c r="AC433" s="3" t="inlineStr">
        <is>
          <t>1998-12</t>
        </is>
      </c>
      <c r="AD433" s="3" t="inlineStr">
        <is>
          <t>소로한면</t>
        </is>
      </c>
    </row>
    <row r="434">
      <c r="A434" s="3" t="inlineStr">
        <is>
          <t>연동면 내판리 602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400000</v>
      </c>
      <c r="G434" s="4" t="n">
        <v>0</v>
      </c>
      <c r="H434" s="4" t="n">
        <v>3004</v>
      </c>
      <c r="I434" s="4" t="n">
        <v>909</v>
      </c>
      <c r="J434" s="5" t="n">
        <v>440</v>
      </c>
      <c r="K434" s="4" t="n">
        <v>1328</v>
      </c>
      <c r="L434" s="4" t="n">
        <v>402</v>
      </c>
      <c r="M434" s="5" t="n">
        <v>995</v>
      </c>
      <c r="N434" s="3" t="inlineStr">
        <is>
          <t>2</t>
        </is>
      </c>
      <c r="O434" s="3" t="inlineStr">
        <is>
          <t>-</t>
        </is>
      </c>
      <c r="P434" s="3" t="inlineStr">
        <is>
          <t>명학산단 인근, 입지 및 투자가치 A플러스 내판리 공장 매매</t>
        </is>
      </c>
      <c r="Q434" s="6">
        <f>HYPERLINK("https://fin.land.naver.com/articles/2654666148", "매물Link")</f>
        <v/>
      </c>
      <c r="R434" s="6">
        <f>HYPERLINK("https://map.naver.com/p/search/연동면 내판리 602", "지도Link")</f>
        <v/>
      </c>
      <c r="S434" s="6">
        <f>HYPERLINK("http://www.eum.go.kr/web/ar/lu/luLandDet.jsp?pnu=3611032021106020000&amp;isNoScr=script&amp;mode=search", "토지이음")</f>
        <v/>
      </c>
      <c r="T434" s="3" t="inlineStr">
        <is>
          <t>청담</t>
        </is>
      </c>
      <c r="U434" s="4" t="n">
        <v>2</v>
      </c>
      <c r="V434" s="5" t="n">
        <v>65.40000000000001</v>
      </c>
      <c r="W434" s="4" t="n">
        <v>3004</v>
      </c>
      <c r="X434" s="3" t="inlineStr">
        <is>
          <t>주건축물제1동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8.2m</t>
        </is>
      </c>
      <c r="AC434" s="3" t="inlineStr">
        <is>
          <t>2002-12</t>
        </is>
      </c>
      <c r="AD434" s="3" t="inlineStr">
        <is>
          <t>세로한면(가)</t>
        </is>
      </c>
    </row>
    <row r="435">
      <c r="A435" s="3" t="inlineStr">
        <is>
          <t>연동면 내판리 711</t>
        </is>
      </c>
      <c r="B435" s="3" t="inlineStr">
        <is>
          <t>일반공업지역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685000</v>
      </c>
      <c r="G435" s="4" t="n">
        <v>0</v>
      </c>
      <c r="H435" s="4" t="n">
        <v>4511</v>
      </c>
      <c r="I435" s="4" t="n">
        <v>1365</v>
      </c>
      <c r="J435" s="5" t="n">
        <v>501.8</v>
      </c>
      <c r="K435" s="4" t="n">
        <v>987</v>
      </c>
      <c r="L435" s="4" t="n">
        <v>299</v>
      </c>
      <c r="M435" s="5" t="n">
        <v>2291</v>
      </c>
      <c r="N435" s="3" t="inlineStr">
        <is>
          <t>2</t>
        </is>
      </c>
      <c r="O435" s="3" t="inlineStr">
        <is>
          <t>-</t>
        </is>
      </c>
      <c r="P435" s="3" t="inlineStr">
        <is>
          <t>명학산업단지 삼성전기 인근 귀한 공장 급매</t>
        </is>
      </c>
      <c r="Q435" s="6">
        <f>HYPERLINK("https://fin.land.naver.com/articles/2652597085", "매물Link")</f>
        <v/>
      </c>
      <c r="R435" s="6">
        <f>HYPERLINK("https://map.naver.com/p/search/연동면 내판리 711", "지도Link")</f>
        <v/>
      </c>
      <c r="S435" s="6">
        <f>HYPERLINK("http://www.eum.go.kr/web/ar/lu/luLandDet.jsp?pnu=3611032021107110000&amp;isNoScr=script&amp;mode=search", "토지이음")</f>
        <v/>
      </c>
      <c r="T435" s="3" t="inlineStr">
        <is>
          <t>청담</t>
        </is>
      </c>
      <c r="U435" s="4" t="n">
        <v>1</v>
      </c>
      <c r="V435" s="5" t="n">
        <v>106.6</v>
      </c>
      <c r="W435" s="4" t="n">
        <v>4511.2</v>
      </c>
      <c r="X435" s="3" t="inlineStr">
        <is>
          <t>주1동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9.5m</t>
        </is>
      </c>
      <c r="AC435" s="3" t="inlineStr">
        <is>
          <t>2017-12</t>
        </is>
      </c>
      <c r="AD435" s="3" t="inlineStr">
        <is>
          <t>중로한면</t>
        </is>
      </c>
    </row>
    <row r="436">
      <c r="A436" s="3" t="inlineStr">
        <is>
          <t>연동면 명학리 621-2</t>
        </is>
      </c>
      <c r="B436" s="3" t="inlineStr">
        <is>
          <t>보전관리지역</t>
        </is>
      </c>
      <c r="C436" s="3" t="inlineStr">
        <is>
          <t>대</t>
        </is>
      </c>
      <c r="D436" s="3" t="inlineStr">
        <is>
          <t>창고</t>
        </is>
      </c>
      <c r="E436" s="3" t="inlineStr">
        <is>
          <t>월세</t>
        </is>
      </c>
      <c r="F436" s="4" t="n">
        <v>3000</v>
      </c>
      <c r="G436" s="4" t="n">
        <v>150</v>
      </c>
      <c r="H436" s="4" t="n">
        <v>2192</v>
      </c>
      <c r="I436" s="4" t="n">
        <v>663</v>
      </c>
      <c r="J436" s="5" t="n">
        <v>0.2</v>
      </c>
      <c r="K436" s="4" t="n">
        <v>187</v>
      </c>
      <c r="L436" s="4" t="n">
        <v>57</v>
      </c>
      <c r="M436" s="5" t="n">
        <v>2.6</v>
      </c>
      <c r="N436" s="3" t="inlineStr">
        <is>
          <t>1</t>
        </is>
      </c>
      <c r="O436" s="3" t="inlineStr">
        <is>
          <t>-</t>
        </is>
      </c>
      <c r="P436" s="3" t="inlineStr">
        <is>
          <t>nan</t>
        </is>
      </c>
      <c r="Q436" s="6">
        <f>HYPERLINK("https://fin.land.naver.com/articles/2649624084", "매물Link")</f>
        <v/>
      </c>
      <c r="R436" s="6">
        <f>HYPERLINK("https://map.naver.com/p/search/연동면 명학리 621-2", "지도Link")</f>
        <v/>
      </c>
      <c r="S436" s="6">
        <f>HYPERLINK("http://www.eum.go.kr/web/ar/lu/luLandDet.jsp?pnu=3611032023106210002&amp;isNoScr=script&amp;mode=search", "토지이음")</f>
        <v/>
      </c>
      <c r="T436" s="3" t="inlineStr">
        <is>
          <t>효자</t>
        </is>
      </c>
      <c r="U436" s="4" t="n">
        <v>1</v>
      </c>
      <c r="V436" s="5" t="n">
        <v>76.40000000000001</v>
      </c>
      <c r="W436" s="4" t="n">
        <v>1868</v>
      </c>
      <c r="X436" s="3" t="inlineStr">
        <is>
          <t>주1동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제1종근생</t>
        </is>
      </c>
      <c r="AB436" s="3" t="inlineStr">
        <is>
          <t>5.15m</t>
        </is>
      </c>
      <c r="AC436" s="3" t="inlineStr">
        <is>
          <t>2020-12</t>
        </is>
      </c>
      <c r="AD436" s="3" t="inlineStr">
        <is>
          <t>세로한면(가)</t>
        </is>
      </c>
    </row>
    <row r="437">
      <c r="A437" s="3" t="inlineStr">
        <is>
          <t>연동면 명학리 964</t>
        </is>
      </c>
      <c r="B437" s="3" t="inlineStr">
        <is>
          <t>일반공업지역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3500000</v>
      </c>
      <c r="G437" s="4" t="n">
        <v>0</v>
      </c>
      <c r="H437" s="4" t="n">
        <v>21393</v>
      </c>
      <c r="I437" s="4" t="n">
        <v>6471</v>
      </c>
      <c r="J437" s="5" t="n">
        <v>540.9</v>
      </c>
      <c r="K437" s="4" t="n">
        <v>11128</v>
      </c>
      <c r="L437" s="4" t="n">
        <v>3366</v>
      </c>
      <c r="M437" s="5" t="n">
        <v>1039.8</v>
      </c>
      <c r="N437" s="3" t="inlineStr">
        <is>
          <t>3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HYPERLINK("https://fin.land.naver.com/articles/2649599958", "매물Link")</f>
        <v/>
      </c>
      <c r="R437" s="6">
        <f>HYPERLINK("https://map.naver.com/p/search/연동면 명학리 964", "지도Link")</f>
        <v/>
      </c>
      <c r="S437" s="6">
        <f>HYPERLINK("http://www.eum.go.kr/web/ar/lu/luLandDet.jsp?pnu=3611032023109640000&amp;isNoScr=script&amp;mode=search",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113.9</v>
      </c>
      <c r="W437" s="4" t="n">
        <v>21393.3</v>
      </c>
      <c r="X437" s="3" t="inlineStr">
        <is>
          <t>미표기</t>
        </is>
      </c>
      <c r="Y437" s="7" t="inlineStr">
        <is>
          <t>3층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14.2m</t>
        </is>
      </c>
      <c r="AC437" s="3" t="inlineStr">
        <is>
          <t>2017-06</t>
        </is>
      </c>
      <c r="AD437" s="3" t="inlineStr">
        <is>
          <t>중로한면</t>
        </is>
      </c>
    </row>
    <row r="438">
      <c r="A438" s="3" t="inlineStr">
        <is>
          <t>연동면 명학리 964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3500000</v>
      </c>
      <c r="G438" s="4" t="n">
        <v>0</v>
      </c>
      <c r="H438" s="4" t="n">
        <v>21393</v>
      </c>
      <c r="I438" s="4" t="n">
        <v>6471</v>
      </c>
      <c r="J438" s="5" t="n">
        <v>540.9</v>
      </c>
      <c r="K438" s="4" t="n">
        <v>11128</v>
      </c>
      <c r="L438" s="4" t="n">
        <v>3366</v>
      </c>
      <c r="M438" s="5" t="n">
        <v>1039.8</v>
      </c>
      <c r="N438" s="3" t="inlineStr">
        <is>
          <t>3</t>
        </is>
      </c>
      <c r="O438" s="3" t="inlineStr">
        <is>
          <t>-</t>
        </is>
      </c>
      <c r="P438" s="3" t="inlineStr">
        <is>
          <t>세종시 일반공업지역의 호이스트 및 층고 높은 대형공장</t>
        </is>
      </c>
      <c r="Q438" s="6">
        <f>HYPERLINK("https://fin.land.naver.com/articles/2653996587", "매물Link")</f>
        <v/>
      </c>
      <c r="R438" s="6">
        <f>HYPERLINK("https://map.naver.com/p/search/연동면 명학리 964", "지도Link")</f>
        <v/>
      </c>
      <c r="S438" s="6">
        <f>HYPERLINK("http://www.eum.go.kr/web/ar/lu/luLandDet.jsp?pnu=3611032023109640000&amp;isNoScr=script&amp;mode=search", "토지이음")</f>
        <v/>
      </c>
      <c r="T438" s="3" t="inlineStr">
        <is>
          <t>(주)미르</t>
        </is>
      </c>
      <c r="U438" s="4" t="n">
        <v>2</v>
      </c>
      <c r="V438" s="5" t="n">
        <v>113.9</v>
      </c>
      <c r="W438" s="4" t="n">
        <v>21393.3</v>
      </c>
      <c r="X438" s="3" t="inlineStr">
        <is>
          <t>미표기</t>
        </is>
      </c>
      <c r="Y438" s="7" t="inlineStr">
        <is>
          <t>3층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14.2m</t>
        </is>
      </c>
      <c r="AC438" s="3" t="inlineStr">
        <is>
          <t>2017-06</t>
        </is>
      </c>
      <c r="AD438" s="3" t="inlineStr">
        <is>
          <t>중로한면</t>
        </is>
      </c>
    </row>
    <row r="439">
      <c r="A439" s="3" t="inlineStr">
        <is>
          <t>연동면 송용리 254-1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창고</t>
        </is>
      </c>
      <c r="E439" s="3" t="inlineStr">
        <is>
          <t>월세</t>
        </is>
      </c>
      <c r="F439" s="4" t="n">
        <v>3000</v>
      </c>
      <c r="G439" s="4" t="n">
        <v>200</v>
      </c>
      <c r="H439" s="4" t="n">
        <v>164</v>
      </c>
      <c r="I439" s="4" t="n">
        <v>50</v>
      </c>
      <c r="J439" s="5" t="n">
        <v>4</v>
      </c>
      <c r="K439" s="4" t="n">
        <v>330</v>
      </c>
      <c r="L439" s="4" t="n">
        <v>100</v>
      </c>
      <c r="M439" s="5" t="n">
        <v>2</v>
      </c>
      <c r="N439" s="3" t="inlineStr">
        <is>
          <t>1</t>
        </is>
      </c>
      <c r="O439" s="3" t="inlineStr">
        <is>
          <t>-</t>
        </is>
      </c>
      <c r="P439" s="3" t="inlineStr">
        <is>
          <t>카폐 및 창고사무실추천</t>
        </is>
      </c>
      <c r="Q439" s="6">
        <f>HYPERLINK("https://fin.land.naver.com/articles/2651027858", "매물Link")</f>
        <v/>
      </c>
      <c r="R439" s="6">
        <f>HYPERLINK("https://map.naver.com/p/search/연동면 송용리 254-1", "지도Link")</f>
        <v/>
      </c>
      <c r="S439" s="6">
        <f>HYPERLINK("http://www.eum.go.kr/web/ar/lu/luLandDet.jsp?pnu=3611032027102540001&amp;isNoScr=script&amp;mode=search", "토지이음")</f>
        <v/>
      </c>
      <c r="T439" s="3" t="inlineStr">
        <is>
          <t>연동스카이</t>
        </is>
      </c>
      <c r="U439" s="4" t="n">
        <v>1</v>
      </c>
      <c r="V439" s="5" t="n">
        <v>57.3</v>
      </c>
      <c r="W439" s="4" t="n">
        <v>1649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철근콘크리트구조</t>
        </is>
      </c>
      <c r="AA439" s="3" t="inlineStr">
        <is>
          <t>창고시설</t>
        </is>
      </c>
      <c r="AB439" s="3" t="inlineStr">
        <is>
          <t>-</t>
        </is>
      </c>
      <c r="AC439" s="3" t="inlineStr">
        <is>
          <t>1976-04</t>
        </is>
      </c>
      <c r="AD439" s="3" t="inlineStr">
        <is>
          <t>세로한면(가)</t>
        </is>
      </c>
    </row>
    <row r="440">
      <c r="A440" s="3" t="inlineStr">
        <is>
          <t>연동면 응암리 108-4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1600000</v>
      </c>
      <c r="G440" s="4" t="n">
        <v>0</v>
      </c>
      <c r="H440" s="4" t="n">
        <v>24760</v>
      </c>
      <c r="I440" s="4" t="n">
        <v>7490</v>
      </c>
      <c r="J440" s="5" t="n">
        <v>213.6</v>
      </c>
      <c r="K440" s="4" t="n">
        <v>4454</v>
      </c>
      <c r="L440" s="4" t="n">
        <v>1347</v>
      </c>
      <c r="M440" s="5" t="n">
        <v>1187.8</v>
      </c>
      <c r="N440" s="3" t="inlineStr">
        <is>
          <t>1</t>
        </is>
      </c>
      <c r="O440" s="3" t="inlineStr">
        <is>
          <t>-</t>
        </is>
      </c>
      <c r="P440" s="3" t="inlineStr">
        <is>
          <t>세종시의 대형공장 및 창고,물류센터 추천, 남청주IC에서 7km 위치</t>
        </is>
      </c>
      <c r="Q440" s="6">
        <f>HYPERLINK("https://fin.land.naver.com/articles/2654726261", "매물Link")</f>
        <v/>
      </c>
      <c r="R440" s="6">
        <f>HYPERLINK("https://map.naver.com/p/search/연동면 응암리 108-4", "지도Link")</f>
        <v/>
      </c>
      <c r="S440" s="6">
        <f>HYPERLINK("http://www.eum.go.kr/web/ar/lu/luLandDet.jsp?pnu=3611032024101080004&amp;isNoScr=script&amp;mode=search", "토지이음")</f>
        <v/>
      </c>
      <c r="T440" s="3" t="inlineStr">
        <is>
          <t>금화랜드</t>
        </is>
      </c>
      <c r="U440" s="4" t="n">
        <v>2</v>
      </c>
      <c r="V440" s="5" t="n">
        <v>75.8</v>
      </c>
      <c r="W440" s="4" t="n">
        <v>24760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13.45m</t>
        </is>
      </c>
      <c r="AC440" s="3" t="inlineStr">
        <is>
          <t>2018-02</t>
        </is>
      </c>
      <c r="AD440" s="3" t="inlineStr">
        <is>
          <t>소로한면</t>
        </is>
      </c>
    </row>
    <row r="441">
      <c r="A441" s="3" t="inlineStr">
        <is>
          <t>연동면 응암리 108-4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1600000</v>
      </c>
      <c r="G441" s="4" t="n">
        <v>0</v>
      </c>
      <c r="H441" s="4" t="n">
        <v>24760</v>
      </c>
      <c r="I441" s="4" t="n">
        <v>7490</v>
      </c>
      <c r="J441" s="5" t="n">
        <v>213.6</v>
      </c>
      <c r="K441" s="4" t="n">
        <v>4454</v>
      </c>
      <c r="L441" s="4" t="n">
        <v>1347</v>
      </c>
      <c r="M441" s="5" t="n">
        <v>1187.8</v>
      </c>
      <c r="N441" s="3" t="inlineStr">
        <is>
          <t>1</t>
        </is>
      </c>
      <c r="O441" s="3" t="inlineStr">
        <is>
          <t>-</t>
        </is>
      </c>
      <c r="P441" s="3" t="inlineStr">
        <is>
          <t>세종5생활권인근 대형공장 창고,남청주IC 10분거리 층고 13.45M</t>
        </is>
      </c>
      <c r="Q441" s="6">
        <f>HYPERLINK("https://fin.land.naver.com/articles/2652625576", "매물Link")</f>
        <v/>
      </c>
      <c r="R441" s="6">
        <f>HYPERLINK("https://map.naver.com/p/search/연동면 응암리 108-4", "지도Link")</f>
        <v/>
      </c>
      <c r="S441" s="6">
        <f>HYPERLINK("http://www.eum.go.kr/web/ar/lu/luLandDet.jsp?pnu=3611032024101080004&amp;isNoScr=script&amp;mode=search", "토지이음")</f>
        <v/>
      </c>
      <c r="T441" s="3" t="inlineStr">
        <is>
          <t>더원</t>
        </is>
      </c>
      <c r="U441" s="4" t="n">
        <v>2</v>
      </c>
      <c r="V441" s="5" t="n">
        <v>75.8</v>
      </c>
      <c r="W441" s="4" t="n">
        <v>24760</v>
      </c>
      <c r="X441" s="3" t="inlineStr">
        <is>
          <t>주1동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13.45m</t>
        </is>
      </c>
      <c r="AC441" s="3" t="inlineStr">
        <is>
          <t>2018-02</t>
        </is>
      </c>
      <c r="AD441" s="3" t="inlineStr">
        <is>
          <t>소로한면</t>
        </is>
      </c>
    </row>
    <row r="442">
      <c r="A442" s="3" t="inlineStr">
        <is>
          <t>연동면 응암리 561-1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300000</v>
      </c>
      <c r="G442" s="4" t="n">
        <v>0</v>
      </c>
      <c r="H442" s="4" t="n">
        <v>2277</v>
      </c>
      <c r="I442" s="4" t="n">
        <v>689</v>
      </c>
      <c r="J442" s="5" t="n">
        <v>435.4</v>
      </c>
      <c r="K442" s="4" t="n">
        <v>1150</v>
      </c>
      <c r="L442" s="4" t="n">
        <v>348</v>
      </c>
      <c r="M442" s="5" t="n">
        <v>862.1</v>
      </c>
      <c r="N442" s="3" t="inlineStr">
        <is>
          <t>2</t>
        </is>
      </c>
      <c r="O442" s="3" t="inlineStr">
        <is>
          <t>-</t>
        </is>
      </c>
      <c r="P442" s="3" t="inlineStr">
        <is>
          <t>nan</t>
        </is>
      </c>
      <c r="Q442" s="6">
        <f>HYPERLINK("https://fin.land.naver.com/articles/2650955285", "매물Link")</f>
        <v/>
      </c>
      <c r="R442" s="6">
        <f>HYPERLINK("https://map.naver.com/p/search/연동면 응암리 561-1", "지도Link")</f>
        <v/>
      </c>
      <c r="S442" s="6">
        <f>HYPERLINK("http://www.eum.go.kr/web/ar/lu/luLandDet.jsp?pnu=3611032024105610001&amp;isNoScr=script&amp;mode=search", "토지이음")</f>
        <v/>
      </c>
      <c r="T442" s="3" t="inlineStr">
        <is>
          <t>세종땅전문</t>
        </is>
      </c>
      <c r="U442" s="4" t="n">
        <v>1</v>
      </c>
      <c r="V442" s="5" t="n">
        <v>68.8</v>
      </c>
      <c r="W442" s="4" t="n">
        <v>2277</v>
      </c>
      <c r="X442" s="3" t="inlineStr">
        <is>
          <t>주건축물제1동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9.3m</t>
        </is>
      </c>
      <c r="AC442" s="3" t="inlineStr">
        <is>
          <t>2011-10</t>
        </is>
      </c>
      <c r="AD442" s="3" t="inlineStr">
        <is>
          <t>소로한면</t>
        </is>
      </c>
    </row>
    <row r="443">
      <c r="A443" s="3" t="inlineStr">
        <is>
          <t>연동면 응암리 561-1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300000</v>
      </c>
      <c r="G443" s="4" t="n">
        <v>0</v>
      </c>
      <c r="H443" s="4" t="n">
        <v>2277</v>
      </c>
      <c r="I443" s="4" t="n">
        <v>689</v>
      </c>
      <c r="J443" s="5" t="n">
        <v>435.4</v>
      </c>
      <c r="K443" s="4" t="n">
        <v>1150</v>
      </c>
      <c r="L443" s="4" t="n">
        <v>348</v>
      </c>
      <c r="M443" s="5" t="n">
        <v>862.1</v>
      </c>
      <c r="N443" s="3" t="inlineStr">
        <is>
          <t>2</t>
        </is>
      </c>
      <c r="O443" s="3" t="inlineStr">
        <is>
          <t>-</t>
        </is>
      </c>
      <c r="P443" s="3" t="inlineStr">
        <is>
          <t>행복도시 도심1분 최인접 명학산업단지 건너편 6차선도로 바로옆</t>
        </is>
      </c>
      <c r="Q443" s="6">
        <f>HYPERLINK("https://fin.land.naver.com/articles/2651087083", "매물Link")</f>
        <v/>
      </c>
      <c r="R443" s="6">
        <f>HYPERLINK("https://map.naver.com/p/search/연동면 응암리 561-1", "지도Link")</f>
        <v/>
      </c>
      <c r="S443" s="6">
        <f>HYPERLINK("http://www.eum.go.kr/web/ar/lu/luLandDet.jsp?pnu=3611032024105610001&amp;isNoScr=script&amp;mode=search", "토지이음")</f>
        <v/>
      </c>
      <c r="T443" s="3" t="inlineStr">
        <is>
          <t>세종스타</t>
        </is>
      </c>
      <c r="U443" s="4" t="n">
        <v>2</v>
      </c>
      <c r="V443" s="5" t="n">
        <v>68.8</v>
      </c>
      <c r="W443" s="4" t="n">
        <v>2277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9.3m</t>
        </is>
      </c>
      <c r="AC443" s="3" t="inlineStr">
        <is>
          <t>2011-10</t>
        </is>
      </c>
      <c r="AD443" s="3" t="inlineStr">
        <is>
          <t>소로한면</t>
        </is>
      </c>
    </row>
    <row r="444">
      <c r="A444" s="3" t="inlineStr">
        <is>
          <t>연동면 응암리 561-1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300000</v>
      </c>
      <c r="G444" s="4" t="n">
        <v>0</v>
      </c>
      <c r="H444" s="4" t="n">
        <v>2277</v>
      </c>
      <c r="I444" s="4" t="n">
        <v>689</v>
      </c>
      <c r="J444" s="5" t="n">
        <v>435.4</v>
      </c>
      <c r="K444" s="4" t="n">
        <v>1150</v>
      </c>
      <c r="L444" s="4" t="n">
        <v>348</v>
      </c>
      <c r="M444" s="5" t="n">
        <v>862.1</v>
      </c>
      <c r="N444" s="3" t="inlineStr">
        <is>
          <t>2</t>
        </is>
      </c>
      <c r="O444" s="3" t="inlineStr">
        <is>
          <t>-</t>
        </is>
      </c>
      <c r="P444" s="3" t="inlineStr">
        <is>
          <t>사진有 공장 매매</t>
        </is>
      </c>
      <c r="Q444" s="6">
        <f>HYPERLINK("https://fin.land.naver.com/articles/2649601039", "매물Link")</f>
        <v/>
      </c>
      <c r="R444" s="6">
        <f>HYPERLINK("https://map.naver.com/p/search/연동면 응암리 561-1", "지도Link")</f>
        <v/>
      </c>
      <c r="S444" s="6">
        <f>HYPERLINK("http://www.eum.go.kr/web/ar/lu/luLandDet.jsp?pnu=3611032024105610001&amp;isNoScr=script&amp;mode=search",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68.8</v>
      </c>
      <c r="W444" s="4" t="n">
        <v>2277</v>
      </c>
      <c r="X444" s="3" t="inlineStr">
        <is>
          <t>주건축물제1동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9.3m</t>
        </is>
      </c>
      <c r="AC444" s="3" t="inlineStr">
        <is>
          <t>2011-10</t>
        </is>
      </c>
      <c r="AD444" s="3" t="inlineStr">
        <is>
          <t>소로한면</t>
        </is>
      </c>
    </row>
    <row r="445">
      <c r="A445" s="3" t="inlineStr">
        <is>
          <t>연동면 응암리 666-1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3500</v>
      </c>
      <c r="G445" s="4" t="n">
        <v>240</v>
      </c>
      <c r="H445" s="4" t="n">
        <v>7015</v>
      </c>
      <c r="I445" s="4" t="n">
        <v>2122</v>
      </c>
      <c r="J445" s="5" t="n">
        <v>0.1</v>
      </c>
      <c r="K445" s="4" t="n">
        <v>4117</v>
      </c>
      <c r="L445" s="4" t="n">
        <v>1245</v>
      </c>
      <c r="M445" s="5" t="n">
        <v>0.2</v>
      </c>
      <c r="N445" s="3" t="inlineStr">
        <is>
          <t>2</t>
        </is>
      </c>
      <c r="O445" s="3" t="inlineStr">
        <is>
          <t>-</t>
        </is>
      </c>
      <c r="P445" s="3" t="inlineStr">
        <is>
          <t>공장 및 창고 가능, 즉시 입주 가능, 대형차 진출입 가능</t>
        </is>
      </c>
      <c r="Q445" s="6">
        <f>HYPERLINK("https://fin.land.naver.com/articles/2653065571", "매물Link")</f>
        <v/>
      </c>
      <c r="R445" s="6">
        <f>HYPERLINK("https://map.naver.com/p/search/연동면 응암리 666-1", "지도Link")</f>
        <v/>
      </c>
      <c r="S445" s="6">
        <f>HYPERLINK("http://www.eum.go.kr/web/ar/lu/luLandDet.jsp?pnu=3611032024106660001&amp;isNoScr=script&amp;mode=search", "토지이음")</f>
        <v/>
      </c>
      <c r="T445" s="3" t="inlineStr">
        <is>
          <t>주식회사 대기</t>
        </is>
      </c>
      <c r="U445" s="4" t="n">
        <v>1</v>
      </c>
      <c r="V445" s="5" t="n">
        <v>78.3</v>
      </c>
      <c r="W445" s="4" t="n">
        <v>6682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1990</t>
        </is>
      </c>
      <c r="AD445" s="3" t="inlineStr">
        <is>
          <t>소로한면</t>
        </is>
      </c>
    </row>
    <row r="446">
      <c r="A446" s="3" t="inlineStr">
        <is>
          <t>연동면 응암리 666-1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4000</v>
      </c>
      <c r="G446" s="4" t="n">
        <v>360</v>
      </c>
      <c r="H446" s="4" t="n">
        <v>7015</v>
      </c>
      <c r="I446" s="4" t="n">
        <v>2122</v>
      </c>
      <c r="J446" s="5" t="n">
        <v>0.2</v>
      </c>
      <c r="K446" s="4" t="n">
        <v>3266</v>
      </c>
      <c r="L446" s="4" t="n">
        <v>988</v>
      </c>
      <c r="M446" s="5" t="n">
        <v>0.4</v>
      </c>
      <c r="N446" s="3" t="inlineStr">
        <is>
          <t>2</t>
        </is>
      </c>
      <c r="O446" s="3" t="inlineStr">
        <is>
          <t>B1</t>
        </is>
      </c>
      <c r="P446" s="3" t="inlineStr">
        <is>
          <t>사통팔달세종시 창고 및 공장 임대</t>
        </is>
      </c>
      <c r="Q446" s="6">
        <f>HYPERLINK("https://fin.land.naver.com/articles/2652104001", "매물Link")</f>
        <v/>
      </c>
      <c r="R446" s="6">
        <f>HYPERLINK("https://map.naver.com/p/search/연동면 응암리 666-1", "지도Link")</f>
        <v/>
      </c>
      <c r="S446" s="6">
        <f>HYPERLINK("http://www.eum.go.kr/web/ar/lu/luLandDet.jsp?pnu=3611032024106660001&amp;isNoScr=script&amp;mode=search", "토지이음")</f>
        <v/>
      </c>
      <c r="T446" s="3" t="inlineStr">
        <is>
          <t>주식회사 써밋</t>
        </is>
      </c>
      <c r="U446" s="4" t="n">
        <v>1</v>
      </c>
      <c r="V446" s="5" t="n">
        <v>78.3</v>
      </c>
      <c r="W446" s="4" t="n">
        <v>6682</v>
      </c>
      <c r="X446" s="3" t="inlineStr">
        <is>
          <t>1동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1990</t>
        </is>
      </c>
      <c r="AD446" s="3" t="inlineStr">
        <is>
          <t>소로한면</t>
        </is>
      </c>
    </row>
    <row r="447">
      <c r="A447" s="3" t="inlineStr">
        <is>
          <t>연동면 응암리 666-1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3000</v>
      </c>
      <c r="G447" s="4" t="n">
        <v>360</v>
      </c>
      <c r="H447" s="4" t="n">
        <v>7015</v>
      </c>
      <c r="I447" s="4" t="n">
        <v>2122</v>
      </c>
      <c r="J447" s="5" t="n">
        <v>0.2</v>
      </c>
      <c r="K447" s="4" t="n">
        <v>991</v>
      </c>
      <c r="L447" s="4" t="n">
        <v>300</v>
      </c>
      <c r="M447" s="5" t="n">
        <v>1.2</v>
      </c>
      <c r="N447" s="3" t="inlineStr">
        <is>
          <t>2</t>
        </is>
      </c>
      <c r="O447" s="3" t="inlineStr">
        <is>
          <t>B1</t>
        </is>
      </c>
      <c r="P447" s="3" t="inlineStr">
        <is>
          <t>공장 임대</t>
        </is>
      </c>
      <c r="Q447" s="6">
        <f>HYPERLINK("https://fin.land.naver.com/articles/2653033385", "매물Link")</f>
        <v/>
      </c>
      <c r="R447" s="6">
        <f>HYPERLINK("https://map.naver.com/p/search/연동면 응암리 666-1", "지도Link")</f>
        <v/>
      </c>
      <c r="S447" s="6">
        <f>HYPERLINK("http://www.eum.go.kr/web/ar/lu/luLandDet.jsp?pnu=3611032024106660001&amp;isNoScr=script&amp;mode=search", "토지이음")</f>
        <v/>
      </c>
      <c r="T447" s="3" t="inlineStr">
        <is>
          <t>월드</t>
        </is>
      </c>
      <c r="U447" s="4" t="n">
        <v>1</v>
      </c>
      <c r="V447" s="5" t="n">
        <v>78.3</v>
      </c>
      <c r="W447" s="4" t="n">
        <v>6682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6.7m</t>
        </is>
      </c>
      <c r="AC447" s="3" t="inlineStr">
        <is>
          <t>1999-11</t>
        </is>
      </c>
      <c r="AD447" s="3" t="inlineStr">
        <is>
          <t>소로한면</t>
        </is>
      </c>
    </row>
    <row r="448">
      <c r="A448" s="3" t="inlineStr">
        <is>
          <t>연동면 응암리 666-1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4000</v>
      </c>
      <c r="G448" s="4" t="n">
        <v>360</v>
      </c>
      <c r="H448" s="4" t="n">
        <v>7015</v>
      </c>
      <c r="I448" s="4" t="n">
        <v>2122</v>
      </c>
      <c r="J448" s="5" t="n">
        <v>0.2</v>
      </c>
      <c r="K448" s="4" t="n">
        <v>4117</v>
      </c>
      <c r="L448" s="4" t="n">
        <v>1245</v>
      </c>
      <c r="M448" s="5" t="n">
        <v>0.3</v>
      </c>
      <c r="N448" s="3" t="inlineStr">
        <is>
          <t>2</t>
        </is>
      </c>
      <c r="O448" s="3" t="inlineStr">
        <is>
          <t>-</t>
        </is>
      </c>
      <c r="P448" s="3" t="inlineStr">
        <is>
          <t>공장 및 창고 가능, 즉시 입주 가능, 대형차 진출입 가능</t>
        </is>
      </c>
      <c r="Q448" s="6">
        <f>HYPERLINK("https://fin.land.naver.com/articles/2653062776", "매물Link")</f>
        <v/>
      </c>
      <c r="R448" s="6">
        <f>HYPERLINK("https://map.naver.com/p/search/연동면 응암리 666-1", "지도Link")</f>
        <v/>
      </c>
      <c r="S448" s="6">
        <f>HYPERLINK("http://www.eum.go.kr/web/ar/lu/luLandDet.jsp?pnu=3611032024106660001&amp;isNoScr=script&amp;mode=search", "토지이음")</f>
        <v/>
      </c>
      <c r="T448" s="3" t="inlineStr">
        <is>
          <t>주식회사 대기</t>
        </is>
      </c>
      <c r="U448" s="4" t="n">
        <v>1</v>
      </c>
      <c r="V448" s="5" t="n">
        <v>78.3</v>
      </c>
      <c r="W448" s="4" t="n">
        <v>6682</v>
      </c>
      <c r="X448" s="3" t="inlineStr">
        <is>
          <t>1동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1990</t>
        </is>
      </c>
      <c r="AD448" s="3" t="inlineStr">
        <is>
          <t>소로한면</t>
        </is>
      </c>
    </row>
    <row r="449">
      <c r="A449" s="3" t="inlineStr">
        <is>
          <t>연동면 응암리 666-6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670000</v>
      </c>
      <c r="G449" s="4" t="n">
        <v>0</v>
      </c>
      <c r="H449" s="4" t="n">
        <v>10093</v>
      </c>
      <c r="I449" s="4" t="n">
        <v>3053</v>
      </c>
      <c r="J449" s="5" t="n">
        <v>219.5</v>
      </c>
      <c r="K449" s="4" t="n">
        <v>5677</v>
      </c>
      <c r="L449" s="4" t="n">
        <v>1717</v>
      </c>
      <c r="M449" s="5" t="n">
        <v>390.2</v>
      </c>
      <c r="N449" s="3" t="inlineStr">
        <is>
          <t>3</t>
        </is>
      </c>
      <c r="O449" s="3" t="inlineStr">
        <is>
          <t>B1</t>
        </is>
      </c>
      <c r="P449" s="3" t="inlineStr">
        <is>
          <t>세종 농공단지 의료기공장,남청주IC에서 가깝고, 대형차진출입이 편리함</t>
        </is>
      </c>
      <c r="Q449" s="6">
        <f>HYPERLINK("https://fin.land.naver.com/articles/2654295340", "매물Link")</f>
        <v/>
      </c>
      <c r="R449" s="6">
        <f>HYPERLINK("https://map.naver.com/p/search/연동면 응암리 666-6", "지도Link")</f>
        <v/>
      </c>
      <c r="S449" s="6">
        <f>HYPERLINK("http://www.eum.go.kr/web/ar/lu/luLandDet.jsp?pnu=3611032024106660006&amp;isNoScr=script&amp;mode=search", "토지이음")</f>
        <v/>
      </c>
      <c r="T449" s="3" t="inlineStr">
        <is>
          <t>(주)미르</t>
        </is>
      </c>
      <c r="U449" s="4" t="n">
        <v>3</v>
      </c>
      <c r="V449" s="5" t="n">
        <v>78.3</v>
      </c>
      <c r="W449" s="4" t="n">
        <v>9368</v>
      </c>
      <c r="X449" s="3" t="inlineStr">
        <is>
          <t>1동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/>
      <c r="AD449" s="3" t="inlineStr">
        <is>
          <t>소로한면</t>
        </is>
      </c>
    </row>
    <row r="450">
      <c r="A450" s="3" t="inlineStr">
        <is>
          <t>연동면 응암리 666-6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670000</v>
      </c>
      <c r="G450" s="4" t="n">
        <v>0</v>
      </c>
      <c r="H450" s="4" t="n">
        <v>10093</v>
      </c>
      <c r="I450" s="4" t="n">
        <v>3053</v>
      </c>
      <c r="J450" s="5" t="n">
        <v>219.5</v>
      </c>
      <c r="K450" s="4" t="n">
        <v>5677</v>
      </c>
      <c r="L450" s="4" t="n">
        <v>1717</v>
      </c>
      <c r="M450" s="5" t="n">
        <v>390.2</v>
      </c>
      <c r="N450" s="3" t="inlineStr">
        <is>
          <t>2</t>
        </is>
      </c>
      <c r="O450" s="3" t="inlineStr">
        <is>
          <t>B1</t>
        </is>
      </c>
      <c r="P450" s="3" t="inlineStr">
        <is>
          <t>사진有 공장 매매</t>
        </is>
      </c>
      <c r="Q450" s="6">
        <f>HYPERLINK("https://fin.land.naver.com/articles/2649601593", "매물Link")</f>
        <v/>
      </c>
      <c r="R450" s="6">
        <f>HYPERLINK("https://map.naver.com/p/search/연동면 응암리 666-6", "지도Link")</f>
        <v/>
      </c>
      <c r="S450" s="6">
        <f>HYPERLINK("http://www.eum.go.kr/web/ar/lu/luLandDet.jsp?pnu=3611032024106660006&amp;isNoScr=script&amp;mode=search", "토지이음")</f>
        <v/>
      </c>
      <c r="T450" s="3" t="inlineStr">
        <is>
          <t>월드</t>
        </is>
      </c>
      <c r="U450" s="4" t="n">
        <v>1</v>
      </c>
      <c r="V450" s="5" t="n">
        <v>78.3</v>
      </c>
      <c r="W450" s="4" t="n">
        <v>9368</v>
      </c>
      <c r="X450" s="3" t="inlineStr">
        <is>
          <t>1동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/>
      <c r="AD450" s="3" t="inlineStr">
        <is>
          <t>소로한면</t>
        </is>
      </c>
    </row>
    <row r="451">
      <c r="A451" s="3" t="inlineStr">
        <is>
          <t>연동면 응암리 666-6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670000</v>
      </c>
      <c r="G451" s="4" t="n">
        <v>0</v>
      </c>
      <c r="H451" s="4" t="n">
        <v>10093</v>
      </c>
      <c r="I451" s="4" t="n">
        <v>3053</v>
      </c>
      <c r="J451" s="5" t="n">
        <v>219.5</v>
      </c>
      <c r="K451" s="4" t="n">
        <v>10093</v>
      </c>
      <c r="L451" s="4" t="n">
        <v>3053</v>
      </c>
      <c r="M451" s="5" t="n">
        <v>219.5</v>
      </c>
      <c r="N451" s="3" t="inlineStr">
        <is>
          <t>2</t>
        </is>
      </c>
      <c r="O451" s="3" t="inlineStr">
        <is>
          <t>B1</t>
        </is>
      </c>
      <c r="P451" s="3" t="inlineStr">
        <is>
          <t>세종시 5생활권 접 산업단지  공장매매</t>
        </is>
      </c>
      <c r="Q451" s="6">
        <f>HYPERLINK("https://fin.land.naver.com/articles/2652650620", "매물Link")</f>
        <v/>
      </c>
      <c r="R451" s="6">
        <f>HYPERLINK("https://map.naver.com/p/search/연동면 응암리 666-6", "지도Link")</f>
        <v/>
      </c>
      <c r="S451" s="6">
        <f>HYPERLINK("http://www.eum.go.kr/web/ar/lu/luLandDet.jsp?pnu=3611032024106660006&amp;isNoScr=script&amp;mode=search", "토지이음")</f>
        <v/>
      </c>
      <c r="T451" s="3" t="inlineStr">
        <is>
          <t>대박</t>
        </is>
      </c>
      <c r="U451" s="4" t="n">
        <v>1</v>
      </c>
      <c r="V451" s="5" t="n">
        <v>78.3</v>
      </c>
      <c r="W451" s="4" t="n">
        <v>9368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/>
      <c r="AD451" s="3" t="inlineStr">
        <is>
          <t>소로한면</t>
        </is>
      </c>
    </row>
    <row r="452">
      <c r="A452" s="3" t="inlineStr">
        <is>
          <t>연동면 응암리 676-12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7600</v>
      </c>
      <c r="G452" s="4" t="n">
        <v>760</v>
      </c>
      <c r="H452" s="4" t="n">
        <v>5241</v>
      </c>
      <c r="I452" s="4" t="n">
        <v>1585</v>
      </c>
      <c r="J452" s="5" t="n">
        <v>0.5</v>
      </c>
      <c r="K452" s="4" t="n">
        <v>1096</v>
      </c>
      <c r="L452" s="4" t="n">
        <v>332</v>
      </c>
      <c r="M452" s="5" t="n">
        <v>2.3</v>
      </c>
      <c r="N452" s="3" t="inlineStr">
        <is>
          <t>1</t>
        </is>
      </c>
      <c r="O452" s="3" t="inlineStr">
        <is>
          <t>-</t>
        </is>
      </c>
      <c r="P452" s="3" t="inlineStr">
        <is>
          <t>세종명학산업단지 초근접 2차선 도로변 공장, 물류창고 임대</t>
        </is>
      </c>
      <c r="Q452" s="6">
        <f>HYPERLINK("https://fin.land.naver.com/articles/2649815821", "매물Link")</f>
        <v/>
      </c>
      <c r="R452" s="6">
        <f>HYPERLINK("https://map.naver.com/p/search/연동면 응암리 676-12", "지도Link")</f>
        <v/>
      </c>
      <c r="S452" s="6">
        <f>HYPERLINK("http://www.eum.go.kr/web/ar/lu/luLandDet.jsp?pnu=3611032024106760012&amp;isNoScr=script&amp;mode=search", "토지이음")</f>
        <v/>
      </c>
      <c r="T452" s="3" t="inlineStr">
        <is>
          <t>청담</t>
        </is>
      </c>
      <c r="U452" s="4" t="n">
        <v>1</v>
      </c>
      <c r="V452" s="5" t="n">
        <v>63.9</v>
      </c>
      <c r="W452" s="4" t="n">
        <v>5241</v>
      </c>
      <c r="X452" s="3" t="inlineStr">
        <is>
          <t>2동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10.25m</t>
        </is>
      </c>
      <c r="AC452" s="3" t="inlineStr">
        <is>
          <t>2015-03</t>
        </is>
      </c>
      <c r="AD452" s="3" t="inlineStr">
        <is>
          <t>소로한면</t>
        </is>
      </c>
    </row>
    <row r="453">
      <c r="A453" s="3" t="inlineStr">
        <is>
          <t>연동면 응암리 676-12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7000</v>
      </c>
      <c r="G453" s="4" t="n">
        <v>750</v>
      </c>
      <c r="H453" s="4" t="n">
        <v>5241</v>
      </c>
      <c r="I453" s="4" t="n">
        <v>1585</v>
      </c>
      <c r="J453" s="5" t="n">
        <v>0.5</v>
      </c>
      <c r="K453" s="4" t="n">
        <v>1096</v>
      </c>
      <c r="L453" s="4" t="n">
        <v>332</v>
      </c>
      <c r="M453" s="5" t="n">
        <v>2.3</v>
      </c>
      <c r="N453" s="3" t="inlineStr">
        <is>
          <t>1</t>
        </is>
      </c>
      <c r="O453" s="3" t="inlineStr">
        <is>
          <t>-</t>
        </is>
      </c>
      <c r="P453" s="3" t="inlineStr">
        <is>
          <t>2차선에 접한 접근성좋고 광고효과 좋은 공장입니다</t>
        </is>
      </c>
      <c r="Q453" s="6">
        <f>HYPERLINK("https://fin.land.naver.com/articles/2653790919", "매물Link")</f>
        <v/>
      </c>
      <c r="R453" s="6">
        <f>HYPERLINK("https://map.naver.com/p/search/연동면 응암리 676-12", "지도Link")</f>
        <v/>
      </c>
      <c r="S453" s="6">
        <f>HYPERLINK("http://www.eum.go.kr/web/ar/lu/luLandDet.jsp?pnu=3611032024106760012&amp;isNoScr=script&amp;mode=search", "토지이음")</f>
        <v/>
      </c>
      <c r="T453" s="3" t="inlineStr">
        <is>
          <t>복댕이</t>
        </is>
      </c>
      <c r="U453" s="4" t="n">
        <v>1</v>
      </c>
      <c r="V453" s="5" t="n">
        <v>63.9</v>
      </c>
      <c r="W453" s="4" t="n">
        <v>5241</v>
      </c>
      <c r="X453" s="3" t="inlineStr">
        <is>
          <t>2동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10.25m</t>
        </is>
      </c>
      <c r="AC453" s="3" t="inlineStr">
        <is>
          <t>2015-03</t>
        </is>
      </c>
      <c r="AD453" s="3" t="inlineStr">
        <is>
          <t>소로한면</t>
        </is>
      </c>
    </row>
    <row r="454">
      <c r="A454" s="3" t="inlineStr">
        <is>
          <t>연서면 국촌리 7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1057000</v>
      </c>
      <c r="G454" s="4" t="n">
        <v>0</v>
      </c>
      <c r="H454" s="4" t="n">
        <v>6989</v>
      </c>
      <c r="I454" s="4" t="n">
        <v>2114</v>
      </c>
      <c r="J454" s="5" t="n">
        <v>500</v>
      </c>
      <c r="K454" s="4" t="n">
        <v>1217</v>
      </c>
      <c r="L454" s="4" t="n">
        <v>368</v>
      </c>
      <c r="M454" s="5" t="n">
        <v>2872.3</v>
      </c>
      <c r="N454" s="3" t="inlineStr">
        <is>
          <t>1</t>
        </is>
      </c>
      <c r="O454" s="3" t="inlineStr">
        <is>
          <t>-</t>
        </is>
      </c>
      <c r="P454" s="3" t="inlineStr">
        <is>
          <t>nan</t>
        </is>
      </c>
      <c r="Q454" s="6">
        <f>HYPERLINK("https://fin.land.naver.com/articles/2653822298", "매물Link")</f>
        <v/>
      </c>
      <c r="R454" s="6">
        <f>HYPERLINK("https://map.naver.com/p/search/연서면 국촌리 7", "지도Link")</f>
        <v/>
      </c>
      <c r="S454" s="6">
        <f>HYPERLINK("http://www.eum.go.kr/web/ar/lu/luLandDet.jsp?pnu=3611036030100070000&amp;isNoScr=script&amp;mode=search", "토지이음")</f>
        <v/>
      </c>
      <c r="T454" s="3" t="inlineStr">
        <is>
          <t>푸른들</t>
        </is>
      </c>
      <c r="U454" s="4" t="n">
        <v>1</v>
      </c>
      <c r="V454" s="5" t="n">
        <v>102.1</v>
      </c>
      <c r="W454" s="4" t="n">
        <v>4723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8.7m</t>
        </is>
      </c>
      <c r="AC454" s="3" t="inlineStr">
        <is>
          <t>2002-07</t>
        </is>
      </c>
      <c r="AD454" s="3" t="inlineStr">
        <is>
          <t>소로한면</t>
        </is>
      </c>
    </row>
    <row r="455">
      <c r="A455" s="3" t="inlineStr">
        <is>
          <t>연서면 봉암리 620-133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창고</t>
        </is>
      </c>
      <c r="E455" s="3" t="inlineStr">
        <is>
          <t>월세</t>
        </is>
      </c>
      <c r="F455" s="4" t="n">
        <v>5000</v>
      </c>
      <c r="G455" s="4" t="n">
        <v>400</v>
      </c>
      <c r="H455" s="4" t="n">
        <v>2764</v>
      </c>
      <c r="I455" s="4" t="n">
        <v>836</v>
      </c>
      <c r="J455" s="5" t="n">
        <v>0.5</v>
      </c>
      <c r="K455" s="4" t="n">
        <v>655</v>
      </c>
      <c r="L455" s="4" t="n">
        <v>198</v>
      </c>
      <c r="M455" s="5" t="n">
        <v>2</v>
      </c>
      <c r="N455" s="3" t="inlineStr">
        <is>
          <t>1</t>
        </is>
      </c>
      <c r="O455" s="3" t="inlineStr">
        <is>
          <t>-</t>
        </is>
      </c>
      <c r="P455" s="3" t="inlineStr">
        <is>
          <t>월세조정가.6차선대로변접.화물차진입및회전가.대원네스트빌바로옆.SK주유소접</t>
        </is>
      </c>
      <c r="Q455" s="6">
        <f>HYPERLINK("https://fin.land.naver.com/articles/2649818490", "매물Link")</f>
        <v/>
      </c>
      <c r="R455" s="6">
        <f>HYPERLINK("https://map.naver.com/p/search/연서면 봉암리 620-133", "지도Link")</f>
        <v/>
      </c>
      <c r="S455" s="6">
        <f>HYPERLINK("http://www.eum.go.kr/web/ar/lu/luLandDet.jsp?pnu=3611036033106200133&amp;isNoScr=script&amp;mode=search", "토지이음")</f>
        <v/>
      </c>
      <c r="T455" s="3" t="inlineStr">
        <is>
          <t>돈방석</t>
        </is>
      </c>
      <c r="U455" s="4" t="n">
        <v>1</v>
      </c>
      <c r="V455" s="5" t="n">
        <v>171.6</v>
      </c>
      <c r="W455" s="4" t="n">
        <v>2764</v>
      </c>
      <c r="X455" s="3" t="inlineStr">
        <is>
          <t>미표기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제2종근생</t>
        </is>
      </c>
      <c r="AB455" s="3" t="inlineStr">
        <is>
          <t>6.0m</t>
        </is>
      </c>
      <c r="AC455" s="3" t="inlineStr">
        <is>
          <t>2007-04</t>
        </is>
      </c>
      <c r="AD455" s="3" t="inlineStr">
        <is>
          <t>세로한면(가)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1</t>
        </is>
      </c>
      <c r="O456" s="3" t="inlineStr">
        <is>
          <t>-</t>
        </is>
      </c>
      <c r="P456" s="3" t="inlineStr">
        <is>
          <t>화학물질 제조 가능</t>
        </is>
      </c>
      <c r="Q456" s="6">
        <f>HYPERLINK("https://fin.land.naver.com/articles/2652703353",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미더스</t>
        </is>
      </c>
      <c r="U456" s="4" t="n">
        <v>3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부동리 148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3200000</v>
      </c>
      <c r="G457" s="4" t="n">
        <v>0</v>
      </c>
      <c r="H457" s="4" t="n">
        <v>39669</v>
      </c>
      <c r="I457" s="4" t="n">
        <v>12000</v>
      </c>
      <c r="J457" s="5" t="n">
        <v>266.7</v>
      </c>
      <c r="K457" s="4" t="n">
        <v>10430</v>
      </c>
      <c r="L457" s="4" t="n">
        <v>3155</v>
      </c>
      <c r="M457" s="5" t="n">
        <v>1014.3</v>
      </c>
      <c r="N457" s="3" t="inlineStr">
        <is>
          <t>2</t>
        </is>
      </c>
      <c r="O457" s="3" t="inlineStr">
        <is>
          <t>B1</t>
        </is>
      </c>
      <c r="P457" s="3" t="inlineStr">
        <is>
          <t>nan</t>
        </is>
      </c>
      <c r="Q457" s="6">
        <f>HYPERLINK("https://fin.land.naver.com/articles/2652771129", "매물Link")</f>
        <v/>
      </c>
      <c r="R457" s="6">
        <f>HYPERLINK("https://map.naver.com/p/search/연서면 부동리 148", "지도Link")</f>
        <v/>
      </c>
      <c r="S457" s="6">
        <f>HYPERLINK("http://www.eum.go.kr/web/ar/lu/luLandDet.jsp?pnu=3611036032101480000&amp;isNoScr=script&amp;mode=search", "토지이음")</f>
        <v/>
      </c>
      <c r="T457" s="3" t="inlineStr">
        <is>
          <t>금화랜드</t>
        </is>
      </c>
      <c r="U457" s="4" t="n">
        <v>5</v>
      </c>
      <c r="V457" s="5" t="n">
        <v>119.4</v>
      </c>
      <c r="W457" s="4" t="n">
        <v>39669.5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17.1m</t>
        </is>
      </c>
      <c r="AC457" s="3" t="inlineStr">
        <is>
          <t>1993-12</t>
        </is>
      </c>
      <c r="AD457" s="3" t="inlineStr">
        <is>
          <t>소로각지</t>
        </is>
      </c>
    </row>
    <row r="458">
      <c r="A458" s="3" t="inlineStr">
        <is>
          <t>연서면 부동리 148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3200000</v>
      </c>
      <c r="G458" s="4" t="n">
        <v>0</v>
      </c>
      <c r="H458" s="4" t="n">
        <v>39669</v>
      </c>
      <c r="I458" s="4" t="n">
        <v>12000</v>
      </c>
      <c r="J458" s="5" t="n">
        <v>266.7</v>
      </c>
      <c r="K458" s="4" t="n">
        <v>10430</v>
      </c>
      <c r="L458" s="4" t="n">
        <v>3155</v>
      </c>
      <c r="M458" s="5" t="n">
        <v>1014.3</v>
      </c>
      <c r="N458" s="3" t="inlineStr">
        <is>
          <t>2</t>
        </is>
      </c>
      <c r="O458" s="3" t="inlineStr">
        <is>
          <t>B1</t>
        </is>
      </c>
      <c r="P458" s="3" t="inlineStr">
        <is>
          <t>조치원 일반산업단지내 위치, 세종,대전,청주 등 중부권 공장, 창고 강추</t>
        </is>
      </c>
      <c r="Q458" s="6">
        <f>HYPERLINK("https://fin.land.naver.com/articles/2650797209", "매물Link")</f>
        <v/>
      </c>
      <c r="R458" s="6">
        <f>HYPERLINK("https://map.naver.com/p/search/연서면 부동리 148", "지도Link")</f>
        <v/>
      </c>
      <c r="S458" s="6">
        <f>HYPERLINK("http://www.eum.go.kr/web/ar/lu/luLandDet.jsp?pnu=3611036032101480000&amp;isNoScr=script&amp;mode=search", "토지이음")</f>
        <v/>
      </c>
      <c r="T458" s="3" t="inlineStr">
        <is>
          <t>우리</t>
        </is>
      </c>
      <c r="U458" s="4" t="n">
        <v>1</v>
      </c>
      <c r="V458" s="5" t="n">
        <v>119.4</v>
      </c>
      <c r="W458" s="4" t="n">
        <v>39669.5</v>
      </c>
      <c r="X458" s="3" t="inlineStr">
        <is>
          <t>1동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17.1m</t>
        </is>
      </c>
      <c r="AC458" s="3" t="inlineStr">
        <is>
          <t>1993-12</t>
        </is>
      </c>
      <c r="AD458" s="3" t="inlineStr">
        <is>
          <t>소로각지</t>
        </is>
      </c>
    </row>
    <row r="459">
      <c r="A459" s="3" t="inlineStr">
        <is>
          <t>연서면 부동리 148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3200000</v>
      </c>
      <c r="G459" s="4" t="n">
        <v>0</v>
      </c>
      <c r="H459" s="4" t="n">
        <v>39669</v>
      </c>
      <c r="I459" s="4" t="n">
        <v>12000</v>
      </c>
      <c r="J459" s="5" t="n">
        <v>266.7</v>
      </c>
      <c r="K459" s="4" t="n">
        <v>10430</v>
      </c>
      <c r="L459" s="4" t="n">
        <v>3155</v>
      </c>
      <c r="M459" s="5" t="n">
        <v>1014.3</v>
      </c>
      <c r="N459" s="3" t="inlineStr">
        <is>
          <t>2</t>
        </is>
      </c>
      <c r="O459" s="3" t="inlineStr">
        <is>
          <t>B1</t>
        </is>
      </c>
      <c r="P459" s="3" t="inlineStr">
        <is>
          <t>조치원 일반산업단지 대형공장매매, 최근 리모델링으로 시설 굿</t>
        </is>
      </c>
      <c r="Q459" s="6">
        <f>HYPERLINK("https://fin.land.naver.com/articles/2654940209", "매물Link")</f>
        <v/>
      </c>
      <c r="R459" s="6">
        <f>HYPERLINK("https://map.naver.com/p/search/연서면 부동리 148", "지도Link")</f>
        <v/>
      </c>
      <c r="S459" s="6">
        <f>HYPERLINK("http://www.eum.go.kr/web/ar/lu/luLandDet.jsp?pnu=3611036032101480000&amp;isNoScr=script&amp;mode=search", "토지이음")</f>
        <v/>
      </c>
      <c r="T459" s="3" t="inlineStr">
        <is>
          <t>명진</t>
        </is>
      </c>
      <c r="U459" s="4" t="n">
        <v>1</v>
      </c>
      <c r="V459" s="5" t="n">
        <v>119.4</v>
      </c>
      <c r="W459" s="4" t="n">
        <v>39669.5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17.1m</t>
        </is>
      </c>
      <c r="AC459" s="3" t="inlineStr">
        <is>
          <t>1993-12</t>
        </is>
      </c>
      <c r="AD459" s="3" t="inlineStr">
        <is>
          <t>소로각지</t>
        </is>
      </c>
    </row>
    <row r="460">
      <c r="A460" s="3" t="inlineStr">
        <is>
          <t>연서면 부동리 148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3200000</v>
      </c>
      <c r="G460" s="4" t="n">
        <v>0</v>
      </c>
      <c r="H460" s="4" t="n">
        <v>39669</v>
      </c>
      <c r="I460" s="4" t="n">
        <v>12000</v>
      </c>
      <c r="J460" s="5" t="n">
        <v>266.7</v>
      </c>
      <c r="K460" s="4" t="n">
        <v>10430</v>
      </c>
      <c r="L460" s="4" t="n">
        <v>3155</v>
      </c>
      <c r="M460" s="5" t="n">
        <v>1014.3</v>
      </c>
      <c r="N460" s="3" t="inlineStr">
        <is>
          <t>1</t>
        </is>
      </c>
      <c r="O460" s="3" t="inlineStr">
        <is>
          <t>-</t>
        </is>
      </c>
      <c r="P460" s="3" t="inlineStr">
        <is>
          <t>세종조치원일반산업단지 대형공장매매 최근리모델링완비로 컨디션좋음</t>
        </is>
      </c>
      <c r="Q460" s="6">
        <f>HYPERLINK("https://fin.land.naver.com/articles/2650956049", "매물Link")</f>
        <v/>
      </c>
      <c r="R460" s="6">
        <f>HYPERLINK("https://map.naver.com/p/search/연서면 부동리 148", "지도Link")</f>
        <v/>
      </c>
      <c r="S460" s="6">
        <f>HYPERLINK("http://www.eum.go.kr/web/ar/lu/luLandDet.jsp?pnu=3611036032101480000&amp;isNoScr=script&amp;mode=search", "토지이음")</f>
        <v/>
      </c>
      <c r="T460" s="3" t="inlineStr">
        <is>
          <t>더원</t>
        </is>
      </c>
      <c r="U460" s="4" t="n">
        <v>1</v>
      </c>
      <c r="V460" s="5" t="n">
        <v>119.4</v>
      </c>
      <c r="W460" s="4" t="n">
        <v>39669.5</v>
      </c>
      <c r="X460" s="3" t="inlineStr">
        <is>
          <t>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17.1m</t>
        </is>
      </c>
      <c r="AC460" s="3" t="inlineStr">
        <is>
          <t>1993-12</t>
        </is>
      </c>
      <c r="AD460" s="3" t="inlineStr">
        <is>
          <t>소로각지</t>
        </is>
      </c>
    </row>
    <row r="461">
      <c r="A461" s="3" t="inlineStr">
        <is>
          <t>연서면 부동리 148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3200000</v>
      </c>
      <c r="G461" s="4" t="n">
        <v>0</v>
      </c>
      <c r="H461" s="4" t="n">
        <v>39669</v>
      </c>
      <c r="I461" s="4" t="n">
        <v>12000</v>
      </c>
      <c r="J461" s="5" t="n">
        <v>266.7</v>
      </c>
      <c r="K461" s="4" t="n">
        <v>10430</v>
      </c>
      <c r="L461" s="4" t="n">
        <v>3155</v>
      </c>
      <c r="M461" s="5" t="n">
        <v>1014.3</v>
      </c>
      <c r="N461" s="3" t="inlineStr">
        <is>
          <t>2</t>
        </is>
      </c>
      <c r="O461" s="3" t="inlineStr">
        <is>
          <t>B1</t>
        </is>
      </c>
      <c r="P461" s="3" t="inlineStr">
        <is>
          <t>세종 조치원산업단지 대형 공장 매매</t>
        </is>
      </c>
      <c r="Q461" s="6">
        <f>HYPERLINK("https://fin.land.naver.com/articles/2651016586", "매물Link")</f>
        <v/>
      </c>
      <c r="R461" s="6">
        <f>HYPERLINK("https://map.naver.com/p/search/연서면 부동리 148", "지도Link")</f>
        <v/>
      </c>
      <c r="S461" s="6">
        <f>HYPERLINK("http://www.eum.go.kr/web/ar/lu/luLandDet.jsp?pnu=3611036032101480000&amp;isNoScr=script&amp;mode=search", "토지이음")</f>
        <v/>
      </c>
      <c r="T461" s="3" t="inlineStr">
        <is>
          <t>뉴대전</t>
        </is>
      </c>
      <c r="U461" s="4" t="n">
        <v>1</v>
      </c>
      <c r="V461" s="5" t="n">
        <v>119.4</v>
      </c>
      <c r="W461" s="4" t="n">
        <v>39669.5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17.1m</t>
        </is>
      </c>
      <c r="AC461" s="3" t="inlineStr">
        <is>
          <t>1993-12</t>
        </is>
      </c>
      <c r="AD461" s="3" t="inlineStr">
        <is>
          <t>소로각지</t>
        </is>
      </c>
    </row>
    <row r="462">
      <c r="A462" s="3" t="inlineStr">
        <is>
          <t>연서면 부동리 148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3200000</v>
      </c>
      <c r="G462" s="4" t="n">
        <v>0</v>
      </c>
      <c r="H462" s="4" t="n">
        <v>39669</v>
      </c>
      <c r="I462" s="4" t="n">
        <v>12000</v>
      </c>
      <c r="J462" s="5" t="n">
        <v>266.7</v>
      </c>
      <c r="K462" s="4" t="n">
        <v>10430</v>
      </c>
      <c r="L462" s="4" t="n">
        <v>3155</v>
      </c>
      <c r="M462" s="5" t="n">
        <v>1014.3</v>
      </c>
      <c r="N462" s="3" t="inlineStr">
        <is>
          <t>2</t>
        </is>
      </c>
      <c r="O462" s="3" t="inlineStr">
        <is>
          <t>-</t>
        </is>
      </c>
      <c r="P462" s="3" t="inlineStr">
        <is>
          <t>7동구조로 된 대형공장 컨디션 최상 고전력 다양한 유틸리티</t>
        </is>
      </c>
      <c r="Q462" s="6">
        <f>HYPERLINK("https://fin.land.naver.com/articles/2652437120", "매물Link")</f>
        <v/>
      </c>
      <c r="R462" s="6">
        <f>HYPERLINK("https://map.naver.com/p/search/연서면 부동리 148", "지도Link")</f>
        <v/>
      </c>
      <c r="S462" s="6">
        <f>HYPERLINK("http://www.eum.go.kr/web/ar/lu/luLandDet.jsp?pnu=3611036032101480000&amp;isNoScr=script&amp;mode=search", "토지이음")</f>
        <v/>
      </c>
      <c r="T462" s="3" t="inlineStr">
        <is>
          <t>공장플러스</t>
        </is>
      </c>
      <c r="U462" s="4" t="n">
        <v>1</v>
      </c>
      <c r="V462" s="5" t="n">
        <v>119.4</v>
      </c>
      <c r="W462" s="4" t="n">
        <v>39669.5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17.1m</t>
        </is>
      </c>
      <c r="AC462" s="3" t="inlineStr">
        <is>
          <t>1993-12</t>
        </is>
      </c>
      <c r="AD462" s="3" t="inlineStr">
        <is>
          <t>소로각지</t>
        </is>
      </c>
    </row>
    <row r="463">
      <c r="A463" s="3" t="inlineStr">
        <is>
          <t>연서면 성제리 405-1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500</v>
      </c>
      <c r="H463" s="4" t="n">
        <v>1616</v>
      </c>
      <c r="I463" s="4" t="n">
        <v>489</v>
      </c>
      <c r="J463" s="5" t="n">
        <v>1</v>
      </c>
      <c r="K463" s="4" t="n">
        <v>1254</v>
      </c>
      <c r="L463" s="4" t="n">
        <v>379</v>
      </c>
      <c r="M463" s="5" t="n">
        <v>1.3</v>
      </c>
      <c r="N463" s="3" t="inlineStr">
        <is>
          <t>2</t>
        </is>
      </c>
      <c r="O463" s="3" t="inlineStr">
        <is>
          <t>-</t>
        </is>
      </c>
      <c r="P463" s="3" t="inlineStr">
        <is>
          <t>공장  임대 입니다</t>
        </is>
      </c>
      <c r="Q463" s="6">
        <f>HYPERLINK("https://fin.land.naver.com/articles/2653377343", "매물Link")</f>
        <v/>
      </c>
      <c r="R463" s="6">
        <f>HYPERLINK("https://map.naver.com/p/search/연서면 성제리 405-1", "지도Link")</f>
        <v/>
      </c>
      <c r="S463" s="6">
        <f>HYPERLINK("http://www.eum.go.kr/web/ar/lu/luLandDet.jsp?pnu=3611036023104050001&amp;isNoScr=script&amp;mode=search", "토지이음")</f>
        <v/>
      </c>
      <c r="T463" s="3" t="inlineStr">
        <is>
          <t>마니</t>
        </is>
      </c>
      <c r="U463" s="4" t="n">
        <v>1</v>
      </c>
      <c r="V463" s="5" t="n">
        <v>122.2</v>
      </c>
      <c r="W463" s="4" t="n">
        <v>910</v>
      </c>
      <c r="X463" s="3" t="inlineStr">
        <is>
          <t>미표기</t>
        </is>
      </c>
      <c r="Y463" s="7" t="inlineStr">
        <is>
          <t>2층</t>
        </is>
      </c>
      <c r="Z463" s="3" t="inlineStr">
        <is>
          <t>철근콘크리트구조</t>
        </is>
      </c>
      <c r="AA463" s="3" t="inlineStr">
        <is>
          <t>공장</t>
        </is>
      </c>
      <c r="AB463" s="3" t="inlineStr">
        <is>
          <t>-</t>
        </is>
      </c>
      <c r="AC463" s="3" t="inlineStr">
        <is>
          <t>1988-05</t>
        </is>
      </c>
      <c r="AD463" s="3" t="inlineStr">
        <is>
          <t>세로한면(가)</t>
        </is>
      </c>
    </row>
    <row r="464">
      <c r="A464" s="3" t="inlineStr">
        <is>
          <t>연서면 성제리 405-1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5000</v>
      </c>
      <c r="G464" s="4" t="n">
        <v>500</v>
      </c>
      <c r="H464" s="4" t="n">
        <v>1857</v>
      </c>
      <c r="I464" s="4" t="n">
        <v>562</v>
      </c>
      <c r="J464" s="5" t="n">
        <v>0.9</v>
      </c>
      <c r="K464" s="4" t="n">
        <v>1254</v>
      </c>
      <c r="L464" s="4" t="n">
        <v>379</v>
      </c>
      <c r="M464" s="5" t="n">
        <v>1.3</v>
      </c>
      <c r="N464" s="3" t="inlineStr">
        <is>
          <t>2</t>
        </is>
      </c>
      <c r="O464" s="3" t="inlineStr">
        <is>
          <t>-</t>
        </is>
      </c>
      <c r="P464" s="3" t="inlineStr">
        <is>
          <t>전망 좋고 투자가치 높은 월하천 전망의 귀한 공장 창고 판매매장</t>
        </is>
      </c>
      <c r="Q464" s="6">
        <f>HYPERLINK("https://fin.land.naver.com/articles/2651831711", "매물Link")</f>
        <v/>
      </c>
      <c r="R464" s="6">
        <f>HYPERLINK("https://map.naver.com/p/search/연서면 성제리 405-1", "지도Link")</f>
        <v/>
      </c>
      <c r="S464" s="6">
        <f>HYPERLINK("http://www.eum.go.kr/web/ar/lu/luLandDet.jsp?pnu=3611036023104050001&amp;isNoScr=script&amp;mode=search", "토지이음")</f>
        <v/>
      </c>
      <c r="T464" s="3" t="inlineStr">
        <is>
          <t>번영</t>
        </is>
      </c>
      <c r="U464" s="4" t="n">
        <v>1</v>
      </c>
      <c r="V464" s="5" t="n">
        <v>122.2</v>
      </c>
      <c r="W464" s="4" t="n">
        <v>910</v>
      </c>
      <c r="X464" s="3" t="inlineStr">
        <is>
          <t>미표기</t>
        </is>
      </c>
      <c r="Y464" s="7" t="inlineStr">
        <is>
          <t>2층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-</t>
        </is>
      </c>
      <c r="AC464" s="3" t="inlineStr">
        <is>
          <t>1988-05</t>
        </is>
      </c>
      <c r="AD464" s="3" t="inlineStr">
        <is>
          <t>세로한면(가)</t>
        </is>
      </c>
    </row>
    <row r="465">
      <c r="A465" s="3" t="inlineStr">
        <is>
          <t>연서면 성제리 405-1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10000</v>
      </c>
      <c r="G465" s="4" t="n">
        <v>450</v>
      </c>
      <c r="H465" s="4" t="n">
        <v>910</v>
      </c>
      <c r="I465" s="4" t="n">
        <v>275</v>
      </c>
      <c r="J465" s="5" t="n">
        <v>1.6</v>
      </c>
      <c r="K465" s="4" t="n">
        <v>984</v>
      </c>
      <c r="L465" s="4" t="n">
        <v>298</v>
      </c>
      <c r="M465" s="5" t="n">
        <v>1.5</v>
      </c>
      <c r="N465" s="3" t="inlineStr">
        <is>
          <t>2</t>
        </is>
      </c>
      <c r="O465" s="3" t="inlineStr">
        <is>
          <t>-</t>
        </is>
      </c>
      <c r="P465" s="3" t="inlineStr">
        <is>
          <t>조치원과 고복저수지와 연서면 국가산업단지를 연결하는 성제사거리에 입지</t>
        </is>
      </c>
      <c r="Q465" s="6">
        <f>HYPERLINK("https://fin.land.naver.com/articles/2655219218", "매물Link")</f>
        <v/>
      </c>
      <c r="R465" s="6">
        <f>HYPERLINK("https://map.naver.com/p/search/연서면 성제리 405-1", "지도Link")</f>
        <v/>
      </c>
      <c r="S465" s="6">
        <f>HYPERLINK("http://www.eum.go.kr/web/ar/lu/luLandDet.jsp?pnu=3611036023104050001&amp;isNoScr=script&amp;mode=search", "토지이음")</f>
        <v/>
      </c>
      <c r="T465" s="3" t="inlineStr">
        <is>
          <t>세종베스트</t>
        </is>
      </c>
      <c r="U465" s="4" t="n">
        <v>1</v>
      </c>
      <c r="V465" s="5" t="n">
        <v>122.2</v>
      </c>
      <c r="W465" s="4" t="n">
        <v>910</v>
      </c>
      <c r="X465" s="3" t="inlineStr">
        <is>
          <t>미표기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1988-05</t>
        </is>
      </c>
      <c r="AD465" s="3" t="inlineStr">
        <is>
          <t>세로한면(가)</t>
        </is>
      </c>
    </row>
    <row r="466">
      <c r="A466" s="3" t="inlineStr">
        <is>
          <t>연서면 성제리 405-1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300000</v>
      </c>
      <c r="G466" s="4" t="n">
        <v>0</v>
      </c>
      <c r="H466" s="4" t="n">
        <v>1616</v>
      </c>
      <c r="I466" s="4" t="n">
        <v>489</v>
      </c>
      <c r="J466" s="5" t="n">
        <v>613.5</v>
      </c>
      <c r="K466" s="4" t="n">
        <v>1254</v>
      </c>
      <c r="L466" s="4" t="n">
        <v>379</v>
      </c>
      <c r="M466" s="5" t="n">
        <v>791.6</v>
      </c>
      <c r="N466" s="3" t="inlineStr">
        <is>
          <t>2</t>
        </is>
      </c>
      <c r="O466" s="3" t="inlineStr">
        <is>
          <t>-</t>
        </is>
      </c>
      <c r="P466" s="3" t="inlineStr">
        <is>
          <t>공장 매매</t>
        </is>
      </c>
      <c r="Q466" s="6">
        <f>HYPERLINK("https://fin.land.naver.com/articles/2653377371", "매물Link")</f>
        <v/>
      </c>
      <c r="R466" s="6">
        <f>HYPERLINK("https://map.naver.com/p/search/연서면 성제리 405-1", "지도Link")</f>
        <v/>
      </c>
      <c r="S466" s="6">
        <f>HYPERLINK("http://www.eum.go.kr/web/ar/lu/luLandDet.jsp?pnu=3611036023104050001&amp;isNoScr=script&amp;mode=search", "토지이음")</f>
        <v/>
      </c>
      <c r="T466" s="3" t="inlineStr">
        <is>
          <t>마니</t>
        </is>
      </c>
      <c r="U466" s="4" t="n">
        <v>1</v>
      </c>
      <c r="V466" s="5" t="n">
        <v>122.2</v>
      </c>
      <c r="W466" s="4" t="n">
        <v>910</v>
      </c>
      <c r="X466" s="3" t="inlineStr">
        <is>
          <t>미표기</t>
        </is>
      </c>
      <c r="Y466" s="7" t="inlineStr">
        <is>
          <t>2층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1988-05</t>
        </is>
      </c>
      <c r="AD466" s="3" t="inlineStr">
        <is>
          <t>세로한면(가)</t>
        </is>
      </c>
    </row>
    <row r="467">
      <c r="A467" s="3" t="inlineStr">
        <is>
          <t>연서면 성제리 405-1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310000</v>
      </c>
      <c r="G467" s="4" t="n">
        <v>0</v>
      </c>
      <c r="H467" s="4" t="n">
        <v>1857</v>
      </c>
      <c r="I467" s="4" t="n">
        <v>562</v>
      </c>
      <c r="J467" s="5" t="n">
        <v>551.6</v>
      </c>
      <c r="K467" s="4" t="n">
        <v>1254</v>
      </c>
      <c r="L467" s="4" t="n">
        <v>379</v>
      </c>
      <c r="M467" s="5" t="n">
        <v>817.9</v>
      </c>
      <c r="N467" s="3" t="inlineStr">
        <is>
          <t>2</t>
        </is>
      </c>
      <c r="O467" s="3" t="inlineStr">
        <is>
          <t>-</t>
        </is>
      </c>
      <c r="P467" s="3" t="inlineStr">
        <is>
          <t>월하천 뷰의 전망이 좋고 투자가치 탁월한 공장,창고 매매</t>
        </is>
      </c>
      <c r="Q467" s="6">
        <f>HYPERLINK("https://fin.land.naver.com/articles/2650985014", "매물Link")</f>
        <v/>
      </c>
      <c r="R467" s="6">
        <f>HYPERLINK("https://map.naver.com/p/search/연서면 성제리 405-1", "지도Link")</f>
        <v/>
      </c>
      <c r="S467" s="6">
        <f>HYPERLINK("http://www.eum.go.kr/web/ar/lu/luLandDet.jsp?pnu=3611036023104050001&amp;isNoScr=script&amp;mode=search", "토지이음")</f>
        <v/>
      </c>
      <c r="T467" s="3" t="inlineStr">
        <is>
          <t>비타민무소</t>
        </is>
      </c>
      <c r="U467" s="4" t="n">
        <v>1</v>
      </c>
      <c r="V467" s="5" t="n">
        <v>122.2</v>
      </c>
      <c r="W467" s="4" t="n">
        <v>910</v>
      </c>
      <c r="X467" s="3" t="inlineStr">
        <is>
          <t>미표기</t>
        </is>
      </c>
      <c r="Y467" s="7" t="inlineStr">
        <is>
          <t>2층</t>
        </is>
      </c>
      <c r="Z467" s="3" t="inlineStr">
        <is>
          <t>철근콘크리트구조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1988-05</t>
        </is>
      </c>
      <c r="AD467" s="3" t="inlineStr">
        <is>
          <t>세로한면(가)</t>
        </is>
      </c>
    </row>
    <row r="468">
      <c r="A468" s="3" t="inlineStr">
        <is>
          <t>연서면 성제리 405-1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310000</v>
      </c>
      <c r="G468" s="4" t="n">
        <v>0</v>
      </c>
      <c r="H468" s="4" t="n">
        <v>1857</v>
      </c>
      <c r="I468" s="4" t="n">
        <v>562</v>
      </c>
      <c r="J468" s="5" t="n">
        <v>551.6</v>
      </c>
      <c r="K468" s="4" t="n">
        <v>1254</v>
      </c>
      <c r="L468" s="4" t="n">
        <v>379</v>
      </c>
      <c r="M468" s="5" t="n">
        <v>817.9</v>
      </c>
      <c r="N468" s="3" t="inlineStr">
        <is>
          <t>2</t>
        </is>
      </c>
      <c r="O468" s="3" t="inlineStr">
        <is>
          <t>-</t>
        </is>
      </c>
      <c r="P468" s="3" t="inlineStr">
        <is>
          <t>전망 좋고 투자가치 높은 월하천 전망의 귀한 공장 창고 판매매장</t>
        </is>
      </c>
      <c r="Q468" s="6">
        <f>HYPERLINK("https://fin.land.naver.com/articles/2652571798", "매물Link")</f>
        <v/>
      </c>
      <c r="R468" s="6">
        <f>HYPERLINK("https://map.naver.com/p/search/연서면 성제리 405-1", "지도Link")</f>
        <v/>
      </c>
      <c r="S468" s="6">
        <f>HYPERLINK("http://www.eum.go.kr/web/ar/lu/luLandDet.jsp?pnu=3611036023104050001&amp;isNoScr=script&amp;mode=search", "토지이음")</f>
        <v/>
      </c>
      <c r="T468" s="3" t="inlineStr">
        <is>
          <t>번영</t>
        </is>
      </c>
      <c r="U468" s="4" t="n">
        <v>1</v>
      </c>
      <c r="V468" s="5" t="n">
        <v>122.2</v>
      </c>
      <c r="W468" s="4" t="n">
        <v>910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철근콘크리트구조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1988-05</t>
        </is>
      </c>
      <c r="AD468" s="3" t="inlineStr">
        <is>
          <t>세로한면(가)</t>
        </is>
      </c>
    </row>
    <row r="469">
      <c r="A469" s="3" t="inlineStr">
        <is>
          <t>연서면 신대리 197-1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450</v>
      </c>
      <c r="H469" s="4" t="n">
        <v>3170</v>
      </c>
      <c r="I469" s="4" t="n">
        <v>959</v>
      </c>
      <c r="J469" s="5" t="n">
        <v>0.5</v>
      </c>
      <c r="K469" s="4" t="n">
        <v>802</v>
      </c>
      <c r="L469" s="4" t="n">
        <v>243</v>
      </c>
      <c r="M469" s="5" t="n">
        <v>1.9</v>
      </c>
      <c r="N469" s="3" t="inlineStr">
        <is>
          <t>1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HYPERLINK("https://fin.land.naver.com/articles/2653032812", "매물Link")</f>
        <v/>
      </c>
      <c r="R469" s="6">
        <f>HYPERLINK("https://map.naver.com/p/search/연서면 신대리 197-1", "지도Link")</f>
        <v/>
      </c>
      <c r="S469" s="6">
        <f>HYPERLINK("http://www.eum.go.kr/web/ar/lu/luLandDet.jsp?pnu=3611036029101970001&amp;isNoScr=script&amp;mode=search",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58.4</v>
      </c>
      <c r="W469" s="4" t="n">
        <v>3009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7.3m</t>
        </is>
      </c>
      <c r="AC469" s="3" t="inlineStr">
        <is>
          <t>2005-06</t>
        </is>
      </c>
      <c r="AD469" s="3" t="inlineStr">
        <is>
          <t>소로한면</t>
        </is>
      </c>
    </row>
    <row r="470">
      <c r="A470" s="3" t="inlineStr">
        <is>
          <t>연서면 신대리 242-2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창고</t>
        </is>
      </c>
      <c r="E470" s="3" t="inlineStr">
        <is>
          <t>월세</t>
        </is>
      </c>
      <c r="F470" s="4" t="n">
        <v>500</v>
      </c>
      <c r="G470" s="4" t="n">
        <v>60</v>
      </c>
      <c r="H470" s="4" t="n">
        <v>995</v>
      </c>
      <c r="I470" s="4" t="n">
        <v>301</v>
      </c>
      <c r="J470" s="5" t="n">
        <v>0.2</v>
      </c>
      <c r="K470" s="4" t="n">
        <v>330</v>
      </c>
      <c r="L470" s="4" t="n">
        <v>100</v>
      </c>
      <c r="M470" s="5" t="n">
        <v>0.6</v>
      </c>
      <c r="N470" s="3" t="inlineStr">
        <is>
          <t>1</t>
        </is>
      </c>
      <c r="O470" s="3" t="inlineStr">
        <is>
          <t>-</t>
        </is>
      </c>
      <c r="P470" s="3" t="inlineStr">
        <is>
          <t>nan</t>
        </is>
      </c>
      <c r="Q470" s="6">
        <f>HYPERLINK("https://fin.land.naver.com/articles/2655215391", "매물Link")</f>
        <v/>
      </c>
      <c r="R470" s="6">
        <f>HYPERLINK("https://map.naver.com/p/search/연서면 신대리 242-2", "지도Link")</f>
        <v/>
      </c>
      <c r="S470" s="6">
        <f>HYPERLINK("http://www.eum.go.kr/web/ar/lu/luLandDet.jsp?pnu=3611036029102420002&amp;isNoScr=script&amp;mode=search", "토지이음")</f>
        <v/>
      </c>
      <c r="T470" s="3" t="inlineStr">
        <is>
          <t>덕천</t>
        </is>
      </c>
      <c r="U470" s="4" t="n">
        <v>1</v>
      </c>
      <c r="V470" s="5" t="n">
        <v>93.5</v>
      </c>
      <c r="W470" s="4" t="n">
        <v>1005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창고시설</t>
        </is>
      </c>
      <c r="AB470" s="3" t="inlineStr">
        <is>
          <t>6.2m</t>
        </is>
      </c>
      <c r="AC470" s="3" t="inlineStr">
        <is>
          <t>1997-09</t>
        </is>
      </c>
      <c r="AD470" s="3" t="inlineStr">
        <is>
          <t>세로한면(가)</t>
        </is>
      </c>
    </row>
    <row r="471">
      <c r="A471" s="3" t="inlineStr">
        <is>
          <t>연서면 신대리 459-3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450000</v>
      </c>
      <c r="G471" s="4" t="n">
        <v>0</v>
      </c>
      <c r="H471" s="4" t="n">
        <v>9577</v>
      </c>
      <c r="I471" s="4" t="n">
        <v>2897</v>
      </c>
      <c r="J471" s="5" t="n">
        <v>155.3</v>
      </c>
      <c r="K471" s="4" t="n">
        <v>2697</v>
      </c>
      <c r="L471" s="4" t="n">
        <v>816</v>
      </c>
      <c r="M471" s="5" t="n">
        <v>551.5</v>
      </c>
      <c r="N471" s="3" t="inlineStr">
        <is>
          <t>3</t>
        </is>
      </c>
      <c r="O471" s="3" t="inlineStr">
        <is>
          <t>-</t>
        </is>
      </c>
      <c r="P471" s="3" t="inlineStr">
        <is>
          <t>세종스마트국가산업단지 인근 2차선 도로변 공장 매각</t>
        </is>
      </c>
      <c r="Q471" s="6">
        <f>HYPERLINK("https://fin.land.naver.com/articles/2651693675", "매물Link")</f>
        <v/>
      </c>
      <c r="R471" s="6">
        <f>HYPERLINK("https://map.naver.com/p/search/연서면 신대리 459-3", "지도Link")</f>
        <v/>
      </c>
      <c r="S471" s="6">
        <f>HYPERLINK("http://www.eum.go.kr/web/ar/lu/luLandDet.jsp?pnu=3611036029104590003&amp;isNoScr=script&amp;mode=search", "토지이음")</f>
        <v/>
      </c>
      <c r="T471" s="3" t="inlineStr">
        <is>
          <t>청담</t>
        </is>
      </c>
      <c r="U471" s="4" t="n">
        <v>1</v>
      </c>
      <c r="V471" s="5" t="n">
        <v>68.7</v>
      </c>
      <c r="W471" s="4" t="n">
        <v>9577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위험물저장및처리시설</t>
        </is>
      </c>
      <c r="AB471" s="3" t="inlineStr">
        <is>
          <t>6.85m</t>
        </is>
      </c>
      <c r="AC471" s="3" t="inlineStr">
        <is>
          <t>2002-12</t>
        </is>
      </c>
      <c r="AD471" s="3" t="inlineStr">
        <is>
          <t>소로한면</t>
        </is>
      </c>
    </row>
    <row r="472">
      <c r="A472" s="3" t="inlineStr">
        <is>
          <t>연서면 신대리 459-3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450000</v>
      </c>
      <c r="G472" s="4" t="n">
        <v>0</v>
      </c>
      <c r="H472" s="4" t="n">
        <v>9577</v>
      </c>
      <c r="I472" s="4" t="n">
        <v>2897</v>
      </c>
      <c r="J472" s="5" t="n">
        <v>155.3</v>
      </c>
      <c r="K472" s="4" t="n">
        <v>2697</v>
      </c>
      <c r="L472" s="4" t="n">
        <v>816</v>
      </c>
      <c r="M472" s="5" t="n">
        <v>551.5</v>
      </c>
      <c r="N472" s="3" t="inlineStr">
        <is>
          <t>3</t>
        </is>
      </c>
      <c r="O472" s="3" t="inlineStr">
        <is>
          <t>-</t>
        </is>
      </c>
      <c r="P472" s="3" t="inlineStr">
        <is>
          <t>연서면 신대리 사옥 및 공장, 냉동 상온창고 총 6동 매매</t>
        </is>
      </c>
      <c r="Q472" s="6">
        <f>HYPERLINK("https://fin.land.naver.com/articles/2652165001", "매물Link")</f>
        <v/>
      </c>
      <c r="R472" s="6">
        <f>HYPERLINK("https://map.naver.com/p/search/연서면 신대리 459-3", "지도Link")</f>
        <v/>
      </c>
      <c r="S472" s="6">
        <f>HYPERLINK("http://www.eum.go.kr/web/ar/lu/luLandDet.jsp?pnu=3611036029104590003&amp;isNoScr=script&amp;mode=search", "토지이음")</f>
        <v/>
      </c>
      <c r="T472" s="3" t="inlineStr">
        <is>
          <t>뉴스카이</t>
        </is>
      </c>
      <c r="U472" s="4" t="n">
        <v>1</v>
      </c>
      <c r="V472" s="5" t="n">
        <v>68.7</v>
      </c>
      <c r="W472" s="4" t="n">
        <v>9577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위험물저장및처리시설</t>
        </is>
      </c>
      <c r="AB472" s="3" t="inlineStr">
        <is>
          <t>6.85m</t>
        </is>
      </c>
      <c r="AC472" s="3" t="inlineStr">
        <is>
          <t>2002-12</t>
        </is>
      </c>
      <c r="AD472" s="3" t="inlineStr">
        <is>
          <t>소로한면</t>
        </is>
      </c>
    </row>
    <row r="473">
      <c r="A473" s="3" t="inlineStr">
        <is>
          <t>연서면 신대리 532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86700</v>
      </c>
      <c r="G473" s="4" t="n">
        <v>0</v>
      </c>
      <c r="H473" s="4" t="n">
        <v>957</v>
      </c>
      <c r="I473" s="4" t="n">
        <v>289</v>
      </c>
      <c r="J473" s="5" t="n">
        <v>300</v>
      </c>
      <c r="K473" s="4" t="n">
        <v>233</v>
      </c>
      <c r="L473" s="4" t="n">
        <v>70</v>
      </c>
      <c r="M473" s="5" t="n">
        <v>1238.6</v>
      </c>
      <c r="N473" s="3" t="inlineStr">
        <is>
          <t>1</t>
        </is>
      </c>
      <c r="O473" s="3" t="inlineStr">
        <is>
          <t>-</t>
        </is>
      </c>
      <c r="P473" s="3" t="inlineStr">
        <is>
          <t>2차선 도로접한 공장부지.근생용지로도 사용가능,카페,식당,창고추천</t>
        </is>
      </c>
      <c r="Q473" s="6">
        <f>HYPERLINK("https://fin.land.naver.com/articles/2652071695", "매물Link")</f>
        <v/>
      </c>
      <c r="R473" s="6">
        <f>HYPERLINK("https://map.naver.com/p/search/연서면 신대리 532", "지도Link")</f>
        <v/>
      </c>
      <c r="S473" s="6">
        <f>HYPERLINK("http://www.eum.go.kr/web/ar/lu/luLandDet.jsp?pnu=3611036029105320000&amp;isNoScr=script&amp;mode=search", "토지이음")</f>
        <v/>
      </c>
      <c r="T473" s="3" t="inlineStr">
        <is>
          <t>담뜰</t>
        </is>
      </c>
      <c r="U473" s="4" t="n">
        <v>1</v>
      </c>
      <c r="V473" s="5" t="n">
        <v>58.4</v>
      </c>
      <c r="W473" s="4" t="n">
        <v>957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5.4m</t>
        </is>
      </c>
      <c r="AC473" s="3" t="inlineStr">
        <is>
          <t>2002-10</t>
        </is>
      </c>
      <c r="AD473" s="3" t="inlineStr">
        <is>
          <t>소로한면</t>
        </is>
      </c>
    </row>
    <row r="474">
      <c r="A474" s="3" t="inlineStr">
        <is>
          <t>연서면 쌍류리 332-3</t>
        </is>
      </c>
      <c r="B474" s="3" t="inlineStr">
        <is>
          <t>생산관리지역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90</v>
      </c>
      <c r="H474" s="4" t="n">
        <v>1491</v>
      </c>
      <c r="I474" s="4" t="n">
        <v>451</v>
      </c>
      <c r="J474" s="5" t="n">
        <v>0.2</v>
      </c>
      <c r="K474" s="4" t="n">
        <v>199</v>
      </c>
      <c r="L474" s="4" t="n">
        <v>60</v>
      </c>
      <c r="M474" s="5" t="n">
        <v>1.5</v>
      </c>
      <c r="N474" s="3" t="inlineStr">
        <is>
          <t>1</t>
        </is>
      </c>
      <c r="O474" s="3" t="inlineStr">
        <is>
          <t>-</t>
        </is>
      </c>
      <c r="P474" s="3" t="inlineStr">
        <is>
          <t>도로에 접한 창고 임대카페,창고,시무실 등 용도</t>
        </is>
      </c>
      <c r="Q474" s="6">
        <f>HYPERLINK("https://fin.land.naver.com/articles/2650858536", "매물Link")</f>
        <v/>
      </c>
      <c r="R474" s="6">
        <f>HYPERLINK("https://map.naver.com/p/search/연서면 쌍류리 332-3", "지도Link")</f>
        <v/>
      </c>
      <c r="S474" s="6">
        <f>HYPERLINK("http://www.eum.go.kr/web/ar/lu/luLandDet.jsp?pnu=3611036026103320003&amp;isNoScr=script&amp;mode=search", "토지이음")</f>
        <v/>
      </c>
      <c r="T474" s="3" t="inlineStr">
        <is>
          <t>세종대박</t>
        </is>
      </c>
      <c r="U474" s="4" t="n">
        <v>1</v>
      </c>
      <c r="V474" s="5" t="n">
        <v>47.6</v>
      </c>
      <c r="W474" s="4" t="n">
        <v>1000</v>
      </c>
      <c r="X474" s="3" t="inlineStr">
        <is>
          <t>2동</t>
        </is>
      </c>
      <c r="Y474" s="7" t="inlineStr">
        <is>
          <t>1층</t>
        </is>
      </c>
      <c r="Z474" s="3" t="inlineStr">
        <is>
          <t>경량철골구조</t>
        </is>
      </c>
      <c r="AA474" s="3" t="inlineStr">
        <is>
          <t>제1종근생</t>
        </is>
      </c>
      <c r="AB474" s="3" t="inlineStr">
        <is>
          <t>4.7m</t>
        </is>
      </c>
      <c r="AC474" s="3" t="inlineStr">
        <is>
          <t>2011-12</t>
        </is>
      </c>
      <c r="AD474" s="3" t="inlineStr">
        <is>
          <t>세로한면(가)</t>
        </is>
      </c>
    </row>
    <row r="475">
      <c r="A475" s="3" t="inlineStr">
        <is>
          <t>연서면 와촌리 1119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1010000</v>
      </c>
      <c r="G475" s="4" t="n">
        <v>0</v>
      </c>
      <c r="H475" s="4" t="n">
        <v>22539</v>
      </c>
      <c r="I475" s="4" t="n">
        <v>6818</v>
      </c>
      <c r="J475" s="5" t="n">
        <v>148.1</v>
      </c>
      <c r="K475" s="4" t="n">
        <v>2654</v>
      </c>
      <c r="L475" s="4" t="n">
        <v>803</v>
      </c>
      <c r="M475" s="5" t="n">
        <v>1257.8</v>
      </c>
      <c r="N475" s="3" t="inlineStr">
        <is>
          <t>2</t>
        </is>
      </c>
      <c r="O475" s="3" t="inlineStr">
        <is>
          <t>-</t>
        </is>
      </c>
      <c r="P475" s="3" t="inlineStr">
        <is>
          <t>초급매 계획관리 공장용지 세종스마트국가산단 인근</t>
        </is>
      </c>
      <c r="Q475" s="6">
        <f>HYPERLINK("https://fin.land.naver.com/articles/2649918694", "매물Link")</f>
        <v/>
      </c>
      <c r="R475" s="6">
        <f>HYPERLINK("https://map.naver.com/p/search/연서면 와촌리 1119", "지도Link")</f>
        <v/>
      </c>
      <c r="S475" s="6">
        <f>HYPERLINK("http://www.eum.go.kr/web/ar/lu/luLandDet.jsp?pnu=3611036031111190000&amp;isNoScr=script&amp;mode=search", "토지이음")</f>
        <v/>
      </c>
      <c r="T475" s="3" t="inlineStr">
        <is>
          <t>미스터홈즈강남지사</t>
        </is>
      </c>
      <c r="U475" s="4" t="n">
        <v>1</v>
      </c>
      <c r="V475" s="5" t="n">
        <v>79.7</v>
      </c>
      <c r="W475" s="4" t="n">
        <v>6533</v>
      </c>
      <c r="X475" s="3" t="inlineStr">
        <is>
          <t>A동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8.9m</t>
        </is>
      </c>
      <c r="AC475" s="3" t="inlineStr">
        <is>
          <t>1996-12</t>
        </is>
      </c>
      <c r="AD475" s="3" t="inlineStr">
        <is>
          <t>세로한면(가)</t>
        </is>
      </c>
    </row>
    <row r="476">
      <c r="A476" s="3" t="inlineStr">
        <is>
          <t>연서면 와촌리 1119-2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5000</v>
      </c>
      <c r="G476" s="4" t="n">
        <v>600</v>
      </c>
      <c r="H476" s="4" t="n">
        <v>3250</v>
      </c>
      <c r="I476" s="4" t="n">
        <v>983</v>
      </c>
      <c r="J476" s="5" t="n">
        <v>0.6</v>
      </c>
      <c r="K476" s="4" t="n">
        <v>1552</v>
      </c>
      <c r="L476" s="4" t="n">
        <v>469</v>
      </c>
      <c r="M476" s="5" t="n">
        <v>1.3</v>
      </c>
      <c r="N476" s="3" t="inlineStr">
        <is>
          <t>2</t>
        </is>
      </c>
      <c r="O476" s="3" t="inlineStr">
        <is>
          <t>-</t>
        </is>
      </c>
      <c r="P476" s="3" t="inlineStr">
        <is>
          <t>호이스트, 사무동, 기숙사 있는 대형공장 아주 아주 저렴한 임대</t>
        </is>
      </c>
      <c r="Q476" s="6">
        <f>HYPERLINK("https://fin.land.naver.com/articles/2651531957", "매물Link")</f>
        <v/>
      </c>
      <c r="R476" s="6">
        <f>HYPERLINK("https://map.naver.com/p/search/연서면 와촌리 1119-2", "지도Link")</f>
        <v/>
      </c>
      <c r="S476" s="6">
        <f>HYPERLINK("http://www.eum.go.kr/web/ar/lu/luLandDet.jsp?pnu=3611036031111190002&amp;isNoScr=script&amp;mode=search", "토지이음")</f>
        <v/>
      </c>
      <c r="T476" s="3" t="inlineStr">
        <is>
          <t>더오름</t>
        </is>
      </c>
      <c r="U476" s="4" t="n">
        <v>1</v>
      </c>
      <c r="V476" s="5" t="n">
        <v>79.7</v>
      </c>
      <c r="W476" s="4" t="n">
        <v>3250</v>
      </c>
      <c r="X476" s="3" t="inlineStr">
        <is>
          <t>C동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1996-12</t>
        </is>
      </c>
      <c r="AD476" s="3" t="inlineStr">
        <is>
          <t>세로한면(가)</t>
        </is>
      </c>
    </row>
    <row r="477">
      <c r="A477" s="3" t="inlineStr">
        <is>
          <t>연서면 와촌리 1119-2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5000</v>
      </c>
      <c r="G477" s="4" t="n">
        <v>600</v>
      </c>
      <c r="H477" s="4" t="n">
        <v>3250</v>
      </c>
      <c r="I477" s="4" t="n">
        <v>983</v>
      </c>
      <c r="J477" s="5" t="n">
        <v>0.6</v>
      </c>
      <c r="K477" s="4" t="n">
        <v>1552</v>
      </c>
      <c r="L477" s="4" t="n">
        <v>469</v>
      </c>
      <c r="M477" s="5" t="n">
        <v>1.3</v>
      </c>
      <c r="N477" s="3" t="inlineStr">
        <is>
          <t>2</t>
        </is>
      </c>
      <c r="O477" s="3" t="inlineStr">
        <is>
          <t>-</t>
        </is>
      </c>
      <c r="P477" s="3" t="inlineStr">
        <is>
          <t>사진有 공장 임대</t>
        </is>
      </c>
      <c r="Q477" s="6">
        <f>HYPERLINK("https://fin.land.naver.com/articles/2653032582", "매물Link")</f>
        <v/>
      </c>
      <c r="R477" s="6">
        <f>HYPERLINK("https://map.naver.com/p/search/연서면 와촌리 1119-2", "지도Link")</f>
        <v/>
      </c>
      <c r="S477" s="6">
        <f>HYPERLINK("http://www.eum.go.kr/web/ar/lu/luLandDet.jsp?pnu=3611036031111190002&amp;isNoScr=script&amp;mode=search", "토지이음")</f>
        <v/>
      </c>
      <c r="T477" s="3" t="inlineStr">
        <is>
          <t>월드</t>
        </is>
      </c>
      <c r="U477" s="4" t="n">
        <v>1</v>
      </c>
      <c r="V477" s="5" t="n">
        <v>79.7</v>
      </c>
      <c r="W477" s="4" t="n">
        <v>3250</v>
      </c>
      <c r="X477" s="3" t="inlineStr">
        <is>
          <t>C동</t>
        </is>
      </c>
      <c r="Y477" s="7" t="inlineStr">
        <is>
          <t>2층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1996-12</t>
        </is>
      </c>
      <c r="AD477" s="3" t="inlineStr">
        <is>
          <t>세로한면(가)</t>
        </is>
      </c>
    </row>
    <row r="478">
      <c r="A478" s="3" t="inlineStr">
        <is>
          <t>연서면 와촌리 1119-2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350000</v>
      </c>
      <c r="G478" s="4" t="n">
        <v>0</v>
      </c>
      <c r="H478" s="4" t="n">
        <v>3250</v>
      </c>
      <c r="I478" s="4" t="n">
        <v>983</v>
      </c>
      <c r="J478" s="5" t="n">
        <v>356.1</v>
      </c>
      <c r="K478" s="4" t="n">
        <v>1552</v>
      </c>
      <c r="L478" s="4" t="n">
        <v>469</v>
      </c>
      <c r="M478" s="5" t="n">
        <v>746.3</v>
      </c>
      <c r="N478" s="3" t="inlineStr">
        <is>
          <t>2</t>
        </is>
      </c>
      <c r="O478" s="3" t="inlineStr">
        <is>
          <t>-</t>
        </is>
      </c>
      <c r="P478" s="3" t="inlineStr">
        <is>
          <t>사진有 공장 매매</t>
        </is>
      </c>
      <c r="Q478" s="6">
        <f>HYPERLINK("https://fin.land.naver.com/articles/2649602994", "매물Link")</f>
        <v/>
      </c>
      <c r="R478" s="6">
        <f>HYPERLINK("https://map.naver.com/p/search/연서면 와촌리 1119-2", "지도Link")</f>
        <v/>
      </c>
      <c r="S478" s="6">
        <f>HYPERLINK("http://www.eum.go.kr/web/ar/lu/luLandDet.jsp?pnu=3611036031111190002&amp;isNoScr=script&amp;mode=search", "토지이음")</f>
        <v/>
      </c>
      <c r="T478" s="3" t="inlineStr">
        <is>
          <t>월드</t>
        </is>
      </c>
      <c r="U478" s="4" t="n">
        <v>1</v>
      </c>
      <c r="V478" s="5" t="n">
        <v>79.7</v>
      </c>
      <c r="W478" s="4" t="n">
        <v>3250</v>
      </c>
      <c r="X478" s="3" t="inlineStr">
        <is>
          <t>C동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1996-12</t>
        </is>
      </c>
      <c r="AD478" s="3" t="inlineStr">
        <is>
          <t>세로한면(가)</t>
        </is>
      </c>
    </row>
    <row r="479">
      <c r="A479" s="3" t="inlineStr">
        <is>
          <t>연서면 와촌리 852-5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3000</v>
      </c>
      <c r="G479" s="4" t="n">
        <v>150</v>
      </c>
      <c r="H479" s="4" t="n">
        <v>928</v>
      </c>
      <c r="I479" s="4" t="n">
        <v>281</v>
      </c>
      <c r="J479" s="5" t="n">
        <v>0.5</v>
      </c>
      <c r="K479" s="4" t="n">
        <v>485</v>
      </c>
      <c r="L479" s="4" t="n">
        <v>147</v>
      </c>
      <c r="M479" s="5" t="n">
        <v>1</v>
      </c>
      <c r="N479" s="3" t="inlineStr">
        <is>
          <t>1</t>
        </is>
      </c>
      <c r="O479" s="3" t="inlineStr">
        <is>
          <t>-</t>
        </is>
      </c>
      <c r="P479" s="3" t="inlineStr">
        <is>
          <t>와촌리 창고임대 세종 초근접</t>
        </is>
      </c>
      <c r="Q479" s="6">
        <f>HYPERLINK("https://fin.land.naver.com/articles/2652499113", "매물Link")</f>
        <v/>
      </c>
      <c r="R479" s="6">
        <f>HYPERLINK("https://map.naver.com/p/search/연서면 와촌리 852-5", "지도Link")</f>
        <v/>
      </c>
      <c r="S479" s="6">
        <f>HYPERLINK("http://www.eum.go.kr/web/ar/lu/luLandDet.jsp?pnu=3611036031108520005&amp;isNoScr=script&amp;mode=search", "토지이음")</f>
        <v/>
      </c>
      <c r="T479" s="3" t="inlineStr">
        <is>
          <t>엄지척</t>
        </is>
      </c>
      <c r="U479" s="4" t="n">
        <v>1</v>
      </c>
      <c r="V479" s="5" t="n">
        <v>82.59999999999999</v>
      </c>
      <c r="W479" s="4" t="n">
        <v>932</v>
      </c>
      <c r="X479" s="3" t="inlineStr">
        <is>
          <t>미표기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제1종근생</t>
        </is>
      </c>
      <c r="AB479" s="3" t="inlineStr">
        <is>
          <t>6.15m</t>
        </is>
      </c>
      <c r="AC479" s="3" t="inlineStr">
        <is>
          <t>1997-05</t>
        </is>
      </c>
      <c r="AD479" s="3" t="inlineStr">
        <is>
          <t>세로한면(가)</t>
        </is>
      </c>
    </row>
    <row r="480">
      <c r="A480" s="3" t="inlineStr">
        <is>
          <t>연서면 와촌리 852-5</t>
        </is>
      </c>
      <c r="B480" s="3" t="inlineStr">
        <is>
          <t>계획관리지역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3000</v>
      </c>
      <c r="G480" s="4" t="n">
        <v>150</v>
      </c>
      <c r="H480" s="4" t="n">
        <v>932</v>
      </c>
      <c r="I480" s="4" t="n">
        <v>282</v>
      </c>
      <c r="J480" s="5" t="n">
        <v>0.5</v>
      </c>
      <c r="K480" s="4" t="n">
        <v>488</v>
      </c>
      <c r="L480" s="4" t="n">
        <v>148</v>
      </c>
      <c r="M480" s="5" t="n">
        <v>1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HYPERLINK("https://fin.land.naver.com/articles/2652467109", "매물Link")</f>
        <v/>
      </c>
      <c r="R480" s="6">
        <f>HYPERLINK("https://map.naver.com/p/search/연서면 와촌리 852-5", "지도Link")</f>
        <v/>
      </c>
      <c r="S480" s="6">
        <f>HYPERLINK("http://www.eum.go.kr/web/ar/lu/luLandDet.jsp?pnu=3611036031108520005&amp;isNoScr=script&amp;mode=search", "토지이음")</f>
        <v/>
      </c>
      <c r="T480" s="3" t="inlineStr">
        <is>
          <t>지성</t>
        </is>
      </c>
      <c r="U480" s="4" t="n">
        <v>1</v>
      </c>
      <c r="V480" s="5" t="n">
        <v>82.59999999999999</v>
      </c>
      <c r="W480" s="4" t="n">
        <v>932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제1종근생</t>
        </is>
      </c>
      <c r="AB480" s="3" t="inlineStr">
        <is>
          <t>6.15m</t>
        </is>
      </c>
      <c r="AC480" s="3" t="inlineStr">
        <is>
          <t>1997-05</t>
        </is>
      </c>
      <c r="AD480" s="3" t="inlineStr">
        <is>
          <t>세로한면(가)</t>
        </is>
      </c>
    </row>
    <row r="481">
      <c r="A481" s="3" t="inlineStr">
        <is>
          <t>연서면 와촌리 852-5</t>
        </is>
      </c>
      <c r="B481" s="3" t="inlineStr">
        <is>
          <t>계획관리지역</t>
        </is>
      </c>
      <c r="C481" s="3" t="inlineStr">
        <is>
          <t>잡종지</t>
        </is>
      </c>
      <c r="D481" s="3" t="inlineStr">
        <is>
          <t>창고</t>
        </is>
      </c>
      <c r="E481" s="3" t="inlineStr">
        <is>
          <t>월세</t>
        </is>
      </c>
      <c r="F481" s="4" t="n">
        <v>3000</v>
      </c>
      <c r="G481" s="4" t="n">
        <v>150</v>
      </c>
      <c r="H481" s="4" t="n">
        <v>932</v>
      </c>
      <c r="I481" s="4" t="n">
        <v>282</v>
      </c>
      <c r="J481" s="5" t="n">
        <v>0.5</v>
      </c>
      <c r="K481" s="4" t="n">
        <v>488</v>
      </c>
      <c r="L481" s="4" t="n">
        <v>148</v>
      </c>
      <c r="M481" s="5" t="n">
        <v>1</v>
      </c>
      <c r="N481" s="3" t="inlineStr">
        <is>
          <t>1</t>
        </is>
      </c>
      <c r="O481" s="3" t="inlineStr">
        <is>
          <t>-</t>
        </is>
      </c>
      <c r="P481" s="3" t="inlineStr">
        <is>
          <t>와촌리 창고월세,차량 진출입편리,창고내 지게차작업가능,주차편리,조율가능</t>
        </is>
      </c>
      <c r="Q481" s="6">
        <f>HYPERLINK("https://fin.land.naver.com/articles/2653116072", "매물Link")</f>
        <v/>
      </c>
      <c r="R481" s="6">
        <f>HYPERLINK("https://map.naver.com/p/search/연서면 와촌리 852-5", "지도Link")</f>
        <v/>
      </c>
      <c r="S481" s="6">
        <f>HYPERLINK("http://www.eum.go.kr/web/ar/lu/luLandDet.jsp?pnu=3611036031108520005&amp;isNoScr=script&amp;mode=search", "토지이음")</f>
        <v/>
      </c>
      <c r="T481" s="3" t="inlineStr">
        <is>
          <t>도안우미린사랑</t>
        </is>
      </c>
      <c r="U481" s="4" t="n">
        <v>1</v>
      </c>
      <c r="V481" s="5" t="n">
        <v>82.59999999999999</v>
      </c>
      <c r="W481" s="4" t="n">
        <v>932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6.15m</t>
        </is>
      </c>
      <c r="AC481" s="3" t="inlineStr">
        <is>
          <t>1997-05</t>
        </is>
      </c>
      <c r="AD481" s="3" t="inlineStr">
        <is>
          <t>세로한면(가)</t>
        </is>
      </c>
    </row>
    <row r="482">
      <c r="A482" s="3" t="inlineStr">
        <is>
          <t>연서면 월하리 902</t>
        </is>
      </c>
      <c r="B482" s="3" t="inlineStr">
        <is>
          <t>자연녹지지역</t>
        </is>
      </c>
      <c r="C482" s="3" t="inlineStr">
        <is>
          <t>대</t>
        </is>
      </c>
      <c r="D482" s="3" t="inlineStr">
        <is>
          <t>창고</t>
        </is>
      </c>
      <c r="E482" s="3" t="inlineStr">
        <is>
          <t>월세</t>
        </is>
      </c>
      <c r="F482" s="4" t="n">
        <v>10000</v>
      </c>
      <c r="G482" s="4" t="n">
        <v>450</v>
      </c>
      <c r="H482" s="4" t="n">
        <v>3224</v>
      </c>
      <c r="I482" s="4" t="n">
        <v>975</v>
      </c>
      <c r="J482" s="5" t="n">
        <v>0.5</v>
      </c>
      <c r="K482" s="4" t="n">
        <v>594</v>
      </c>
      <c r="L482" s="4" t="n">
        <v>180</v>
      </c>
      <c r="M482" s="5" t="n">
        <v>2.5</v>
      </c>
      <c r="N482" s="3" t="inlineStr">
        <is>
          <t>1</t>
        </is>
      </c>
      <c r="O482" s="3" t="inlineStr">
        <is>
          <t>-</t>
        </is>
      </c>
      <c r="P482" s="3" t="inlineStr">
        <is>
          <t>세종신도심, 조치원, 오송 접근성 좋은 2차선도로변 준신축 창고임대</t>
        </is>
      </c>
      <c r="Q482" s="6">
        <f>HYPERLINK("https://fin.land.naver.com/articles/2654666248", "매물Link")</f>
        <v/>
      </c>
      <c r="R482" s="6">
        <f>HYPERLINK("https://map.naver.com/p/search/연서면 월하리 902", "지도Link")</f>
        <v/>
      </c>
      <c r="S482" s="6">
        <f>HYPERLINK("http://www.eum.go.kr/web/ar/lu/luLandDet.jsp?pnu=3611036021109020000&amp;isNoScr=script&amp;mode=search", "토지이음")</f>
        <v/>
      </c>
      <c r="T482" s="3" t="inlineStr">
        <is>
          <t>청담</t>
        </is>
      </c>
      <c r="U482" s="4" t="n">
        <v>1</v>
      </c>
      <c r="V482" s="5" t="n">
        <v>156.1</v>
      </c>
      <c r="W482" s="4" t="n">
        <v>3244</v>
      </c>
      <c r="X482" s="3" t="inlineStr">
        <is>
          <t>주건축물제2동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제2종근생</t>
        </is>
      </c>
      <c r="AB482" s="3" t="inlineStr">
        <is>
          <t>7.0m</t>
        </is>
      </c>
      <c r="AC482" s="3" t="inlineStr">
        <is>
          <t>2022-04</t>
        </is>
      </c>
      <c r="AD482" s="3" t="inlineStr">
        <is>
          <t>소로한면</t>
        </is>
      </c>
    </row>
    <row r="483">
      <c r="A483" s="3" t="inlineStr">
        <is>
          <t>연서면 월하리 902</t>
        </is>
      </c>
      <c r="B483" s="3" t="inlineStr">
        <is>
          <t>자연녹지지역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4000</v>
      </c>
      <c r="G483" s="4" t="n">
        <v>180</v>
      </c>
      <c r="H483" s="4" t="n">
        <v>3244</v>
      </c>
      <c r="I483" s="4" t="n">
        <v>981</v>
      </c>
      <c r="J483" s="5" t="n">
        <v>0.2</v>
      </c>
      <c r="K483" s="4" t="n">
        <v>53</v>
      </c>
      <c r="L483" s="4" t="n">
        <v>16</v>
      </c>
      <c r="M483" s="5" t="n">
        <v>11.2</v>
      </c>
      <c r="N483" s="3" t="inlineStr">
        <is>
          <t>1</t>
        </is>
      </c>
      <c r="O483" s="3" t="inlineStr">
        <is>
          <t>-</t>
        </is>
      </c>
      <c r="P483" s="3" t="inlineStr">
        <is>
          <t>즉시입주 신축 2종근생  활용도 높은 건물임대</t>
        </is>
      </c>
      <c r="Q483" s="6">
        <f>HYPERLINK("https://fin.land.naver.com/articles/2654518316", "매물Link")</f>
        <v/>
      </c>
      <c r="R483" s="6">
        <f>HYPERLINK("https://map.naver.com/p/search/연서면 월하리 902", "지도Link")</f>
        <v/>
      </c>
      <c r="S483" s="6">
        <f>HYPERLINK("http://www.eum.go.kr/web/ar/lu/luLandDet.jsp?pnu=3611036021109020000&amp;isNoScr=script&amp;mode=search", "토지이음")</f>
        <v/>
      </c>
      <c r="T483" s="3" t="inlineStr">
        <is>
          <t>THE행복</t>
        </is>
      </c>
      <c r="U483" s="4" t="n">
        <v>1</v>
      </c>
      <c r="V483" s="5" t="n">
        <v>156.1</v>
      </c>
      <c r="W483" s="4" t="n">
        <v>3244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단독주택</t>
        </is>
      </c>
      <c r="AB483" s="3" t="inlineStr">
        <is>
          <t>4.57m</t>
        </is>
      </c>
      <c r="AC483" s="3" t="inlineStr">
        <is>
          <t>2022-04</t>
        </is>
      </c>
      <c r="AD483" s="3" t="inlineStr">
        <is>
          <t>소로한면</t>
        </is>
      </c>
    </row>
    <row r="484">
      <c r="A484" s="3" t="inlineStr">
        <is>
          <t>오송읍 공북리 271-4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창고</t>
        </is>
      </c>
      <c r="E484" s="3" t="inlineStr">
        <is>
          <t>월세</t>
        </is>
      </c>
      <c r="F484" s="4" t="n">
        <v>1000</v>
      </c>
      <c r="G484" s="4" t="n">
        <v>150</v>
      </c>
      <c r="H484" s="4" t="n">
        <v>660</v>
      </c>
      <c r="I484" s="4" t="n">
        <v>200</v>
      </c>
      <c r="J484" s="5" t="n">
        <v>0.8</v>
      </c>
      <c r="K484" s="4" t="n">
        <v>330</v>
      </c>
      <c r="L484" s="4" t="n">
        <v>100</v>
      </c>
      <c r="M484" s="5" t="n">
        <v>1.5</v>
      </c>
      <c r="N484" s="3" t="inlineStr">
        <is>
          <t>1</t>
        </is>
      </c>
      <c r="O484" s="3" t="inlineStr">
        <is>
          <t>-</t>
        </is>
      </c>
      <c r="P484" s="3" t="inlineStr">
        <is>
          <t>저렴한 금액으로 대형 창고를 사용할수 있는 기회를 잡으세요</t>
        </is>
      </c>
      <c r="Q484" s="6">
        <f>HYPERLINK("https://fin.land.naver.com/articles/2651108355", "매물Link")</f>
        <v/>
      </c>
      <c r="R484" s="6">
        <f>HYPERLINK("https://map.naver.com/p/search/오송읍 공북리 271-4", "지도Link")</f>
        <v/>
      </c>
      <c r="S484" s="6">
        <f>HYPERLINK("http://www.eum.go.kr/web/ar/lu/luLandDet.jsp?pnu=4311325023102710004&amp;isNoScr=script&amp;mode=search", "토지이음")</f>
        <v/>
      </c>
      <c r="T484" s="3" t="inlineStr">
        <is>
          <t>오송2단지창조</t>
        </is>
      </c>
      <c r="U484" s="4" t="n">
        <v>1</v>
      </c>
      <c r="V484" s="5" t="n">
        <v>77</v>
      </c>
      <c r="W484" s="4" t="n">
        <v>660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철근콘크리트구조</t>
        </is>
      </c>
      <c r="AA484" s="3" t="inlineStr">
        <is>
          <t>창고시설</t>
        </is>
      </c>
      <c r="AB484" s="3" t="inlineStr">
        <is>
          <t>-</t>
        </is>
      </c>
      <c r="AC484" s="3" t="inlineStr">
        <is>
          <t>1979</t>
        </is>
      </c>
      <c r="AD484" s="3" t="inlineStr">
        <is>
          <t>세로한면(가)</t>
        </is>
      </c>
    </row>
    <row r="485">
      <c r="A485" s="3" t="inlineStr">
        <is>
          <t>오송읍 공북리 271-4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1000</v>
      </c>
      <c r="G485" s="4" t="n">
        <v>150</v>
      </c>
      <c r="H485" s="4" t="n">
        <v>660</v>
      </c>
      <c r="I485" s="4" t="n">
        <v>200</v>
      </c>
      <c r="J485" s="5" t="n">
        <v>0.8</v>
      </c>
      <c r="K485" s="4" t="n">
        <v>330</v>
      </c>
      <c r="L485" s="4" t="n">
        <v>100</v>
      </c>
      <c r="M485" s="5" t="n">
        <v>1.5</v>
      </c>
      <c r="N485" s="3" t="inlineStr">
        <is>
          <t>1</t>
        </is>
      </c>
      <c r="O485" s="3" t="inlineStr">
        <is>
          <t>B1</t>
        </is>
      </c>
      <c r="P485" s="3" t="inlineStr">
        <is>
          <t>층고 높고 넓은 창고전용,2차선도로옆</t>
        </is>
      </c>
      <c r="Q485" s="6">
        <f>HYPERLINK("https://fin.land.naver.com/articles/2652903125", "매물Link")</f>
        <v/>
      </c>
      <c r="R485" s="6">
        <f>HYPERLINK("https://map.naver.com/p/search/오송읍 공북리 271-4", "지도Link")</f>
        <v/>
      </c>
      <c r="S485" s="6">
        <f>HYPERLINK("http://www.eum.go.kr/web/ar/lu/luLandDet.jsp?pnu=4311325023102710004&amp;isNoScr=script&amp;mode=search", "토지이음")</f>
        <v/>
      </c>
      <c r="T485" s="3" t="inlineStr">
        <is>
          <t>오송올래</t>
        </is>
      </c>
      <c r="U485" s="4" t="n">
        <v>2</v>
      </c>
      <c r="V485" s="5" t="n">
        <v>77</v>
      </c>
      <c r="W485" s="4" t="n">
        <v>660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철근콘크리트구조</t>
        </is>
      </c>
      <c r="AA485" s="3" t="inlineStr">
        <is>
          <t>창고시설</t>
        </is>
      </c>
      <c r="AB485" s="3" t="inlineStr">
        <is>
          <t>-</t>
        </is>
      </c>
      <c r="AC485" s="3" t="inlineStr">
        <is>
          <t>1979</t>
        </is>
      </c>
      <c r="AD485" s="3" t="inlineStr">
        <is>
          <t>세로한면(가)</t>
        </is>
      </c>
    </row>
    <row r="486">
      <c r="A486" s="3" t="inlineStr">
        <is>
          <t>오송읍 궁평리 308-4</t>
        </is>
      </c>
      <c r="B486" s="3" t="inlineStr">
        <is>
          <t>농림지역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2000</v>
      </c>
      <c r="G486" s="4" t="n">
        <v>100</v>
      </c>
      <c r="H486" s="4" t="n">
        <v>506</v>
      </c>
      <c r="I486" s="4" t="n">
        <v>153</v>
      </c>
      <c r="J486" s="5" t="n">
        <v>0.7</v>
      </c>
      <c r="K486" s="4" t="n">
        <v>100</v>
      </c>
      <c r="L486" s="4" t="n">
        <v>30</v>
      </c>
      <c r="M486" s="5" t="n">
        <v>3.3</v>
      </c>
      <c r="N486" s="3" t="inlineStr">
        <is>
          <t>1</t>
        </is>
      </c>
      <c r="O486" s="3" t="inlineStr">
        <is>
          <t>-</t>
        </is>
      </c>
      <c r="P486" s="3" t="inlineStr">
        <is>
          <t>오송역청주IC 인근 농업용창고 임대  농업용물류용 적합</t>
        </is>
      </c>
      <c r="Q486" s="6">
        <f>HYPERLINK("https://fin.land.naver.com/articles/2651828475", "매물Link")</f>
        <v/>
      </c>
      <c r="R486" s="6">
        <f>HYPERLINK("https://map.naver.com/p/search/오송읍 궁평리 308-4", "지도Link")</f>
        <v/>
      </c>
      <c r="S486" s="6">
        <f>HYPERLINK("http://www.eum.go.kr/web/ar/lu/luLandDet.jsp?pnu=4311325027103080004&amp;isNoScr=script&amp;mode=search", "토지이음")</f>
        <v/>
      </c>
      <c r="T486" s="3" t="inlineStr">
        <is>
          <t>오송시티</t>
        </is>
      </c>
      <c r="U486" s="4" t="n">
        <v>1</v>
      </c>
      <c r="V486" s="5" t="n">
        <v>41.8</v>
      </c>
      <c r="W486" s="4" t="n">
        <v>506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경량철골구조</t>
        </is>
      </c>
      <c r="AA486" s="3" t="inlineStr">
        <is>
          <t>창고시설</t>
        </is>
      </c>
      <c r="AB486" s="3" t="inlineStr">
        <is>
          <t>6.1m</t>
        </is>
      </c>
      <c r="AC486" s="3" t="inlineStr">
        <is>
          <t>2022-12</t>
        </is>
      </c>
      <c r="AD486" s="3" t="inlineStr">
        <is>
          <t>세로한면(가)</t>
        </is>
      </c>
    </row>
    <row r="487">
      <c r="A487" s="3" t="inlineStr">
        <is>
          <t>오송읍 만수리 301-4</t>
        </is>
      </c>
      <c r="B487" s="3" t="inlineStr">
        <is>
          <t>농림지역</t>
        </is>
      </c>
      <c r="C487" s="3" t="inlineStr">
        <is>
          <t>창고용지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2000</v>
      </c>
      <c r="G487" s="4" t="n">
        <v>150</v>
      </c>
      <c r="H487" s="4" t="n">
        <v>733</v>
      </c>
      <c r="I487" s="4" t="n">
        <v>222</v>
      </c>
      <c r="J487" s="5" t="n">
        <v>0.7</v>
      </c>
      <c r="K487" s="4" t="n">
        <v>160</v>
      </c>
      <c r="L487" s="4" t="n">
        <v>48</v>
      </c>
      <c r="M487" s="5" t="n">
        <v>3.1</v>
      </c>
      <c r="N487" s="3" t="inlineStr">
        <is>
          <t>1</t>
        </is>
      </c>
      <c r="O487" s="3" t="inlineStr">
        <is>
          <t>-</t>
        </is>
      </c>
      <c r="P487" s="3" t="inlineStr">
        <is>
          <t>대형 차량 진출입 가능하며,마당에 적재 가능한 창고,즉시사용가능</t>
        </is>
      </c>
      <c r="Q487" s="6">
        <f>HYPERLINK("https://fin.land.naver.com/articles/2654522835", "매물Link")</f>
        <v/>
      </c>
      <c r="R487" s="6">
        <f>HYPERLINK("https://map.naver.com/p/search/오송읍 만수리 301-4", "지도Link")</f>
        <v/>
      </c>
      <c r="S487" s="6">
        <f>HYPERLINK("http://www.eum.go.kr/web/ar/lu/luLandDet.jsp?pnu=4311325025103010004&amp;isNoScr=script&amp;mode=search", "토지이음")</f>
        <v/>
      </c>
      <c r="T487" s="3" t="inlineStr">
        <is>
          <t>오송2단지창조</t>
        </is>
      </c>
      <c r="U487" s="4" t="n">
        <v>1</v>
      </c>
      <c r="V487" s="5" t="n">
        <v>113.4</v>
      </c>
      <c r="W487" s="4" t="n">
        <v>733</v>
      </c>
      <c r="X487" s="3" t="inlineStr">
        <is>
          <t>1동</t>
        </is>
      </c>
      <c r="Y487" s="7" t="inlineStr">
        <is>
          <t>1층</t>
        </is>
      </c>
      <c r="Z487" s="3" t="inlineStr">
        <is>
          <t>경량철골구조</t>
        </is>
      </c>
      <c r="AA487" s="3" t="inlineStr">
        <is>
          <t>창고시설</t>
        </is>
      </c>
      <c r="AB487" s="3" t="inlineStr">
        <is>
          <t>5.0m</t>
        </is>
      </c>
      <c r="AC487" s="3" t="inlineStr">
        <is>
          <t>2005-12</t>
        </is>
      </c>
      <c r="AD487" s="3" t="inlineStr">
        <is>
          <t>소로각지</t>
        </is>
      </c>
    </row>
    <row r="488">
      <c r="A488" s="3" t="inlineStr">
        <is>
          <t>오송읍 쌍청리 108-11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140000</v>
      </c>
      <c r="G488" s="4" t="n">
        <v>0</v>
      </c>
      <c r="H488" s="4" t="n">
        <v>2382</v>
      </c>
      <c r="I488" s="4" t="n">
        <v>721</v>
      </c>
      <c r="J488" s="5" t="n">
        <v>194.2</v>
      </c>
      <c r="K488" s="4" t="n">
        <v>696</v>
      </c>
      <c r="L488" s="4" t="n">
        <v>211</v>
      </c>
      <c r="M488" s="5" t="n">
        <v>663.5</v>
      </c>
      <c r="N488" s="3" t="inlineStr">
        <is>
          <t>1</t>
        </is>
      </c>
      <c r="O488" s="3" t="inlineStr">
        <is>
          <t>B1</t>
        </is>
      </c>
      <c r="P488" s="3" t="inlineStr">
        <is>
          <t>진입로6미터도로.주택,빌라,연립주택적합,투자적지</t>
        </is>
      </c>
      <c r="Q488" s="6">
        <f>HYPERLINK("https://fin.land.naver.com/articles/2655122271", "매물Link")</f>
        <v/>
      </c>
      <c r="R488" s="6">
        <f>HYPERLINK("https://map.naver.com/p/search/오송읍 쌍청리 108-11", "지도Link")</f>
        <v/>
      </c>
      <c r="S488" s="6">
        <f>HYPERLINK("http://www.eum.go.kr/web/ar/lu/luLandDet.jsp?pnu=4311325024101080011&amp;isNoScr=script&amp;mode=search", "토지이음")</f>
        <v/>
      </c>
      <c r="T488" s="3" t="inlineStr">
        <is>
          <t>이박사</t>
        </is>
      </c>
      <c r="U488" s="4" t="n">
        <v>1</v>
      </c>
      <c r="V488" s="5" t="n">
        <v>70.09999999999999</v>
      </c>
      <c r="W488" s="4" t="n">
        <v>68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세로한면(가)</t>
        </is>
      </c>
    </row>
    <row r="489">
      <c r="A489" s="3" t="inlineStr">
        <is>
          <t>오송읍 쌍청리 131-6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공장</t>
        </is>
      </c>
      <c r="E489" s="3" t="inlineStr">
        <is>
          <t>매매</t>
        </is>
      </c>
      <c r="F489" s="4" t="n">
        <v>129600</v>
      </c>
      <c r="G489" s="4" t="n">
        <v>0</v>
      </c>
      <c r="H489" s="4" t="n">
        <v>2382</v>
      </c>
      <c r="I489" s="4" t="n">
        <v>721</v>
      </c>
      <c r="J489" s="5" t="n">
        <v>179.8</v>
      </c>
      <c r="K489" s="4" t="n">
        <v>7301</v>
      </c>
      <c r="L489" s="4" t="n">
        <v>2209</v>
      </c>
      <c r="M489" s="5" t="n">
        <v>58.7</v>
      </c>
      <c r="N489" s="3" t="inlineStr">
        <is>
          <t>1</t>
        </is>
      </c>
      <c r="O489" s="3" t="inlineStr">
        <is>
          <t>-</t>
        </is>
      </c>
      <c r="P489" s="3" t="inlineStr">
        <is>
          <t>오송 쌍청리 폐 공장 매매</t>
        </is>
      </c>
      <c r="Q489" s="6">
        <f>HYPERLINK("https://fin.land.naver.com/articles/2652510813", "매물Link")</f>
        <v/>
      </c>
      <c r="R489" s="6">
        <f>HYPERLINK("https://map.naver.com/p/search/오송읍 쌍청리 131-6", "지도Link")</f>
        <v/>
      </c>
      <c r="S489" s="6">
        <f>HYPERLINK("http://www.eum.go.kr/web/ar/lu/luLandDet.jsp?pnu=4311325024101310006&amp;isNoScr=script&amp;mode=search", "토지이음")</f>
        <v/>
      </c>
      <c r="T489" s="3" t="inlineStr">
        <is>
          <t>365</t>
        </is>
      </c>
      <c r="U489" s="4" t="n">
        <v>1</v>
      </c>
      <c r="V489" s="5" t="n">
        <v>70.09999999999999</v>
      </c>
      <c r="W489" s="4" t="n">
        <v>1458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벽돌구조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1991-05</t>
        </is>
      </c>
      <c r="AD489" s="3" t="inlineStr">
        <is>
          <t>세로한면(가)</t>
        </is>
      </c>
    </row>
    <row r="490">
      <c r="A490" s="3" t="inlineStr">
        <is>
          <t>오송읍 연제리 610-1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199000</v>
      </c>
      <c r="G490" s="4" t="n">
        <v>0</v>
      </c>
      <c r="H490" s="4" t="n">
        <v>2307</v>
      </c>
      <c r="I490" s="4" t="n">
        <v>698</v>
      </c>
      <c r="J490" s="5" t="n">
        <v>285.1</v>
      </c>
      <c r="K490" s="4" t="n">
        <v>410</v>
      </c>
      <c r="L490" s="4" t="n">
        <v>124</v>
      </c>
      <c r="M490" s="5" t="n">
        <v>1604.8</v>
      </c>
      <c r="N490" s="3" t="inlineStr">
        <is>
          <t>1</t>
        </is>
      </c>
      <c r="O490" s="3" t="inlineStr">
        <is>
          <t>-</t>
        </is>
      </c>
      <c r="P490" s="3" t="inlineStr">
        <is>
          <t>오송제1생명과학단지내 저렴한 공장 급매</t>
        </is>
      </c>
      <c r="Q490" s="6">
        <f>HYPERLINK("https://fin.land.naver.com/articles/2654665741", "매물Link")</f>
        <v/>
      </c>
      <c r="R490" s="6">
        <f>HYPERLINK("https://map.naver.com/p/search/오송읍 연제리 610-1", "지도Link")</f>
        <v/>
      </c>
      <c r="S490" s="6">
        <f>HYPERLINK("http://www.eum.go.kr/web/ar/lu/luLandDet.jsp?pnu=4311325026106100001&amp;isNoScr=script&amp;mode=search", "토지이음")</f>
        <v/>
      </c>
      <c r="T490" s="3" t="inlineStr">
        <is>
          <t>청담</t>
        </is>
      </c>
      <c r="U490" s="4" t="n">
        <v>2</v>
      </c>
      <c r="V490" s="5" t="n">
        <v>70.3</v>
      </c>
      <c r="W490" s="4" t="n">
        <v>2307.9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10.15m</t>
        </is>
      </c>
      <c r="AC490" s="3" t="inlineStr">
        <is>
          <t>2013-10</t>
        </is>
      </c>
      <c r="AD490" s="3" t="inlineStr">
        <is>
          <t>중로한면</t>
        </is>
      </c>
    </row>
    <row r="491">
      <c r="A491" s="3" t="inlineStr">
        <is>
          <t>오송읍 연제리 610-1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200000</v>
      </c>
      <c r="G491" s="4" t="n">
        <v>0</v>
      </c>
      <c r="H491" s="4" t="n">
        <v>2307</v>
      </c>
      <c r="I491" s="4" t="n">
        <v>698</v>
      </c>
      <c r="J491" s="5" t="n">
        <v>286.5</v>
      </c>
      <c r="K491" s="4" t="n">
        <v>410</v>
      </c>
      <c r="L491" s="4" t="n">
        <v>124</v>
      </c>
      <c r="M491" s="5" t="n">
        <v>1612.9</v>
      </c>
      <c r="N491" s="3" t="inlineStr">
        <is>
          <t>1</t>
        </is>
      </c>
      <c r="O491" s="3" t="inlineStr">
        <is>
          <t>-</t>
        </is>
      </c>
      <c r="P491" s="3" t="inlineStr">
        <is>
          <t>오송역인근 산업단지의 층고 10m. 증축 가능한 야드 넓은 공장매매</t>
        </is>
      </c>
      <c r="Q491" s="6">
        <f>HYPERLINK("https://fin.land.naver.com/articles/2652356580", "매물Link")</f>
        <v/>
      </c>
      <c r="R491" s="6">
        <f>HYPERLINK("https://map.naver.com/p/search/오송읍 연제리 610-1", "지도Link")</f>
        <v/>
      </c>
      <c r="S491" s="6">
        <f>HYPERLINK("http://www.eum.go.kr/web/ar/lu/luLandDet.jsp?pnu=4311325026106100001&amp;isNoScr=script&amp;mode=search", "토지이음")</f>
        <v/>
      </c>
      <c r="T491" s="3" t="inlineStr">
        <is>
          <t>(주)미르</t>
        </is>
      </c>
      <c r="U491" s="4" t="n">
        <v>1</v>
      </c>
      <c r="V491" s="5" t="n">
        <v>70.3</v>
      </c>
      <c r="W491" s="4" t="n">
        <v>2307.9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10.15m</t>
        </is>
      </c>
      <c r="AC491" s="3" t="inlineStr">
        <is>
          <t>2013-10</t>
        </is>
      </c>
      <c r="AD491" s="3" t="inlineStr">
        <is>
          <t>중로한면</t>
        </is>
      </c>
    </row>
    <row r="492">
      <c r="A492" s="3" t="inlineStr">
        <is>
          <t>오송읍 연제리 610-2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550000</v>
      </c>
      <c r="G492" s="4" t="n">
        <v>0</v>
      </c>
      <c r="H492" s="4" t="n">
        <v>6481</v>
      </c>
      <c r="I492" s="4" t="n">
        <v>1961</v>
      </c>
      <c r="J492" s="5" t="n">
        <v>280.5</v>
      </c>
      <c r="K492" s="4" t="n">
        <v>996</v>
      </c>
      <c r="L492" s="4" t="n">
        <v>301</v>
      </c>
      <c r="M492" s="5" t="n">
        <v>1827.2</v>
      </c>
      <c r="N492" s="3" t="inlineStr">
        <is>
          <t>1</t>
        </is>
      </c>
      <c r="O492" s="3" t="inlineStr">
        <is>
          <t>-</t>
        </is>
      </c>
      <c r="P492" s="3" t="inlineStr">
        <is>
          <t>옥산IC인근, 화학코드, 화장품, 바이오, 첨단업종 가능, 야드 넓음</t>
        </is>
      </c>
      <c r="Q492" s="6">
        <f>HYPERLINK("https://fin.land.naver.com/articles/2654968959", "매물Link")</f>
        <v/>
      </c>
      <c r="R492" s="6">
        <f>HYPERLINK("https://map.naver.com/p/search/오송읍 연제리 610-2", "지도Link")</f>
        <v/>
      </c>
      <c r="S492" s="6">
        <f>HYPERLINK("http://www.eum.go.kr/web/ar/lu/luLandDet.jsp?pnu=4311325026106100002&amp;isNoScr=script&amp;mode=search", "토지이음")</f>
        <v/>
      </c>
      <c r="T492" s="3" t="inlineStr">
        <is>
          <t>(주)미르</t>
        </is>
      </c>
      <c r="U492" s="4" t="n">
        <v>1</v>
      </c>
      <c r="V492" s="5" t="n">
        <v>70.40000000000001</v>
      </c>
      <c r="W492" s="4" t="n">
        <v>2165.9</v>
      </c>
      <c r="X492" s="3" t="inlineStr">
        <is>
          <t>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10.15m</t>
        </is>
      </c>
      <c r="AC492" s="3" t="inlineStr">
        <is>
          <t>2016-11</t>
        </is>
      </c>
      <c r="AD492" s="3" t="inlineStr">
        <is>
          <t>중로각지</t>
        </is>
      </c>
    </row>
    <row r="493">
      <c r="A493" s="3" t="inlineStr">
        <is>
          <t>오송읍 오송리 242-18</t>
        </is>
      </c>
      <c r="B493" s="3" t="inlineStr">
        <is>
          <t>계획관리지역</t>
        </is>
      </c>
      <c r="C493" s="3" t="inlineStr">
        <is>
          <t>창고용지</t>
        </is>
      </c>
      <c r="D493" s="3" t="inlineStr">
        <is>
          <t>창고</t>
        </is>
      </c>
      <c r="E493" s="3" t="inlineStr">
        <is>
          <t>월세</t>
        </is>
      </c>
      <c r="F493" s="4" t="n">
        <v>10000</v>
      </c>
      <c r="G493" s="4" t="n">
        <v>1500</v>
      </c>
      <c r="H493" s="4" t="n">
        <v>3888</v>
      </c>
      <c r="I493" s="4" t="n">
        <v>1176</v>
      </c>
      <c r="J493" s="5" t="n">
        <v>1.3</v>
      </c>
      <c r="K493" s="4" t="n">
        <v>825</v>
      </c>
      <c r="L493" s="4" t="n">
        <v>250</v>
      </c>
      <c r="M493" s="5" t="n">
        <v>6</v>
      </c>
      <c r="N493" s="3" t="inlineStr">
        <is>
          <t>2</t>
        </is>
      </c>
      <c r="O493" s="3" t="inlineStr">
        <is>
          <t>-</t>
        </is>
      </c>
      <c r="P493" s="3" t="inlineStr">
        <is>
          <t>오송생명과학단지 인근 대형 야드 완비된 물류창고 임대</t>
        </is>
      </c>
      <c r="Q493" s="6">
        <f>HYPERLINK("https://fin.land.naver.com/articles/2654666558", "매물Link")</f>
        <v/>
      </c>
      <c r="R493" s="6">
        <f>HYPERLINK("https://map.naver.com/p/search/오송읍 오송리 242-18", "지도Link")</f>
        <v/>
      </c>
      <c r="S493" s="6">
        <f>HYPERLINK("http://www.eum.go.kr/web/ar/lu/luLandDet.jsp?pnu=4311325028102420018&amp;isNoScr=script&amp;mode=search", "토지이음")</f>
        <v/>
      </c>
      <c r="T493" s="3" t="inlineStr">
        <is>
          <t>청담</t>
        </is>
      </c>
      <c r="U493" s="4" t="n">
        <v>1</v>
      </c>
      <c r="V493" s="5" t="n">
        <v>129.4</v>
      </c>
      <c r="W493" s="4" t="n">
        <v>1807</v>
      </c>
      <c r="X493" s="3" t="inlineStr">
        <is>
          <t>미표기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창고시설</t>
        </is>
      </c>
      <c r="AB493" s="3" t="inlineStr">
        <is>
          <t>9.2m</t>
        </is>
      </c>
      <c r="AC493" s="3" t="inlineStr">
        <is>
          <t>2013-08</t>
        </is>
      </c>
      <c r="AD493" s="3" t="inlineStr">
        <is>
          <t>세로한면(가)</t>
        </is>
      </c>
    </row>
    <row r="494">
      <c r="A494" s="3" t="inlineStr">
        <is>
          <t>오송읍 오송리 246-45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</v>
      </c>
      <c r="G494" s="4" t="n">
        <v>250</v>
      </c>
      <c r="H494" s="4" t="n">
        <v>1739</v>
      </c>
      <c r="I494" s="4" t="n">
        <v>526</v>
      </c>
      <c r="J494" s="5" t="n">
        <v>0.5</v>
      </c>
      <c r="K494" s="4" t="n">
        <v>440</v>
      </c>
      <c r="L494" s="4" t="n">
        <v>133</v>
      </c>
      <c r="M494" s="5" t="n">
        <v>1.9</v>
      </c>
      <c r="N494" s="3" t="inlineStr">
        <is>
          <t>1</t>
        </is>
      </c>
      <c r="O494" s="3" t="inlineStr">
        <is>
          <t>B1</t>
        </is>
      </c>
      <c r="P494" s="3" t="inlineStr">
        <is>
          <t>공장, 창고 l 교통 편리 l 6개동 일괄 임대</t>
        </is>
      </c>
      <c r="Q494" s="6">
        <f>HYPERLINK("https://fin.land.naver.com/articles/2650437203", "매물Link")</f>
        <v/>
      </c>
      <c r="R494" s="6">
        <f>HYPERLINK("https://map.naver.com/p/search/오송읍 오송리 246-45", "지도Link")</f>
        <v/>
      </c>
      <c r="S494" s="6">
        <f>HYPERLINK("http://www.eum.go.kr/web/ar/lu/luLandDet.jsp?pnu=4311325028102460045&amp;isNoScr=script&amp;mode=search", "토지이음")</f>
        <v/>
      </c>
      <c r="T494" s="3" t="inlineStr">
        <is>
          <t>에이스</t>
        </is>
      </c>
      <c r="U494" s="4" t="n">
        <v>1</v>
      </c>
      <c r="V494" s="5" t="n">
        <v>152.1</v>
      </c>
      <c r="W494" s="4" t="n">
        <v>1739</v>
      </c>
      <c r="X494" s="3" t="inlineStr">
        <is>
          <t>미표기</t>
        </is>
      </c>
      <c r="Y494" s="7" t="inlineStr">
        <is>
          <t>2층</t>
        </is>
      </c>
      <c r="Z494" s="3" t="inlineStr">
        <is>
          <t>벽돌구조</t>
        </is>
      </c>
      <c r="AA494" s="3" t="inlineStr">
        <is>
          <t>공장</t>
        </is>
      </c>
      <c r="AB494" s="3" t="inlineStr">
        <is>
          <t>-</t>
        </is>
      </c>
      <c r="AC494" s="3" t="inlineStr">
        <is>
          <t>1980</t>
        </is>
      </c>
      <c r="AD494" s="3" t="inlineStr">
        <is>
          <t>세로한면(가)</t>
        </is>
      </c>
    </row>
    <row r="495">
      <c r="A495" s="3" t="inlineStr">
        <is>
          <t>오송읍 오송리 246-51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공장</t>
        </is>
      </c>
      <c r="E495" s="3" t="inlineStr">
        <is>
          <t>월세</t>
        </is>
      </c>
      <c r="F495" s="4" t="n">
        <v>3000</v>
      </c>
      <c r="G495" s="4" t="n">
        <v>180</v>
      </c>
      <c r="H495" s="4" t="n">
        <v>1524</v>
      </c>
      <c r="I495" s="4" t="n">
        <v>461</v>
      </c>
      <c r="J495" s="5" t="n">
        <v>0.4</v>
      </c>
      <c r="K495" s="4" t="n">
        <v>536</v>
      </c>
      <c r="L495" s="4" t="n">
        <v>162</v>
      </c>
      <c r="M495" s="5" t="n">
        <v>1.1</v>
      </c>
      <c r="N495" s="3" t="inlineStr">
        <is>
          <t>1</t>
        </is>
      </c>
      <c r="O495" s="3" t="inlineStr">
        <is>
          <t>-</t>
        </is>
      </c>
      <c r="P495" s="3" t="inlineStr">
        <is>
          <t>nan</t>
        </is>
      </c>
      <c r="Q495" s="6">
        <f>HYPERLINK("https://fin.land.naver.com/articles/2652689876", "매물Link")</f>
        <v/>
      </c>
      <c r="R495" s="6">
        <f>HYPERLINK("https://map.naver.com/p/search/오송읍 오송리 246-51", "지도Link")</f>
        <v/>
      </c>
      <c r="S495" s="6">
        <f>HYPERLINK("http://www.eum.go.kr/web/ar/lu/luLandDet.jsp?pnu=4311325028102460051&amp;isNoScr=script&amp;mode=search", "토지이음")</f>
        <v/>
      </c>
      <c r="T495" s="3" t="inlineStr">
        <is>
          <t>365</t>
        </is>
      </c>
      <c r="U495" s="4" t="n">
        <v>2</v>
      </c>
      <c r="V495" s="5" t="n">
        <v>163.6</v>
      </c>
      <c r="W495" s="4" t="n">
        <v>1447</v>
      </c>
      <c r="X495" s="3" t="inlineStr">
        <is>
          <t>미표기</t>
        </is>
      </c>
      <c r="Y495" s="7" t="inlineStr">
        <is>
          <t>1층</t>
        </is>
      </c>
      <c r="Z495" s="3" t="inlineStr">
        <is>
          <t>블록구조</t>
        </is>
      </c>
      <c r="AA495" s="3" t="inlineStr">
        <is>
          <t>공장</t>
        </is>
      </c>
      <c r="AB495" s="3" t="inlineStr">
        <is>
          <t>-</t>
        </is>
      </c>
      <c r="AC495" s="3" t="inlineStr">
        <is>
          <t>1981-11</t>
        </is>
      </c>
      <c r="AD495" s="3" t="inlineStr">
        <is>
          <t>세로한면(가)</t>
        </is>
      </c>
    </row>
    <row r="496">
      <c r="A496" s="3" t="inlineStr">
        <is>
          <t>오송읍 오송리 246-71</t>
        </is>
      </c>
      <c r="B496" s="3" t="inlineStr">
        <is>
          <t>계획관리지역</t>
        </is>
      </c>
      <c r="C496" s="3" t="inlineStr">
        <is>
          <t>잡종지</t>
        </is>
      </c>
      <c r="D496" s="3" t="inlineStr">
        <is>
          <t>창고</t>
        </is>
      </c>
      <c r="E496" s="3" t="inlineStr">
        <is>
          <t>월세</t>
        </is>
      </c>
      <c r="F496" s="4" t="n">
        <v>1000</v>
      </c>
      <c r="G496" s="4" t="n">
        <v>100</v>
      </c>
      <c r="H496" s="4" t="n">
        <v>565</v>
      </c>
      <c r="I496" s="4" t="n">
        <v>171</v>
      </c>
      <c r="J496" s="5" t="n">
        <v>0.6</v>
      </c>
      <c r="K496" s="4" t="n">
        <v>227</v>
      </c>
      <c r="L496" s="4" t="n">
        <v>69</v>
      </c>
      <c r="M496" s="5" t="n">
        <v>1.4</v>
      </c>
      <c r="N496" s="3" t="inlineStr">
        <is>
          <t>1</t>
        </is>
      </c>
      <c r="O496" s="3" t="inlineStr">
        <is>
          <t>-</t>
        </is>
      </c>
      <c r="P496" s="3" t="inlineStr">
        <is>
          <t>창고와 별도 사무실이 있음</t>
        </is>
      </c>
      <c r="Q496" s="6">
        <f>HYPERLINK("https://fin.land.naver.com/articles/2649702312", "매물Link")</f>
        <v/>
      </c>
      <c r="R496" s="6">
        <f>HYPERLINK("https://map.naver.com/p/search/오송읍 오송리 246-71", "지도Link")</f>
        <v/>
      </c>
      <c r="S496" s="6">
        <f>HYPERLINK("http://www.eum.go.kr/web/ar/lu/luLandDet.jsp?pnu=4311325028102460071&amp;isNoScr=script&amp;mode=search", "토지이음")</f>
        <v/>
      </c>
      <c r="T496" s="3" t="inlineStr">
        <is>
          <t>금송</t>
        </is>
      </c>
      <c r="U496" s="4" t="n">
        <v>1</v>
      </c>
      <c r="V496" s="5" t="n">
        <v>152.1</v>
      </c>
      <c r="W496" s="4" t="n">
        <v>320</v>
      </c>
      <c r="X496" s="3" t="inlineStr">
        <is>
          <t>대장없음</t>
        </is>
      </c>
      <c r="Y496" s="7" t="inlineStr">
        <is>
          <t>대장없음</t>
        </is>
      </c>
      <c r="Z496" s="3" t="inlineStr">
        <is>
          <t>대장없음</t>
        </is>
      </c>
      <c r="AA496" s="3" t="inlineStr">
        <is>
          <t>대장없음</t>
        </is>
      </c>
      <c r="AB496" s="3" t="inlineStr">
        <is>
          <t>대장없음</t>
        </is>
      </c>
      <c r="AC496" s="3" t="inlineStr">
        <is>
          <t>대장없음</t>
        </is>
      </c>
      <c r="AD496" s="3" t="inlineStr">
        <is>
          <t>세로한면(불)</t>
        </is>
      </c>
    </row>
    <row r="497">
      <c r="A497" s="3" t="inlineStr">
        <is>
          <t>오송읍 오송리 63-8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공장</t>
        </is>
      </c>
      <c r="E497" s="3" t="inlineStr">
        <is>
          <t>매매</t>
        </is>
      </c>
      <c r="F497" s="4" t="n">
        <v>155000</v>
      </c>
      <c r="G497" s="4" t="n">
        <v>0</v>
      </c>
      <c r="H497" s="4" t="n">
        <v>1100</v>
      </c>
      <c r="I497" s="4" t="n">
        <v>333</v>
      </c>
      <c r="J497" s="5" t="n">
        <v>465.5</v>
      </c>
      <c r="K497" s="4" t="n">
        <v>464</v>
      </c>
      <c r="L497" s="4" t="n">
        <v>140</v>
      </c>
      <c r="M497" s="5" t="n">
        <v>1107.1</v>
      </c>
      <c r="N497" s="3" t="inlineStr">
        <is>
          <t>1</t>
        </is>
      </c>
      <c r="O497" s="3" t="inlineStr">
        <is>
          <t>-</t>
        </is>
      </c>
      <c r="P497" s="3" t="inlineStr">
        <is>
          <t>오송 역세권 위치좋은 창고시설</t>
        </is>
      </c>
      <c r="Q497" s="6">
        <f>HYPERLINK("https://fin.land.naver.com/articles/2655242951", "매물Link")</f>
        <v/>
      </c>
      <c r="R497" s="6">
        <f>HYPERLINK("https://map.naver.com/p/search/오송읍 오송리 63-8", "지도Link")</f>
        <v/>
      </c>
      <c r="S497" s="6">
        <f>HYPERLINK("http://www.eum.go.kr/web/ar/lu/luLandDet.jsp?pnu=4311325028100630008&amp;isNoScr=script&amp;mode=search", "토지이음")</f>
        <v/>
      </c>
      <c r="T497" s="3" t="inlineStr">
        <is>
          <t>동남조은집</t>
        </is>
      </c>
      <c r="U497" s="4" t="n">
        <v>1</v>
      </c>
      <c r="V497" s="5" t="n">
        <v>283.4</v>
      </c>
      <c r="W497" s="4" t="n">
        <v>1041</v>
      </c>
      <c r="X497" s="3" t="inlineStr">
        <is>
          <t>미표기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창고시설</t>
        </is>
      </c>
      <c r="AB497" s="3" t="inlineStr">
        <is>
          <t>7.15m</t>
        </is>
      </c>
      <c r="AC497" s="3" t="inlineStr">
        <is>
          <t>2006-09</t>
        </is>
      </c>
      <c r="AD497" s="3" t="inlineStr">
        <is>
          <t>중로각지</t>
        </is>
      </c>
    </row>
    <row r="498">
      <c r="A498" s="3" t="inlineStr">
        <is>
          <t>오송읍 정중리 317-1</t>
        </is>
      </c>
      <c r="B498" s="3" t="inlineStr">
        <is>
          <t>농림지역</t>
        </is>
      </c>
      <c r="C498" s="3" t="inlineStr">
        <is>
          <t>잡종지</t>
        </is>
      </c>
      <c r="D498" s="3" t="inlineStr">
        <is>
          <t>창고</t>
        </is>
      </c>
      <c r="E498" s="3" t="inlineStr">
        <is>
          <t>월세</t>
        </is>
      </c>
      <c r="F498" s="4" t="n">
        <v>500</v>
      </c>
      <c r="G498" s="4" t="n">
        <v>40</v>
      </c>
      <c r="H498" s="4" t="n">
        <v>1220</v>
      </c>
      <c r="I498" s="4" t="n">
        <v>369</v>
      </c>
      <c r="J498" s="5" t="n">
        <v>0.1</v>
      </c>
      <c r="K498" s="4" t="n">
        <v>66</v>
      </c>
      <c r="L498" s="4" t="n">
        <v>20</v>
      </c>
      <c r="M498" s="5" t="n">
        <v>2</v>
      </c>
      <c r="N498" s="3" t="inlineStr">
        <is>
          <t>1</t>
        </is>
      </c>
      <c r="O498" s="3" t="inlineStr">
        <is>
          <t>-</t>
        </is>
      </c>
      <c r="P498" s="3" t="inlineStr">
        <is>
          <t>오송KTX역 및 오송바이오2산단 인근  2차선 도로접한 창고 임대</t>
        </is>
      </c>
      <c r="Q498" s="6">
        <f>HYPERLINK("https://fin.land.naver.com/articles/2654152544", "매물Link")</f>
        <v/>
      </c>
      <c r="R498" s="6">
        <f>HYPERLINK("https://map.naver.com/p/search/오송읍 정중리 317-1", "지도Link")</f>
        <v/>
      </c>
      <c r="S498" s="6">
        <f>HYPERLINK("http://www.eum.go.kr/web/ar/lu/luLandDet.jsp?pnu=4311325032103170001&amp;isNoScr=script&amp;mode=search", "토지이음")</f>
        <v/>
      </c>
      <c r="T498" s="3" t="inlineStr">
        <is>
          <t>번영</t>
        </is>
      </c>
      <c r="U498" s="4" t="n">
        <v>1</v>
      </c>
      <c r="V498" s="5" t="n">
        <v>25.2</v>
      </c>
      <c r="W498" s="4" t="n">
        <v>237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경량철골구조</t>
        </is>
      </c>
      <c r="AA498" s="3" t="inlineStr">
        <is>
          <t>창고시설</t>
        </is>
      </c>
      <c r="AB498" s="3" t="inlineStr">
        <is>
          <t>5.6m</t>
        </is>
      </c>
      <c r="AC498" s="3" t="inlineStr">
        <is>
          <t>2001-10</t>
        </is>
      </c>
      <c r="AD498" s="3" t="inlineStr">
        <is>
          <t>세로한면(가)</t>
        </is>
      </c>
    </row>
    <row r="499">
      <c r="A499" s="3" t="inlineStr">
        <is>
          <t>오송읍 정중리 636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400000</v>
      </c>
      <c r="G499" s="4" t="n">
        <v>0</v>
      </c>
      <c r="H499" s="4" t="n">
        <v>2000</v>
      </c>
      <c r="I499" s="4" t="n">
        <v>605</v>
      </c>
      <c r="J499" s="5" t="n">
        <v>661.2</v>
      </c>
      <c r="K499" s="4" t="n">
        <v>501</v>
      </c>
      <c r="L499" s="4" t="n">
        <v>152</v>
      </c>
      <c r="M499" s="5" t="n">
        <v>2631.6</v>
      </c>
      <c r="N499" s="3" t="inlineStr">
        <is>
          <t>1</t>
        </is>
      </c>
      <c r="O499" s="3" t="inlineStr">
        <is>
          <t>-</t>
        </is>
      </c>
      <c r="P499" s="3" t="inlineStr">
        <is>
          <t>비금속광물,금속,기계,장비,자동차,운송장비 제조업 등 첨단관련 입주가능</t>
        </is>
      </c>
      <c r="Q499" s="6">
        <f>HYPERLINK("https://fin.land.naver.com/articles/2651580202", "매물Link")</f>
        <v/>
      </c>
      <c r="R499" s="6">
        <f>HYPERLINK("https://map.naver.com/p/search/오송읍 정중리 636", "지도Link")</f>
        <v/>
      </c>
      <c r="S499" s="6">
        <f>HYPERLINK("http://www.eum.go.kr/web/ar/lu/luLandDet.jsp?pnu=4311325032106360000&amp;isNoScr=script&amp;mode=search", "토지이음")</f>
        <v/>
      </c>
      <c r="T499" s="3" t="inlineStr">
        <is>
          <t>금화랜드</t>
        </is>
      </c>
      <c r="U499" s="4" t="n">
        <v>1</v>
      </c>
      <c r="V499" s="5" t="n">
        <v>66.90000000000001</v>
      </c>
      <c r="W499" s="4" t="n">
        <v>2000.1</v>
      </c>
      <c r="X499" s="3" t="inlineStr">
        <is>
          <t>주2동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9.1m</t>
        </is>
      </c>
      <c r="AC499" s="3" t="inlineStr">
        <is>
          <t>2021-10</t>
        </is>
      </c>
      <c r="AD499" s="3" t="inlineStr">
        <is>
          <t>중로한면</t>
        </is>
      </c>
    </row>
    <row r="500">
      <c r="A500" s="3" t="inlineStr">
        <is>
          <t>오송읍 정중리 651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3000</v>
      </c>
      <c r="G500" s="4" t="n">
        <v>300</v>
      </c>
      <c r="H500" s="4" t="n">
        <v>16494</v>
      </c>
      <c r="I500" s="4" t="n">
        <v>4989</v>
      </c>
      <c r="J500" s="5" t="n">
        <v>0.1</v>
      </c>
      <c r="K500" s="4" t="n">
        <v>337</v>
      </c>
      <c r="L500" s="4" t="n">
        <v>102</v>
      </c>
      <c r="M500" s="5" t="n">
        <v>2.9</v>
      </c>
      <c r="N500" s="3" t="inlineStr">
        <is>
          <t>2</t>
        </is>
      </c>
      <c r="O500" s="3" t="inlineStr">
        <is>
          <t>-</t>
        </is>
      </c>
      <c r="P500" s="3" t="inlineStr">
        <is>
          <t>오송바이오폴리스지구,식품관련업종,사무실,공장 다 가능</t>
        </is>
      </c>
      <c r="Q500" s="6">
        <f>HYPERLINK("https://fin.land.naver.com/articles/2653787418", "매물Link")</f>
        <v/>
      </c>
      <c r="R500" s="6">
        <f>HYPERLINK("https://map.naver.com/p/search/오송읍 정중리 651", "지도Link")</f>
        <v/>
      </c>
      <c r="S500" s="6">
        <f>HYPERLINK("http://www.eum.go.kr/web/ar/lu/luLandDet.jsp?pnu=4311325032106510000&amp;isNoScr=script&amp;mode=search", "토지이음")</f>
        <v/>
      </c>
      <c r="T500" s="3" t="inlineStr">
        <is>
          <t>오송올래</t>
        </is>
      </c>
      <c r="U500" s="4" t="n">
        <v>1</v>
      </c>
      <c r="V500" s="5" t="n">
        <v>68.40000000000001</v>
      </c>
      <c r="W500" s="4" t="n">
        <v>16494.5</v>
      </c>
      <c r="X500" s="3" t="inlineStr">
        <is>
          <t>미표기</t>
        </is>
      </c>
      <c r="Y500" s="7" t="inlineStr">
        <is>
          <t>1층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3.79m</t>
        </is>
      </c>
      <c r="AC500" s="3" t="inlineStr">
        <is>
          <t>2020-06</t>
        </is>
      </c>
      <c r="AD500" s="3" t="inlineStr">
        <is>
          <t>광대로한면</t>
        </is>
      </c>
    </row>
    <row r="501">
      <c r="A501" s="3" t="inlineStr">
        <is>
          <t>오송읍 정중리 678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18000</v>
      </c>
      <c r="G501" s="4" t="n">
        <v>1000</v>
      </c>
      <c r="H501" s="4" t="n">
        <v>2169</v>
      </c>
      <c r="I501" s="4" t="n">
        <v>656</v>
      </c>
      <c r="J501" s="5" t="n">
        <v>1.5</v>
      </c>
      <c r="K501" s="4" t="n">
        <v>999</v>
      </c>
      <c r="L501" s="4" t="n">
        <v>302</v>
      </c>
      <c r="M501" s="5" t="n">
        <v>3.3</v>
      </c>
      <c r="N501" s="3" t="inlineStr">
        <is>
          <t>2</t>
        </is>
      </c>
      <c r="O501" s="3" t="inlineStr">
        <is>
          <t>-</t>
        </is>
      </c>
      <c r="P501" s="3" t="inlineStr">
        <is>
          <t>오송바이오폴리스 산업단지 사옥형 공장 임대 입주협의</t>
        </is>
      </c>
      <c r="Q501" s="6">
        <f>HYPERLINK("https://fin.land.naver.com/articles/2650873410", "매물Link")</f>
        <v/>
      </c>
      <c r="R501" s="6">
        <f>HYPERLINK("https://map.naver.com/p/search/오송읍 정중리 678", "지도Link")</f>
        <v/>
      </c>
      <c r="S501" s="6">
        <f>HYPERLINK("http://www.eum.go.kr/web/ar/lu/luLandDet.jsp?pnu=4311325032106780000&amp;isNoScr=script&amp;mode=search", "토지이음")</f>
        <v/>
      </c>
      <c r="T501" s="3" t="inlineStr">
        <is>
          <t>더원</t>
        </is>
      </c>
      <c r="U501" s="4" t="n">
        <v>1</v>
      </c>
      <c r="V501" s="5" t="n">
        <v>67.40000000000001</v>
      </c>
      <c r="W501" s="4" t="n">
        <v>2169.9</v>
      </c>
      <c r="X501" s="3" t="inlineStr">
        <is>
          <t>주건축물제1동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6.9m</t>
        </is>
      </c>
      <c r="AC501" s="3" t="inlineStr">
        <is>
          <t>2019-12</t>
        </is>
      </c>
      <c r="AD501" s="3" t="inlineStr">
        <is>
          <t>중로각지</t>
        </is>
      </c>
    </row>
    <row r="502">
      <c r="A502" s="3" t="inlineStr">
        <is>
          <t>오송읍 정중리 678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18000</v>
      </c>
      <c r="G502" s="4" t="n">
        <v>1000</v>
      </c>
      <c r="H502" s="4" t="n">
        <v>2169</v>
      </c>
      <c r="I502" s="4" t="n">
        <v>656</v>
      </c>
      <c r="J502" s="5" t="n">
        <v>1.5</v>
      </c>
      <c r="K502" s="4" t="n">
        <v>999</v>
      </c>
      <c r="L502" s="4" t="n">
        <v>302</v>
      </c>
      <c r="M502" s="5" t="n">
        <v>3.3</v>
      </c>
      <c r="N502" s="3" t="inlineStr">
        <is>
          <t>2</t>
        </is>
      </c>
      <c r="O502" s="3" t="inlineStr">
        <is>
          <t>-</t>
        </is>
      </c>
      <c r="P502" s="3" t="inlineStr">
        <is>
          <t>산업단지 코너에 위치한 관리 잘 된 준신축급 공장</t>
        </is>
      </c>
      <c r="Q502" s="6">
        <f>HYPERLINK("https://fin.land.naver.com/articles/2650586118", "매물Link")</f>
        <v/>
      </c>
      <c r="R502" s="6">
        <f>HYPERLINK("https://map.naver.com/p/search/오송읍 정중리 678", "지도Link")</f>
        <v/>
      </c>
      <c r="S502" s="6">
        <f>HYPERLINK("http://www.eum.go.kr/web/ar/lu/luLandDet.jsp?pnu=4311325032106780000&amp;isNoScr=script&amp;mode=search",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67.40000000000001</v>
      </c>
      <c r="W502" s="4" t="n">
        <v>2169.9</v>
      </c>
      <c r="X502" s="3" t="inlineStr">
        <is>
          <t>주건축물제1동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6.9m</t>
        </is>
      </c>
      <c r="AC502" s="3" t="inlineStr">
        <is>
          <t>2019-12</t>
        </is>
      </c>
      <c r="AD502" s="3" t="inlineStr">
        <is>
          <t>중로각지</t>
        </is>
      </c>
    </row>
    <row r="503">
      <c r="A503" s="3" t="inlineStr">
        <is>
          <t>오송읍 정중리 678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350000</v>
      </c>
      <c r="G503" s="4" t="n">
        <v>0</v>
      </c>
      <c r="H503" s="4" t="n">
        <v>2169</v>
      </c>
      <c r="I503" s="4" t="n">
        <v>656</v>
      </c>
      <c r="J503" s="5" t="n">
        <v>533.5</v>
      </c>
      <c r="K503" s="4" t="n">
        <v>999</v>
      </c>
      <c r="L503" s="4" t="n">
        <v>302</v>
      </c>
      <c r="M503" s="5" t="n">
        <v>1158.9</v>
      </c>
      <c r="N503" s="3" t="inlineStr">
        <is>
          <t>2</t>
        </is>
      </c>
      <c r="O503" s="3" t="inlineStr">
        <is>
          <t>-</t>
        </is>
      </c>
      <c r="P503" s="3" t="inlineStr">
        <is>
          <t>산업단지 코너에 위치한 관리 잘 된 준신축급 공장</t>
        </is>
      </c>
      <c r="Q503" s="6">
        <f>HYPERLINK("https://fin.land.naver.com/articles/2654295052", "매물Link")</f>
        <v/>
      </c>
      <c r="R503" s="6">
        <f>HYPERLINK("https://map.naver.com/p/search/오송읍 정중리 678", "지도Link")</f>
        <v/>
      </c>
      <c r="S503" s="6">
        <f>HYPERLINK("http://www.eum.go.kr/web/ar/lu/luLandDet.jsp?pnu=4311325032106780000&amp;isNoScr=script&amp;mode=search", "토지이음")</f>
        <v/>
      </c>
      <c r="T503" s="3" t="inlineStr">
        <is>
          <t>(주)미르</t>
        </is>
      </c>
      <c r="U503" s="4" t="n">
        <v>1</v>
      </c>
      <c r="V503" s="5" t="n">
        <v>67.40000000000001</v>
      </c>
      <c r="W503" s="4" t="n">
        <v>2169.9</v>
      </c>
      <c r="X503" s="3" t="inlineStr">
        <is>
          <t>주건축물제1동</t>
        </is>
      </c>
      <c r="Y503" s="7" t="inlineStr">
        <is>
          <t>1층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6.9m</t>
        </is>
      </c>
      <c r="AC503" s="3" t="inlineStr">
        <is>
          <t>2019-12</t>
        </is>
      </c>
      <c r="AD503" s="3" t="inlineStr">
        <is>
          <t>중로각지</t>
        </is>
      </c>
    </row>
    <row r="504">
      <c r="A504" s="3" t="inlineStr">
        <is>
          <t>오송읍 정중리 678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18000</v>
      </c>
      <c r="G504" s="4" t="n">
        <v>1000</v>
      </c>
      <c r="H504" s="4" t="n">
        <v>2169</v>
      </c>
      <c r="I504" s="4" t="n">
        <v>656</v>
      </c>
      <c r="J504" s="5" t="n">
        <v>1.5</v>
      </c>
      <c r="K504" s="4" t="n">
        <v>999</v>
      </c>
      <c r="L504" s="4" t="n">
        <v>302</v>
      </c>
      <c r="M504" s="5" t="n">
        <v>3.3</v>
      </c>
      <c r="N504" s="3" t="inlineStr">
        <is>
          <t>2</t>
        </is>
      </c>
      <c r="O504" s="3" t="inlineStr">
        <is>
          <t>B1</t>
        </is>
      </c>
      <c r="P504" s="3" t="inlineStr">
        <is>
          <t>오송 2산업단지 대로면 접한 공장으로 의료기기 관련업종 즉시 입주 가능</t>
        </is>
      </c>
      <c r="Q504" s="6">
        <f>HYPERLINK("https://fin.land.naver.com/articles/2650797461", "매물Link")</f>
        <v/>
      </c>
      <c r="R504" s="6">
        <f>HYPERLINK("https://map.naver.com/p/search/오송읍 정중리 678", "지도Link")</f>
        <v/>
      </c>
      <c r="S504" s="6">
        <f>HYPERLINK("http://www.eum.go.kr/web/ar/lu/luLandDet.jsp?pnu=4311325032106780000&amp;isNoScr=script&amp;mode=search", "토지이음")</f>
        <v/>
      </c>
      <c r="T504" s="3" t="inlineStr">
        <is>
          <t>우리</t>
        </is>
      </c>
      <c r="U504" s="4" t="n">
        <v>1</v>
      </c>
      <c r="V504" s="5" t="n">
        <v>67.40000000000001</v>
      </c>
      <c r="W504" s="4" t="n">
        <v>2169.9</v>
      </c>
      <c r="X504" s="3" t="inlineStr">
        <is>
          <t>주건축물제1동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6.9m</t>
        </is>
      </c>
      <c r="AC504" s="3" t="inlineStr">
        <is>
          <t>2019-12</t>
        </is>
      </c>
      <c r="AD504" s="3" t="inlineStr">
        <is>
          <t>중로각지</t>
        </is>
      </c>
    </row>
    <row r="505">
      <c r="A505" s="3" t="inlineStr">
        <is>
          <t>오송읍 정중리 678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420000</v>
      </c>
      <c r="G505" s="4" t="n">
        <v>0</v>
      </c>
      <c r="H505" s="4" t="n">
        <v>2169</v>
      </c>
      <c r="I505" s="4" t="n">
        <v>656</v>
      </c>
      <c r="J505" s="5" t="n">
        <v>640.2</v>
      </c>
      <c r="K505" s="4" t="n">
        <v>999</v>
      </c>
      <c r="L505" s="4" t="n">
        <v>302</v>
      </c>
      <c r="M505" s="5" t="n">
        <v>1390.7</v>
      </c>
      <c r="N505" s="3" t="inlineStr">
        <is>
          <t>2</t>
        </is>
      </c>
      <c r="O505" s="3" t="inlineStr">
        <is>
          <t>-</t>
        </is>
      </c>
      <c r="P505" s="3" t="inlineStr">
        <is>
          <t>오송2산단 산업단지 코너 대로접한 신축급 공장</t>
        </is>
      </c>
      <c r="Q505" s="6">
        <f>HYPERLINK("https://fin.land.naver.com/articles/2649742642", "매물Link")</f>
        <v/>
      </c>
      <c r="R505" s="6">
        <f>HYPERLINK("https://map.naver.com/p/search/오송읍 정중리 678", "지도Link")</f>
        <v/>
      </c>
      <c r="S505" s="6">
        <f>HYPERLINK("http://www.eum.go.kr/web/ar/lu/luLandDet.jsp?pnu=4311325032106780000&amp;isNoScr=script&amp;mode=search", "토지이음")</f>
        <v/>
      </c>
      <c r="T505" s="3" t="inlineStr">
        <is>
          <t>자이원</t>
        </is>
      </c>
      <c r="U505" s="4" t="n">
        <v>1</v>
      </c>
      <c r="V505" s="5" t="n">
        <v>67.40000000000001</v>
      </c>
      <c r="W505" s="4" t="n">
        <v>2169.9</v>
      </c>
      <c r="X505" s="3" t="inlineStr">
        <is>
          <t>주건축물제1동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6.9m</t>
        </is>
      </c>
      <c r="AC505" s="3" t="inlineStr">
        <is>
          <t>2019-12</t>
        </is>
      </c>
      <c r="AD505" s="3" t="inlineStr">
        <is>
          <t>중로각지</t>
        </is>
      </c>
    </row>
    <row r="506">
      <c r="A506" s="3" t="inlineStr">
        <is>
          <t>오송읍 정중리 678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350000</v>
      </c>
      <c r="G506" s="4" t="n">
        <v>0</v>
      </c>
      <c r="H506" s="4" t="n">
        <v>2169</v>
      </c>
      <c r="I506" s="4" t="n">
        <v>656</v>
      </c>
      <c r="J506" s="5" t="n">
        <v>533.5</v>
      </c>
      <c r="K506" s="4" t="n">
        <v>999</v>
      </c>
      <c r="L506" s="4" t="n">
        <v>302</v>
      </c>
      <c r="M506" s="5" t="n">
        <v>1158.9</v>
      </c>
      <c r="N506" s="3" t="inlineStr">
        <is>
          <t>2</t>
        </is>
      </c>
      <c r="O506" s="3" t="inlineStr">
        <is>
          <t>B1</t>
        </is>
      </c>
      <c r="P506" s="3" t="inlineStr">
        <is>
          <t>오송 2산업단지 대로면 접한 공장으로 의료기기 관련업종 즉시 입주 가능</t>
        </is>
      </c>
      <c r="Q506" s="6">
        <f>HYPERLINK("https://fin.land.naver.com/articles/2650796460", "매물Link")</f>
        <v/>
      </c>
      <c r="R506" s="6">
        <f>HYPERLINK("https://map.naver.com/p/search/오송읍 정중리 678", "지도Link")</f>
        <v/>
      </c>
      <c r="S506" s="6">
        <f>HYPERLINK("http://www.eum.go.kr/web/ar/lu/luLandDet.jsp?pnu=4311325032106780000&amp;isNoScr=script&amp;mode=search", "토지이음")</f>
        <v/>
      </c>
      <c r="T506" s="3" t="inlineStr">
        <is>
          <t>우리</t>
        </is>
      </c>
      <c r="U506" s="4" t="n">
        <v>1</v>
      </c>
      <c r="V506" s="5" t="n">
        <v>67.40000000000001</v>
      </c>
      <c r="W506" s="4" t="n">
        <v>2169.9</v>
      </c>
      <c r="X506" s="3" t="inlineStr">
        <is>
          <t>주건축물제1동</t>
        </is>
      </c>
      <c r="Y506" s="7" t="inlineStr">
        <is>
          <t>1층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6.9m</t>
        </is>
      </c>
      <c r="AC506" s="3" t="inlineStr">
        <is>
          <t>2019-12</t>
        </is>
      </c>
      <c r="AD506" s="3" t="inlineStr">
        <is>
          <t>중로각지</t>
        </is>
      </c>
    </row>
    <row r="507">
      <c r="A507" s="3" t="inlineStr">
        <is>
          <t>오송읍 정중리 678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350000</v>
      </c>
      <c r="G507" s="4" t="n">
        <v>0</v>
      </c>
      <c r="H507" s="4" t="n">
        <v>2169</v>
      </c>
      <c r="I507" s="4" t="n">
        <v>656</v>
      </c>
      <c r="J507" s="5" t="n">
        <v>533.5</v>
      </c>
      <c r="K507" s="4" t="n">
        <v>592</v>
      </c>
      <c r="L507" s="4" t="n">
        <v>179</v>
      </c>
      <c r="M507" s="5" t="n">
        <v>1955.3</v>
      </c>
      <c r="N507" s="3" t="inlineStr">
        <is>
          <t>1</t>
        </is>
      </c>
      <c r="O507" s="3" t="inlineStr">
        <is>
          <t>-</t>
        </is>
      </c>
      <c r="P507" s="3" t="inlineStr">
        <is>
          <t>창고부지제공, 공장 운영하기 좋은 구조 ,연구동,공장동</t>
        </is>
      </c>
      <c r="Q507" s="6">
        <f>HYPERLINK("https://fin.land.naver.com/articles/2652141929", "매물Link")</f>
        <v/>
      </c>
      <c r="R507" s="6">
        <f>HYPERLINK("https://map.naver.com/p/search/오송읍 정중리 678", "지도Link")</f>
        <v/>
      </c>
      <c r="S507" s="6">
        <f>HYPERLINK("http://www.eum.go.kr/web/ar/lu/luLandDet.jsp?pnu=4311325032106780000&amp;isNoScr=script&amp;mode=search", "토지이음")</f>
        <v/>
      </c>
      <c r="T507" s="3" t="inlineStr">
        <is>
          <t>오송2단지창조</t>
        </is>
      </c>
      <c r="U507" s="4" t="n">
        <v>1</v>
      </c>
      <c r="V507" s="5" t="n">
        <v>67.40000000000001</v>
      </c>
      <c r="W507" s="4" t="n">
        <v>2169.9</v>
      </c>
      <c r="X507" s="3" t="inlineStr">
        <is>
          <t>주건축물제1동</t>
        </is>
      </c>
      <c r="Y507" s="7" t="inlineStr">
        <is>
          <t>1층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6.9m</t>
        </is>
      </c>
      <c r="AC507" s="3" t="inlineStr">
        <is>
          <t>2019-12</t>
        </is>
      </c>
      <c r="AD507" s="3" t="inlineStr">
        <is>
          <t>중로각지</t>
        </is>
      </c>
    </row>
    <row r="508">
      <c r="A508" s="3" t="inlineStr">
        <is>
          <t>오송읍 정중리 678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350000</v>
      </c>
      <c r="G508" s="4" t="n">
        <v>0</v>
      </c>
      <c r="H508" s="4" t="n">
        <v>2169</v>
      </c>
      <c r="I508" s="4" t="n">
        <v>656</v>
      </c>
      <c r="J508" s="5" t="n">
        <v>533.5</v>
      </c>
      <c r="K508" s="4" t="n">
        <v>999</v>
      </c>
      <c r="L508" s="4" t="n">
        <v>302</v>
      </c>
      <c r="M508" s="5" t="n">
        <v>1158.9</v>
      </c>
      <c r="N508" s="3" t="inlineStr">
        <is>
          <t>2</t>
        </is>
      </c>
      <c r="O508" s="3" t="inlineStr">
        <is>
          <t>-</t>
        </is>
      </c>
      <c r="P508" s="3" t="inlineStr">
        <is>
          <t>오송2산단 의료기기업종가능 사옥형 공장으로 추천</t>
        </is>
      </c>
      <c r="Q508" s="6">
        <f>HYPERLINK("https://fin.land.naver.com/articles/2649666291", "매물Link")</f>
        <v/>
      </c>
      <c r="R508" s="6">
        <f>HYPERLINK("https://map.naver.com/p/search/오송읍 정중리 678", "지도Link")</f>
        <v/>
      </c>
      <c r="S508" s="6">
        <f>HYPERLINK("http://www.eum.go.kr/web/ar/lu/luLandDet.jsp?pnu=4311325032106780000&amp;isNoScr=script&amp;mode=search",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67.40000000000001</v>
      </c>
      <c r="W508" s="4" t="n">
        <v>2169.9</v>
      </c>
      <c r="X508" s="3" t="inlineStr">
        <is>
          <t>주건축물제1동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6.9m</t>
        </is>
      </c>
      <c r="AC508" s="3" t="inlineStr">
        <is>
          <t>2019-12</t>
        </is>
      </c>
      <c r="AD508" s="3" t="inlineStr">
        <is>
          <t>중로각지</t>
        </is>
      </c>
    </row>
    <row r="509">
      <c r="A509" s="3" t="inlineStr">
        <is>
          <t>오송읍 정중리 678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18000</v>
      </c>
      <c r="G509" s="4" t="n">
        <v>1000</v>
      </c>
      <c r="H509" s="4" t="n">
        <v>2169</v>
      </c>
      <c r="I509" s="4" t="n">
        <v>656</v>
      </c>
      <c r="J509" s="5" t="n">
        <v>1.5</v>
      </c>
      <c r="K509" s="4" t="n">
        <v>592</v>
      </c>
      <c r="L509" s="4" t="n">
        <v>179</v>
      </c>
      <c r="M509" s="5" t="n">
        <v>5.6</v>
      </c>
      <c r="N509" s="3" t="inlineStr">
        <is>
          <t>1</t>
        </is>
      </c>
      <c r="O509" s="3" t="inlineStr">
        <is>
          <t>-</t>
        </is>
      </c>
      <c r="P509" s="3" t="inlineStr">
        <is>
          <t>시설이 완벽하게 갖춰져 있는 건물,공장 월세 임대 가능한 매물입니다</t>
        </is>
      </c>
      <c r="Q509" s="6">
        <f>HYPERLINK("https://fin.land.naver.com/articles/2651110067", "매물Link")</f>
        <v/>
      </c>
      <c r="R509" s="6">
        <f>HYPERLINK("https://map.naver.com/p/search/오송읍 정중리 678", "지도Link")</f>
        <v/>
      </c>
      <c r="S509" s="6">
        <f>HYPERLINK("http://www.eum.go.kr/web/ar/lu/luLandDet.jsp?pnu=4311325032106780000&amp;isNoScr=script&amp;mode=search", "토지이음")</f>
        <v/>
      </c>
      <c r="T509" s="3" t="inlineStr">
        <is>
          <t>오송2단지창조</t>
        </is>
      </c>
      <c r="U509" s="4" t="n">
        <v>1</v>
      </c>
      <c r="V509" s="5" t="n">
        <v>67.40000000000001</v>
      </c>
      <c r="W509" s="4" t="n">
        <v>2169.9</v>
      </c>
      <c r="X509" s="3" t="inlineStr">
        <is>
          <t>주건축물제1동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6.9m</t>
        </is>
      </c>
      <c r="AC509" s="3" t="inlineStr">
        <is>
          <t>2019-12</t>
        </is>
      </c>
      <c r="AD509" s="3" t="inlineStr">
        <is>
          <t>중로각지</t>
        </is>
      </c>
    </row>
    <row r="510">
      <c r="A510" s="3" t="inlineStr">
        <is>
          <t>오송읍 정중리 718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5000000</v>
      </c>
      <c r="G510" s="4" t="n">
        <v>0</v>
      </c>
      <c r="H510" s="4" t="n">
        <v>10798</v>
      </c>
      <c r="I510" s="4" t="n">
        <v>3266</v>
      </c>
      <c r="J510" s="5" t="n">
        <v>1530.9</v>
      </c>
      <c r="K510" s="4" t="n">
        <v>14761</v>
      </c>
      <c r="L510" s="4" t="n">
        <v>4465</v>
      </c>
      <c r="M510" s="5" t="n">
        <v>1119.8</v>
      </c>
      <c r="N510" s="3" t="inlineStr">
        <is>
          <t>5</t>
        </is>
      </c>
      <c r="O510" s="3" t="inlineStr">
        <is>
          <t>-</t>
        </is>
      </c>
      <c r="P510" s="3" t="inlineStr">
        <is>
          <t>청주ic 오송ktx 10분이내 오송산업단지공장 화학업종 가능</t>
        </is>
      </c>
      <c r="Q510" s="6">
        <f>HYPERLINK("https://fin.land.naver.com/articles/2654807124", "매물Link")</f>
        <v/>
      </c>
      <c r="R510" s="6">
        <f>HYPERLINK("https://map.naver.com/p/search/오송읍 정중리 718", "지도Link")</f>
        <v/>
      </c>
      <c r="S510" s="6">
        <f>HYPERLINK("http://www.eum.go.kr/web/ar/lu/luLandDet.jsp?pnu=4311325032107180000&amp;isNoScr=script&amp;mode=search", "토지이음")</f>
        <v/>
      </c>
      <c r="T510" s="3" t="inlineStr">
        <is>
          <t>더원</t>
        </is>
      </c>
      <c r="U510" s="4" t="n">
        <v>1</v>
      </c>
      <c r="V510" s="5" t="n">
        <v>74.40000000000001</v>
      </c>
      <c r="W510" s="4" t="n">
        <v>10798.4</v>
      </c>
      <c r="X510" s="3" t="inlineStr">
        <is>
          <t>주건축물제1동</t>
        </is>
      </c>
      <c r="Y510" s="7" t="inlineStr">
        <is>
          <t>5층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26.9m</t>
        </is>
      </c>
      <c r="AC510" s="3" t="inlineStr">
        <is>
          <t>2023-10</t>
        </is>
      </c>
      <c r="AD510" s="3" t="inlineStr">
        <is>
          <t>광대소각</t>
        </is>
      </c>
    </row>
    <row r="511">
      <c r="A511" s="3" t="inlineStr">
        <is>
          <t>오송읍 정중리 718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100000</v>
      </c>
      <c r="G511" s="4" t="n">
        <v>10000</v>
      </c>
      <c r="H511" s="4" t="n">
        <v>10798</v>
      </c>
      <c r="I511" s="4" t="n">
        <v>3266</v>
      </c>
      <c r="J511" s="5" t="n">
        <v>3.1</v>
      </c>
      <c r="K511" s="4" t="n">
        <v>15064</v>
      </c>
      <c r="L511" s="4" t="n">
        <v>4557</v>
      </c>
      <c r="M511" s="5" t="n">
        <v>2.2</v>
      </c>
      <c r="N511" s="3" t="inlineStr">
        <is>
          <t>5</t>
        </is>
      </c>
      <c r="O511" s="3" t="inlineStr">
        <is>
          <t>-</t>
        </is>
      </c>
      <c r="P511" s="3" t="inlineStr">
        <is>
          <t>오송산업단지 공장  오송역 ,청주ic 10분이내  분할 임대가능</t>
        </is>
      </c>
      <c r="Q511" s="6">
        <f>HYPERLINK("https://fin.land.naver.com/articles/2654798106", "매물Link")</f>
        <v/>
      </c>
      <c r="R511" s="6">
        <f>HYPERLINK("https://map.naver.com/p/search/오송읍 정중리 718", "지도Link")</f>
        <v/>
      </c>
      <c r="S511" s="6">
        <f>HYPERLINK("http://www.eum.go.kr/web/ar/lu/luLandDet.jsp?pnu=4311325032107180000&amp;isNoScr=script&amp;mode=search", "토지이음")</f>
        <v/>
      </c>
      <c r="T511" s="3" t="inlineStr">
        <is>
          <t>더원</t>
        </is>
      </c>
      <c r="U511" s="4" t="n">
        <v>1</v>
      </c>
      <c r="V511" s="5" t="n">
        <v>74.40000000000001</v>
      </c>
      <c r="W511" s="4" t="n">
        <v>10798.4</v>
      </c>
      <c r="X511" s="3" t="inlineStr">
        <is>
          <t>주건축물제1동</t>
        </is>
      </c>
      <c r="Y511" s="7" t="inlineStr">
        <is>
          <t>5층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26.9m</t>
        </is>
      </c>
      <c r="AC511" s="3" t="inlineStr">
        <is>
          <t>2023-10</t>
        </is>
      </c>
      <c r="AD511" s="3" t="inlineStr">
        <is>
          <t>광대소각</t>
        </is>
      </c>
    </row>
    <row r="512">
      <c r="A512" s="3" t="inlineStr">
        <is>
          <t>오송읍 정중리 718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35000</v>
      </c>
      <c r="G512" s="4" t="n">
        <v>3500</v>
      </c>
      <c r="H512" s="4" t="n">
        <v>10798</v>
      </c>
      <c r="I512" s="4" t="n">
        <v>3266</v>
      </c>
      <c r="J512" s="5" t="n">
        <v>1.1</v>
      </c>
      <c r="K512" s="4" t="n">
        <v>3616</v>
      </c>
      <c r="L512" s="4" t="n">
        <v>1094</v>
      </c>
      <c r="M512" s="5" t="n">
        <v>3.2</v>
      </c>
      <c r="N512" s="3" t="inlineStr">
        <is>
          <t>5</t>
        </is>
      </c>
      <c r="O512" s="3" t="inlineStr">
        <is>
          <t>-</t>
        </is>
      </c>
      <c r="P512" s="3" t="inlineStr">
        <is>
          <t>오송산업단지 공장  오송역 ,청주ic 10분이내  분할 임대가능</t>
        </is>
      </c>
      <c r="Q512" s="6">
        <f>HYPERLINK("https://fin.land.naver.com/articles/2654797161", "매물Link")</f>
        <v/>
      </c>
      <c r="R512" s="6">
        <f>HYPERLINK("https://map.naver.com/p/search/오송읍 정중리 718", "지도Link")</f>
        <v/>
      </c>
      <c r="S512" s="6">
        <f>HYPERLINK("http://www.eum.go.kr/web/ar/lu/luLandDet.jsp?pnu=4311325032107180000&amp;isNoScr=script&amp;mode=search", "토지이음")</f>
        <v/>
      </c>
      <c r="T512" s="3" t="inlineStr">
        <is>
          <t>더원</t>
        </is>
      </c>
      <c r="U512" s="4" t="n">
        <v>1</v>
      </c>
      <c r="V512" s="5" t="n">
        <v>74.40000000000001</v>
      </c>
      <c r="W512" s="4" t="n">
        <v>10798.4</v>
      </c>
      <c r="X512" s="3" t="inlineStr">
        <is>
          <t>부속건축물제1동</t>
        </is>
      </c>
      <c r="Y512" s="7" t="inlineStr">
        <is>
          <t>1층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8.0m</t>
        </is>
      </c>
      <c r="AC512" s="3" t="inlineStr">
        <is>
          <t>2023-10</t>
        </is>
      </c>
      <c r="AD512" s="3" t="inlineStr">
        <is>
          <t>광대소각</t>
        </is>
      </c>
    </row>
    <row r="513">
      <c r="A513" s="3" t="inlineStr">
        <is>
          <t>오송읍 정중리 718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35000</v>
      </c>
      <c r="G513" s="4" t="n">
        <v>3500</v>
      </c>
      <c r="H513" s="4" t="n">
        <v>10798</v>
      </c>
      <c r="I513" s="4" t="n">
        <v>3266</v>
      </c>
      <c r="J513" s="5" t="n">
        <v>1.1</v>
      </c>
      <c r="K513" s="4" t="n">
        <v>15064</v>
      </c>
      <c r="L513" s="4" t="n">
        <v>4557</v>
      </c>
      <c r="M513" s="5" t="n">
        <v>0.8</v>
      </c>
      <c r="N513" s="3" t="inlineStr">
        <is>
          <t>5</t>
        </is>
      </c>
      <c r="O513" s="3" t="inlineStr">
        <is>
          <t>-</t>
        </is>
      </c>
      <c r="P513" s="3" t="inlineStr">
        <is>
          <t>크린룸,폐수처리,위험물저장소,전층공조시설,화물엘베 각층3개,신축급 공장</t>
        </is>
      </c>
      <c r="Q513" s="6">
        <f>HYPERLINK("https://fin.land.naver.com/articles/2650398819", "매물Link")</f>
        <v/>
      </c>
      <c r="R513" s="6">
        <f>HYPERLINK("https://map.naver.com/p/search/오송읍 정중리 718", "지도Link")</f>
        <v/>
      </c>
      <c r="S513" s="6">
        <f>HYPERLINK("http://www.eum.go.kr/web/ar/lu/luLandDet.jsp?pnu=4311325032107180000&amp;isNoScr=script&amp;mode=search",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74.40000000000001</v>
      </c>
      <c r="W513" s="4" t="n">
        <v>10798.4</v>
      </c>
      <c r="X513" s="3" t="inlineStr">
        <is>
          <t>주건축물제1동</t>
        </is>
      </c>
      <c r="Y513" s="7" t="inlineStr">
        <is>
          <t>5층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26.9m</t>
        </is>
      </c>
      <c r="AC513" s="3" t="inlineStr">
        <is>
          <t>2023-10</t>
        </is>
      </c>
      <c r="AD513" s="3" t="inlineStr">
        <is>
          <t>광대소각</t>
        </is>
      </c>
    </row>
    <row r="514">
      <c r="A514" s="3" t="inlineStr">
        <is>
          <t>오송읍 정중리 718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35000</v>
      </c>
      <c r="G514" s="4" t="n">
        <v>3500</v>
      </c>
      <c r="H514" s="4" t="n">
        <v>10798</v>
      </c>
      <c r="I514" s="4" t="n">
        <v>3266</v>
      </c>
      <c r="J514" s="5" t="n">
        <v>1.1</v>
      </c>
      <c r="K514" s="4" t="n">
        <v>3616</v>
      </c>
      <c r="L514" s="4" t="n">
        <v>1094</v>
      </c>
      <c r="M514" s="5" t="n">
        <v>3.2</v>
      </c>
      <c r="N514" s="3" t="inlineStr">
        <is>
          <t>5</t>
        </is>
      </c>
      <c r="O514" s="3" t="inlineStr">
        <is>
          <t>-</t>
        </is>
      </c>
      <c r="P514" s="3" t="inlineStr">
        <is>
          <t>3층,4층 공장, 창고 임대.전층공조시설완비,바닥 콘크리트마감, 신축</t>
        </is>
      </c>
      <c r="Q514" s="6">
        <f>HYPERLINK("https://fin.land.naver.com/articles/2653996482", "매물Link")</f>
        <v/>
      </c>
      <c r="R514" s="6">
        <f>HYPERLINK("https://map.naver.com/p/search/오송읍 정중리 718", "지도Link")</f>
        <v/>
      </c>
      <c r="S514" s="6">
        <f>HYPERLINK("http://www.eum.go.kr/web/ar/lu/luLandDet.jsp?pnu=4311325032107180000&amp;isNoScr=script&amp;mode=search",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74.40000000000001</v>
      </c>
      <c r="W514" s="4" t="n">
        <v>10798.4</v>
      </c>
      <c r="X514" s="3" t="inlineStr">
        <is>
          <t>부속건축물제1동</t>
        </is>
      </c>
      <c r="Y514" s="7" t="inlineStr">
        <is>
          <t>1층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8.0m</t>
        </is>
      </c>
      <c r="AC514" s="3" t="inlineStr">
        <is>
          <t>2023-10</t>
        </is>
      </c>
      <c r="AD514" s="3" t="inlineStr">
        <is>
          <t>광대소각</t>
        </is>
      </c>
    </row>
    <row r="515">
      <c r="A515" s="3" t="inlineStr">
        <is>
          <t>오송읍 정중리 718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5000000</v>
      </c>
      <c r="G515" s="4" t="n">
        <v>0</v>
      </c>
      <c r="H515" s="4" t="n">
        <v>10798</v>
      </c>
      <c r="I515" s="4" t="n">
        <v>3266</v>
      </c>
      <c r="J515" s="5" t="n">
        <v>1530.9</v>
      </c>
      <c r="K515" s="4" t="n">
        <v>15064</v>
      </c>
      <c r="L515" s="4" t="n">
        <v>4557</v>
      </c>
      <c r="M515" s="5" t="n">
        <v>1097.2</v>
      </c>
      <c r="N515" s="3" t="inlineStr">
        <is>
          <t>5</t>
        </is>
      </c>
      <c r="O515" s="3" t="inlineStr">
        <is>
          <t>-</t>
        </is>
      </c>
      <c r="P515" s="3" t="inlineStr">
        <is>
          <t>화학,의료,의학,화장품 업종 입주가능,크린룸,폐수처리,위험물저장소 설치됨</t>
        </is>
      </c>
      <c r="Q515" s="6">
        <f>HYPERLINK("https://fin.land.naver.com/articles/2655233555", "매물Link")</f>
        <v/>
      </c>
      <c r="R515" s="6">
        <f>HYPERLINK("https://map.naver.com/p/search/오송읍 정중리 718", "지도Link")</f>
        <v/>
      </c>
      <c r="S515" s="6">
        <f>HYPERLINK("http://www.eum.go.kr/web/ar/lu/luLandDet.jsp?pnu=4311325032107180000&amp;isNoScr=script&amp;mode=search", "토지이음")</f>
        <v/>
      </c>
      <c r="T515" s="3" t="inlineStr">
        <is>
          <t>금화랜드</t>
        </is>
      </c>
      <c r="U515" s="4" t="n">
        <v>2</v>
      </c>
      <c r="V515" s="5" t="n">
        <v>74.40000000000001</v>
      </c>
      <c r="W515" s="4" t="n">
        <v>10798.4</v>
      </c>
      <c r="X515" s="3" t="inlineStr">
        <is>
          <t>주건축물제1동</t>
        </is>
      </c>
      <c r="Y515" s="7" t="inlineStr">
        <is>
          <t>5층</t>
        </is>
      </c>
      <c r="Z515" s="3" t="inlineStr">
        <is>
          <t>철근콘크리트구조</t>
        </is>
      </c>
      <c r="AA515" s="3" t="inlineStr">
        <is>
          <t>공장</t>
        </is>
      </c>
      <c r="AB515" s="3" t="inlineStr">
        <is>
          <t>26.9m</t>
        </is>
      </c>
      <c r="AC515" s="3" t="inlineStr">
        <is>
          <t>2023-10</t>
        </is>
      </c>
      <c r="AD515" s="3" t="inlineStr">
        <is>
          <t>광대소각</t>
        </is>
      </c>
    </row>
    <row r="516">
      <c r="A516" s="3" t="inlineStr">
        <is>
          <t>오송읍 정중리 718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5000000</v>
      </c>
      <c r="G516" s="4" t="n">
        <v>0</v>
      </c>
      <c r="H516" s="4" t="n">
        <v>10798</v>
      </c>
      <c r="I516" s="4" t="n">
        <v>3266</v>
      </c>
      <c r="J516" s="5" t="n">
        <v>1530.9</v>
      </c>
      <c r="K516" s="4" t="n">
        <v>14761</v>
      </c>
      <c r="L516" s="4" t="n">
        <v>4465</v>
      </c>
      <c r="M516" s="5" t="n">
        <v>1119.8</v>
      </c>
      <c r="N516" s="3" t="inlineStr">
        <is>
          <t>5</t>
        </is>
      </c>
      <c r="O516" s="3" t="inlineStr">
        <is>
          <t>-</t>
        </is>
      </c>
      <c r="P516" s="3" t="inlineStr">
        <is>
          <t>킹 사진0 규모의 경제 가시성 탁월 여기만 보임 압도적 존재감 절대적</t>
        </is>
      </c>
      <c r="Q516" s="6">
        <f>HYPERLINK("https://fin.land.naver.com/articles/2651362845", "매물Link")</f>
        <v/>
      </c>
      <c r="R516" s="6">
        <f>HYPERLINK("https://map.naver.com/p/search/오송읍 정중리 718", "지도Link")</f>
        <v/>
      </c>
      <c r="S516" s="6">
        <f>HYPERLINK("http://www.eum.go.kr/web/ar/lu/luLandDet.jsp?pnu=4311325032107180000&amp;isNoScr=script&amp;mode=search", "토지이음")</f>
        <v/>
      </c>
      <c r="T516" s="3" t="inlineStr">
        <is>
          <t>킹</t>
        </is>
      </c>
      <c r="U516" s="4" t="n">
        <v>1</v>
      </c>
      <c r="V516" s="5" t="n">
        <v>74.40000000000001</v>
      </c>
      <c r="W516" s="4" t="n">
        <v>10798.4</v>
      </c>
      <c r="X516" s="3" t="inlineStr">
        <is>
          <t>주건축물제1동</t>
        </is>
      </c>
      <c r="Y516" s="7" t="inlineStr">
        <is>
          <t>5층</t>
        </is>
      </c>
      <c r="Z516" s="3" t="inlineStr">
        <is>
          <t>철근콘크리트구조</t>
        </is>
      </c>
      <c r="AA516" s="3" t="inlineStr">
        <is>
          <t>공장</t>
        </is>
      </c>
      <c r="AB516" s="3" t="inlineStr">
        <is>
          <t>26.9m</t>
        </is>
      </c>
      <c r="AC516" s="3" t="inlineStr">
        <is>
          <t>2023-10</t>
        </is>
      </c>
      <c r="AD516" s="3" t="inlineStr">
        <is>
          <t>광대소각</t>
        </is>
      </c>
    </row>
    <row r="517">
      <c r="A517" s="3" t="inlineStr">
        <is>
          <t>오송읍 정중리 718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30000</v>
      </c>
      <c r="G517" s="4" t="n">
        <v>3000</v>
      </c>
      <c r="H517" s="4" t="n">
        <v>10798</v>
      </c>
      <c r="I517" s="4" t="n">
        <v>3266</v>
      </c>
      <c r="J517" s="5" t="n">
        <v>0.9</v>
      </c>
      <c r="K517" s="4" t="n">
        <v>2314</v>
      </c>
      <c r="L517" s="4" t="n">
        <v>700</v>
      </c>
      <c r="M517" s="5" t="n">
        <v>4.3</v>
      </c>
      <c r="N517" s="3" t="inlineStr">
        <is>
          <t>5</t>
        </is>
      </c>
      <c r="O517" s="3" t="inlineStr">
        <is>
          <t>-</t>
        </is>
      </c>
      <c r="P517" s="3" t="inlineStr">
        <is>
          <t>항온항습시설, GMP인증 시설. 신축, 1층 2층 부문임대가능</t>
        </is>
      </c>
      <c r="Q517" s="6">
        <f>HYPERLINK("https://fin.land.naver.com/articles/2653575770", "매물Link")</f>
        <v/>
      </c>
      <c r="R517" s="6">
        <f>HYPERLINK("https://map.naver.com/p/search/오송읍 정중리 718", "지도Link")</f>
        <v/>
      </c>
      <c r="S517" s="6">
        <f>HYPERLINK("http://www.eum.go.kr/web/ar/lu/luLandDet.jsp?pnu=4311325032107180000&amp;isNoScr=script&amp;mode=search", "토지이음")</f>
        <v/>
      </c>
      <c r="T517" s="3" t="inlineStr">
        <is>
          <t>(주)미르</t>
        </is>
      </c>
      <c r="U517" s="4" t="n">
        <v>1</v>
      </c>
      <c r="V517" s="5" t="n">
        <v>74.40000000000001</v>
      </c>
      <c r="W517" s="4" t="n">
        <v>10798.4</v>
      </c>
      <c r="X517" s="3" t="inlineStr">
        <is>
          <t>부속건축물제1동</t>
        </is>
      </c>
      <c r="Y517" s="7" t="inlineStr">
        <is>
          <t>1층</t>
        </is>
      </c>
      <c r="Z517" s="3" t="inlineStr">
        <is>
          <t>철근콘크리트구조</t>
        </is>
      </c>
      <c r="AA517" s="3" t="inlineStr">
        <is>
          <t>공장</t>
        </is>
      </c>
      <c r="AB517" s="3" t="inlineStr">
        <is>
          <t>8.0m</t>
        </is>
      </c>
      <c r="AC517" s="3" t="inlineStr">
        <is>
          <t>2023-10</t>
        </is>
      </c>
      <c r="AD517" s="3" t="inlineStr">
        <is>
          <t>광대소각</t>
        </is>
      </c>
    </row>
    <row r="518">
      <c r="A518" s="3" t="inlineStr">
        <is>
          <t>오송읍 정중리 718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월세</t>
        </is>
      </c>
      <c r="F518" s="4" t="n">
        <v>100000</v>
      </c>
      <c r="G518" s="4" t="n">
        <v>10000</v>
      </c>
      <c r="H518" s="4" t="n">
        <v>10798</v>
      </c>
      <c r="I518" s="4" t="n">
        <v>3266</v>
      </c>
      <c r="J518" s="5" t="n">
        <v>3.1</v>
      </c>
      <c r="K518" s="4" t="n">
        <v>15064</v>
      </c>
      <c r="L518" s="4" t="n">
        <v>4557</v>
      </c>
      <c r="M518" s="5" t="n">
        <v>2.2</v>
      </c>
      <c r="N518" s="3" t="inlineStr">
        <is>
          <t>5</t>
        </is>
      </c>
      <c r="O518" s="3" t="inlineStr">
        <is>
          <t>-</t>
        </is>
      </c>
      <c r="P518" s="3" t="inlineStr">
        <is>
          <t>분할 임대 가능,크린룸,폐수처리,위험물저장소,화물엘베 설치된 신축급 공장</t>
        </is>
      </c>
      <c r="Q518" s="6">
        <f>HYPERLINK("https://fin.land.naver.com/articles/2653681274", "매물Link")</f>
        <v/>
      </c>
      <c r="R518" s="6">
        <f>HYPERLINK("https://map.naver.com/p/search/오송읍 정중리 718", "지도Link")</f>
        <v/>
      </c>
      <c r="S518" s="6">
        <f>HYPERLINK("http://www.eum.go.kr/web/ar/lu/luLandDet.jsp?pnu=4311325032107180000&amp;isNoScr=script&amp;mode=search", "토지이음")</f>
        <v/>
      </c>
      <c r="T518" s="3" t="inlineStr">
        <is>
          <t>금화랜드</t>
        </is>
      </c>
      <c r="U518" s="4" t="n">
        <v>2</v>
      </c>
      <c r="V518" s="5" t="n">
        <v>74.40000000000001</v>
      </c>
      <c r="W518" s="4" t="n">
        <v>10798.4</v>
      </c>
      <c r="X518" s="3" t="inlineStr">
        <is>
          <t>주건축물제1동</t>
        </is>
      </c>
      <c r="Y518" s="7" t="inlineStr">
        <is>
          <t>5층</t>
        </is>
      </c>
      <c r="Z518" s="3" t="inlineStr">
        <is>
          <t>철근콘크리트구조</t>
        </is>
      </c>
      <c r="AA518" s="3" t="inlineStr">
        <is>
          <t>공장</t>
        </is>
      </c>
      <c r="AB518" s="3" t="inlineStr">
        <is>
          <t>26.9m</t>
        </is>
      </c>
      <c r="AC518" s="3" t="inlineStr">
        <is>
          <t>2023-10</t>
        </is>
      </c>
      <c r="AD518" s="3" t="inlineStr">
        <is>
          <t>광대소각</t>
        </is>
      </c>
    </row>
    <row r="519">
      <c r="A519" s="3" t="inlineStr">
        <is>
          <t>오송읍 정중리 797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1150000</v>
      </c>
      <c r="G519" s="4" t="n">
        <v>0</v>
      </c>
      <c r="H519" s="4" t="n">
        <v>5000</v>
      </c>
      <c r="I519" s="4" t="n">
        <v>1512</v>
      </c>
      <c r="J519" s="5" t="n">
        <v>760.6</v>
      </c>
      <c r="K519" s="4" t="n">
        <v>9900</v>
      </c>
      <c r="L519" s="4" t="n">
        <v>2995</v>
      </c>
      <c r="M519" s="5" t="n">
        <v>384</v>
      </c>
      <c r="N519" s="3" t="inlineStr">
        <is>
          <t>3</t>
        </is>
      </c>
      <c r="O519" s="3" t="inlineStr">
        <is>
          <t>-</t>
        </is>
      </c>
      <c r="P519" s="3" t="inlineStr">
        <is>
          <t>nan</t>
        </is>
      </c>
      <c r="Q519" s="6">
        <f>HYPERLINK("https://fin.land.naver.com/articles/2652985451", "매물Link")</f>
        <v/>
      </c>
      <c r="R519" s="6">
        <f>HYPERLINK("https://map.naver.com/p/search/오송읍 정중리 797", "지도Link")</f>
        <v/>
      </c>
      <c r="S519" s="6">
        <f>HYPERLINK("http://www.eum.go.kr/web/ar/lu/luLandDet.jsp?pnu=4311325032107970000&amp;isNoScr=script&amp;mode=search", "토지이음")</f>
        <v/>
      </c>
      <c r="T519" s="3" t="inlineStr">
        <is>
          <t>일오팔팔(주)</t>
        </is>
      </c>
      <c r="U519" s="4" t="n">
        <v>3</v>
      </c>
      <c r="V519" s="5" t="n">
        <v>72.90000000000001</v>
      </c>
      <c r="W519" s="4" t="n">
        <v>4999.8</v>
      </c>
      <c r="X519" s="3" t="inlineStr">
        <is>
          <t>주1</t>
        </is>
      </c>
      <c r="Y519" s="7" t="inlineStr">
        <is>
          <t>3층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16.68m</t>
        </is>
      </c>
      <c r="AC519" s="3" t="inlineStr">
        <is>
          <t>2019-10</t>
        </is>
      </c>
      <c r="AD519" s="3" t="inlineStr">
        <is>
          <t>광대로한면</t>
        </is>
      </c>
    </row>
    <row r="520">
      <c r="A520" s="3" t="inlineStr">
        <is>
          <t>오송읍 정중리 797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45000</v>
      </c>
      <c r="G520" s="4" t="n">
        <v>4500</v>
      </c>
      <c r="H520" s="4" t="n">
        <v>4999</v>
      </c>
      <c r="I520" s="4" t="n">
        <v>1512</v>
      </c>
      <c r="J520" s="5" t="n">
        <v>3</v>
      </c>
      <c r="K520" s="4" t="n">
        <v>9796</v>
      </c>
      <c r="L520" s="4" t="n">
        <v>2963</v>
      </c>
      <c r="M520" s="5" t="n">
        <v>1.5</v>
      </c>
      <c r="N520" s="3" t="inlineStr">
        <is>
          <t>3</t>
        </is>
      </c>
      <c r="O520" s="3" t="inlineStr">
        <is>
          <t>-</t>
        </is>
      </c>
      <c r="P520" s="3" t="inlineStr">
        <is>
          <t>오송산단에 위치한 도로접한 공장, 사무실 및 공장 임대</t>
        </is>
      </c>
      <c r="Q520" s="6">
        <f>HYPERLINK("https://fin.land.naver.com/articles/2652357578", "매물Link")</f>
        <v/>
      </c>
      <c r="R520" s="6">
        <f>HYPERLINK("https://map.naver.com/p/search/오송읍 정중리 797", "지도Link")</f>
        <v/>
      </c>
      <c r="S520" s="6">
        <f>HYPERLINK("http://www.eum.go.kr/web/ar/lu/luLandDet.jsp?pnu=4311325032107970000&amp;isNoScr=script&amp;mode=search", "토지이음")</f>
        <v/>
      </c>
      <c r="T520" s="3" t="inlineStr">
        <is>
          <t>(주)미르</t>
        </is>
      </c>
      <c r="U520" s="4" t="n">
        <v>1</v>
      </c>
      <c r="V520" s="5" t="n">
        <v>72.90000000000001</v>
      </c>
      <c r="W520" s="4" t="n">
        <v>4999.8</v>
      </c>
      <c r="X520" s="3" t="inlineStr">
        <is>
          <t>주1</t>
        </is>
      </c>
      <c r="Y520" s="7" t="inlineStr">
        <is>
          <t>3층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16.68m</t>
        </is>
      </c>
      <c r="AC520" s="3" t="inlineStr">
        <is>
          <t>2019-10</t>
        </is>
      </c>
      <c r="AD520" s="3" t="inlineStr">
        <is>
          <t>광대로한면</t>
        </is>
      </c>
    </row>
    <row r="521">
      <c r="A521" s="3" t="inlineStr">
        <is>
          <t>오송읍 정중리 797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30000</v>
      </c>
      <c r="G521" s="4" t="n">
        <v>2800</v>
      </c>
      <c r="H521" s="4" t="n">
        <v>4999</v>
      </c>
      <c r="I521" s="4" t="n">
        <v>1512</v>
      </c>
      <c r="J521" s="5" t="n">
        <v>1.9</v>
      </c>
      <c r="K521" s="4" t="n">
        <v>9796</v>
      </c>
      <c r="L521" s="4" t="n">
        <v>2963</v>
      </c>
      <c r="M521" s="5" t="n">
        <v>0.9</v>
      </c>
      <c r="N521" s="3" t="inlineStr">
        <is>
          <t>3</t>
        </is>
      </c>
      <c r="O521" s="3" t="inlineStr">
        <is>
          <t>-</t>
        </is>
      </c>
      <c r="P521" s="3" t="inlineStr">
        <is>
          <t>신축급,전기,화학,화장품,의약품 등 입주가능,각층별 과 전체 임대가능</t>
        </is>
      </c>
      <c r="Q521" s="6">
        <f>HYPERLINK("https://fin.land.naver.com/articles/2650190812", "매물Link")</f>
        <v/>
      </c>
      <c r="R521" s="6">
        <f>HYPERLINK("https://map.naver.com/p/search/오송읍 정중리 797", "지도Link")</f>
        <v/>
      </c>
      <c r="S521" s="6">
        <f>HYPERLINK("http://www.eum.go.kr/web/ar/lu/luLandDet.jsp?pnu=4311325032107970000&amp;isNoScr=script&amp;mode=search", "토지이음")</f>
        <v/>
      </c>
      <c r="T521" s="3" t="inlineStr">
        <is>
          <t>금화랜드</t>
        </is>
      </c>
      <c r="U521" s="4" t="n">
        <v>1</v>
      </c>
      <c r="V521" s="5" t="n">
        <v>72.90000000000001</v>
      </c>
      <c r="W521" s="4" t="n">
        <v>4999.8</v>
      </c>
      <c r="X521" s="3" t="inlineStr">
        <is>
          <t>주1</t>
        </is>
      </c>
      <c r="Y521" s="7" t="inlineStr">
        <is>
          <t>3층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16.68m</t>
        </is>
      </c>
      <c r="AC521" s="3" t="inlineStr">
        <is>
          <t>2019-10</t>
        </is>
      </c>
      <c r="AD521" s="3" t="inlineStr">
        <is>
          <t>광대로한면</t>
        </is>
      </c>
    </row>
    <row r="522">
      <c r="A522" s="3" t="inlineStr">
        <is>
          <t>오송읍 정중리 797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30000</v>
      </c>
      <c r="G522" s="4" t="n">
        <v>2800</v>
      </c>
      <c r="H522" s="4" t="n">
        <v>4999</v>
      </c>
      <c r="I522" s="4" t="n">
        <v>1512</v>
      </c>
      <c r="J522" s="5" t="n">
        <v>1.9</v>
      </c>
      <c r="K522" s="4" t="n">
        <v>3163</v>
      </c>
      <c r="L522" s="4" t="n">
        <v>957</v>
      </c>
      <c r="M522" s="5" t="n">
        <v>2.9</v>
      </c>
      <c r="N522" s="3" t="inlineStr">
        <is>
          <t>3</t>
        </is>
      </c>
      <c r="O522" s="3" t="inlineStr">
        <is>
          <t>B1</t>
        </is>
      </c>
      <c r="P522" s="3" t="inlineStr">
        <is>
          <t>사진有 공장 임대</t>
        </is>
      </c>
      <c r="Q522" s="6">
        <f>HYPERLINK("https://fin.land.naver.com/articles/2654904283", "매물Link")</f>
        <v/>
      </c>
      <c r="R522" s="6">
        <f>HYPERLINK("https://map.naver.com/p/search/오송읍 정중리 797", "지도Link")</f>
        <v/>
      </c>
      <c r="S522" s="6">
        <f>HYPERLINK("http://www.eum.go.kr/web/ar/lu/luLandDet.jsp?pnu=4311325032107970000&amp;isNoScr=script&amp;mode=search", "토지이음")</f>
        <v/>
      </c>
      <c r="T522" s="3" t="inlineStr">
        <is>
          <t>월드</t>
        </is>
      </c>
      <c r="U522" s="4" t="n">
        <v>1</v>
      </c>
      <c r="V522" s="5" t="n">
        <v>72.90000000000001</v>
      </c>
      <c r="W522" s="4" t="n">
        <v>4999.8</v>
      </c>
      <c r="X522" s="3" t="inlineStr">
        <is>
          <t>부1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공장</t>
        </is>
      </c>
      <c r="AB522" s="3" t="inlineStr">
        <is>
          <t>6.32m</t>
        </is>
      </c>
      <c r="AC522" s="3" t="inlineStr">
        <is>
          <t>2019-10</t>
        </is>
      </c>
      <c r="AD522" s="3" t="inlineStr">
        <is>
          <t>광대로한면</t>
        </is>
      </c>
    </row>
    <row r="523">
      <c r="A523" s="3" t="inlineStr">
        <is>
          <t>오송읍 정중리 797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매매</t>
        </is>
      </c>
      <c r="F523" s="4" t="n">
        <v>1150000</v>
      </c>
      <c r="G523" s="4" t="n">
        <v>0</v>
      </c>
      <c r="H523" s="4" t="n">
        <v>4999</v>
      </c>
      <c r="I523" s="4" t="n">
        <v>1512</v>
      </c>
      <c r="J523" s="5" t="n">
        <v>760.6</v>
      </c>
      <c r="K523" s="4" t="n">
        <v>9796</v>
      </c>
      <c r="L523" s="4" t="n">
        <v>2963</v>
      </c>
      <c r="M523" s="5" t="n">
        <v>388.1</v>
      </c>
      <c r="N523" s="3" t="inlineStr">
        <is>
          <t>3</t>
        </is>
      </c>
      <c r="O523" s="3" t="inlineStr">
        <is>
          <t>B1</t>
        </is>
      </c>
      <c r="P523" s="3" t="inlineStr">
        <is>
          <t>사진有 공장 매매</t>
        </is>
      </c>
      <c r="Q523" s="6">
        <f>HYPERLINK("https://fin.land.naver.com/articles/2654917110", "매물Link")</f>
        <v/>
      </c>
      <c r="R523" s="6">
        <f>HYPERLINK("https://map.naver.com/p/search/오송읍 정중리 797", "지도Link")</f>
        <v/>
      </c>
      <c r="S523" s="6">
        <f>HYPERLINK("http://www.eum.go.kr/web/ar/lu/luLandDet.jsp?pnu=4311325032107970000&amp;isNoScr=script&amp;mode=search", "토지이음")</f>
        <v/>
      </c>
      <c r="T523" s="3" t="inlineStr">
        <is>
          <t>월드</t>
        </is>
      </c>
      <c r="U523" s="4" t="n">
        <v>1</v>
      </c>
      <c r="V523" s="5" t="n">
        <v>72.90000000000001</v>
      </c>
      <c r="W523" s="4" t="n">
        <v>4999.8</v>
      </c>
      <c r="X523" s="3" t="inlineStr">
        <is>
          <t>주1</t>
        </is>
      </c>
      <c r="Y523" s="7" t="inlineStr">
        <is>
          <t>3층</t>
        </is>
      </c>
      <c r="Z523" s="3" t="inlineStr">
        <is>
          <t>일반철골구조</t>
        </is>
      </c>
      <c r="AA523" s="3" t="inlineStr">
        <is>
          <t>공장</t>
        </is>
      </c>
      <c r="AB523" s="3" t="inlineStr">
        <is>
          <t>16.68m</t>
        </is>
      </c>
      <c r="AC523" s="3" t="inlineStr">
        <is>
          <t>2019-10</t>
        </is>
      </c>
      <c r="AD523" s="3" t="inlineStr">
        <is>
          <t>광대로한면</t>
        </is>
      </c>
    </row>
    <row r="524">
      <c r="A524" s="3" t="inlineStr">
        <is>
          <t>오송읍 정중리 797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1150000</v>
      </c>
      <c r="G524" s="4" t="n">
        <v>0</v>
      </c>
      <c r="H524" s="4" t="n">
        <v>4999</v>
      </c>
      <c r="I524" s="4" t="n">
        <v>1512</v>
      </c>
      <c r="J524" s="5" t="n">
        <v>760.6</v>
      </c>
      <c r="K524" s="4" t="n">
        <v>9796</v>
      </c>
      <c r="L524" s="4" t="n">
        <v>2963</v>
      </c>
      <c r="M524" s="5" t="n">
        <v>388.1</v>
      </c>
      <c r="N524" s="3" t="inlineStr">
        <is>
          <t>3</t>
        </is>
      </c>
      <c r="O524" s="3" t="inlineStr">
        <is>
          <t>-</t>
        </is>
      </c>
      <c r="P524" s="3" t="inlineStr">
        <is>
          <t>오송2산업단지 4차선도로변 접한 위치의 신축급공장</t>
        </is>
      </c>
      <c r="Q524" s="6">
        <f>HYPERLINK("https://fin.land.naver.com/articles/2655176776", "매물Link")</f>
        <v/>
      </c>
      <c r="R524" s="6">
        <f>HYPERLINK("https://map.naver.com/p/search/오송읍 정중리 797", "지도Link")</f>
        <v/>
      </c>
      <c r="S524" s="6">
        <f>HYPERLINK("http://www.eum.go.kr/web/ar/lu/luLandDet.jsp?pnu=4311325032107970000&amp;isNoScr=script&amp;mode=search", "토지이음")</f>
        <v/>
      </c>
      <c r="T524" s="3" t="inlineStr">
        <is>
          <t>더원</t>
        </is>
      </c>
      <c r="U524" s="4" t="n">
        <v>1</v>
      </c>
      <c r="V524" s="5" t="n">
        <v>72.90000000000001</v>
      </c>
      <c r="W524" s="4" t="n">
        <v>4999.8</v>
      </c>
      <c r="X524" s="3" t="inlineStr">
        <is>
          <t>주1</t>
        </is>
      </c>
      <c r="Y524" s="7" t="inlineStr">
        <is>
          <t>3층</t>
        </is>
      </c>
      <c r="Z524" s="3" t="inlineStr">
        <is>
          <t>일반철골구조</t>
        </is>
      </c>
      <c r="AA524" s="3" t="inlineStr">
        <is>
          <t>공장</t>
        </is>
      </c>
      <c r="AB524" s="3" t="inlineStr">
        <is>
          <t>16.68m</t>
        </is>
      </c>
      <c r="AC524" s="3" t="inlineStr">
        <is>
          <t>2019-10</t>
        </is>
      </c>
      <c r="AD524" s="3" t="inlineStr">
        <is>
          <t>광대로한면</t>
        </is>
      </c>
    </row>
    <row r="525">
      <c r="A525" s="3" t="inlineStr">
        <is>
          <t>조치원읍 서창리 202-5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매매</t>
        </is>
      </c>
      <c r="F525" s="4" t="n">
        <v>140000</v>
      </c>
      <c r="G525" s="4" t="n">
        <v>0</v>
      </c>
      <c r="H525" s="4" t="n">
        <v>666</v>
      </c>
      <c r="I525" s="4" t="n">
        <v>201</v>
      </c>
      <c r="J525" s="5" t="n">
        <v>696.5</v>
      </c>
      <c r="K525" s="4" t="n">
        <v>397</v>
      </c>
      <c r="L525" s="4" t="n">
        <v>120</v>
      </c>
      <c r="M525" s="5" t="n">
        <v>1166.7</v>
      </c>
      <c r="N525" s="3" t="inlineStr">
        <is>
          <t>2</t>
        </is>
      </c>
      <c r="O525" s="3" t="inlineStr">
        <is>
          <t>-</t>
        </is>
      </c>
      <c r="P525" s="3" t="inlineStr">
        <is>
          <t>단독사용  2종근생  하수 직관  근생 창고 매매</t>
        </is>
      </c>
      <c r="Q525" s="6">
        <f>HYPERLINK("https://fin.land.naver.com/articles/2651733853", "매물Link")</f>
        <v/>
      </c>
      <c r="R525" s="6">
        <f>HYPERLINK("https://map.naver.com/p/search/조치원읍 서창리 202-5", "지도Link")</f>
        <v/>
      </c>
      <c r="S525" s="6">
        <f>HYPERLINK("http://www.eum.go.kr/web/ar/lu/luLandDet.jsp?pnu=3611025034102020005&amp;isNoScr=script&amp;mode=search", "토지이음")</f>
        <v/>
      </c>
      <c r="T525" s="3" t="inlineStr">
        <is>
          <t>THE행복</t>
        </is>
      </c>
      <c r="U525" s="4" t="n">
        <v>1</v>
      </c>
      <c r="V525" s="5" t="n">
        <v>344.8</v>
      </c>
      <c r="W525" s="4" t="n">
        <v>666</v>
      </c>
      <c r="X525" s="3" t="inlineStr">
        <is>
          <t>주건축물제1동</t>
        </is>
      </c>
      <c r="Y525" s="7" t="inlineStr">
        <is>
          <t>2층</t>
        </is>
      </c>
      <c r="Z525" s="3" t="inlineStr">
        <is>
          <t>일반철골구조</t>
        </is>
      </c>
      <c r="AA525" s="3" t="inlineStr">
        <is>
          <t>제2종근생</t>
        </is>
      </c>
      <c r="AB525" s="3" t="inlineStr">
        <is>
          <t>6.35m</t>
        </is>
      </c>
      <c r="AC525" s="3" t="inlineStr">
        <is>
          <t>2015-11</t>
        </is>
      </c>
      <c r="AD525" s="3" t="inlineStr">
        <is>
          <t>중로한면</t>
        </is>
      </c>
    </row>
    <row r="526">
      <c r="A526" s="3" t="inlineStr">
        <is>
          <t>조치원읍 서창리 202-5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매매</t>
        </is>
      </c>
      <c r="F526" s="4" t="n">
        <v>140000</v>
      </c>
      <c r="G526" s="4" t="n">
        <v>0</v>
      </c>
      <c r="H526" s="4" t="n">
        <v>673</v>
      </c>
      <c r="I526" s="4" t="n">
        <v>204</v>
      </c>
      <c r="J526" s="5" t="n">
        <v>686.3</v>
      </c>
      <c r="K526" s="4" t="n">
        <v>397</v>
      </c>
      <c r="L526" s="4" t="n">
        <v>120</v>
      </c>
      <c r="M526" s="5" t="n">
        <v>1166.7</v>
      </c>
      <c r="N526" s="3" t="inlineStr">
        <is>
          <t>2</t>
        </is>
      </c>
      <c r="O526" s="3" t="inlineStr">
        <is>
          <t>-</t>
        </is>
      </c>
      <c r="P526" s="3" t="inlineStr">
        <is>
          <t>조치원 시내 4차선 도로변 사무실 완비된 컨디션 좋은 창고 매매</t>
        </is>
      </c>
      <c r="Q526" s="6">
        <f>HYPERLINK("https://fin.land.naver.com/articles/2654666015", "매물Link")</f>
        <v/>
      </c>
      <c r="R526" s="6">
        <f>HYPERLINK("https://map.naver.com/p/search/조치원읍 서창리 202-5", "지도Link")</f>
        <v/>
      </c>
      <c r="S526" s="6">
        <f>HYPERLINK("http://www.eum.go.kr/web/ar/lu/luLandDet.jsp?pnu=3611025034102020005&amp;isNoScr=script&amp;mode=search", "토지이음")</f>
        <v/>
      </c>
      <c r="T526" s="3" t="inlineStr">
        <is>
          <t>청담</t>
        </is>
      </c>
      <c r="U526" s="4" t="n">
        <v>1</v>
      </c>
      <c r="V526" s="5" t="n">
        <v>344.8</v>
      </c>
      <c r="W526" s="4" t="n">
        <v>666</v>
      </c>
      <c r="X526" s="3" t="inlineStr">
        <is>
          <t>주건축물제1동</t>
        </is>
      </c>
      <c r="Y526" s="7" t="inlineStr">
        <is>
          <t>2층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6.35m</t>
        </is>
      </c>
      <c r="AC526" s="3" t="inlineStr">
        <is>
          <t>2015-11</t>
        </is>
      </c>
      <c r="AD526" s="3" t="inlineStr">
        <is>
          <t>중로한면</t>
        </is>
      </c>
    </row>
    <row r="527">
      <c r="A527" s="3" t="inlineStr">
        <is>
          <t>집현동 1106</t>
        </is>
      </c>
      <c r="B527" s="3" t="inlineStr">
        <is>
          <t>준주거지역</t>
        </is>
      </c>
      <c r="C527" s="3" t="inlineStr">
        <is>
          <t>대</t>
        </is>
      </c>
      <c r="D527" s="3" t="inlineStr">
        <is>
          <t>공장</t>
        </is>
      </c>
      <c r="E527" s="3" t="inlineStr">
        <is>
          <t>월세</t>
        </is>
      </c>
      <c r="F527" s="4" t="n">
        <v>20000</v>
      </c>
      <c r="G527" s="4" t="n">
        <v>1500</v>
      </c>
      <c r="H527" s="4" t="n">
        <v>1915</v>
      </c>
      <c r="I527" s="4" t="n">
        <v>579</v>
      </c>
      <c r="J527" s="5" t="n">
        <v>2.6</v>
      </c>
      <c r="K527" s="4" t="n">
        <v>2130</v>
      </c>
      <c r="L527" s="4" t="n">
        <v>644</v>
      </c>
      <c r="M527" s="5" t="n">
        <v>2.3</v>
      </c>
      <c r="N527" s="3" t="inlineStr">
        <is>
          <t>4</t>
        </is>
      </c>
      <c r="O527" s="3" t="inlineStr">
        <is>
          <t>-</t>
        </is>
      </c>
      <c r="P527" s="3" t="inlineStr">
        <is>
          <t>건물통임대, 공장임대 각 층별 임대가능</t>
        </is>
      </c>
      <c r="Q527" s="6">
        <f>HYPERLINK("https://fin.land.naver.com/articles/2650822447", "매물Link")</f>
        <v/>
      </c>
      <c r="R527" s="6">
        <f>HYPERLINK("https://map.naver.com/p/search/집현동 1106", "지도Link")</f>
        <v/>
      </c>
      <c r="S527" s="6">
        <f>HYPERLINK("http://www.eum.go.kr/web/ar/lu/luLandDet.jsp?pnu=3611011800111060000&amp;isNoScr=script&amp;mode=search", "토지이음")</f>
        <v/>
      </c>
      <c r="T527" s="3" t="inlineStr">
        <is>
          <t>국제</t>
        </is>
      </c>
      <c r="U527" s="4" t="n">
        <v>1</v>
      </c>
      <c r="V527" s="5" t="n">
        <v>232.5</v>
      </c>
      <c r="W527" s="4" t="n">
        <v>1916.1</v>
      </c>
      <c r="X527" s="3" t="inlineStr">
        <is>
          <t>주 1동</t>
        </is>
      </c>
      <c r="Y527" s="7" t="inlineStr">
        <is>
          <t>4층</t>
        </is>
      </c>
      <c r="Z527" s="3" t="inlineStr">
        <is>
          <t>일반철골구조</t>
        </is>
      </c>
      <c r="AA527" s="3" t="inlineStr">
        <is>
          <t>공장</t>
        </is>
      </c>
      <c r="AB527" s="3" t="inlineStr">
        <is>
          <t>17.7m</t>
        </is>
      </c>
      <c r="AC527" s="3" t="inlineStr">
        <is>
          <t>2024-12</t>
        </is>
      </c>
      <c r="AD527" s="3" t="inlineStr">
        <is>
          <t>중로각지</t>
        </is>
      </c>
    </row>
    <row r="528">
      <c r="A528" s="3" t="inlineStr">
        <is>
          <t>집현동 1132</t>
        </is>
      </c>
      <c r="B528" s="3" t="inlineStr">
        <is>
          <t>준주거지역</t>
        </is>
      </c>
      <c r="C528" s="3" t="inlineStr">
        <is>
          <t>대</t>
        </is>
      </c>
      <c r="D528" s="3" t="inlineStr">
        <is>
          <t>기타</t>
        </is>
      </c>
      <c r="E528" s="3" t="inlineStr">
        <is>
          <t>매매</t>
        </is>
      </c>
      <c r="F528" s="4" t="n">
        <v>2070000</v>
      </c>
      <c r="G528" s="4" t="n">
        <v>0</v>
      </c>
      <c r="H528" s="4" t="n">
        <v>2543</v>
      </c>
      <c r="I528" s="4" t="n">
        <v>769</v>
      </c>
      <c r="J528" s="5" t="n">
        <v>2691.8</v>
      </c>
      <c r="K528" s="4" t="n">
        <v>6273</v>
      </c>
      <c r="L528" s="4" t="n">
        <v>1898</v>
      </c>
      <c r="M528" s="5" t="n">
        <v>1090.6</v>
      </c>
      <c r="N528" s="3" t="inlineStr">
        <is>
          <t>7</t>
        </is>
      </c>
      <c r="O528" s="3" t="inlineStr">
        <is>
          <t>B2</t>
        </is>
      </c>
      <c r="P528" s="3" t="inlineStr">
        <is>
          <t>세종 신축 사옥 매매</t>
        </is>
      </c>
      <c r="Q528" s="6">
        <f>HYPERLINK("https://fin.land.naver.com/articles/2650482875", "매물Link")</f>
        <v/>
      </c>
      <c r="R528" s="6">
        <f>HYPERLINK("https://map.naver.com/p/search/집현동 1132", "지도Link")</f>
        <v/>
      </c>
      <c r="S528" s="6">
        <f>HYPERLINK("http://www.eum.go.kr/web/ar/lu/luLandDet.jsp?pnu=3611011800111320000&amp;isNoScr=script&amp;mode=search", "토지이음")</f>
        <v/>
      </c>
      <c r="T528" s="3" t="inlineStr">
        <is>
          <t>공장전문주식회사</t>
        </is>
      </c>
      <c r="U528" s="4" t="n">
        <v>1</v>
      </c>
      <c r="V528" s="5" t="n">
        <v>225.2</v>
      </c>
      <c r="W528" s="4" t="n">
        <v>2542.1</v>
      </c>
      <c r="X528" s="3" t="inlineStr">
        <is>
          <t>대장없음</t>
        </is>
      </c>
      <c r="Y528" s="7" t="inlineStr">
        <is>
          <t>대장없음</t>
        </is>
      </c>
      <c r="Z528" s="3" t="inlineStr">
        <is>
          <t>대장없음</t>
        </is>
      </c>
      <c r="AA528" s="3" t="inlineStr">
        <is>
          <t>대장없음</t>
        </is>
      </c>
      <c r="AB528" s="3" t="inlineStr">
        <is>
          <t>대장없음</t>
        </is>
      </c>
      <c r="AC528" s="3" t="inlineStr">
        <is>
          <t>대장없음</t>
        </is>
      </c>
      <c r="AD528" s="3" t="inlineStr">
        <is>
          <t>중로각지</t>
        </is>
      </c>
    </row>
  </sheetData>
  <autoFilter ref="A1:AD52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HYPERLINK("https://fin.land.naver.com/articles/2655178220",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nan</t>
        </is>
      </c>
      <c r="P8" s="6">
        <f>HYPERLINK("https://fin.land.naver.com/articles/2654856352",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HYPERLINK("https://fin.land.naver.com/articles/2654225418",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HYPERLINK("https://fin.land.naver.com/articles/2654049487",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HYPERLINK("https://fin.land.naver.com/articles/2654978856",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실개천옆 선호위치 초중고 모두 도보가능</t>
        </is>
      </c>
      <c r="P21" s="6">
        <f>HYPERLINK("https://fin.land.naver.com/articles/2653184770",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세종스타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초.중.고인근, 방4개, 정남향</t>
        </is>
      </c>
      <c r="P23" s="6">
        <f>HYPERLINK("https://fin.land.naver.com/articles/2651905297",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명진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1735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100000</v>
      </c>
      <c r="H26" s="4" t="n">
        <v>0</v>
      </c>
      <c r="I26" s="4" t="n">
        <v>347</v>
      </c>
      <c r="J26" s="4" t="n">
        <v>105</v>
      </c>
      <c r="K26" s="5" t="n">
        <v>952.4</v>
      </c>
      <c r="L26" s="4" t="n">
        <v>230</v>
      </c>
      <c r="M26" s="4" t="n">
        <v>70</v>
      </c>
      <c r="N26" s="5" t="n">
        <v>1428.6</v>
      </c>
      <c r="O26" s="3" t="inlineStr">
        <is>
          <t>급매 추가조율가능 정남향 탁트인위치 70p 방4개 욕실2개</t>
        </is>
      </c>
      <c r="P26" s="6">
        <f>HYPERLINK("https://fin.land.naver.com/articles/2655234481", "매물Link")</f>
        <v/>
      </c>
      <c r="Q26" s="6">
        <f>HYPERLINK("https://map.naver.com/p/search/고운동 1735", "지도Link")</f>
        <v/>
      </c>
      <c r="R26" s="6">
        <f>HYPERLINK("http://www.eum.go.kr/web/ar/lu/luLandDet.jsp?pnu=3611011200117350000&amp;isNoScr=script&amp;mode=search",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297.1</v>
      </c>
      <c r="V26" s="4" t="n">
        <v>347.1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정방형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정남향, 태양광설치, 방4개, 화장실3개, 철근콘크리트구조</t>
        </is>
      </c>
      <c r="P28" s="6">
        <f>HYPERLINK("https://fin.land.naver.com/articles/2653687247",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조망좋고 위치좋은 정남향 단독주택 방4개 실용적인구조 철콘주택</t>
        </is>
      </c>
      <c r="P29" s="6">
        <f>HYPERLINK("https://fin.land.naver.com/articles/2653838670",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세종스타</t>
        </is>
      </c>
      <c r="T29" s="4" t="n">
        <v>2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코너 남향 조경및내부시설 최상  다이닝룸 마당과 공원연결</t>
        </is>
      </c>
      <c r="P30" s="6">
        <f>HYPERLINK("https://fin.land.naver.com/articles/2653746780",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nan</t>
        </is>
      </c>
      <c r="P32" s="6">
        <f>HYPERLINK("https://fin.land.naver.com/articles/2654855553",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세종스타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2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코너집 .남향 햇살 좋은집</t>
        </is>
      </c>
      <c r="P36" s="6">
        <f>HYPERLINK("https://fin.land.naver.com/articles/2650322263",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HYPERLINK("https://fin.land.naver.com/articles/2654855680",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고운동의 넓은마당과 텃밭 단독주택</t>
        </is>
      </c>
      <c r="P41" s="6">
        <f>HYPERLINK("https://fin.land.naver.com/articles/2649551437",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청명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HYPERLINK("https://fin.land.naver.com/articles/2654930025",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404</v>
      </c>
      <c r="J44" s="4" t="n">
        <v>122</v>
      </c>
      <c r="K44" s="5" t="n">
        <v>1311.5</v>
      </c>
      <c r="L44" s="4" t="n">
        <v>253</v>
      </c>
      <c r="M44" s="4" t="n">
        <v>77</v>
      </c>
      <c r="N44" s="5" t="n">
        <v>2077.9</v>
      </c>
      <c r="O44" s="3" t="inlineStr">
        <is>
          <t>프라이빗 코너 호수의 완벽한 유럽풍 라이프</t>
        </is>
      </c>
      <c r="P44" s="6">
        <f>HYPERLINK("https://fin.land.naver.com/articles/2654054184",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336</v>
      </c>
      <c r="J45" s="4" t="n">
        <v>102</v>
      </c>
      <c r="K45" s="5" t="n">
        <v>1568.6</v>
      </c>
      <c r="L45" s="4" t="n">
        <v>253</v>
      </c>
      <c r="M45" s="4" t="n">
        <v>77</v>
      </c>
      <c r="N45" s="5" t="n">
        <v>2077.9</v>
      </c>
      <c r="O45" s="3" t="inlineStr">
        <is>
          <t>입지 최고 거주 및 투자추천, 선임대 맞춰짐, 실입주도 협의가능,</t>
        </is>
      </c>
      <c r="P45" s="6">
        <f>HYPERLINK("https://fin.land.naver.com/articles/2654400309",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백프로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404</v>
      </c>
      <c r="J46" s="4" t="n">
        <v>122</v>
      </c>
      <c r="K46" s="5" t="n">
        <v>1311.5</v>
      </c>
      <c r="L46" s="4" t="n">
        <v>253</v>
      </c>
      <c r="M46" s="4" t="n">
        <v>77</v>
      </c>
      <c r="N46" s="5" t="n">
        <v>2077.9</v>
      </c>
      <c r="O46" s="3" t="inlineStr">
        <is>
          <t>인기C타입 마당넓음 탁트인조망 넓은3층면적</t>
        </is>
      </c>
      <c r="P46" s="6">
        <f>HYPERLINK("https://fin.land.naver.com/articles/2651086449",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세종스타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유럽마을 C타입  관리상태좋음  학교 근린생활시설가까운 입지 최고 단지</t>
        </is>
      </c>
      <c r="P47" s="6">
        <f>HYPERLINK("https://fin.land.naver.com/articles/2652588602",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고운힐스테이트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127600</v>
      </c>
      <c r="H48" s="4" t="n">
        <v>0</v>
      </c>
      <c r="I48" s="4" t="n">
        <v>353</v>
      </c>
      <c r="J48" s="4" t="n">
        <v>107</v>
      </c>
      <c r="K48" s="5" t="n">
        <v>1192.5</v>
      </c>
      <c r="L48" s="4" t="n">
        <v>224</v>
      </c>
      <c r="M48" s="4" t="n">
        <v>68</v>
      </c>
      <c r="N48" s="5" t="n">
        <v>1876.5</v>
      </c>
      <c r="O48" s="3" t="inlineStr">
        <is>
          <t>아르티엠 더블랙 선임대 완료 급매</t>
        </is>
      </c>
      <c r="P48" s="6">
        <f>HYPERLINK("https://fin.land.naver.com/articles/2650887284",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165000</v>
      </c>
      <c r="H49" s="4" t="n">
        <v>0</v>
      </c>
      <c r="I49" s="4" t="n">
        <v>336</v>
      </c>
      <c r="J49" s="4" t="n">
        <v>102</v>
      </c>
      <c r="K49" s="5" t="n">
        <v>1617.6</v>
      </c>
      <c r="L49" s="4" t="n">
        <v>253</v>
      </c>
      <c r="M49" s="4" t="n">
        <v>77</v>
      </c>
      <c r="N49" s="5" t="n">
        <v>2142.9</v>
      </c>
      <c r="O49" s="3" t="inlineStr">
        <is>
          <t>초품아, 거주 만족도 높은  관리최상  매물, 협의입주</t>
        </is>
      </c>
      <c r="P49" s="6">
        <f>HYPERLINK("https://fin.land.naver.com/articles/2654558667",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2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140000</v>
      </c>
      <c r="H51" s="4" t="n">
        <v>0</v>
      </c>
      <c r="I51" s="4" t="n">
        <v>297</v>
      </c>
      <c r="J51" s="4" t="n">
        <v>90</v>
      </c>
      <c r="K51" s="5" t="n">
        <v>1555.6</v>
      </c>
      <c r="L51" s="4" t="n">
        <v>253</v>
      </c>
      <c r="M51" s="4" t="n">
        <v>77</v>
      </c>
      <c r="N51" s="5" t="n">
        <v>1818.2</v>
      </c>
      <c r="O51" s="3" t="inlineStr">
        <is>
          <t>입지좋은 타운하우스매매, C타입, 온빛초, 정남향</t>
        </is>
      </c>
      <c r="P51" s="6">
        <f>HYPERLINK("https://fin.land.naver.com/articles/2655132311",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C타입 타운하우스, 급매, 입지 굿, 학교 인접, 협의입주</t>
        </is>
      </c>
      <c r="P52" s="6">
        <f>HYPERLINK("https://fin.land.naver.com/articles/2654939086",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158000</v>
      </c>
      <c r="H53" s="4" t="n">
        <v>0</v>
      </c>
      <c r="I53" s="4" t="n">
        <v>418</v>
      </c>
      <c r="J53" s="4" t="n">
        <v>126</v>
      </c>
      <c r="K53" s="5" t="n">
        <v>1254</v>
      </c>
      <c r="L53" s="4" t="n">
        <v>253</v>
      </c>
      <c r="M53" s="4" t="n">
        <v>77</v>
      </c>
      <c r="N53" s="5" t="n">
        <v>2051.9</v>
      </c>
      <c r="O53" s="3" t="inlineStr">
        <is>
          <t>아르티엠 더블랙 C타입 선임대 완료 급매</t>
        </is>
      </c>
      <c r="P53" s="6">
        <f>HYPERLINK("https://fin.land.naver.com/articles/2651673445",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A타입 타운하우스매매, 입지 굿, 학교 인접, 협의입주</t>
        </is>
      </c>
      <c r="P54" s="6">
        <f>HYPERLINK("https://fin.land.naver.com/articles/2654932877",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140000</v>
      </c>
      <c r="H55" s="4" t="n">
        <v>0</v>
      </c>
      <c r="I55" s="4" t="n">
        <v>297</v>
      </c>
      <c r="J55" s="4" t="n">
        <v>90</v>
      </c>
      <c r="K55" s="5" t="n">
        <v>1555.6</v>
      </c>
      <c r="L55" s="4" t="n">
        <v>253</v>
      </c>
      <c r="M55" s="4" t="n">
        <v>77</v>
      </c>
      <c r="N55" s="5" t="n">
        <v>1818.2</v>
      </c>
      <c r="O55" s="3" t="inlineStr">
        <is>
          <t>급매,C타입,주인거주로집상태좋음.</t>
        </is>
      </c>
      <c r="P55" s="6">
        <f>HYPERLINK("https://fin.land.naver.com/articles/2653085610",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세종황소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127600</v>
      </c>
      <c r="H56" s="4" t="n">
        <v>0</v>
      </c>
      <c r="I56" s="4" t="n">
        <v>356</v>
      </c>
      <c r="J56" s="4" t="n">
        <v>108</v>
      </c>
      <c r="K56" s="5" t="n">
        <v>1181.5</v>
      </c>
      <c r="L56" s="4" t="n">
        <v>224</v>
      </c>
      <c r="M56" s="4" t="n">
        <v>68</v>
      </c>
      <c r="N56" s="5" t="n">
        <v>1876.5</v>
      </c>
      <c r="O56" s="3" t="inlineStr">
        <is>
          <t>아르티엠 더블랙 선임대 완료 급매</t>
        </is>
      </c>
      <c r="P56" s="6">
        <f>HYPERLINK("https://fin.land.naver.com/articles/2651673384",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찬스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131400</v>
      </c>
      <c r="H57" s="4" t="n">
        <v>0</v>
      </c>
      <c r="I57" s="4" t="n">
        <v>370</v>
      </c>
      <c r="J57" s="4" t="n">
        <v>112</v>
      </c>
      <c r="K57" s="5" t="n">
        <v>1173.2</v>
      </c>
      <c r="L57" s="4" t="n">
        <v>224</v>
      </c>
      <c r="M57" s="4" t="n">
        <v>68</v>
      </c>
      <c r="N57" s="5" t="n">
        <v>1932.4</v>
      </c>
      <c r="O57" s="3" t="inlineStr">
        <is>
          <t>아르티엠 더블랙 선임대 완료 급매</t>
        </is>
      </c>
      <c r="P57" s="6">
        <f>HYPERLINK("https://fin.land.naver.com/articles/2651673423",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336</v>
      </c>
      <c r="J58" s="4" t="n">
        <v>102</v>
      </c>
      <c r="K58" s="5" t="n">
        <v>1617.6</v>
      </c>
      <c r="L58" s="4" t="n">
        <v>253</v>
      </c>
      <c r="M58" s="4" t="n">
        <v>77</v>
      </c>
      <c r="N58" s="5" t="n">
        <v>2142.9</v>
      </c>
      <c r="O58" s="3" t="inlineStr">
        <is>
          <t>협의입주, 시스템에어컨풀, 풀옵션, 조용한동으로 뷰좋은집</t>
        </is>
      </c>
      <c r="P58" s="6">
        <f>HYPERLINK("https://fin.land.naver.com/articles/2654798829",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리브</t>
        </is>
      </c>
      <c r="T58" s="4" t="n">
        <v>2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165000</v>
      </c>
      <c r="H59" s="4" t="n">
        <v>0</v>
      </c>
      <c r="I59" s="4" t="n">
        <v>336</v>
      </c>
      <c r="J59" s="4" t="n">
        <v>102</v>
      </c>
      <c r="K59" s="5" t="n">
        <v>1617.6</v>
      </c>
      <c r="L59" s="4" t="n">
        <v>253</v>
      </c>
      <c r="M59" s="4" t="n">
        <v>77</v>
      </c>
      <c r="N59" s="5" t="n">
        <v>2142.9</v>
      </c>
      <c r="O59" s="3" t="inlineStr">
        <is>
          <t>입지좋은 타운하우스매매, A타입, 온빛초, 정남향</t>
        </is>
      </c>
      <c r="P59" s="6">
        <f>HYPERLINK("https://fin.land.naver.com/articles/2652815452",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50000</v>
      </c>
      <c r="H60" s="4" t="n">
        <v>200</v>
      </c>
      <c r="I60" s="4" t="n">
        <v>192</v>
      </c>
      <c r="J60" s="4" t="n">
        <v>58</v>
      </c>
      <c r="K60" s="5" t="n">
        <v>3.4</v>
      </c>
      <c r="L60" s="4" t="n">
        <v>192</v>
      </c>
      <c r="M60" s="4" t="n">
        <v>58</v>
      </c>
      <c r="N60" s="5" t="n">
        <v>3.4</v>
      </c>
      <c r="O60" s="3" t="inlineStr">
        <is>
          <t>전세도 가능, 입주 협의가능, 입지 좋은 타운하우스</t>
        </is>
      </c>
      <c r="P60" s="6">
        <f>HYPERLINK("https://fin.land.naver.com/articles/2654049382",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세종무지개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50000</v>
      </c>
      <c r="H61" s="4" t="n">
        <v>200</v>
      </c>
      <c r="I61" s="4" t="n">
        <v>0</v>
      </c>
      <c r="J61" s="4" t="n">
        <v>0</v>
      </c>
      <c r="K61" s="5" t="n">
        <v>0</v>
      </c>
      <c r="L61" s="4" t="n">
        <v>192</v>
      </c>
      <c r="M61" s="4" t="n">
        <v>58</v>
      </c>
      <c r="N61" s="5" t="n">
        <v>3.4</v>
      </c>
      <c r="O61" s="3" t="inlineStr">
        <is>
          <t>고급주택 파크힐즈 신축급 방4개 욕실3개 전세8억</t>
        </is>
      </c>
      <c r="P61" s="6">
        <f>HYPERLINK("https://fin.land.naver.com/articles/2654654360",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80000</v>
      </c>
      <c r="H62" s="4" t="n">
        <v>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1379.3</v>
      </c>
      <c r="O62" s="3" t="inlineStr">
        <is>
          <t>신축급 파크힐즈 방4개 욕실3개 월세가능 보5억200</t>
        </is>
      </c>
      <c r="P62" s="6">
        <f>HYPERLINK("https://fin.land.naver.com/articles/2654654333",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전세</t>
        </is>
      </c>
      <c r="G63" s="4" t="n">
        <v>80000</v>
      </c>
      <c r="H63" s="4" t="n">
        <v>0</v>
      </c>
      <c r="I63" s="4" t="n">
        <v>192</v>
      </c>
      <c r="J63" s="4" t="n">
        <v>58</v>
      </c>
      <c r="K63" s="5" t="n">
        <v>1379.3</v>
      </c>
      <c r="L63" s="4" t="n">
        <v>192</v>
      </c>
      <c r="M63" s="4" t="n">
        <v>58</v>
      </c>
      <c r="N63" s="5" t="n">
        <v>1379.3</v>
      </c>
      <c r="O63" s="3" t="inlineStr">
        <is>
          <t>고급 타운하우스 전세, 월세도 가능, 협의 입주 가능</t>
        </is>
      </c>
      <c r="P63" s="6">
        <f>HYPERLINK("https://fin.land.naver.com/articles/2654220722",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가격조정가능 고운동한옥마을단독주택</t>
        </is>
      </c>
      <c r="P65" s="6">
        <f>HYPERLINK("https://fin.land.naver.com/articles/2654259841",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새롬스마트</t>
        </is>
      </c>
      <c r="T65" s="4" t="n">
        <v>2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전통미 멋스럽고 고즈넉한 한옥 단독 주택 매매. 지하층설계까지 꼼꼼한 집</t>
        </is>
      </c>
      <c r="P66" s="6">
        <f>HYPERLINK("https://fin.land.naver.com/articles/2651959052",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세종올리브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한옥매매, 방2개, 화장실2개, 지하 방으로 사용가능</t>
        </is>
      </c>
      <c r="P67" s="6">
        <f>HYPERLINK("https://fin.land.naver.com/articles/2653889844",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명진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한옥마을매매, 시립도서관, 온빛유.초 인접, 급매</t>
        </is>
      </c>
      <c r="P70" s="6">
        <f>HYPERLINK("https://fin.land.naver.com/articles/2651945527",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명진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nan</t>
        </is>
      </c>
      <c r="P71" s="6">
        <f>HYPERLINK("https://fin.land.naver.com/articles/2652918003",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세종스타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위치좋은 한옥주택</t>
        </is>
      </c>
      <c r="P72" s="6">
        <f>HYPERLINK("https://fin.land.naver.com/articles/2651771270",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한대역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한옥마을 품격있는 한옥주택매매</t>
        </is>
      </c>
      <c r="P73" s="6">
        <f>HYPERLINK("https://fin.land.naver.com/articles/2653948243",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중앙센트럴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조율가능 2층한옥 벙커주차장 지하있음 방3개 욕실3개 홈바</t>
        </is>
      </c>
      <c r="P74" s="6">
        <f>HYPERLINK("https://fin.land.naver.com/articles/2653672599",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2196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290</v>
      </c>
      <c r="J75" s="4" t="n">
        <v>88</v>
      </c>
      <c r="K75" s="5" t="n">
        <v>1363.6</v>
      </c>
      <c r="L75" s="4" t="n">
        <v>195</v>
      </c>
      <c r="M75" s="4" t="n">
        <v>59</v>
      </c>
      <c r="N75" s="5" t="n">
        <v>2033.9</v>
      </c>
      <c r="O75" s="3" t="inlineStr">
        <is>
          <t>벙커주차장대형멀티룸 포함22년 신축</t>
        </is>
      </c>
      <c r="P75" s="6">
        <f>HYPERLINK("https://fin.land.naver.com/articles/2654652329", "매물Link")</f>
        <v/>
      </c>
      <c r="Q75" s="6">
        <f>HYPERLINK("https://map.naver.com/p/search/고운동 2196", "지도Link")</f>
        <v/>
      </c>
      <c r="R75" s="6">
        <f>HYPERLINK("http://www.eum.go.kr/web/ar/lu/luLandDet.jsp?pnu=3611011200121960000&amp;isNoScr=script&amp;mode=search", "토지이음")</f>
        <v/>
      </c>
      <c r="S75" s="3" t="inlineStr">
        <is>
          <t>찬스</t>
        </is>
      </c>
      <c r="T75" s="4" t="n">
        <v>1</v>
      </c>
      <c r="U75" s="5" t="n">
        <v>274.4</v>
      </c>
      <c r="V75" s="4" t="n">
        <v>290</v>
      </c>
      <c r="W75" s="3" t="inlineStr">
        <is>
          <t>지정되지않음</t>
        </is>
      </c>
      <c r="X75" s="3" t="inlineStr">
        <is>
          <t>주거나지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194</v>
      </c>
      <c r="J77" s="4" t="n">
        <v>59</v>
      </c>
      <c r="K77" s="5" t="n">
        <v>796.6</v>
      </c>
      <c r="L77" s="4" t="n">
        <v>194</v>
      </c>
      <c r="M77" s="4" t="n">
        <v>59</v>
      </c>
      <c r="N77" s="5" t="n">
        <v>796.6</v>
      </c>
      <c r="O77" s="3" t="inlineStr">
        <is>
          <t>조율가능,급매, 고운동 타운하우스</t>
        </is>
      </c>
      <c r="P77" s="6">
        <f>HYPERLINK("https://fin.land.naver.com/articles/2652790063",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86000</v>
      </c>
      <c r="H78" s="4" t="n">
        <v>0</v>
      </c>
      <c r="I78" s="4" t="n">
        <v>15314</v>
      </c>
      <c r="J78" s="4" t="n">
        <v>4632</v>
      </c>
      <c r="K78" s="5" t="n">
        <v>18.6</v>
      </c>
      <c r="L78" s="4" t="n">
        <v>141</v>
      </c>
      <c r="M78" s="4" t="n">
        <v>43</v>
      </c>
      <c r="N78" s="5" t="n">
        <v>2000</v>
      </c>
      <c r="O78" s="3" t="inlineStr">
        <is>
          <t>협의입주 고운동리치먼드힐타운하우스급매</t>
        </is>
      </c>
      <c r="P78" s="6">
        <f>HYPERLINK("https://fin.land.naver.com/articles/2651811295",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고운동리치세종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0</v>
      </c>
      <c r="J79" s="4" t="n">
        <v>0</v>
      </c>
      <c r="K79" s="5" t="n">
        <v>0</v>
      </c>
      <c r="L79" s="4" t="n">
        <v>141</v>
      </c>
      <c r="M79" s="4" t="n">
        <v>43</v>
      </c>
      <c r="N79" s="5" t="n">
        <v>1093</v>
      </c>
      <c r="O79" s="3" t="inlineStr">
        <is>
          <t>e루다 융유,리치먼드1차,협의입주,탄력적조율,테라스,마당,복층,다락</t>
        </is>
      </c>
      <c r="P79" s="6">
        <f>HYPERLINK("https://fin.land.naver.com/articles/2654927686",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이루다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15314</v>
      </c>
      <c r="J80" s="4" t="n">
        <v>4632</v>
      </c>
      <c r="K80" s="5" t="n">
        <v>17.2</v>
      </c>
      <c r="L80" s="4" t="n">
        <v>141</v>
      </c>
      <c r="M80" s="4" t="n">
        <v>43</v>
      </c>
      <c r="N80" s="5" t="n">
        <v>1855.8</v>
      </c>
      <c r="O80" s="3" t="inlineStr">
        <is>
          <t>nan</t>
        </is>
      </c>
      <c r="P80" s="6">
        <f>HYPERLINK("https://fin.land.naver.com/articles/2653118606",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다정가온TOP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전원주택</t>
        </is>
      </c>
      <c r="F81" s="3" t="inlineStr">
        <is>
          <t>전세</t>
        </is>
      </c>
      <c r="G81" s="4" t="n">
        <v>47000</v>
      </c>
      <c r="H81" s="4" t="n">
        <v>0</v>
      </c>
      <c r="I81" s="4" t="n">
        <v>15314</v>
      </c>
      <c r="J81" s="4" t="n">
        <v>4632</v>
      </c>
      <c r="K81" s="5" t="n">
        <v>10.1</v>
      </c>
      <c r="L81" s="4" t="n">
        <v>181</v>
      </c>
      <c r="M81" s="4" t="n">
        <v>55</v>
      </c>
      <c r="N81" s="5" t="n">
        <v>854.5</v>
      </c>
      <c r="O81" s="3" t="inlineStr">
        <is>
          <t>리치먼드힐1차,타운하우스, 테라스,복층,</t>
        </is>
      </c>
      <c r="P81" s="6">
        <f>HYPERLINK("https://fin.land.naver.com/articles/2654151431",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확실한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289</v>
      </c>
      <c r="J82" s="4" t="n">
        <v>87</v>
      </c>
      <c r="K82" s="5" t="n">
        <v>917.2</v>
      </c>
      <c r="L82" s="4" t="n">
        <v>15314</v>
      </c>
      <c r="M82" s="4" t="n">
        <v>4632</v>
      </c>
      <c r="N82" s="5" t="n">
        <v>17.2</v>
      </c>
      <c r="O82" s="3" t="inlineStr">
        <is>
          <t>급매,리치먼드힐1차,타운하우스, 테라스,복층</t>
        </is>
      </c>
      <c r="P82" s="6">
        <f>HYPERLINK("https://fin.land.naver.com/articles/2654152272",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확실한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전세</t>
        </is>
      </c>
      <c r="G83" s="4" t="n">
        <v>48000</v>
      </c>
      <c r="H83" s="4" t="n">
        <v>0</v>
      </c>
      <c r="I83" s="4" t="n">
        <v>141</v>
      </c>
      <c r="J83" s="4" t="n">
        <v>43</v>
      </c>
      <c r="K83" s="5" t="n">
        <v>1116.3</v>
      </c>
      <c r="L83" s="4" t="n">
        <v>141</v>
      </c>
      <c r="M83" s="4" t="n">
        <v>43</v>
      </c>
      <c r="N83" s="5" t="n">
        <v>1116.3</v>
      </c>
      <c r="O83" s="3" t="inlineStr">
        <is>
          <t>세종백화, 에어컨4, 오븐, 인덕션1, 하이라이트1, 금액조정 가능</t>
        </is>
      </c>
      <c r="P83" s="6">
        <f>HYPERLINK("https://fin.land.naver.com/articles/2651471708",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이즈 세종백화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단독</t>
        </is>
      </c>
      <c r="F85" s="3" t="inlineStr">
        <is>
          <t>매매</t>
        </is>
      </c>
      <c r="G85" s="4" t="n">
        <v>180000</v>
      </c>
      <c r="H85" s="4" t="n">
        <v>0</v>
      </c>
      <c r="I85" s="4" t="n">
        <v>15314</v>
      </c>
      <c r="J85" s="4" t="n">
        <v>4632</v>
      </c>
      <c r="K85" s="5" t="n">
        <v>38.9</v>
      </c>
      <c r="L85" s="4" t="n">
        <v>374</v>
      </c>
      <c r="M85" s="4" t="n">
        <v>113</v>
      </c>
      <c r="N85" s="5" t="n">
        <v>1592.9</v>
      </c>
      <c r="O85" s="3" t="inlineStr">
        <is>
          <t>고운동타운하우스 엘리베이터0 층별독립 공간과 프라이빗한 라이프스타일</t>
        </is>
      </c>
      <c r="P85" s="6">
        <f>HYPERLINK("https://fin.land.naver.com/articles/2650507306",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고운동리치세종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79800</v>
      </c>
      <c r="H86" s="4" t="n">
        <v>0</v>
      </c>
      <c r="I86" s="4" t="n">
        <v>15314</v>
      </c>
      <c r="J86" s="4" t="n">
        <v>4632</v>
      </c>
      <c r="K86" s="5" t="n">
        <v>17.2</v>
      </c>
      <c r="L86" s="4" t="n">
        <v>141</v>
      </c>
      <c r="M86" s="4" t="n">
        <v>43</v>
      </c>
      <c r="N86" s="5" t="n">
        <v>1855.8</v>
      </c>
      <c r="O86" s="3" t="inlineStr">
        <is>
          <t>o서초만땅o급매,협의입주,복층다락</t>
        </is>
      </c>
      <c r="P86" s="6">
        <f>HYPERLINK("https://fin.land.naver.com/articles/2650272816",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서초만땅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110000</v>
      </c>
      <c r="H87" s="4" t="n">
        <v>0</v>
      </c>
      <c r="I87" s="4" t="n">
        <v>15314</v>
      </c>
      <c r="J87" s="4" t="n">
        <v>4632</v>
      </c>
      <c r="K87" s="5" t="n">
        <v>23.7</v>
      </c>
      <c r="L87" s="4" t="n">
        <v>180</v>
      </c>
      <c r="M87" s="4" t="n">
        <v>54</v>
      </c>
      <c r="N87" s="5" t="n">
        <v>2037</v>
      </c>
      <c r="O87" s="3" t="inlineStr">
        <is>
          <t>주인거주로 관리잘된집, 협의입주, 모든 하자 완벽 수리</t>
        </is>
      </c>
      <c r="P87" s="6">
        <f>HYPERLINK("https://fin.land.naver.com/articles/2649875240",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명진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15314</v>
      </c>
      <c r="J89" s="4" t="n">
        <v>4632</v>
      </c>
      <c r="K89" s="5" t="n">
        <v>17.2</v>
      </c>
      <c r="L89" s="4" t="n">
        <v>141</v>
      </c>
      <c r="M89" s="4" t="n">
        <v>43</v>
      </c>
      <c r="N89" s="5" t="n">
        <v>1855.8</v>
      </c>
      <c r="O89" s="3" t="inlineStr">
        <is>
          <t>급매, 입주협의가능, 고운동 타운하우스</t>
        </is>
      </c>
      <c r="P89" s="6">
        <f>HYPERLINK("https://fin.land.naver.com/articles/2649570727",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86000</v>
      </c>
      <c r="H90" s="4" t="n">
        <v>0</v>
      </c>
      <c r="I90" s="4" t="n">
        <v>15314</v>
      </c>
      <c r="J90" s="4" t="n">
        <v>4632</v>
      </c>
      <c r="K90" s="5" t="n">
        <v>18.6</v>
      </c>
      <c r="L90" s="4" t="n">
        <v>141</v>
      </c>
      <c r="M90" s="4" t="n">
        <v>43</v>
      </c>
      <c r="N90" s="5" t="n">
        <v>2000</v>
      </c>
      <c r="O90" s="3" t="inlineStr">
        <is>
          <t>추천급매 I 고운동  타운하우스 리치먼드힐1차 귀한매물 I 잔금협의</t>
        </is>
      </c>
      <c r="P90" s="6">
        <f>HYPERLINK("https://fin.land.naver.com/articles/2653180419",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힐스테이트으뜸원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79800</v>
      </c>
      <c r="H91" s="4" t="n">
        <v>0</v>
      </c>
      <c r="I91" s="4" t="n">
        <v>15314</v>
      </c>
      <c r="J91" s="4" t="n">
        <v>4632</v>
      </c>
      <c r="K91" s="5" t="n">
        <v>17.2</v>
      </c>
      <c r="L91" s="4" t="n">
        <v>141</v>
      </c>
      <c r="M91" s="4" t="n">
        <v>43</v>
      </c>
      <c r="N91" s="5" t="n">
        <v>1855.8</v>
      </c>
      <c r="O91" s="3" t="inlineStr">
        <is>
          <t>e루다 급매,리치먼드1차,협의입주,적극조율,테라스,마당,복층,다락</t>
        </is>
      </c>
      <c r="P91" s="6">
        <f>HYPERLINK("https://fin.land.naver.com/articles/2649834406",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이루다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893-34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75000</v>
      </c>
      <c r="H93" s="4" t="n">
        <v>0</v>
      </c>
      <c r="I93" s="4" t="n">
        <v>193</v>
      </c>
      <c r="J93" s="4" t="n">
        <v>58</v>
      </c>
      <c r="K93" s="5" t="n">
        <v>1293.1</v>
      </c>
      <c r="L93" s="4" t="n">
        <v>121</v>
      </c>
      <c r="M93" s="4" t="n">
        <v>37</v>
      </c>
      <c r="N93" s="5" t="n">
        <v>2027</v>
      </c>
      <c r="O93" s="3" t="inlineStr">
        <is>
          <t>세종시에서 앞으로 찾기 힘든 분양 금액 , 내부구조 굿, 잔금일 협의가능</t>
        </is>
      </c>
      <c r="P93" s="6">
        <f>HYPERLINK("https://fin.land.naver.com/articles/2649776832", "매물Link")</f>
        <v/>
      </c>
      <c r="Q93" s="6">
        <f>HYPERLINK("https://map.naver.com/p/search/고운동 893-34", "지도Link")</f>
        <v/>
      </c>
      <c r="R93" s="6">
        <f>HYPERLINK("http://www.eum.go.kr/web/ar/lu/luLandDet.jsp?pnu=3611011200108930034&amp;isNoScr=script&amp;mode=search", "토지이음")</f>
        <v/>
      </c>
      <c r="S93" s="3" t="inlineStr">
        <is>
          <t>세종올리브</t>
        </is>
      </c>
      <c r="T93" s="4" t="n">
        <v>1</v>
      </c>
      <c r="U93" s="5" t="n">
        <v>335.5</v>
      </c>
      <c r="V93" s="4" t="n">
        <v>775.4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소로각지</t>
        </is>
      </c>
    </row>
    <row r="94">
      <c r="A94" s="3" t="inlineStr">
        <is>
          <t>고운동 894-41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99000</v>
      </c>
      <c r="H94" s="4" t="n">
        <v>0</v>
      </c>
      <c r="I94" s="4" t="n">
        <v>231</v>
      </c>
      <c r="J94" s="4" t="n">
        <v>70</v>
      </c>
      <c r="K94" s="5" t="n">
        <v>1414.3</v>
      </c>
      <c r="L94" s="4" t="n">
        <v>143</v>
      </c>
      <c r="M94" s="4" t="n">
        <v>43</v>
      </c>
      <c r="N94" s="5" t="n">
        <v>2302.3</v>
      </c>
      <c r="O94" s="3" t="inlineStr">
        <is>
          <t>현재 전세 5억 임차인 거주중, 27년 9월 만기</t>
        </is>
      </c>
      <c r="P94" s="6">
        <f>HYPERLINK("https://fin.land.naver.com/articles/2654710010", "매물Link")</f>
        <v/>
      </c>
      <c r="Q94" s="6">
        <f>HYPERLINK("https://map.naver.com/p/search/고운동 894-41", "지도Link")</f>
        <v/>
      </c>
      <c r="R94" s="6">
        <f>HYPERLINK("http://www.eum.go.kr/web/ar/lu/luLandDet.jsp?pnu=3611011200108940041&amp;isNoScr=script&amp;mode=search",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463.1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고운동 895-14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256</v>
      </c>
      <c r="J95" s="4" t="n">
        <v>77</v>
      </c>
      <c r="K95" s="5" t="n">
        <v>1883.1</v>
      </c>
      <c r="L95" s="4" t="n">
        <v>188</v>
      </c>
      <c r="M95" s="4" t="n">
        <v>57</v>
      </c>
      <c r="N95" s="5" t="n">
        <v>2543.9</v>
      </c>
      <c r="O95" s="3" t="inlineStr">
        <is>
          <t>고급주택단지,넓은마당과데크,2층테라스,시스템에어컨7대,단지커뮤니티시설</t>
        </is>
      </c>
      <c r="P95" s="6">
        <f>HYPERLINK("https://fin.land.naver.com/articles/2653447420", "매물Link")</f>
        <v/>
      </c>
      <c r="Q95" s="6">
        <f>HYPERLINK("https://map.naver.com/p/search/고운동 895-14", "지도Link")</f>
        <v/>
      </c>
      <c r="R95" s="6">
        <f>HYPERLINK("http://www.eum.go.kr/web/ar/lu/luLandDet.jsp?pnu=3611011200108950014&amp;isNoScr=script&amp;mode=search", "토지이음")</f>
        <v/>
      </c>
      <c r="S95" s="3" t="inlineStr">
        <is>
          <t>산울탑</t>
        </is>
      </c>
      <c r="T95" s="4" t="n">
        <v>1</v>
      </c>
      <c r="U95" s="5" t="n">
        <v>319.6</v>
      </c>
      <c r="V95" s="4" t="n">
        <v>256.5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895-19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262</v>
      </c>
      <c r="J97" s="4" t="n">
        <v>79</v>
      </c>
      <c r="K97" s="5" t="n">
        <v>1455.7</v>
      </c>
      <c r="L97" s="4" t="n">
        <v>186</v>
      </c>
      <c r="M97" s="4" t="n">
        <v>56</v>
      </c>
      <c r="N97" s="5" t="n">
        <v>2053.6</v>
      </c>
      <c r="O97" s="3" t="inlineStr">
        <is>
          <t>포스힐타운하우스 단독주택매매 가격조정가능</t>
        </is>
      </c>
      <c r="P97" s="6">
        <f>HYPERLINK("https://fin.land.naver.com/articles/2650510542", "매물Link")</f>
        <v/>
      </c>
      <c r="Q97" s="6">
        <f>HYPERLINK("https://map.naver.com/p/search/고운동 895-19", "지도Link")</f>
        <v/>
      </c>
      <c r="R97" s="6">
        <f>HYPERLINK("http://www.eum.go.kr/web/ar/lu/luLandDet.jsp?pnu=3611011200108950019&amp;isNoScr=script&amp;mode=search", "토지이음")</f>
        <v/>
      </c>
      <c r="S97" s="3" t="inlineStr">
        <is>
          <t>고운동리치세종</t>
        </is>
      </c>
      <c r="T97" s="4" t="n">
        <v>1</v>
      </c>
      <c r="U97" s="5" t="n">
        <v>319.6</v>
      </c>
      <c r="V97" s="4" t="n">
        <v>262.6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895-24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115000</v>
      </c>
      <c r="H98" s="4" t="n">
        <v>0</v>
      </c>
      <c r="I98" s="4" t="n">
        <v>256</v>
      </c>
      <c r="J98" s="4" t="n">
        <v>77</v>
      </c>
      <c r="K98" s="5" t="n">
        <v>1493.5</v>
      </c>
      <c r="L98" s="4" t="n">
        <v>185</v>
      </c>
      <c r="M98" s="4" t="n">
        <v>56</v>
      </c>
      <c r="N98" s="5" t="n">
        <v>2053.6</v>
      </c>
      <c r="O98" s="3" t="inlineStr">
        <is>
          <t>채광좋은위치 관리최상 방3개 욕실2개 다락있음</t>
        </is>
      </c>
      <c r="P98" s="6">
        <f>HYPERLINK("https://fin.land.naver.com/articles/2650660875", "매물Link")</f>
        <v/>
      </c>
      <c r="Q98" s="6">
        <f>HYPERLINK("https://map.naver.com/p/search/고운동 895-24", "지도Link")</f>
        <v/>
      </c>
      <c r="R98" s="6">
        <f>HYPERLINK("http://www.eum.go.kr/web/ar/lu/luLandDet.jsp?pnu=3611011200108950024&amp;isNoScr=script&amp;mode=search",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120000</v>
      </c>
      <c r="H99" s="4" t="n">
        <v>0</v>
      </c>
      <c r="I99" s="4" t="n">
        <v>256</v>
      </c>
      <c r="J99" s="4" t="n">
        <v>77</v>
      </c>
      <c r="K99" s="5" t="n">
        <v>1558.4</v>
      </c>
      <c r="L99" s="4" t="n">
        <v>188</v>
      </c>
      <c r="M99" s="4" t="n">
        <v>57</v>
      </c>
      <c r="N99" s="5" t="n">
        <v>2105.3</v>
      </c>
      <c r="O99" s="3" t="inlineStr">
        <is>
          <t>급매 마당넓고 예쁜정원 관리최상 보행로옆 조율가능</t>
        </is>
      </c>
      <c r="P99" s="6">
        <f>HYPERLINK("https://fin.land.naver.com/articles/2649812062", "매물Link")</f>
        <v/>
      </c>
      <c r="Q99" s="6">
        <f>HYPERLINK("https://map.naver.com/p/search/고운동 895-32", "지도Link")</f>
        <v/>
      </c>
      <c r="R99" s="6">
        <f>HYPERLINK("http://www.eum.go.kr/web/ar/lu/luLandDet.jsp?pnu=3611011200108950032&amp;isNoScr=script&amp;mode=search",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319.6</v>
      </c>
      <c r="V99" s="4" t="n">
        <v>256.5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895-38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150000</v>
      </c>
      <c r="H100" s="4" t="n">
        <v>0</v>
      </c>
      <c r="I100" s="4" t="n">
        <v>286</v>
      </c>
      <c r="J100" s="4" t="n">
        <v>87</v>
      </c>
      <c r="K100" s="5" t="n">
        <v>1724.1</v>
      </c>
      <c r="L100" s="4" t="n">
        <v>185</v>
      </c>
      <c r="M100" s="4" t="n">
        <v>56</v>
      </c>
      <c r="N100" s="5" t="n">
        <v>2678.6</v>
      </c>
      <c r="O100" s="3" t="inlineStr">
        <is>
          <t>뒷마당이 산과 접한 안쪽위치, 여유로움,</t>
        </is>
      </c>
      <c r="P100" s="6">
        <f>HYPERLINK("https://fin.land.naver.com/articles/2652861851", "매물Link")</f>
        <v/>
      </c>
      <c r="Q100" s="6">
        <f>HYPERLINK("https://map.naver.com/p/search/고운동 895-38", "지도Link")</f>
        <v/>
      </c>
      <c r="R100" s="6">
        <f>HYPERLINK("http://www.eum.go.kr/web/ar/lu/luLandDet.jsp?pnu=3611011200108950038&amp;isNoScr=script&amp;mode=search", "토지이음")</f>
        <v/>
      </c>
      <c r="S100" s="3" t="inlineStr">
        <is>
          <t>최무연</t>
        </is>
      </c>
      <c r="T100" s="4" t="n">
        <v>3</v>
      </c>
      <c r="U100" s="5" t="n">
        <v>316.4</v>
      </c>
      <c r="V100" s="4" t="n">
        <v>286.8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사다리형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풀에어컨, 단독주택, 인테리어 완료된 주인거주로 관리잘된집</t>
        </is>
      </c>
      <c r="P101" s="6">
        <f>HYPERLINK("https://fin.land.naver.com/articles/2652843664",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255</v>
      </c>
      <c r="J102" s="4" t="n">
        <v>77</v>
      </c>
      <c r="K102" s="5" t="n">
        <v>1883.1</v>
      </c>
      <c r="L102" s="4" t="n">
        <v>181</v>
      </c>
      <c r="M102" s="4" t="n">
        <v>55</v>
      </c>
      <c r="N102" s="5" t="n">
        <v>2636.4</v>
      </c>
      <c r="O102" s="3" t="inlineStr">
        <is>
          <t>포스힐 단독주택, 에어컨풀, 인테리어완료, 주인거주</t>
        </is>
      </c>
      <c r="P102" s="6">
        <f>HYPERLINK("https://fin.land.naver.com/articles/2654219546", "매물Link")</f>
        <v/>
      </c>
      <c r="Q102" s="6">
        <f>HYPERLINK("https://map.naver.com/p/search/고운동 895-7", "지도Link")</f>
        <v/>
      </c>
      <c r="R102" s="6">
        <f>HYPERLINK("http://www.eum.go.kr/web/ar/lu/luLandDet.jsp?pnu=3611011200108950007&amp;isNoScr=script&amp;mode=search", "토지이음")</f>
        <v/>
      </c>
      <c r="S102" s="3" t="inlineStr">
        <is>
          <t>명진</t>
        </is>
      </c>
      <c r="T102" s="4" t="n">
        <v>1</v>
      </c>
      <c r="U102" s="5" t="n">
        <v>319.6</v>
      </c>
      <c r="V102" s="4" t="n">
        <v>255.5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129734</v>
      </c>
      <c r="H103" s="4" t="n">
        <v>0</v>
      </c>
      <c r="I103" s="4" t="n">
        <v>328</v>
      </c>
      <c r="J103" s="4" t="n">
        <v>99</v>
      </c>
      <c r="K103" s="5" t="n">
        <v>1310.4</v>
      </c>
      <c r="L103" s="4" t="n">
        <v>196</v>
      </c>
      <c r="M103" s="4" t="n">
        <v>59</v>
      </c>
      <c r="N103" s="5" t="n">
        <v>2198.9</v>
      </c>
      <c r="O103" s="3" t="inlineStr">
        <is>
          <t>고운동 타운하우스 매매, 조율가능, 풀옵션, 다락서비스면적</t>
        </is>
      </c>
      <c r="P103" s="6">
        <f>HYPERLINK("https://fin.land.naver.com/articles/2654870702",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129734</v>
      </c>
      <c r="H105" s="4" t="n">
        <v>0</v>
      </c>
      <c r="I105" s="4" t="n">
        <v>328</v>
      </c>
      <c r="J105" s="4" t="n">
        <v>99</v>
      </c>
      <c r="K105" s="5" t="n">
        <v>1310.4</v>
      </c>
      <c r="L105" s="4" t="n">
        <v>196</v>
      </c>
      <c r="M105" s="4" t="n">
        <v>59</v>
      </c>
      <c r="N105" s="5" t="n">
        <v>2198.9</v>
      </c>
      <c r="O105" s="3" t="inlineStr">
        <is>
          <t>즉시입주 가능,  인기많은 D타입,  총86p</t>
        </is>
      </c>
      <c r="P105" s="6">
        <f>HYPERLINK("https://fin.land.naver.com/articles/2651190293",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전세</t>
        </is>
      </c>
      <c r="G106" s="4" t="n">
        <v>65000</v>
      </c>
      <c r="H106" s="4" t="n">
        <v>0</v>
      </c>
      <c r="I106" s="4" t="n">
        <v>196</v>
      </c>
      <c r="J106" s="4" t="n">
        <v>59</v>
      </c>
      <c r="K106" s="5" t="n">
        <v>1101.7</v>
      </c>
      <c r="L106" s="4" t="n">
        <v>196</v>
      </c>
      <c r="M106" s="4" t="n">
        <v>59</v>
      </c>
      <c r="N106" s="5" t="n">
        <v>1101.7</v>
      </c>
      <c r="O106" s="3" t="inlineStr">
        <is>
          <t>nan</t>
        </is>
      </c>
      <c r="P106" s="6">
        <f>HYPERLINK("https://fin.land.naver.com/articles/2654655405",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127000</v>
      </c>
      <c r="H107" s="4" t="n">
        <v>0</v>
      </c>
      <c r="I107" s="4" t="n">
        <v>328</v>
      </c>
      <c r="J107" s="4" t="n">
        <v>99</v>
      </c>
      <c r="K107" s="5" t="n">
        <v>1282.8</v>
      </c>
      <c r="L107" s="4" t="n">
        <v>196</v>
      </c>
      <c r="M107" s="4" t="n">
        <v>59</v>
      </c>
      <c r="N107" s="5" t="n">
        <v>2152.5</v>
      </c>
      <c r="O107" s="3" t="inlineStr">
        <is>
          <t>타운하우스매매 가격조정가능 상태좋음 방3개 테라스 다락있음 옵션풀</t>
        </is>
      </c>
      <c r="P107" s="6">
        <f>HYPERLINK("https://fin.land.naver.com/articles/2654272968",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새롬스마트</t>
        </is>
      </c>
      <c r="T107" s="4" t="n">
        <v>2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115580</v>
      </c>
      <c r="H108" s="4" t="n">
        <v>0</v>
      </c>
      <c r="I108" s="4" t="n">
        <v>299</v>
      </c>
      <c r="J108" s="4" t="n">
        <v>90</v>
      </c>
      <c r="K108" s="5" t="n">
        <v>1284.2</v>
      </c>
      <c r="L108" s="4" t="n">
        <v>171</v>
      </c>
      <c r="M108" s="4" t="n">
        <v>52</v>
      </c>
      <c r="N108" s="5" t="n">
        <v>2222.7</v>
      </c>
      <c r="O108" s="3" t="inlineStr">
        <is>
          <t>인기 있는 타운하우스 , 매매추천, 적극조율</t>
        </is>
      </c>
      <c r="P108" s="6">
        <f>HYPERLINK("https://fin.land.naver.com/articles/2654725621",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120000</v>
      </c>
      <c r="H109" s="4" t="n">
        <v>0</v>
      </c>
      <c r="I109" s="4" t="n">
        <v>286</v>
      </c>
      <c r="J109" s="4" t="n">
        <v>87</v>
      </c>
      <c r="K109" s="5" t="n">
        <v>1379.3</v>
      </c>
      <c r="L109" s="4" t="n">
        <v>196</v>
      </c>
      <c r="M109" s="4" t="n">
        <v>59</v>
      </c>
      <c r="N109" s="5" t="n">
        <v>2033.9</v>
      </c>
      <c r="O109" s="3" t="inlineStr">
        <is>
          <t>nan</t>
        </is>
      </c>
      <c r="P109" s="6">
        <f>HYPERLINK("https://fin.land.naver.com/articles/2650653657",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105000</v>
      </c>
      <c r="H110" s="4" t="n">
        <v>0</v>
      </c>
      <c r="I110" s="4" t="n">
        <v>299</v>
      </c>
      <c r="J110" s="4" t="n">
        <v>90</v>
      </c>
      <c r="K110" s="5" t="n">
        <v>1166.7</v>
      </c>
      <c r="L110" s="4" t="n">
        <v>171</v>
      </c>
      <c r="M110" s="4" t="n">
        <v>52</v>
      </c>
      <c r="N110" s="5" t="n">
        <v>2019.2</v>
      </c>
      <c r="O110" s="3" t="inlineStr">
        <is>
          <t>급매 마피 신축 첫입주 추가조율협의가능</t>
        </is>
      </c>
      <c r="P110" s="6">
        <f>HYPERLINK("https://fin.land.naver.com/articles/2652943442",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월세</t>
        </is>
      </c>
      <c r="G111" s="4" t="n">
        <v>5000</v>
      </c>
      <c r="H111" s="4" t="n">
        <v>300</v>
      </c>
      <c r="I111" s="4" t="n">
        <v>196</v>
      </c>
      <c r="J111" s="4" t="n">
        <v>59</v>
      </c>
      <c r="K111" s="5" t="n">
        <v>5.1</v>
      </c>
      <c r="L111" s="4" t="n">
        <v>196</v>
      </c>
      <c r="M111" s="4" t="n">
        <v>59</v>
      </c>
      <c r="N111" s="5" t="n">
        <v>5.1</v>
      </c>
      <c r="O111" s="3" t="inlineStr">
        <is>
          <t>귀한 타운하우스 월세, 협의입주</t>
        </is>
      </c>
      <c r="P111" s="6">
        <f>HYPERLINK("https://fin.land.naver.com/articles/2649591373",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102000</v>
      </c>
      <c r="H112" s="4" t="n">
        <v>0</v>
      </c>
      <c r="I112" s="4" t="n">
        <v>299</v>
      </c>
      <c r="J112" s="4" t="n">
        <v>90</v>
      </c>
      <c r="K112" s="5" t="n">
        <v>1133.3</v>
      </c>
      <c r="L112" s="4" t="n">
        <v>171</v>
      </c>
      <c r="M112" s="4" t="n">
        <v>52</v>
      </c>
      <c r="N112" s="5" t="n">
        <v>1961.5</v>
      </c>
      <c r="O112" s="3" t="inlineStr">
        <is>
          <t>마이너스 급매 추천매물. 전세끼고매매</t>
        </is>
      </c>
      <c r="P112" s="6">
        <f>HYPERLINK("https://fin.land.naver.com/articles/2654400912",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세종올리브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월세</t>
        </is>
      </c>
      <c r="G113" s="4" t="n">
        <v>5000</v>
      </c>
      <c r="H113" s="4" t="n">
        <v>300</v>
      </c>
      <c r="I113" s="4" t="n">
        <v>196</v>
      </c>
      <c r="J113" s="4" t="n">
        <v>59</v>
      </c>
      <c r="K113" s="5" t="n">
        <v>5.1</v>
      </c>
      <c r="L113" s="4" t="n">
        <v>196</v>
      </c>
      <c r="M113" s="4" t="n">
        <v>59</v>
      </c>
      <c r="N113" s="5" t="n">
        <v>5.1</v>
      </c>
      <c r="O113" s="3" t="inlineStr">
        <is>
          <t>귀한 타운하우스 월세, 방3개, 화장실3개, 협의입주가능</t>
        </is>
      </c>
      <c r="P113" s="6">
        <f>HYPERLINK("https://fin.land.naver.com/articles/2649871083",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명진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952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115000</v>
      </c>
      <c r="H114" s="4" t="n">
        <v>0</v>
      </c>
      <c r="I114" s="4" t="n">
        <v>365</v>
      </c>
      <c r="J114" s="4" t="n">
        <v>110</v>
      </c>
      <c r="K114" s="5" t="n">
        <v>1045.5</v>
      </c>
      <c r="L114" s="4" t="n">
        <v>244</v>
      </c>
      <c r="M114" s="4" t="n">
        <v>74</v>
      </c>
      <c r="N114" s="5" t="n">
        <v>1554.1</v>
      </c>
      <c r="O114" s="3" t="inlineStr">
        <is>
          <t>nan</t>
        </is>
      </c>
      <c r="P114" s="6">
        <f>HYPERLINK("https://fin.land.naver.com/articles/2651086730", "매물Link")</f>
        <v/>
      </c>
      <c r="Q114" s="6">
        <f>HYPERLINK("https://map.naver.com/p/search/고운동 952", "지도Link")</f>
        <v/>
      </c>
      <c r="R114" s="6">
        <f>HYPERLINK("http://www.eum.go.kr/web/ar/lu/luLandDet.jsp?pnu=3611011200109520000&amp;isNoScr=script&amp;mode=search",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358.7</v>
      </c>
      <c r="V114" s="4" t="n">
        <v>365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중로각지</t>
        </is>
      </c>
    </row>
    <row r="115">
      <c r="A115" s="3" t="inlineStr">
        <is>
          <t>고운동 971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341</v>
      </c>
      <c r="J115" s="4" t="n">
        <v>103</v>
      </c>
      <c r="K115" s="5" t="n">
        <v>1359.2</v>
      </c>
      <c r="L115" s="4" t="n">
        <v>198</v>
      </c>
      <c r="M115" s="4" t="n">
        <v>60</v>
      </c>
      <c r="N115" s="5" t="n">
        <v>2333.3</v>
      </c>
      <c r="O115" s="3" t="inlineStr">
        <is>
          <t>친환경 최고급 목조주택 캐나다 마스터빌더시공 조율가능</t>
        </is>
      </c>
      <c r="P115" s="6">
        <f>HYPERLINK("https://fin.land.naver.com/articles/2652274767", "매물Link")</f>
        <v/>
      </c>
      <c r="Q115" s="6">
        <f>HYPERLINK("https://map.naver.com/p/search/고운동 971", "지도Link")</f>
        <v/>
      </c>
      <c r="R115" s="6">
        <f>HYPERLINK("http://www.eum.go.kr/web/ar/lu/luLandDet.jsp?pnu=3611011200109710000&amp;isNoScr=script&amp;mode=search",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317.5</v>
      </c>
      <c r="V115" s="4" t="n">
        <v>341.4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997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180000</v>
      </c>
      <c r="H116" s="4" t="n">
        <v>0</v>
      </c>
      <c r="I116" s="4" t="n">
        <v>356</v>
      </c>
      <c r="J116" s="4" t="n">
        <v>108</v>
      </c>
      <c r="K116" s="5" t="n">
        <v>1666.7</v>
      </c>
      <c r="L116" s="4" t="n">
        <v>196</v>
      </c>
      <c r="M116" s="4" t="n">
        <v>59</v>
      </c>
      <c r="N116" s="5" t="n">
        <v>3050.8</v>
      </c>
      <c r="O116" s="3" t="inlineStr">
        <is>
          <t>고급주택 실면적 86p, 방3개 욕실3개, 벙커주자창4대, 태양광6kw</t>
        </is>
      </c>
      <c r="P116" s="6">
        <f>HYPERLINK("https://fin.land.naver.com/articles/2654658052", "매물Link")</f>
        <v/>
      </c>
      <c r="Q116" s="6">
        <f>HYPERLINK("https://map.naver.com/p/search/고운동 997", "지도Link")</f>
        <v/>
      </c>
      <c r="R116" s="6">
        <f>HYPERLINK("http://www.eum.go.kr/web/ar/lu/luLandDet.jsp?pnu=3611011200109970000&amp;isNoScr=script&amp;mode=search",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342.8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798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357</v>
      </c>
      <c r="J118" s="4" t="n">
        <v>108</v>
      </c>
      <c r="K118" s="5" t="n">
        <v>1851.9</v>
      </c>
      <c r="L118" s="4" t="n">
        <v>199</v>
      </c>
      <c r="M118" s="4" t="n">
        <v>60</v>
      </c>
      <c r="N118" s="5" t="n">
        <v>3333.3</v>
      </c>
      <c r="O118" s="3" t="inlineStr">
        <is>
          <t>팬트하우스 형 주택 최고급</t>
        </is>
      </c>
      <c r="P118" s="6">
        <f>HYPERLINK("https://fin.land.naver.com/articles/2652832579", "매물Link")</f>
        <v/>
      </c>
      <c r="Q118" s="6">
        <f>HYPERLINK("https://map.naver.com/p/search/다정동 798", "지도Link")</f>
        <v/>
      </c>
      <c r="R118" s="6">
        <f>HYPERLINK("http://www.eum.go.kr/web/ar/lu/luLandDet.jsp?pnu=3611010900107980000&amp;isNoScr=script&amp;mode=search", "토지이음")</f>
        <v/>
      </c>
      <c r="S118" s="3" t="inlineStr">
        <is>
          <t>세종삼촌</t>
        </is>
      </c>
      <c r="T118" s="4" t="n">
        <v>2</v>
      </c>
      <c r="U118" s="5" t="n">
        <v>319.2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다정동 831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120000</v>
      </c>
      <c r="H119" s="4" t="n">
        <v>0</v>
      </c>
      <c r="I119" s="4" t="n">
        <v>289</v>
      </c>
      <c r="J119" s="4" t="n">
        <v>87</v>
      </c>
      <c r="K119" s="5" t="n">
        <v>1379.3</v>
      </c>
      <c r="L119" s="4" t="n">
        <v>199</v>
      </c>
      <c r="M119" s="4" t="n">
        <v>60</v>
      </c>
      <c r="N119" s="5" t="n">
        <v>2000</v>
      </c>
      <c r="O119" s="3" t="inlineStr">
        <is>
          <t>1년차 최신축 방4개 모던한 단독주택</t>
        </is>
      </c>
      <c r="P119" s="6">
        <f>HYPERLINK("https://fin.land.naver.com/articles/2652917981", "매물Link")</f>
        <v/>
      </c>
      <c r="Q119" s="6">
        <f>HYPERLINK("https://map.naver.com/p/search/다정동 831", "지도Link")</f>
        <v/>
      </c>
      <c r="R119" s="6">
        <f>HYPERLINK("http://www.eum.go.kr/web/ar/lu/luLandDet.jsp?pnu=3611010900108310000&amp;isNoScr=script&amp;mode=search", "토지이음")</f>
        <v/>
      </c>
      <c r="S119" s="3" t="inlineStr">
        <is>
          <t>세종스타</t>
        </is>
      </c>
      <c r="T119" s="4" t="n">
        <v>4</v>
      </c>
      <c r="U119" s="5" t="n">
        <v>341.2</v>
      </c>
      <c r="V119" s="4" t="n">
        <v>289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중로한면</t>
        </is>
      </c>
    </row>
    <row r="120">
      <c r="A120" s="3" t="inlineStr">
        <is>
          <t>다정동 890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79800</v>
      </c>
      <c r="H120" s="4" t="n">
        <v>0</v>
      </c>
      <c r="I120" s="4" t="n">
        <v>15314</v>
      </c>
      <c r="J120" s="4" t="n">
        <v>4632</v>
      </c>
      <c r="K120" s="5" t="n">
        <v>17.2</v>
      </c>
      <c r="L120" s="4" t="n">
        <v>181</v>
      </c>
      <c r="M120" s="4" t="n">
        <v>55</v>
      </c>
      <c r="N120" s="5" t="n">
        <v>1450.9</v>
      </c>
      <c r="O120" s="3" t="inlineStr">
        <is>
          <t>12월11일협의입주,모두의로망전원주택에 살아보아요</t>
        </is>
      </c>
      <c r="P120" s="6">
        <f>HYPERLINK("https://fin.land.naver.com/articles/2654839381", "매물Link")</f>
        <v/>
      </c>
      <c r="Q120" s="6">
        <f>HYPERLINK("https://map.naver.com/p/search/다정동 890", "지도Link")</f>
        <v/>
      </c>
      <c r="R120" s="6">
        <f>HYPERLINK("http://www.eum.go.kr/web/ar/lu/luLandDet.jsp?pnu=3611010900108900000&amp;isNoScr=script&amp;mode=search", "토지이음")</f>
        <v/>
      </c>
      <c r="S120" s="3" t="inlineStr">
        <is>
          <t>확실한</t>
        </is>
      </c>
      <c r="T120" s="4" t="n">
        <v>1</v>
      </c>
      <c r="U120" s="5" t="n">
        <v>353.7</v>
      </c>
      <c r="V120" s="4" t="n">
        <v>374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중로각지</t>
        </is>
      </c>
    </row>
    <row r="121">
      <c r="A121" s="3" t="inlineStr">
        <is>
          <t>도담동 426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178000</v>
      </c>
      <c r="H121" s="4" t="n">
        <v>0</v>
      </c>
      <c r="I121" s="4" t="n">
        <v>303</v>
      </c>
      <c r="J121" s="4" t="n">
        <v>92</v>
      </c>
      <c r="K121" s="5" t="n">
        <v>1934.8</v>
      </c>
      <c r="L121" s="4" t="n">
        <v>193</v>
      </c>
      <c r="M121" s="4" t="n">
        <v>58</v>
      </c>
      <c r="N121" s="5" t="n">
        <v>3069</v>
      </c>
      <c r="O121" s="3" t="inlineStr">
        <is>
          <t>최신축 위치최상 말발굽 귀한주택 매물 추가협의가능</t>
        </is>
      </c>
      <c r="P121" s="6">
        <f>HYPERLINK("https://fin.land.naver.com/articles/2653750680", "매물Link")</f>
        <v/>
      </c>
      <c r="Q121" s="6">
        <f>HYPERLINK("https://map.naver.com/p/search/도담동 426", "지도Link")</f>
        <v/>
      </c>
      <c r="R121" s="6">
        <f>HYPERLINK("http://www.eum.go.kr/web/ar/lu/luLandDet.jsp?pnu=3611011400104260000&amp;isNoScr=script&amp;mode=search", "토지이음")</f>
        <v/>
      </c>
      <c r="S121" s="3" t="inlineStr">
        <is>
          <t>세종스타</t>
        </is>
      </c>
      <c r="T121" s="4" t="n">
        <v>4</v>
      </c>
      <c r="U121" s="5" t="n">
        <v>358.3</v>
      </c>
      <c r="V121" s="4" t="n">
        <v>303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전용 53.4p, 층고 높고 조망 좋은집, 테라스, 공원인근</t>
        </is>
      </c>
      <c r="P122" s="6">
        <f>HYPERLINK("https://fin.land.naver.com/articles/2654924033",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명진</t>
        </is>
      </c>
      <c r="T122" s="4" t="n">
        <v>2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공원 인접한 숲세권 단독주택, 충남대 병원 도보로 가능</t>
        </is>
      </c>
      <c r="P123" s="6">
        <f>HYPERLINK("https://fin.land.naver.com/articles/2652665481",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오케이태복</t>
        </is>
      </c>
      <c r="T123" s="4" t="n">
        <v>2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테라스, 공원 인접, 인근 충남대병원, 방축천, 로컬푸드, 6생활권 근접</t>
        </is>
      </c>
      <c r="P124" s="6">
        <f>HYPERLINK("https://fin.land.naver.com/articles/2649697060",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온뜰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304</v>
      </c>
      <c r="M126" s="4" t="n">
        <v>92</v>
      </c>
      <c r="N126" s="5" t="n">
        <v>1837</v>
      </c>
      <c r="O126" s="3" t="inlineStr">
        <is>
          <t>협의입주.방4개,화장실3개.테라스.넓은 정원까지 튼튼하고 예쁜 집</t>
        </is>
      </c>
      <c r="P126" s="6">
        <f>HYPERLINK("https://fin.land.naver.com/articles/2653318803",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수자인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176</v>
      </c>
      <c r="M127" s="4" t="n">
        <v>53</v>
      </c>
      <c r="N127" s="5" t="n">
        <v>3188.7</v>
      </c>
      <c r="O127" s="3" t="inlineStr">
        <is>
          <t>2층 테라스, 전망 좋은집, 방4개, 화장실3개</t>
        </is>
      </c>
      <c r="P127" s="6">
        <f>HYPERLINK("https://fin.land.naver.com/articles/2654692677",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세종무지개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518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130000</v>
      </c>
      <c r="H129" s="4" t="n">
        <v>0</v>
      </c>
      <c r="I129" s="4" t="n">
        <v>373</v>
      </c>
      <c r="J129" s="4" t="n">
        <v>113</v>
      </c>
      <c r="K129" s="5" t="n">
        <v>1150.4</v>
      </c>
      <c r="L129" s="4" t="n">
        <v>95</v>
      </c>
      <c r="M129" s="4" t="n">
        <v>29</v>
      </c>
      <c r="N129" s="5" t="n">
        <v>4482.8</v>
      </c>
      <c r="O129" s="3" t="inlineStr">
        <is>
          <t>도담동 마당넓은 단독주택, 초등학교 인근</t>
        </is>
      </c>
      <c r="P129" s="6">
        <f>HYPERLINK("https://fin.land.naver.com/articles/2650963994", "매물Link")</f>
        <v/>
      </c>
      <c r="Q129" s="6">
        <f>HYPERLINK("https://map.naver.com/p/search/도담동 518", "지도Link")</f>
        <v/>
      </c>
      <c r="R129" s="6">
        <f>HYPERLINK("http://www.eum.go.kr/web/ar/lu/luLandDet.jsp?pnu=3611011400105180000&amp;isNoScr=script&amp;mode=search", "토지이음")</f>
        <v/>
      </c>
      <c r="S129" s="3" t="inlineStr">
        <is>
          <t>OK세종</t>
        </is>
      </c>
      <c r="T129" s="4" t="n">
        <v>1</v>
      </c>
      <c r="U129" s="5" t="n">
        <v>366.9</v>
      </c>
      <c r="V129" s="4" t="n">
        <v>373.8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2층만,3억전세가능,2층전용출입문,다락방,테라스,방축천 충대병원 도보</t>
        </is>
      </c>
      <c r="P130" s="6">
        <f>HYPERLINK("https://fin.land.naver.com/articles/2653270299",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태복</t>
        </is>
      </c>
      <c r="T130" s="4" t="n">
        <v>2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601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월세</t>
        </is>
      </c>
      <c r="G131" s="4" t="n">
        <v>20000</v>
      </c>
      <c r="H131" s="4" t="n">
        <v>50</v>
      </c>
      <c r="I131" s="4" t="n">
        <v>116</v>
      </c>
      <c r="J131" s="4" t="n">
        <v>35</v>
      </c>
      <c r="K131" s="5" t="n">
        <v>1.4</v>
      </c>
      <c r="L131" s="4" t="n">
        <v>79</v>
      </c>
      <c r="M131" s="4" t="n">
        <v>24</v>
      </c>
      <c r="N131" s="5" t="n">
        <v>2.1</v>
      </c>
      <c r="O131" s="3" t="inlineStr">
        <is>
          <t>2층과 다락방사용, 외부계단이용, 전기태양광설치, 전세로 가능</t>
        </is>
      </c>
      <c r="P131" s="6">
        <f>HYPERLINK("https://fin.land.naver.com/articles/2651701809", "매물Link")</f>
        <v/>
      </c>
      <c r="Q131" s="6">
        <f>HYPERLINK("https://map.naver.com/p/search/도담동 601", "지도Link")</f>
        <v/>
      </c>
      <c r="R131" s="6">
        <f>HYPERLINK("http://www.eum.go.kr/web/ar/lu/luLandDet.jsp?pnu=3611011400106010000&amp;isNoScr=script&amp;mode=search", "토지이음")</f>
        <v/>
      </c>
      <c r="S131" s="3" t="inlineStr">
        <is>
          <t>OK세종</t>
        </is>
      </c>
      <c r="T131" s="4" t="n">
        <v>1</v>
      </c>
      <c r="U131" s="5" t="n">
        <v>433.7</v>
      </c>
      <c r="V131" s="4" t="n">
        <v>294.8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전용 89p, 조율가능, 급매물, 2세대가능, 전세도가능</t>
        </is>
      </c>
      <c r="P132" s="6">
        <f>HYPERLINK("https://fin.land.naver.com/articles/2654709247",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세종무지개</t>
        </is>
      </c>
      <c r="T132" s="4" t="n">
        <v>2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170000</v>
      </c>
      <c r="H133" s="4" t="n">
        <v>0</v>
      </c>
      <c r="I133" s="4" t="n">
        <v>324</v>
      </c>
      <c r="J133" s="4" t="n">
        <v>98</v>
      </c>
      <c r="K133" s="5" t="n">
        <v>1734.7</v>
      </c>
      <c r="L133" s="4" t="n">
        <v>293</v>
      </c>
      <c r="M133" s="4" t="n">
        <v>89</v>
      </c>
      <c r="N133" s="5" t="n">
        <v>1910.1</v>
      </c>
      <c r="O133" s="3" t="inlineStr">
        <is>
          <t>급매. 위치 좋은 단독 주택, 구조가 이뻐요</t>
        </is>
      </c>
      <c r="P133" s="6">
        <f>HYPERLINK("https://fin.land.naver.com/articles/2652859350", "매물Link")</f>
        <v/>
      </c>
      <c r="Q133" s="6">
        <f>HYPERLINK("https://map.naver.com/p/search/도담동 697", "지도Link")</f>
        <v/>
      </c>
      <c r="R133" s="6">
        <f>HYPERLINK("http://www.eum.go.kr/web/ar/lu/luLandDet.jsp?pnu=3611011400106970000&amp;isNoScr=script&amp;mode=search", "토지이음")</f>
        <v/>
      </c>
      <c r="S133" s="3" t="inlineStr">
        <is>
          <t>최무연</t>
        </is>
      </c>
      <c r="T133" s="4" t="n">
        <v>2</v>
      </c>
      <c r="U133" s="5" t="n">
        <v>378.2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도담동 최고입지 귀한 단독주택 넓은평수 목조주택</t>
        </is>
      </c>
      <c r="P134" s="6">
        <f>HYPERLINK("https://fin.land.naver.com/articles/2654038763",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324</v>
      </c>
      <c r="J135" s="4" t="n">
        <v>98</v>
      </c>
      <c r="K135" s="5" t="n">
        <v>2346.9</v>
      </c>
      <c r="L135" s="4" t="n">
        <v>199</v>
      </c>
      <c r="M135" s="4" t="n">
        <v>60</v>
      </c>
      <c r="N135" s="5" t="n">
        <v>3833.3</v>
      </c>
      <c r="O135" s="3" t="inlineStr">
        <is>
          <t>초품아. 도담동 학군지 단독주택, brt,</t>
        </is>
      </c>
      <c r="P135" s="6">
        <f>HYPERLINK("https://fin.land.naver.com/articles/2654930535",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최무연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전용60.3p, 방4개, 화장실4개, 입지 좋은 단독주택</t>
        </is>
      </c>
      <c r="P136" s="6">
        <f>HYPERLINK("https://fin.land.naver.com/articles/2654696423",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세종무지개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230000</v>
      </c>
      <c r="H137" s="4" t="n">
        <v>0</v>
      </c>
      <c r="I137" s="4" t="n">
        <v>324</v>
      </c>
      <c r="J137" s="4" t="n">
        <v>98</v>
      </c>
      <c r="K137" s="5" t="n">
        <v>2346.9</v>
      </c>
      <c r="L137" s="4" t="n">
        <v>199</v>
      </c>
      <c r="M137" s="4" t="n">
        <v>60</v>
      </c>
      <c r="N137" s="5" t="n">
        <v>3833.3</v>
      </c>
      <c r="O137" s="3" t="inlineStr">
        <is>
          <t>명성공인, 방4, 화4, 풀에어컨, 다락까지 있는 위치 좋은 추천 매물</t>
        </is>
      </c>
      <c r="P137" s="6">
        <f>HYPERLINK("https://fin.land.naver.com/articles/2650066777",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명성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698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225000</v>
      </c>
      <c r="H138" s="4" t="n">
        <v>0</v>
      </c>
      <c r="I138" s="4" t="n">
        <v>324</v>
      </c>
      <c r="J138" s="4" t="n">
        <v>98</v>
      </c>
      <c r="K138" s="5" t="n">
        <v>2295.9</v>
      </c>
      <c r="L138" s="4" t="n">
        <v>199</v>
      </c>
      <c r="M138" s="4" t="n">
        <v>60</v>
      </c>
      <c r="N138" s="5" t="n">
        <v>3750</v>
      </c>
      <c r="O138" s="3" t="inlineStr">
        <is>
          <t>자재 하나 하나 고급진  단독 매매</t>
        </is>
      </c>
      <c r="P138" s="6">
        <f>HYPERLINK("https://fin.land.naver.com/articles/2650613196", "매물Link")</f>
        <v/>
      </c>
      <c r="Q138" s="6">
        <f>HYPERLINK("https://map.naver.com/p/search/도담동 698", "지도Link")</f>
        <v/>
      </c>
      <c r="R138" s="6">
        <f>HYPERLINK("http://www.eum.go.kr/web/ar/lu/luLandDet.jsp?pnu=3611011400106980000&amp;isNoScr=script&amp;mode=search", "토지이음")</f>
        <v/>
      </c>
      <c r="S138" s="3" t="inlineStr">
        <is>
          <t>THE행복</t>
        </is>
      </c>
      <c r="T138" s="4" t="n">
        <v>1</v>
      </c>
      <c r="U138" s="5" t="n">
        <v>382.1</v>
      </c>
      <c r="V138" s="4" t="n">
        <v>324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가로장방</t>
        </is>
      </c>
      <c r="AA138" s="3" t="inlineStr">
        <is>
          <t>소로한면</t>
        </is>
      </c>
    </row>
    <row r="139">
      <c r="A139" s="3" t="inlineStr">
        <is>
          <t>도담동 750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302</v>
      </c>
      <c r="J139" s="4" t="n">
        <v>91</v>
      </c>
      <c r="K139" s="5" t="n">
        <v>934.1</v>
      </c>
      <c r="L139" s="4" t="n">
        <v>52</v>
      </c>
      <c r="M139" s="4" t="n">
        <v>16</v>
      </c>
      <c r="N139" s="5" t="n">
        <v>5312.5</v>
      </c>
      <c r="O139" s="3" t="inlineStr">
        <is>
          <t>도담동 입지 좋은 단독주택</t>
        </is>
      </c>
      <c r="P139" s="6">
        <f>HYPERLINK("https://fin.land.naver.com/articles/2653531118", "매물Link")</f>
        <v/>
      </c>
      <c r="Q139" s="6">
        <f>HYPERLINK("https://map.naver.com/p/search/도담동 750", "지도Link")</f>
        <v/>
      </c>
      <c r="R139" s="6">
        <f>HYPERLINK("http://www.eum.go.kr/web/ar/lu/luLandDet.jsp?pnu=3611011400107500000&amp;isNoScr=script&amp;mode=search", "토지이음")</f>
        <v/>
      </c>
      <c r="S139" s="3" t="inlineStr">
        <is>
          <t>어반나래</t>
        </is>
      </c>
      <c r="T139" s="4" t="n">
        <v>1</v>
      </c>
      <c r="U139" s="5" t="n">
        <v>382.1</v>
      </c>
      <c r="V139" s="4" t="n">
        <v>302.8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소로한면</t>
        </is>
      </c>
    </row>
    <row r="140">
      <c r="A140" s="3" t="inlineStr">
        <is>
          <t>도담동 753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230000</v>
      </c>
      <c r="H140" s="4" t="n">
        <v>0</v>
      </c>
      <c r="I140" s="4" t="n">
        <v>344</v>
      </c>
      <c r="J140" s="4" t="n">
        <v>104</v>
      </c>
      <c r="K140" s="5" t="n">
        <v>2211.5</v>
      </c>
      <c r="L140" s="4" t="n">
        <v>233</v>
      </c>
      <c r="M140" s="4" t="n">
        <v>70</v>
      </c>
      <c r="N140" s="5" t="n">
        <v>3285.7</v>
      </c>
      <c r="O140" s="3" t="inlineStr">
        <is>
          <t>도시 속의 자연을 품은 주택,편리한 주거환경,BRT,방축천 라인 중심상권</t>
        </is>
      </c>
      <c r="P140" s="6">
        <f>HYPERLINK("https://fin.land.naver.com/articles/2650847837", "매물Link")</f>
        <v/>
      </c>
      <c r="Q140" s="6">
        <f>HYPERLINK("https://map.naver.com/p/search/도담동 753", "지도Link")</f>
        <v/>
      </c>
      <c r="R140" s="6">
        <f>HYPERLINK("http://www.eum.go.kr/web/ar/lu/luLandDet.jsp?pnu=3611011400107530000&amp;isNoScr=script&amp;mode=search", "토지이음")</f>
        <v/>
      </c>
      <c r="S140" s="3" t="inlineStr">
        <is>
          <t>세종웅진</t>
        </is>
      </c>
      <c r="T140" s="4" t="n">
        <v>1</v>
      </c>
      <c r="U140" s="5" t="n">
        <v>382.1</v>
      </c>
      <c r="V140" s="4" t="n">
        <v>344.1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가로장방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생명나무,도담동 아담한 모듈하우스 경작가능 주말쉼터로도 좋아요</t>
        </is>
      </c>
      <c r="P141" s="6">
        <f>HYPERLINK("https://fin.land.naver.com/articles/2651373721",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생명나무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nan</t>
        </is>
      </c>
      <c r="P142" s="6">
        <f>HYPERLINK("https://fin.land.naver.com/articles/2652442121",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넓은 마당, 정남향, 세컨하우스, 공방, 작업실 추천</t>
        </is>
      </c>
      <c r="P143" s="6">
        <f>HYPERLINK("https://fin.land.naver.com/articles/2651949513",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명진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마당이 넓은 1층 단독주택, 세컨하우스, 공방, 주말쉼터 추천</t>
        </is>
      </c>
      <c r="P144" s="6">
        <f>HYPERLINK("https://fin.land.naver.com/articles/2651188895",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세종무지개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782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82000</v>
      </c>
      <c r="H145" s="4" t="n">
        <v>0</v>
      </c>
      <c r="I145" s="4" t="n">
        <v>333</v>
      </c>
      <c r="J145" s="4" t="n">
        <v>101</v>
      </c>
      <c r="K145" s="5" t="n">
        <v>811.9</v>
      </c>
      <c r="L145" s="4" t="n">
        <v>35</v>
      </c>
      <c r="M145" s="4" t="n">
        <v>11</v>
      </c>
      <c r="N145" s="5" t="n">
        <v>7454.5</v>
      </c>
      <c r="O145" s="3" t="inlineStr">
        <is>
          <t>청사와홈플인근 입지좋고 세컨하우스로 사용할수있는 모듈하우스</t>
        </is>
      </c>
      <c r="P145" s="6">
        <f>HYPERLINK("https://fin.land.naver.com/articles/2653841691", "매물Link")</f>
        <v/>
      </c>
      <c r="Q145" s="6">
        <f>HYPERLINK("https://map.naver.com/p/search/도담동 782", "지도Link")</f>
        <v/>
      </c>
      <c r="R145" s="6">
        <f>HYPERLINK("http://www.eum.go.kr/web/ar/lu/luLandDet.jsp?pnu=3611011400107820000&amp;isNoScr=script&amp;mode=search", "토지이음")</f>
        <v/>
      </c>
      <c r="S145" s="3" t="inlineStr">
        <is>
          <t>웅진스타</t>
        </is>
      </c>
      <c r="T145" s="4" t="n">
        <v>1</v>
      </c>
      <c r="U145" s="5" t="n">
        <v>391.1</v>
      </c>
      <c r="V145" s="4" t="n">
        <v>333.7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도담동 예쁜 단독주택, 홈플과 충대병원 사이, 초등학교 유치원 인접</t>
        </is>
      </c>
      <c r="P146" s="6">
        <f>HYPERLINK("https://fin.land.naver.com/articles/2650962880",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OK세종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795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150000</v>
      </c>
      <c r="H147" s="4" t="n">
        <v>0</v>
      </c>
      <c r="I147" s="4" t="n">
        <v>316</v>
      </c>
      <c r="J147" s="4" t="n">
        <v>96</v>
      </c>
      <c r="K147" s="5" t="n">
        <v>1562.5</v>
      </c>
      <c r="L147" s="4" t="n">
        <v>145</v>
      </c>
      <c r="M147" s="4" t="n">
        <v>44</v>
      </c>
      <c r="N147" s="5" t="n">
        <v>3409.1</v>
      </c>
      <c r="O147" s="3" t="inlineStr">
        <is>
          <t>조율가능 즉시입주협의 홈플 늘봄초 BRT 도보</t>
        </is>
      </c>
      <c r="P147" s="6">
        <f>HYPERLINK("https://fin.land.naver.com/articles/2652441890", "매물Link")</f>
        <v/>
      </c>
      <c r="Q147" s="6">
        <f>HYPERLINK("https://map.naver.com/p/search/도담동 795", "지도Link")</f>
        <v/>
      </c>
      <c r="R147" s="6">
        <f>HYPERLINK("http://www.eum.go.kr/web/ar/lu/luLandDet.jsp?pnu=3611011400107950000&amp;isNoScr=script&amp;mode=search",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410.6</v>
      </c>
      <c r="V147" s="4" t="n">
        <v>316.5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소로각지</t>
        </is>
      </c>
    </row>
    <row r="148">
      <c r="A148" s="3" t="inlineStr">
        <is>
          <t>도담동 812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101000</v>
      </c>
      <c r="H148" s="4" t="n">
        <v>0</v>
      </c>
      <c r="I148" s="4" t="n">
        <v>333</v>
      </c>
      <c r="J148" s="4" t="n">
        <v>101</v>
      </c>
      <c r="K148" s="5" t="n">
        <v>1000</v>
      </c>
      <c r="L148" s="4" t="n">
        <v>72</v>
      </c>
      <c r="M148" s="4" t="n">
        <v>22</v>
      </c>
      <c r="N148" s="5" t="n">
        <v>4590.9</v>
      </c>
      <c r="O148" s="3" t="inlineStr">
        <is>
          <t>도담동 위치 좋은 단독주택, 저렴하게 매수해서 세컨하우스로 이용하세요</t>
        </is>
      </c>
      <c r="P148" s="6">
        <f>HYPERLINK("https://fin.land.naver.com/articles/2653369461", "매물Link")</f>
        <v/>
      </c>
      <c r="Q148" s="6">
        <f>HYPERLINK("https://map.naver.com/p/search/도담동 812", "지도Link")</f>
        <v/>
      </c>
      <c r="R148" s="6">
        <f>HYPERLINK("http://www.eum.go.kr/web/ar/lu/luLandDet.jsp?pnu=3611011400108120000&amp;isNoScr=script&amp;mode=search", "토지이음")</f>
        <v/>
      </c>
      <c r="S148" s="3" t="inlineStr">
        <is>
          <t>OK세종 사무소</t>
        </is>
      </c>
      <c r="T148" s="4" t="n">
        <v>1</v>
      </c>
      <c r="U148" s="5" t="n">
        <v>391.1</v>
      </c>
      <c r="V148" s="4" t="n">
        <v>333.7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도담동 882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125000</v>
      </c>
      <c r="H149" s="4" t="n">
        <v>0</v>
      </c>
      <c r="I149" s="4" t="n">
        <v>314</v>
      </c>
      <c r="J149" s="4" t="n">
        <v>95</v>
      </c>
      <c r="K149" s="5" t="n">
        <v>1315.8</v>
      </c>
      <c r="L149" s="4" t="n">
        <v>64</v>
      </c>
      <c r="M149" s="4" t="n">
        <v>19</v>
      </c>
      <c r="N149" s="5" t="n">
        <v>6578.9</v>
      </c>
      <c r="O149" s="3" t="inlineStr">
        <is>
          <t>조율가능 가장안쪽 최고위치 철거용이 모듈러주택</t>
        </is>
      </c>
      <c r="P149" s="6">
        <f>HYPERLINK("https://fin.land.naver.com/articles/2651086986", "매물Link")</f>
        <v/>
      </c>
      <c r="Q149" s="6">
        <f>HYPERLINK("https://map.naver.com/p/search/도담동 882", "지도Link")</f>
        <v/>
      </c>
      <c r="R149" s="6">
        <f>HYPERLINK("http://www.eum.go.kr/web/ar/lu/luLandDet.jsp?pnu=3611011400108820000&amp;isNoScr=script&amp;mode=search", "토지이음")</f>
        <v/>
      </c>
      <c r="S149" s="3" t="inlineStr">
        <is>
          <t>세종스타</t>
        </is>
      </c>
      <c r="T149" s="4" t="n">
        <v>1</v>
      </c>
      <c r="U149" s="5" t="n">
        <v>390.1</v>
      </c>
      <c r="V149" s="4" t="n">
        <v>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도담동 897-44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400</v>
      </c>
      <c r="J150" s="4" t="n">
        <v>121</v>
      </c>
      <c r="K150" s="5" t="n">
        <v>1900.8</v>
      </c>
      <c r="L150" s="4" t="n">
        <v>245</v>
      </c>
      <c r="M150" s="4" t="n">
        <v>74</v>
      </c>
      <c r="N150" s="5" t="n">
        <v>3108.1</v>
      </c>
      <c r="O150" s="3" t="inlineStr">
        <is>
          <t>명품 타운하우스 트로아힐스 맨앞라인 ㄷ자형</t>
        </is>
      </c>
      <c r="P150" s="6">
        <f>HYPERLINK("https://fin.land.naver.com/articles/2652288526", "매물Link")</f>
        <v/>
      </c>
      <c r="Q150" s="6">
        <f>HYPERLINK("https://map.naver.com/p/search/도담동 897-44", "지도Link")</f>
        <v/>
      </c>
      <c r="R150" s="6">
        <f>HYPERLINK("http://www.eum.go.kr/web/ar/lu/luLandDet.jsp?pnu=3611011400108970044&amp;isNoScr=script&amp;mode=search", "토지이음")</f>
        <v/>
      </c>
      <c r="S150" s="3" t="inlineStr">
        <is>
          <t>세종스타</t>
        </is>
      </c>
      <c r="T150" s="4" t="n">
        <v>2</v>
      </c>
      <c r="U150" s="5" t="n">
        <v>385.1</v>
      </c>
      <c r="V150" s="4" t="n">
        <v>400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반곡동 1047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230000</v>
      </c>
      <c r="H151" s="4" t="n">
        <v>0</v>
      </c>
      <c r="I151" s="4" t="n">
        <v>649</v>
      </c>
      <c r="J151" s="4" t="n">
        <v>196</v>
      </c>
      <c r="K151" s="5" t="n">
        <v>1173.5</v>
      </c>
      <c r="L151" s="4" t="n">
        <v>329</v>
      </c>
      <c r="M151" s="4" t="n">
        <v>100</v>
      </c>
      <c r="N151" s="5" t="n">
        <v>2300</v>
      </c>
      <c r="O151" s="3" t="inlineStr">
        <is>
          <t>nan</t>
        </is>
      </c>
      <c r="P151" s="6">
        <f>HYPERLINK("https://fin.land.naver.com/articles/2652769528", "매물Link")</f>
        <v/>
      </c>
      <c r="Q151" s="6">
        <f>HYPERLINK("https://map.naver.com/p/search/반곡동 1047", "지도Link")</f>
        <v/>
      </c>
      <c r="R151" s="6">
        <f>HYPERLINK("http://www.eum.go.kr/web/ar/lu/luLandDet.jsp?pnu=3611010100110470000&amp;isNoScr=script&amp;mode=search", "토지이음")</f>
        <v/>
      </c>
      <c r="S151" s="3" t="inlineStr">
        <is>
          <t>세종로또</t>
        </is>
      </c>
      <c r="T151" s="4" t="n">
        <v>1</v>
      </c>
      <c r="U151" s="5" t="n">
        <v>299.2</v>
      </c>
      <c r="V151" s="4" t="n">
        <v>649.4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반곡동 987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200000</v>
      </c>
      <c r="H152" s="4" t="n">
        <v>0</v>
      </c>
      <c r="I152" s="4" t="n">
        <v>404</v>
      </c>
      <c r="J152" s="4" t="n">
        <v>122</v>
      </c>
      <c r="K152" s="5" t="n">
        <v>1639.3</v>
      </c>
      <c r="L152" s="4" t="n">
        <v>59</v>
      </c>
      <c r="M152" s="4" t="n">
        <v>18</v>
      </c>
      <c r="N152" s="5" t="n">
        <v>11111.1</v>
      </c>
      <c r="O152" s="3" t="inlineStr">
        <is>
          <t>I 신한 I 국회의사당 호재,교통,초품아인 고급 단독주택 강력 추천</t>
        </is>
      </c>
      <c r="P152" s="6">
        <f>HYPERLINK("https://fin.land.naver.com/articles/2650184851", "매물Link")</f>
        <v/>
      </c>
      <c r="Q152" s="6">
        <f>HYPERLINK("https://map.naver.com/p/search/반곡동 987", "지도Link")</f>
        <v/>
      </c>
      <c r="R152" s="6">
        <f>HYPERLINK("http://www.eum.go.kr/web/ar/lu/luLandDet.jsp?pnu=3611010100109870000&amp;isNoScr=script&amp;mode=search", "토지이음")</f>
        <v/>
      </c>
      <c r="S152" s="3" t="inlineStr">
        <is>
          <t>세종신한</t>
        </is>
      </c>
      <c r="T152" s="4" t="n">
        <v>1</v>
      </c>
      <c r="U152" s="5" t="n">
        <v>262.3</v>
      </c>
      <c r="V152" s="4" t="n">
        <v>404.8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반곡동 987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200000</v>
      </c>
      <c r="H153" s="4" t="n">
        <v>0</v>
      </c>
      <c r="I153" s="4" t="n">
        <v>404</v>
      </c>
      <c r="J153" s="4" t="n">
        <v>122</v>
      </c>
      <c r="K153" s="5" t="n">
        <v>1639.3</v>
      </c>
      <c r="L153" s="4" t="n">
        <v>244</v>
      </c>
      <c r="M153" s="4" t="n">
        <v>74</v>
      </c>
      <c r="N153" s="5" t="n">
        <v>2702.7</v>
      </c>
      <c r="O153" s="3" t="inlineStr">
        <is>
          <t>안마당 중정주택 실면적74p 본채별채 방3개 욕실2개</t>
        </is>
      </c>
      <c r="P153" s="6">
        <f>HYPERLINK("https://fin.land.naver.com/articles/2655180287", "매물Link")</f>
        <v/>
      </c>
      <c r="Q153" s="6">
        <f>HYPERLINK("https://map.naver.com/p/search/반곡동 987", "지도Link")</f>
        <v/>
      </c>
      <c r="R153" s="6">
        <f>HYPERLINK("http://www.eum.go.kr/web/ar/lu/luLandDet.jsp?pnu=3611010100109870000&amp;isNoScr=script&amp;mode=search", "토지이음")</f>
        <v/>
      </c>
      <c r="S153" s="3" t="inlineStr">
        <is>
          <t>세종스타</t>
        </is>
      </c>
      <c r="T153" s="4" t="n">
        <v>1</v>
      </c>
      <c r="U153" s="5" t="n">
        <v>262.3</v>
      </c>
      <c r="V153" s="4" t="n">
        <v>404.8</v>
      </c>
      <c r="W153" s="3" t="inlineStr">
        <is>
          <t>지정되지않음</t>
        </is>
      </c>
      <c r="X153" s="3" t="inlineStr">
        <is>
          <t>주거나지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소로한면</t>
        </is>
      </c>
    </row>
    <row r="154">
      <c r="A154" s="3" t="inlineStr">
        <is>
          <t>부강면 금호리 234-5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120000</v>
      </c>
      <c r="H154" s="4" t="n">
        <v>0</v>
      </c>
      <c r="I154" s="4" t="n">
        <v>939</v>
      </c>
      <c r="J154" s="4" t="n">
        <v>284</v>
      </c>
      <c r="K154" s="5" t="n">
        <v>422.5</v>
      </c>
      <c r="L154" s="4" t="n">
        <v>108</v>
      </c>
      <c r="M154" s="4" t="n">
        <v>33</v>
      </c>
      <c r="N154" s="5" t="n">
        <v>3636.4</v>
      </c>
      <c r="O154" s="3" t="inlineStr">
        <is>
          <t>카페운영 넓은정원카페와 넓은 주차장 세종시4생활권 진출입용이</t>
        </is>
      </c>
      <c r="P154" s="6">
        <f>HYPERLINK("https://fin.land.naver.com/articles/2650542038", "매물Link")</f>
        <v/>
      </c>
      <c r="Q154" s="6">
        <f>HYPERLINK("https://map.naver.com/p/search/부강면 금호리 234-5", "지도Link")</f>
        <v/>
      </c>
      <c r="R154" s="6">
        <f>HYPERLINK("http://www.eum.go.kr/web/ar/lu/luLandDet.jsp?pnu=3611033028102340005&amp;isNoScr=script&amp;mode=search", "토지이음")</f>
        <v/>
      </c>
      <c r="S154" s="3" t="inlineStr">
        <is>
          <t>한얼</t>
        </is>
      </c>
      <c r="T154" s="4" t="n">
        <v>1</v>
      </c>
      <c r="U154" s="5" t="n">
        <v>89.90000000000001</v>
      </c>
      <c r="V154" s="4" t="n">
        <v>939</v>
      </c>
      <c r="W154" s="3" t="inlineStr">
        <is>
          <t>지정되지않음</t>
        </is>
      </c>
      <c r="X154" s="3" t="inlineStr">
        <is>
          <t>주거기타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372-1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12500</v>
      </c>
      <c r="H155" s="4" t="n">
        <v>0</v>
      </c>
      <c r="I155" s="4" t="n">
        <v>205</v>
      </c>
      <c r="J155" s="4" t="n">
        <v>62</v>
      </c>
      <c r="K155" s="5" t="n">
        <v>201.6</v>
      </c>
      <c r="L155" s="4" t="n">
        <v>30</v>
      </c>
      <c r="M155" s="4" t="n">
        <v>9</v>
      </c>
      <c r="N155" s="5" t="n">
        <v>1388.9</v>
      </c>
      <c r="O155" s="3" t="inlineStr">
        <is>
          <t>탁트인 남향 금강변 소형단독주택지 리모델링 즉시입주</t>
        </is>
      </c>
      <c r="P155" s="6">
        <f>HYPERLINK("https://fin.land.naver.com/articles/2651072599", "매물Link")</f>
        <v/>
      </c>
      <c r="Q155" s="6">
        <f>HYPERLINK("https://map.naver.com/p/search/부강면 금호리 372-1", "지도Link")</f>
        <v/>
      </c>
      <c r="R155" s="6">
        <f>HYPERLINK("http://www.eum.go.kr/web/ar/lu/luLandDet.jsp?pnu=3611033028103720001&amp;isNoScr=script&amp;mode=search", "토지이음")</f>
        <v/>
      </c>
      <c r="S155" s="3" t="inlineStr">
        <is>
          <t>큰터</t>
        </is>
      </c>
      <c r="T155" s="4" t="n">
        <v>1</v>
      </c>
      <c r="U155" s="5" t="n">
        <v>75.09999999999999</v>
      </c>
      <c r="V155" s="4" t="n">
        <v>205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390-8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448</v>
      </c>
      <c r="J157" s="4" t="n">
        <v>136</v>
      </c>
      <c r="K157" s="5" t="n">
        <v>404.4</v>
      </c>
      <c r="L157" s="4" t="n">
        <v>142</v>
      </c>
      <c r="M157" s="4" t="n">
        <v>43</v>
      </c>
      <c r="N157" s="5" t="n">
        <v>1279.1</v>
      </c>
      <c r="O157" s="3" t="inlineStr">
        <is>
          <t>금강뷰전원주택. 금호교 개통으로 4생활권에서 5분거리</t>
        </is>
      </c>
      <c r="P157" s="6">
        <f>HYPERLINK("https://fin.land.naver.com/articles/2654930482", "매물Link")</f>
        <v/>
      </c>
      <c r="Q157" s="6">
        <f>HYPERLINK("https://map.naver.com/p/search/부강면 금호리 390-8", "지도Link")</f>
        <v/>
      </c>
      <c r="R157" s="6">
        <f>HYPERLINK("http://www.eum.go.kr/web/ar/lu/luLandDet.jsp?pnu=3611033028103900008&amp;isNoScr=script&amp;mode=search", "토지이음")</f>
        <v/>
      </c>
      <c r="S157" s="3" t="inlineStr">
        <is>
          <t>최무연</t>
        </is>
      </c>
      <c r="T157" s="4" t="n">
        <v>2</v>
      </c>
      <c r="U157" s="5" t="n">
        <v>80.7</v>
      </c>
      <c r="V157" s="4" t="n">
        <v>448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금호리 390-8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전원주택</t>
        </is>
      </c>
      <c r="F158" s="3" t="inlineStr">
        <is>
          <t>매매</t>
        </is>
      </c>
      <c r="G158" s="4" t="n">
        <v>55000</v>
      </c>
      <c r="H158" s="4" t="n">
        <v>0</v>
      </c>
      <c r="I158" s="4" t="n">
        <v>448</v>
      </c>
      <c r="J158" s="4" t="n">
        <v>136</v>
      </c>
      <c r="K158" s="5" t="n">
        <v>404.4</v>
      </c>
      <c r="L158" s="4" t="n">
        <v>142</v>
      </c>
      <c r="M158" s="4" t="n">
        <v>43</v>
      </c>
      <c r="N158" s="5" t="n">
        <v>1279.1</v>
      </c>
      <c r="O158" s="3" t="inlineStr">
        <is>
          <t>탁트인 전망 별장같은 멋진주택</t>
        </is>
      </c>
      <c r="P158" s="6">
        <f>HYPERLINK("https://fin.land.naver.com/articles/2654261184", "매물Link")</f>
        <v/>
      </c>
      <c r="Q158" s="6">
        <f>HYPERLINK("https://map.naver.com/p/search/부강면 금호리 390-8", "지도Link")</f>
        <v/>
      </c>
      <c r="R158" s="6">
        <f>HYPERLINK("http://www.eum.go.kr/web/ar/lu/luLandDet.jsp?pnu=3611033028103900008&amp;isNoScr=script&amp;mode=search", "토지이음")</f>
        <v/>
      </c>
      <c r="S158" s="3" t="inlineStr">
        <is>
          <t>학사</t>
        </is>
      </c>
      <c r="T158" s="4" t="n">
        <v>1</v>
      </c>
      <c r="U158" s="5" t="n">
        <v>80.7</v>
      </c>
      <c r="V158" s="4" t="n">
        <v>448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금호리 613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55000</v>
      </c>
      <c r="H159" s="4" t="n">
        <v>0</v>
      </c>
      <c r="I159" s="4" t="n">
        <v>679</v>
      </c>
      <c r="J159" s="4" t="n">
        <v>205</v>
      </c>
      <c r="K159" s="5" t="n">
        <v>268.3</v>
      </c>
      <c r="L159" s="4" t="n">
        <v>92</v>
      </c>
      <c r="M159" s="4" t="n">
        <v>28</v>
      </c>
      <c r="N159" s="5" t="n">
        <v>1964.3</v>
      </c>
      <c r="O159" s="3" t="inlineStr">
        <is>
          <t>행복도시4생활권 인접, 부강산업단지에 근접한 주택으로 상태 좋음</t>
        </is>
      </c>
      <c r="P159" s="6">
        <f>HYPERLINK("https://fin.land.naver.com/articles/2651169911", "매물Link")</f>
        <v/>
      </c>
      <c r="Q159" s="6">
        <f>HYPERLINK("https://map.naver.com/p/search/부강면 금호리 613", "지도Link")</f>
        <v/>
      </c>
      <c r="R159" s="6">
        <f>HYPERLINK("http://www.eum.go.kr/web/ar/lu/luLandDet.jsp?pnu=3611033028106130000&amp;isNoScr=script&amp;mode=search", "토지이음")</f>
        <v/>
      </c>
      <c r="S159" s="3" t="inlineStr">
        <is>
          <t>드림</t>
        </is>
      </c>
      <c r="T159" s="4" t="n">
        <v>1</v>
      </c>
      <c r="U159" s="5" t="n">
        <v>88</v>
      </c>
      <c r="V159" s="4" t="n">
        <v>679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금호리 712-16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35000</v>
      </c>
      <c r="H160" s="4" t="n">
        <v>0</v>
      </c>
      <c r="I160" s="4" t="n">
        <v>379</v>
      </c>
      <c r="J160" s="4" t="n">
        <v>115</v>
      </c>
      <c r="K160" s="5" t="n">
        <v>304.3</v>
      </c>
      <c r="L160" s="4" t="n">
        <v>71</v>
      </c>
      <c r="M160" s="4" t="n">
        <v>21</v>
      </c>
      <c r="N160" s="5" t="n">
        <v>1666.7</v>
      </c>
      <c r="O160" s="3" t="inlineStr">
        <is>
          <t>흙벽돌구조 1층 주택매매, 창고별도있음</t>
        </is>
      </c>
      <c r="P160" s="6">
        <f>HYPERLINK("https://fin.land.naver.com/articles/2650428762", "매물Link")</f>
        <v/>
      </c>
      <c r="Q160" s="6">
        <f>HYPERLINK("https://map.naver.com/p/search/부강면 금호리 712-16", "지도Link")</f>
        <v/>
      </c>
      <c r="R160" s="6">
        <f>HYPERLINK("http://www.eum.go.kr/web/ar/lu/luLandDet.jsp?pnu=3611033028107120016&amp;isNoScr=script&amp;mode=search", "토지이음")</f>
        <v/>
      </c>
      <c r="S160" s="3" t="inlineStr">
        <is>
          <t>세종무지개</t>
        </is>
      </c>
      <c r="T160" s="4" t="n">
        <v>1</v>
      </c>
      <c r="U160" s="5" t="n">
        <v>94.5</v>
      </c>
      <c r="V160" s="4" t="n">
        <v>379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부강면 금호리 712-16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35000</v>
      </c>
      <c r="H161" s="4" t="n">
        <v>0</v>
      </c>
      <c r="I161" s="4" t="n">
        <v>379</v>
      </c>
      <c r="J161" s="4" t="n">
        <v>115</v>
      </c>
      <c r="K161" s="5" t="n">
        <v>304.3</v>
      </c>
      <c r="L161" s="4" t="n">
        <v>71</v>
      </c>
      <c r="M161" s="4" t="n">
        <v>21</v>
      </c>
      <c r="N161" s="5" t="n">
        <v>1666.7</v>
      </c>
      <c r="O161" s="3" t="inlineStr">
        <is>
          <t>세종시 행복도심 5분 생활권 I 금강변 산책과 텃밭이 있는 전원생활 추천</t>
        </is>
      </c>
      <c r="P161" s="6">
        <f>HYPERLINK("https://fin.land.naver.com/articles/2655051269", "매물Link")</f>
        <v/>
      </c>
      <c r="Q161" s="6">
        <f>HYPERLINK("https://map.naver.com/p/search/부강면 금호리 712-16", "지도Link")</f>
        <v/>
      </c>
      <c r="R161" s="6">
        <f>HYPERLINK("http://www.eum.go.kr/web/ar/lu/luLandDet.jsp?pnu=3611033028107120016&amp;isNoScr=script&amp;mode=search", "토지이음")</f>
        <v/>
      </c>
      <c r="S161" s="3" t="inlineStr">
        <is>
          <t>세종신한</t>
        </is>
      </c>
      <c r="T161" s="4" t="n">
        <v>1</v>
      </c>
      <c r="U161" s="5" t="n">
        <v>94.5</v>
      </c>
      <c r="V161" s="4" t="n">
        <v>379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부강면 노호리 307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60000</v>
      </c>
      <c r="H162" s="4" t="n">
        <v>0</v>
      </c>
      <c r="I162" s="4" t="n">
        <v>340</v>
      </c>
      <c r="J162" s="4" t="n">
        <v>103</v>
      </c>
      <c r="K162" s="5" t="n">
        <v>582.5</v>
      </c>
      <c r="L162" s="4" t="n">
        <v>90</v>
      </c>
      <c r="M162" s="4" t="n">
        <v>27</v>
      </c>
      <c r="N162" s="5" t="n">
        <v>2222.2</v>
      </c>
      <c r="O162" s="3" t="inlineStr">
        <is>
          <t>nan</t>
        </is>
      </c>
      <c r="P162" s="6">
        <f>HYPERLINK("https://fin.land.naver.com/articles/2653120425", "매물Link")</f>
        <v/>
      </c>
      <c r="Q162" s="6">
        <f>HYPERLINK("https://map.naver.com/p/search/부강면 노호리 307", "지도Link")</f>
        <v/>
      </c>
      <c r="R162" s="6">
        <f>HYPERLINK("http://www.eum.go.kr/web/ar/lu/luLandDet.jsp?pnu=3611033027103070000&amp;isNoScr=script&amp;mode=search",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40.6</v>
      </c>
      <c r="V162" s="4" t="n">
        <v>340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자루형</t>
        </is>
      </c>
      <c r="AA162" s="3" t="inlineStr">
        <is>
          <t>세로한면(가)</t>
        </is>
      </c>
    </row>
    <row r="163">
      <c r="A163" s="3" t="inlineStr">
        <is>
          <t>부강면 노호리 354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63000</v>
      </c>
      <c r="H163" s="4" t="n">
        <v>0</v>
      </c>
      <c r="I163" s="4" t="n">
        <v>1785</v>
      </c>
      <c r="J163" s="4" t="n">
        <v>540</v>
      </c>
      <c r="K163" s="5" t="n">
        <v>116.7</v>
      </c>
      <c r="L163" s="4" t="n">
        <v>147</v>
      </c>
      <c r="M163" s="4" t="n">
        <v>44</v>
      </c>
      <c r="N163" s="5" t="n">
        <v>1431.8</v>
      </c>
      <c r="O163" s="3" t="inlineStr">
        <is>
          <t>nan</t>
        </is>
      </c>
      <c r="P163" s="6">
        <f>HYPERLINK("https://fin.land.naver.com/articles/2650322763", "매물Link")</f>
        <v/>
      </c>
      <c r="Q163" s="6">
        <f>HYPERLINK("https://map.naver.com/p/search/부강면 노호리 354", "지도Link")</f>
        <v/>
      </c>
      <c r="R163" s="6">
        <f>HYPERLINK("http://www.eum.go.kr/web/ar/lu/luLandDet.jsp?pnu=3611033027103540000&amp;isNoScr=script&amp;mode=search", "토지이음")</f>
        <v/>
      </c>
      <c r="S163" s="3" t="inlineStr">
        <is>
          <t>세종신한</t>
        </is>
      </c>
      <c r="T163" s="4" t="n">
        <v>1</v>
      </c>
      <c r="U163" s="5" t="n">
        <v>45.9</v>
      </c>
      <c r="V163" s="4" t="n">
        <v>1785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부정형</t>
        </is>
      </c>
      <c r="AA163" s="3" t="inlineStr">
        <is>
          <t>세로한면(가)</t>
        </is>
      </c>
    </row>
    <row r="164">
      <c r="A164" s="3" t="inlineStr">
        <is>
          <t>부강면 노호리 354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단독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1785</v>
      </c>
      <c r="J164" s="4" t="n">
        <v>540</v>
      </c>
      <c r="K164" s="5" t="n">
        <v>120.4</v>
      </c>
      <c r="L164" s="4" t="n">
        <v>147</v>
      </c>
      <c r="M164" s="4" t="n">
        <v>44</v>
      </c>
      <c r="N164" s="5" t="n">
        <v>1477.3</v>
      </c>
      <c r="O164" s="3" t="inlineStr">
        <is>
          <t>nan</t>
        </is>
      </c>
      <c r="P164" s="6">
        <f>HYPERLINK("https://fin.land.naver.com/articles/2649885848", "매물Link")</f>
        <v/>
      </c>
      <c r="Q164" s="6">
        <f>HYPERLINK("https://map.naver.com/p/search/부강면 노호리 354", "지도Link")</f>
        <v/>
      </c>
      <c r="R164" s="6">
        <f>HYPERLINK("http://www.eum.go.kr/web/ar/lu/luLandDet.jsp?pnu=3611033027103540000&amp;isNoScr=script&amp;mode=search", "토지이음")</f>
        <v/>
      </c>
      <c r="S164" s="3" t="inlineStr">
        <is>
          <t>성성타운(041-553-3911)</t>
        </is>
      </c>
      <c r="T164" s="4" t="n">
        <v>1</v>
      </c>
      <c r="U164" s="5" t="n">
        <v>45.9</v>
      </c>
      <c r="V164" s="4" t="n">
        <v>1785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부강면 등곡리 68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단독</t>
        </is>
      </c>
      <c r="F165" s="3" t="inlineStr">
        <is>
          <t>매매</t>
        </is>
      </c>
      <c r="G165" s="4" t="n">
        <v>35000</v>
      </c>
      <c r="H165" s="4" t="n">
        <v>0</v>
      </c>
      <c r="I165" s="4" t="n">
        <v>732</v>
      </c>
      <c r="J165" s="4" t="n">
        <v>221</v>
      </c>
      <c r="K165" s="5" t="n">
        <v>158.4</v>
      </c>
      <c r="L165" s="4" t="n">
        <v>132</v>
      </c>
      <c r="M165" s="4" t="n">
        <v>40</v>
      </c>
      <c r="N165" s="5" t="n">
        <v>875</v>
      </c>
      <c r="O165" s="3" t="inlineStr">
        <is>
          <t>좋은 더 조율해 드려요, 현재 주인분 거주하고 계심</t>
        </is>
      </c>
      <c r="P165" s="6">
        <f>HYPERLINK("https://fin.land.naver.com/articles/2650942009", "매물Link")</f>
        <v/>
      </c>
      <c r="Q165" s="6">
        <f>HYPERLINK("https://map.naver.com/p/search/부강면 등곡리 68", "지도Link")</f>
        <v/>
      </c>
      <c r="R165" s="6">
        <f>HYPERLINK("http://www.eum.go.kr/web/ar/lu/luLandDet.jsp?pnu=3611033026100680000&amp;isNoScr=script&amp;mode=search", "토지이음")</f>
        <v/>
      </c>
      <c r="S165" s="3" t="inlineStr">
        <is>
          <t>좋은</t>
        </is>
      </c>
      <c r="T165" s="4" t="n">
        <v>1</v>
      </c>
      <c r="U165" s="5" t="n">
        <v>36.1</v>
      </c>
      <c r="V165" s="4" t="n">
        <v>732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완경사</t>
        </is>
      </c>
      <c r="Z165" s="3" t="inlineStr">
        <is>
          <t>부정형</t>
        </is>
      </c>
      <c r="AA165" s="3" t="inlineStr">
        <is>
          <t>세로한면(가)</t>
        </is>
      </c>
    </row>
    <row r="166">
      <c r="A166" s="3" t="inlineStr">
        <is>
          <t>부강면 문곡리 227-1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1</t>
        </is>
      </c>
      <c r="E166" s="3" t="inlineStr">
        <is>
          <t>전원주택</t>
        </is>
      </c>
      <c r="F166" s="3" t="inlineStr">
        <is>
          <t>매매</t>
        </is>
      </c>
      <c r="G166" s="4" t="n">
        <v>75000</v>
      </c>
      <c r="H166" s="4" t="n">
        <v>0</v>
      </c>
      <c r="I166" s="4" t="n">
        <v>1322</v>
      </c>
      <c r="J166" s="4" t="n">
        <v>400</v>
      </c>
      <c r="K166" s="5" t="n">
        <v>187.5</v>
      </c>
      <c r="L166" s="4" t="n">
        <v>145</v>
      </c>
      <c r="M166" s="4" t="n">
        <v>44</v>
      </c>
      <c r="N166" s="5" t="n">
        <v>1704.5</v>
      </c>
      <c r="O166" s="3" t="inlineStr">
        <is>
          <t>주택과 주변 텃밭포함, 전망확틔여 전원생활하기좋음</t>
        </is>
      </c>
      <c r="P166" s="6">
        <f>HYPERLINK("https://fin.land.naver.com/articles/2650178792", "매물Link")</f>
        <v/>
      </c>
      <c r="Q166" s="6">
        <f>HYPERLINK("https://map.naver.com/p/search/부강면 문곡리 227-1", "지도Link")</f>
        <v/>
      </c>
      <c r="R166" s="6">
        <f>HYPERLINK("http://www.eum.go.kr/web/ar/lu/luLandDet.jsp?pnu=3611033025102270001&amp;isNoScr=script&amp;mode=search", "토지이음")</f>
        <v/>
      </c>
      <c r="S166" s="3" t="inlineStr">
        <is>
          <t>연동스카이</t>
        </is>
      </c>
      <c r="T166" s="4" t="n">
        <v>1</v>
      </c>
      <c r="U166" s="5" t="n">
        <v>47.9</v>
      </c>
      <c r="V166" s="4" t="n">
        <v>970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완경사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부강면 문곡리 294-2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전원주택</t>
        </is>
      </c>
      <c r="F167" s="3" t="inlineStr">
        <is>
          <t>매매</t>
        </is>
      </c>
      <c r="G167" s="4" t="n">
        <v>83000</v>
      </c>
      <c r="H167" s="4" t="n">
        <v>0</v>
      </c>
      <c r="I167" s="4" t="n">
        <v>660</v>
      </c>
      <c r="J167" s="4" t="n">
        <v>200</v>
      </c>
      <c r="K167" s="5" t="n">
        <v>415</v>
      </c>
      <c r="L167" s="4" t="n">
        <v>192</v>
      </c>
      <c r="M167" s="4" t="n">
        <v>58</v>
      </c>
      <c r="N167" s="5" t="n">
        <v>1431</v>
      </c>
      <c r="O167" s="3" t="inlineStr">
        <is>
          <t>남청주ic에서 부강방면 남쪽 산기슭에 위치한 그림같은 전원주택</t>
        </is>
      </c>
      <c r="P167" s="6">
        <f>HYPERLINK("https://fin.land.naver.com/articles/2652660732", "매물Link")</f>
        <v/>
      </c>
      <c r="Q167" s="6">
        <f>HYPERLINK("https://map.naver.com/p/search/부강면 문곡리 294-2", "지도Link")</f>
        <v/>
      </c>
      <c r="R167" s="6">
        <f>HYPERLINK("http://www.eum.go.kr/web/ar/lu/luLandDet.jsp?pnu=3611033025102940002&amp;isNoScr=script&amp;mode=search", "토지이음")</f>
        <v/>
      </c>
      <c r="S167" s="3" t="inlineStr">
        <is>
          <t>주식회사정원</t>
        </is>
      </c>
      <c r="T167" s="4" t="n">
        <v>1</v>
      </c>
      <c r="U167" s="5" t="n">
        <v>66.90000000000001</v>
      </c>
      <c r="V167" s="4" t="n">
        <v>660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완경사</t>
        </is>
      </c>
      <c r="Z167" s="3" t="inlineStr">
        <is>
          <t>사다리형</t>
        </is>
      </c>
      <c r="AA167" s="3" t="inlineStr">
        <is>
          <t>세로각지(가)</t>
        </is>
      </c>
    </row>
    <row r="168">
      <c r="A168" s="3" t="inlineStr">
        <is>
          <t>부강면 부강리 1013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32</v>
      </c>
      <c r="I168" s="4" t="n">
        <v>36</v>
      </c>
      <c r="J168" s="4" t="n">
        <v>11</v>
      </c>
      <c r="K168" s="5" t="n">
        <v>2.9</v>
      </c>
      <c r="L168" s="4" t="n">
        <v>30</v>
      </c>
      <c r="M168" s="4" t="n">
        <v>9</v>
      </c>
      <c r="N168" s="5" t="n">
        <v>3.6</v>
      </c>
      <c r="O168" s="3" t="inlineStr">
        <is>
          <t>대박 분리형 원룸 베란다 굿</t>
        </is>
      </c>
      <c r="P168" s="6">
        <f>HYPERLINK("https://fin.land.naver.com/articles/2652542744", "매물Link")</f>
        <v/>
      </c>
      <c r="Q168" s="6">
        <f>HYPERLINK("https://map.naver.com/p/search/부강면 부강리 1013", "지도Link")</f>
        <v/>
      </c>
      <c r="R168" s="6">
        <f>HYPERLINK("http://www.eum.go.kr/web/ar/lu/luLandDet.jsp?pnu=3611033021110130000&amp;isNoScr=script&amp;mode=search",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208</v>
      </c>
      <c r="V168" s="4" t="n">
        <v>340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정방형</t>
        </is>
      </c>
      <c r="AA168" s="3" t="inlineStr">
        <is>
          <t>세로한면(가)</t>
        </is>
      </c>
    </row>
    <row r="169">
      <c r="A169" s="3" t="inlineStr">
        <is>
          <t>부강면 부강리 1013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200</v>
      </c>
      <c r="H169" s="4" t="n">
        <v>32</v>
      </c>
      <c r="I169" s="4" t="n">
        <v>36</v>
      </c>
      <c r="J169" s="4" t="n">
        <v>11</v>
      </c>
      <c r="K169" s="5" t="n">
        <v>2.9</v>
      </c>
      <c r="L169" s="4" t="n">
        <v>30</v>
      </c>
      <c r="M169" s="4" t="n">
        <v>9</v>
      </c>
      <c r="N169" s="5" t="n">
        <v>3.6</v>
      </c>
      <c r="O169" s="3" t="inlineStr">
        <is>
          <t>대박 단기 가능한 분리형 원룸 베란다 굿</t>
        </is>
      </c>
      <c r="P169" s="6">
        <f>HYPERLINK("https://fin.land.naver.com/articles/2652542648", "매물Link")</f>
        <v/>
      </c>
      <c r="Q169" s="6">
        <f>HYPERLINK("https://map.naver.com/p/search/부강면 부강리 1013", "지도Link")</f>
        <v/>
      </c>
      <c r="R169" s="6">
        <f>HYPERLINK("http://www.eum.go.kr/web/ar/lu/luLandDet.jsp?pnu=3611033021110130000&amp;isNoScr=script&amp;mode=search",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208</v>
      </c>
      <c r="V169" s="4" t="n">
        <v>340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정방형</t>
        </is>
      </c>
      <c r="AA169" s="3" t="inlineStr">
        <is>
          <t>세로한면(가)</t>
        </is>
      </c>
    </row>
    <row r="170">
      <c r="A170" s="3" t="inlineStr">
        <is>
          <t>부강면 부강리 112-5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135000</v>
      </c>
      <c r="H170" s="4" t="n">
        <v>0</v>
      </c>
      <c r="I170" s="4" t="n">
        <v>390</v>
      </c>
      <c r="J170" s="4" t="n">
        <v>118</v>
      </c>
      <c r="K170" s="5" t="n">
        <v>1144.1</v>
      </c>
      <c r="L170" s="4" t="n">
        <v>510</v>
      </c>
      <c r="M170" s="4" t="n">
        <v>154</v>
      </c>
      <c r="N170" s="5" t="n">
        <v>876.6</v>
      </c>
      <c r="O170" s="3" t="inlineStr">
        <is>
          <t>임대수요 풍부하고 공실 걱정없는 세종시 부강면 저렴한 다가구주택</t>
        </is>
      </c>
      <c r="P170" s="6">
        <f>HYPERLINK("https://fin.land.naver.com/articles/2650694892", "매물Link")</f>
        <v/>
      </c>
      <c r="Q170" s="6">
        <f>HYPERLINK("https://map.naver.com/p/search/부강면 부강리 112-5", "지도Link")</f>
        <v/>
      </c>
      <c r="R170" s="6">
        <f>HYPERLINK("http://www.eum.go.kr/web/ar/lu/luLandDet.jsp?pnu=3611033021101120005&amp;isNoScr=script&amp;mode=search",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171.6</v>
      </c>
      <c r="V170" s="4" t="n">
        <v>390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세로한면(불)</t>
        </is>
      </c>
    </row>
    <row r="171">
      <c r="A171" s="3" t="inlineStr">
        <is>
          <t>부강면 부강리 112-7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35</v>
      </c>
      <c r="I171" s="4" t="n">
        <v>36</v>
      </c>
      <c r="J171" s="4" t="n">
        <v>11</v>
      </c>
      <c r="K171" s="5" t="n">
        <v>3.2</v>
      </c>
      <c r="L171" s="4" t="n">
        <v>30</v>
      </c>
      <c r="M171" s="4" t="n">
        <v>9</v>
      </c>
      <c r="N171" s="5" t="n">
        <v>3.9</v>
      </c>
      <c r="O171" s="3" t="inlineStr">
        <is>
          <t>지원l분리형1룸l버정바로앞l비디오폰l엘베</t>
        </is>
      </c>
      <c r="P171" s="6">
        <f>HYPERLINK("https://fin.land.naver.com/articles/2654880839", "매물Link")</f>
        <v/>
      </c>
      <c r="Q171" s="6">
        <f>HYPERLINK("https://map.naver.com/p/search/부강면 부강리 112-7", "지도Link")</f>
        <v/>
      </c>
      <c r="R171" s="6">
        <f>HYPERLINK("http://www.eum.go.kr/web/ar/lu/luLandDet.jsp?pnu=3611033021101120007&amp;isNoScr=script&amp;mode=search", "토지이음")</f>
        <v/>
      </c>
      <c r="S171" s="3" t="inlineStr">
        <is>
          <t>지원</t>
        </is>
      </c>
      <c r="T171" s="4" t="n">
        <v>1</v>
      </c>
      <c r="U171" s="5" t="n">
        <v>254.1</v>
      </c>
      <c r="V171" s="4" t="n">
        <v>424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부강면 부강리 125-4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다가구</t>
        </is>
      </c>
      <c r="F172" s="3" t="inlineStr">
        <is>
          <t>매매</t>
        </is>
      </c>
      <c r="G172" s="4" t="n">
        <v>210000</v>
      </c>
      <c r="H172" s="4" t="n">
        <v>0</v>
      </c>
      <c r="I172" s="4" t="n">
        <v>625</v>
      </c>
      <c r="J172" s="4" t="n">
        <v>189</v>
      </c>
      <c r="K172" s="5" t="n">
        <v>1111.1</v>
      </c>
      <c r="L172" s="4" t="n">
        <v>747</v>
      </c>
      <c r="M172" s="4" t="n">
        <v>226</v>
      </c>
      <c r="N172" s="5" t="n">
        <v>929.2</v>
      </c>
      <c r="O172" s="3" t="inlineStr">
        <is>
          <t>현재 공실 없으며 임대 수요가 매우 좋습니다.</t>
        </is>
      </c>
      <c r="P172" s="6">
        <f>HYPERLINK("https://fin.land.naver.com/articles/2653015196", "매물Link")</f>
        <v/>
      </c>
      <c r="Q172" s="6">
        <f>HYPERLINK("https://map.naver.com/p/search/부강면 부강리 125-4", "지도Link")</f>
        <v/>
      </c>
      <c r="R172" s="6">
        <f>HYPERLINK("http://www.eum.go.kr/web/ar/lu/luLandDet.jsp?pnu=3611033021101250004&amp;isNoScr=script&amp;mode=search", "토지이음")</f>
        <v/>
      </c>
      <c r="S172" s="3" t="inlineStr">
        <is>
          <t>진영</t>
        </is>
      </c>
      <c r="T172" s="4" t="n">
        <v>1</v>
      </c>
      <c r="U172" s="5" t="n">
        <v>196.4</v>
      </c>
      <c r="V172" s="4" t="n">
        <v>625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부강면 부강리 126-8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35</v>
      </c>
      <c r="I173" s="4" t="n">
        <v>33</v>
      </c>
      <c r="J173" s="4" t="n">
        <v>10</v>
      </c>
      <c r="K173" s="5" t="n">
        <v>3.5</v>
      </c>
      <c r="L173" s="4" t="n">
        <v>29</v>
      </c>
      <c r="M173" s="4" t="n">
        <v>9</v>
      </c>
      <c r="N173" s="5" t="n">
        <v>3.9</v>
      </c>
      <c r="O173" s="3" t="inlineStr">
        <is>
          <t>넓고 베란다있는  풀옵션 원룸</t>
        </is>
      </c>
      <c r="P173" s="6">
        <f>HYPERLINK("https://fin.land.naver.com/articles/2653277546", "매물Link")</f>
        <v/>
      </c>
      <c r="Q173" s="6">
        <f>HYPERLINK("https://map.naver.com/p/search/부강면 부강리 126-8", "지도Link")</f>
        <v/>
      </c>
      <c r="R173" s="6">
        <f>HYPERLINK("http://www.eum.go.kr/web/ar/lu/luLandDet.jsp?pnu=3611033021101260008&amp;isNoScr=script&amp;mode=search", "토지이음")</f>
        <v/>
      </c>
      <c r="S173" s="3" t="inlineStr">
        <is>
          <t>세종행복한</t>
        </is>
      </c>
      <c r="T173" s="4" t="n">
        <v>1</v>
      </c>
      <c r="U173" s="5" t="n">
        <v>209.7</v>
      </c>
      <c r="V173" s="4" t="n">
        <v>378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333-3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단독</t>
        </is>
      </c>
      <c r="F174" s="3" t="inlineStr">
        <is>
          <t>매매</t>
        </is>
      </c>
      <c r="G174" s="4" t="n">
        <v>19140</v>
      </c>
      <c r="H174" s="4" t="n">
        <v>0</v>
      </c>
      <c r="I174" s="4" t="n">
        <v>469</v>
      </c>
      <c r="J174" s="4" t="n">
        <v>142</v>
      </c>
      <c r="K174" s="5" t="n">
        <v>134.8</v>
      </c>
      <c r="L174" s="4" t="n">
        <v>117</v>
      </c>
      <c r="M174" s="4" t="n">
        <v>35</v>
      </c>
      <c r="N174" s="5" t="n">
        <v>546.9</v>
      </c>
      <c r="O174" s="3" t="inlineStr">
        <is>
          <t>주택 매매. 부강역 도보 15분. 신축 가능</t>
        </is>
      </c>
      <c r="P174" s="6">
        <f>HYPERLINK("https://fin.land.naver.com/articles/2652151478", "매물Link")</f>
        <v/>
      </c>
      <c r="Q174" s="6">
        <f>HYPERLINK("https://map.naver.com/p/search/부강면 부강리 333-3", "지도Link")</f>
        <v/>
      </c>
      <c r="R174" s="6">
        <f>HYPERLINK("http://www.eum.go.kr/web/ar/lu/luLandDet.jsp?pnu=3611033021103330003&amp;isNoScr=script&amp;mode=search", "토지이음")</f>
        <v/>
      </c>
      <c r="S174" s="3" t="inlineStr">
        <is>
          <t>미소</t>
        </is>
      </c>
      <c r="T174" s="4" t="n">
        <v>1</v>
      </c>
      <c r="U174" s="5" t="n">
        <v>91.09999999999999</v>
      </c>
      <c r="V174" s="4" t="n">
        <v>469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432-45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일반원룸</t>
        </is>
      </c>
      <c r="F175" s="3" t="inlineStr">
        <is>
          <t>전세</t>
        </is>
      </c>
      <c r="G175" s="4" t="n">
        <v>5100</v>
      </c>
      <c r="H175" s="4" t="n">
        <v>0</v>
      </c>
      <c r="I175" s="4" t="n">
        <v>40</v>
      </c>
      <c r="J175" s="4" t="n">
        <v>12</v>
      </c>
      <c r="K175" s="5" t="n">
        <v>425</v>
      </c>
      <c r="L175" s="4" t="n">
        <v>33</v>
      </c>
      <c r="M175" s="4" t="n">
        <v>10</v>
      </c>
      <c r="N175" s="5" t="n">
        <v>510</v>
      </c>
      <c r="O175" s="3" t="inlineStr">
        <is>
          <t>대박 1.5룸 마트 10초</t>
        </is>
      </c>
      <c r="P175" s="6">
        <f>HYPERLINK("https://fin.land.naver.com/articles/2654987321", "매물Link")</f>
        <v/>
      </c>
      <c r="Q175" s="6">
        <f>HYPERLINK("https://map.naver.com/p/search/부강면 부강리 432-45", "지도Link")</f>
        <v/>
      </c>
      <c r="R175" s="6">
        <f>HYPERLINK("http://www.eum.go.kr/web/ar/lu/luLandDet.jsp?pnu=3611033021104320045&amp;isNoScr=script&amp;mode=search", "토지이음")</f>
        <v/>
      </c>
      <c r="S175" s="3" t="inlineStr">
        <is>
          <t>부강대박</t>
        </is>
      </c>
      <c r="T175" s="4" t="n">
        <v>1</v>
      </c>
      <c r="U175" s="5" t="n">
        <v>232.9</v>
      </c>
      <c r="V175" s="4" t="n">
        <v>305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정방형</t>
        </is>
      </c>
      <c r="AA175" s="3" t="inlineStr">
        <is>
          <t>소로한면</t>
        </is>
      </c>
    </row>
    <row r="176">
      <c r="A176" s="3" t="inlineStr">
        <is>
          <t>부강면 부강리 448-7</t>
        </is>
      </c>
      <c r="B176" s="3" t="inlineStr">
        <is>
          <t>일반상업지역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200</v>
      </c>
      <c r="H176" s="4" t="n">
        <v>33</v>
      </c>
      <c r="I176" s="4" t="n">
        <v>23</v>
      </c>
      <c r="J176" s="4" t="n">
        <v>7</v>
      </c>
      <c r="K176" s="5" t="n">
        <v>4.7</v>
      </c>
      <c r="L176" s="4" t="n">
        <v>18</v>
      </c>
      <c r="M176" s="4" t="n">
        <v>5</v>
      </c>
      <c r="N176" s="5" t="n">
        <v>6.6</v>
      </c>
      <c r="O176" s="3" t="inlineStr">
        <is>
          <t>부강역 인근 풀옵션 소형원룸</t>
        </is>
      </c>
      <c r="P176" s="6">
        <f>HYPERLINK("https://fin.land.naver.com/articles/2652929753", "매물Link")</f>
        <v/>
      </c>
      <c r="Q176" s="6">
        <f>HYPERLINK("https://map.naver.com/p/search/부강면 부강리 448-7", "지도Link")</f>
        <v/>
      </c>
      <c r="R176" s="6">
        <f>HYPERLINK("http://www.eum.go.kr/web/ar/lu/luLandDet.jsp?pnu=3611033021104480007&amp;isNoScr=script&amp;mode=search",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401.3</v>
      </c>
      <c r="V176" s="4" t="n">
        <v>260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부강면 부강리 449-1</t>
        </is>
      </c>
      <c r="B177" s="3" t="inlineStr">
        <is>
          <t>일반상업지역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500</v>
      </c>
      <c r="H177" s="4" t="n">
        <v>50</v>
      </c>
      <c r="I177" s="4" t="n">
        <v>33</v>
      </c>
      <c r="J177" s="4" t="n">
        <v>10</v>
      </c>
      <c r="K177" s="5" t="n">
        <v>5</v>
      </c>
      <c r="L177" s="4" t="n">
        <v>29</v>
      </c>
      <c r="M177" s="4" t="n">
        <v>9</v>
      </c>
      <c r="N177" s="5" t="n">
        <v>5.6</v>
      </c>
      <c r="O177" s="3" t="inlineStr">
        <is>
          <t>부강역과 중심상권 가깝고 넓은 대형 풀옵션 1.5룸</t>
        </is>
      </c>
      <c r="P177" s="6">
        <f>HYPERLINK("https://fin.land.naver.com/articles/2653277296", "매물Link")</f>
        <v/>
      </c>
      <c r="Q177" s="6">
        <f>HYPERLINK("https://map.naver.com/p/search/부강면 부강리 449-1", "지도Link")</f>
        <v/>
      </c>
      <c r="R177" s="6">
        <f>HYPERLINK("http://www.eum.go.kr/web/ar/lu/luLandDet.jsp?pnu=3611033021104490001&amp;isNoScr=script&amp;mode=search", "토지이음")</f>
        <v/>
      </c>
      <c r="S177" s="3" t="inlineStr">
        <is>
          <t>세종행복한</t>
        </is>
      </c>
      <c r="T177" s="4" t="n">
        <v>1</v>
      </c>
      <c r="U177" s="5" t="n">
        <v>429.1</v>
      </c>
      <c r="V177" s="4" t="n">
        <v>320</v>
      </c>
      <c r="W177" s="3" t="inlineStr">
        <is>
          <t>지정되지않음</t>
        </is>
      </c>
      <c r="X177" s="3" t="inlineStr">
        <is>
          <t>주상기타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중로한면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463-10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50</v>
      </c>
      <c r="I179" s="4" t="n">
        <v>45</v>
      </c>
      <c r="J179" s="4" t="n">
        <v>14</v>
      </c>
      <c r="K179" s="5" t="n">
        <v>3.6</v>
      </c>
      <c r="L179" s="4" t="n">
        <v>33</v>
      </c>
      <c r="M179" s="4" t="n">
        <v>10</v>
      </c>
      <c r="N179" s="5" t="n">
        <v>5</v>
      </c>
      <c r="O179" s="3" t="inlineStr">
        <is>
          <t>편의시설 초근접 풀옵션 1.5룸</t>
        </is>
      </c>
      <c r="P179" s="6">
        <f>HYPERLINK("https://fin.land.naver.com/articles/2652929725", "매물Link")</f>
        <v/>
      </c>
      <c r="Q179" s="6">
        <f>HYPERLINK("https://map.naver.com/p/search/부강면 부강리 463-10", "지도Link")</f>
        <v/>
      </c>
      <c r="R179" s="6">
        <f>HYPERLINK("http://www.eum.go.kr/web/ar/lu/luLandDet.jsp?pnu=3611033021104630010&amp;isNoScr=script&amp;mode=search", "토지이음")</f>
        <v/>
      </c>
      <c r="S179" s="3" t="inlineStr">
        <is>
          <t>세종시</t>
        </is>
      </c>
      <c r="T179" s="4" t="n">
        <v>1</v>
      </c>
      <c r="U179" s="5" t="n">
        <v>212.4</v>
      </c>
      <c r="V179" s="4" t="n">
        <v>932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부강면 부강리 463-10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전세</t>
        </is>
      </c>
      <c r="G180" s="4" t="n">
        <v>5000</v>
      </c>
      <c r="H180" s="4" t="n">
        <v>0</v>
      </c>
      <c r="I180" s="4" t="n">
        <v>45</v>
      </c>
      <c r="J180" s="4" t="n">
        <v>14</v>
      </c>
      <c r="K180" s="5" t="n">
        <v>357.1</v>
      </c>
      <c r="L180" s="4" t="n">
        <v>35</v>
      </c>
      <c r="M180" s="4" t="n">
        <v>11</v>
      </c>
      <c r="N180" s="5" t="n">
        <v>454.5</v>
      </c>
      <c r="O180" s="3" t="inlineStr">
        <is>
          <t>주차용이, 편의시설 초근접 1.5룸</t>
        </is>
      </c>
      <c r="P180" s="6">
        <f>HYPERLINK("https://fin.land.naver.com/articles/2652929816", "매물Link")</f>
        <v/>
      </c>
      <c r="Q180" s="6">
        <f>HYPERLINK("https://map.naver.com/p/search/부강면 부강리 463-10", "지도Link")</f>
        <v/>
      </c>
      <c r="R180" s="6">
        <f>HYPERLINK("http://www.eum.go.kr/web/ar/lu/luLandDet.jsp?pnu=3611033021104630010&amp;isNoScr=script&amp;mode=search", "토지이음")</f>
        <v/>
      </c>
      <c r="S180" s="3" t="inlineStr">
        <is>
          <t>세종시</t>
        </is>
      </c>
      <c r="T180" s="4" t="n">
        <v>1</v>
      </c>
      <c r="U180" s="5" t="n">
        <v>212.4</v>
      </c>
      <c r="V180" s="4" t="n">
        <v>932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39</v>
      </c>
      <c r="J181" s="4" t="n">
        <v>12</v>
      </c>
      <c r="K181" s="5" t="n">
        <v>9583.299999999999</v>
      </c>
      <c r="L181" s="4" t="n">
        <v>182</v>
      </c>
      <c r="M181" s="4" t="n">
        <v>55</v>
      </c>
      <c r="N181" s="5" t="n">
        <v>2090.9</v>
      </c>
      <c r="O181" s="3" t="inlineStr">
        <is>
          <t>세종빌 특가 매물 빠른 계약 추천</t>
        </is>
      </c>
      <c r="P181" s="6">
        <f>HYPERLINK("https://fin.land.naver.com/articles/2653282559",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SK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482-1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다가구</t>
        </is>
      </c>
      <c r="F182" s="3" t="inlineStr">
        <is>
          <t>매매</t>
        </is>
      </c>
      <c r="G182" s="4" t="n">
        <v>115000</v>
      </c>
      <c r="H182" s="4" t="n">
        <v>0</v>
      </c>
      <c r="I182" s="4" t="n">
        <v>284</v>
      </c>
      <c r="J182" s="4" t="n">
        <v>86</v>
      </c>
      <c r="K182" s="5" t="n">
        <v>1337.2</v>
      </c>
      <c r="L182" s="4" t="n">
        <v>565</v>
      </c>
      <c r="M182" s="4" t="n">
        <v>171</v>
      </c>
      <c r="N182" s="5" t="n">
        <v>672.5</v>
      </c>
      <c r="O182" s="3" t="inlineStr">
        <is>
          <t>부강초 인근 수익률 좋은 수익형 건물로 관리 잘된 다가구주택 매매이예요</t>
        </is>
      </c>
      <c r="P182" s="6">
        <f>HYPERLINK("https://fin.land.naver.com/articles/2654862528", "매물Link")</f>
        <v/>
      </c>
      <c r="Q182" s="6">
        <f>HYPERLINK("https://map.naver.com/p/search/부강면 부강리 482-1", "지도Link")</f>
        <v/>
      </c>
      <c r="R182" s="6">
        <f>HYPERLINK("http://www.eum.go.kr/web/ar/lu/luLandDet.jsp?pnu=3611033021104820001&amp;isNoScr=script&amp;mode=search", "토지이음")</f>
        <v/>
      </c>
      <c r="S182" s="3" t="inlineStr">
        <is>
          <t>4989명품</t>
        </is>
      </c>
      <c r="T182" s="4" t="n">
        <v>2</v>
      </c>
      <c r="U182" s="5" t="n">
        <v>359.3</v>
      </c>
      <c r="V182" s="4" t="n">
        <v>284</v>
      </c>
      <c r="W182" s="3" t="inlineStr">
        <is>
          <t>지정되지않음</t>
        </is>
      </c>
      <c r="X182" s="3" t="inlineStr">
        <is>
          <t>상업기타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소로한면</t>
        </is>
      </c>
    </row>
    <row r="183">
      <c r="A183" s="3" t="inlineStr">
        <is>
          <t>부강면 부강리 482-1</t>
        </is>
      </c>
      <c r="B183" s="3" t="inlineStr">
        <is>
          <t>일반상업지역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115000</v>
      </c>
      <c r="H183" s="4" t="n">
        <v>0</v>
      </c>
      <c r="I183" s="4" t="n">
        <v>284</v>
      </c>
      <c r="J183" s="4" t="n">
        <v>86</v>
      </c>
      <c r="K183" s="5" t="n">
        <v>1337.2</v>
      </c>
      <c r="L183" s="4" t="n">
        <v>565</v>
      </c>
      <c r="M183" s="4" t="n">
        <v>171</v>
      </c>
      <c r="N183" s="5" t="n">
        <v>672.5</v>
      </c>
      <c r="O183" s="3" t="inlineStr">
        <is>
          <t>직장인들에게 인기 있고 관리가 잘된 원룸입니다.</t>
        </is>
      </c>
      <c r="P183" s="6">
        <f>HYPERLINK("https://fin.land.naver.com/articles/2650315661", "매물Link")</f>
        <v/>
      </c>
      <c r="Q183" s="6">
        <f>HYPERLINK("https://map.naver.com/p/search/부강면 부강리 482-1", "지도Link")</f>
        <v/>
      </c>
      <c r="R183" s="6">
        <f>HYPERLINK("http://www.eum.go.kr/web/ar/lu/luLandDet.jsp?pnu=3611033021104820001&amp;isNoScr=script&amp;mode=search", "토지이음")</f>
        <v/>
      </c>
      <c r="S183" s="3" t="inlineStr">
        <is>
          <t>세종공감</t>
        </is>
      </c>
      <c r="T183" s="4" t="n">
        <v>1</v>
      </c>
      <c r="U183" s="5" t="n">
        <v>359.3</v>
      </c>
      <c r="V183" s="4" t="n">
        <v>284</v>
      </c>
      <c r="W183" s="3" t="inlineStr">
        <is>
          <t>지정되지않음</t>
        </is>
      </c>
      <c r="X183" s="3" t="inlineStr">
        <is>
          <t>상업기타</t>
        </is>
      </c>
      <c r="Y183" s="3" t="inlineStr">
        <is>
          <t>평지</t>
        </is>
      </c>
      <c r="Z183" s="3" t="inlineStr">
        <is>
          <t>부정형</t>
        </is>
      </c>
      <c r="AA183" s="3" t="inlineStr">
        <is>
          <t>소로한면</t>
        </is>
      </c>
    </row>
    <row r="184">
      <c r="A184" s="3" t="inlineStr">
        <is>
          <t>부강면 부강리 580-13</t>
        </is>
      </c>
      <c r="B184" s="3" t="inlineStr">
        <is>
          <t>생산녹지지역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빌라</t>
        </is>
      </c>
      <c r="F184" s="3" t="inlineStr">
        <is>
          <t>월세</t>
        </is>
      </c>
      <c r="G184" s="4" t="n">
        <v>300</v>
      </c>
      <c r="H184" s="4" t="n">
        <v>48</v>
      </c>
      <c r="I184" s="4" t="n">
        <v>40</v>
      </c>
      <c r="J184" s="4" t="n">
        <v>12</v>
      </c>
      <c r="K184" s="5" t="n">
        <v>4</v>
      </c>
      <c r="L184" s="4" t="n">
        <v>27</v>
      </c>
      <c r="M184" s="4" t="n">
        <v>8</v>
      </c>
      <c r="N184" s="5" t="n">
        <v>6</v>
      </c>
      <c r="O184" s="3" t="inlineStr">
        <is>
          <t>지원l첫입주 1룸l완전신상l즉시입주l남동향l수납장대박</t>
        </is>
      </c>
      <c r="P184" s="6">
        <f>HYPERLINK("https://fin.land.naver.com/articles/2654883258", "매물Link")</f>
        <v/>
      </c>
      <c r="Q184" s="6">
        <f>HYPERLINK("https://map.naver.com/p/search/부강면 부강리 580-13", "지도Link")</f>
        <v/>
      </c>
      <c r="R184" s="6">
        <f>HYPERLINK("http://www.eum.go.kr/web/ar/lu/luLandDet.jsp?pnu=3611033021105800013&amp;isNoScr=script&amp;mode=search", "토지이음")</f>
        <v/>
      </c>
      <c r="S184" s="3" t="inlineStr">
        <is>
          <t>지원</t>
        </is>
      </c>
      <c r="T184" s="4" t="n">
        <v>1</v>
      </c>
      <c r="U184" s="5" t="n">
        <v>175.5</v>
      </c>
      <c r="V184" s="4" t="n">
        <v>1550</v>
      </c>
      <c r="W184" s="3" t="inlineStr">
        <is>
          <t>지정되지않음</t>
        </is>
      </c>
      <c r="X184" s="3" t="inlineStr">
        <is>
          <t>연립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소로한면</t>
        </is>
      </c>
    </row>
    <row r="185">
      <c r="A185" s="3" t="inlineStr">
        <is>
          <t>부강면 부강리 937-1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300</v>
      </c>
      <c r="H185" s="4" t="n">
        <v>50</v>
      </c>
      <c r="I185" s="4" t="n">
        <v>50</v>
      </c>
      <c r="J185" s="4" t="n">
        <v>15</v>
      </c>
      <c r="K185" s="5" t="n">
        <v>3.3</v>
      </c>
      <c r="L185" s="4" t="n">
        <v>43</v>
      </c>
      <c r="M185" s="4" t="n">
        <v>13</v>
      </c>
      <c r="N185" s="5" t="n">
        <v>3.8</v>
      </c>
      <c r="O185" s="3" t="inlineStr">
        <is>
          <t>대박 투룸</t>
        </is>
      </c>
      <c r="P185" s="6">
        <f>HYPERLINK("https://fin.land.naver.com/articles/2654274127", "매물Link")</f>
        <v/>
      </c>
      <c r="Q185" s="6">
        <f>HYPERLINK("https://map.naver.com/p/search/부강면 부강리 937-1", "지도Link")</f>
        <v/>
      </c>
      <c r="R185" s="6">
        <f>HYPERLINK("http://www.eum.go.kr/web/ar/lu/luLandDet.jsp?pnu=3611033021109370001&amp;isNoScr=script&amp;mode=search",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210.1</v>
      </c>
      <c r="V185" s="4" t="n">
        <v>395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다가구</t>
        </is>
      </c>
      <c r="F186" s="3" t="inlineStr">
        <is>
          <t>월세</t>
        </is>
      </c>
      <c r="G186" s="4" t="n">
        <v>500</v>
      </c>
      <c r="H186" s="4" t="n">
        <v>70</v>
      </c>
      <c r="I186" s="4" t="n">
        <v>60</v>
      </c>
      <c r="J186" s="4" t="n">
        <v>18</v>
      </c>
      <c r="K186" s="5" t="n">
        <v>3.9</v>
      </c>
      <c r="L186" s="4" t="n">
        <v>50</v>
      </c>
      <c r="M186" s="4" t="n">
        <v>15</v>
      </c>
      <c r="N186" s="5" t="n">
        <v>4.7</v>
      </c>
      <c r="O186" s="3" t="inlineStr">
        <is>
          <t>대박 신축 투룸</t>
        </is>
      </c>
      <c r="P186" s="6">
        <f>HYPERLINK("https://fin.land.naver.com/articles/2652551499",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959-1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0</t>
        </is>
      </c>
      <c r="E187" s="3" t="inlineStr">
        <is>
          <t>다가구</t>
        </is>
      </c>
      <c r="F187" s="3" t="inlineStr">
        <is>
          <t>월세</t>
        </is>
      </c>
      <c r="G187" s="4" t="n">
        <v>500</v>
      </c>
      <c r="H187" s="4" t="n">
        <v>95</v>
      </c>
      <c r="I187" s="4" t="n">
        <v>92</v>
      </c>
      <c r="J187" s="4" t="n">
        <v>28</v>
      </c>
      <c r="K187" s="5" t="n">
        <v>3.4</v>
      </c>
      <c r="L187" s="4" t="n">
        <v>76</v>
      </c>
      <c r="M187" s="4" t="n">
        <v>23</v>
      </c>
      <c r="N187" s="5" t="n">
        <v>4.1</v>
      </c>
      <c r="O187" s="3" t="inlineStr">
        <is>
          <t>대박 신축 3룸 욕실2</t>
        </is>
      </c>
      <c r="P187" s="6">
        <f>HYPERLINK("https://fin.land.naver.com/articles/2652544293", "매물Link")</f>
        <v/>
      </c>
      <c r="Q187" s="6">
        <f>HYPERLINK("https://map.naver.com/p/search/부강면 부강리 959-1", "지도Link")</f>
        <v/>
      </c>
      <c r="R187" s="6">
        <f>HYPERLINK("http://www.eum.go.kr/web/ar/lu/luLandDet.jsp?pnu=3611033021109590001&amp;isNoScr=script&amp;mode=search", "토지이음")</f>
        <v/>
      </c>
      <c r="S187" s="3" t="inlineStr">
        <is>
          <t>부강대박</t>
        </is>
      </c>
      <c r="T187" s="4" t="n">
        <v>1</v>
      </c>
      <c r="U187" s="5" t="n">
        <v>207</v>
      </c>
      <c r="V187" s="4" t="n">
        <v>422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부정형</t>
        </is>
      </c>
      <c r="AA187" s="3" t="inlineStr">
        <is>
          <t>세로한면(가)</t>
        </is>
      </c>
    </row>
    <row r="188">
      <c r="A188" s="3" t="inlineStr">
        <is>
          <t>부강면 부강리 959-1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0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4000</v>
      </c>
      <c r="H188" s="4" t="n">
        <v>20</v>
      </c>
      <c r="I188" s="4" t="n">
        <v>40</v>
      </c>
      <c r="J188" s="4" t="n">
        <v>12</v>
      </c>
      <c r="K188" s="5" t="n">
        <v>1.7</v>
      </c>
      <c r="L188" s="4" t="n">
        <v>33</v>
      </c>
      <c r="M188" s="4" t="n">
        <v>10</v>
      </c>
      <c r="N188" s="5" t="n">
        <v>2</v>
      </c>
      <c r="O188" s="3" t="inlineStr">
        <is>
          <t>대박 신축 1.5룸</t>
        </is>
      </c>
      <c r="P188" s="6">
        <f>HYPERLINK("https://fin.land.naver.com/articles/2652545951", "매물Link")</f>
        <v/>
      </c>
      <c r="Q188" s="6">
        <f>HYPERLINK("https://map.naver.com/p/search/부강면 부강리 959-1", "지도Link")</f>
        <v/>
      </c>
      <c r="R188" s="6">
        <f>HYPERLINK("http://www.eum.go.kr/web/ar/lu/luLandDet.jsp?pnu=3611033021109590001&amp;isNoScr=script&amp;mode=search", "토지이음")</f>
        <v/>
      </c>
      <c r="S188" s="3" t="inlineStr">
        <is>
          <t>부강대박</t>
        </is>
      </c>
      <c r="T188" s="4" t="n">
        <v>1</v>
      </c>
      <c r="U188" s="5" t="n">
        <v>207</v>
      </c>
      <c r="V188" s="4" t="n">
        <v>422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부강면 부강리 966-10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200</v>
      </c>
      <c r="H189" s="4" t="n">
        <v>38</v>
      </c>
      <c r="I189" s="4" t="n">
        <v>30</v>
      </c>
      <c r="J189" s="4" t="n">
        <v>9</v>
      </c>
      <c r="K189" s="5" t="n">
        <v>4.2</v>
      </c>
      <c r="L189" s="4" t="n">
        <v>22</v>
      </c>
      <c r="M189" s="4" t="n">
        <v>7</v>
      </c>
      <c r="N189" s="5" t="n">
        <v>5.4</v>
      </c>
      <c r="O189" s="3" t="inlineStr">
        <is>
          <t>주차공간이 종흔 풀옵션 원룸</t>
        </is>
      </c>
      <c r="P189" s="6">
        <f>HYPERLINK("https://fin.land.naver.com/articles/2652929900", "매물Link")</f>
        <v/>
      </c>
      <c r="Q189" s="6">
        <f>HYPERLINK("https://map.naver.com/p/search/부강면 부강리 966-10", "지도Link")</f>
        <v/>
      </c>
      <c r="R189" s="6">
        <f>HYPERLINK("http://www.eum.go.kr/web/ar/lu/luLandDet.jsp?pnu=3611033021109660010&amp;isNoScr=script&amp;mode=search", "토지이음")</f>
        <v/>
      </c>
      <c r="S189" s="3" t="inlineStr">
        <is>
          <t>세종시</t>
        </is>
      </c>
      <c r="T189" s="4" t="n">
        <v>1</v>
      </c>
      <c r="U189" s="5" t="n">
        <v>234.3</v>
      </c>
      <c r="V189" s="4" t="n">
        <v>400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세로각지(가)</t>
        </is>
      </c>
    </row>
    <row r="190">
      <c r="A190" s="3" t="inlineStr">
        <is>
          <t>부강면 부강리 966-10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일반원룸</t>
        </is>
      </c>
      <c r="F190" s="3" t="inlineStr">
        <is>
          <t>단기임대</t>
        </is>
      </c>
      <c r="G190" s="4" t="n">
        <v>100</v>
      </c>
      <c r="H190" s="4" t="n">
        <v>60</v>
      </c>
      <c r="I190" s="4" t="n">
        <v>38</v>
      </c>
      <c r="J190" s="4" t="n">
        <v>11</v>
      </c>
      <c r="K190" s="5" t="n">
        <v>9.1</v>
      </c>
      <c r="L190" s="4" t="n">
        <v>33</v>
      </c>
      <c r="M190" s="4" t="n">
        <v>10</v>
      </c>
      <c r="N190" s="5" t="n">
        <v>10</v>
      </c>
      <c r="O190" s="3" t="inlineStr">
        <is>
          <t>풀옵션 1.5룸 단기임대</t>
        </is>
      </c>
      <c r="P190" s="6">
        <f>HYPERLINK("https://fin.land.naver.com/articles/2654096390", "매물Link")</f>
        <v/>
      </c>
      <c r="Q190" s="6">
        <f>HYPERLINK("https://map.naver.com/p/search/부강면 부강리 966-10", "지도Link")</f>
        <v/>
      </c>
      <c r="R190" s="6">
        <f>HYPERLINK("http://www.eum.go.kr/web/ar/lu/luLandDet.jsp?pnu=3611033021109660010&amp;isNoScr=script&amp;mode=search", "토지이음")</f>
        <v/>
      </c>
      <c r="S190" s="3" t="inlineStr">
        <is>
          <t>세종시</t>
        </is>
      </c>
      <c r="T190" s="4" t="n">
        <v>1</v>
      </c>
      <c r="U190" s="5" t="n">
        <v>234.3</v>
      </c>
      <c r="V190" s="4" t="n">
        <v>400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세로각지(가)</t>
        </is>
      </c>
    </row>
    <row r="191">
      <c r="A191" s="3" t="inlineStr">
        <is>
          <t>부강면 부강리 970-11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300</v>
      </c>
      <c r="H191" s="4" t="n">
        <v>55</v>
      </c>
      <c r="I191" s="4" t="n">
        <v>50</v>
      </c>
      <c r="J191" s="4" t="n">
        <v>15</v>
      </c>
      <c r="K191" s="5" t="n">
        <v>3.7</v>
      </c>
      <c r="L191" s="4" t="n">
        <v>40</v>
      </c>
      <c r="M191" s="4" t="n">
        <v>12</v>
      </c>
      <c r="N191" s="5" t="n">
        <v>4.6</v>
      </c>
      <c r="O191" s="3" t="inlineStr">
        <is>
          <t>지원l편세권.5룸lo멋진인테리어o위치최상</t>
        </is>
      </c>
      <c r="P191" s="6">
        <f>HYPERLINK("https://fin.land.naver.com/articles/2650948792", "매물Link")</f>
        <v/>
      </c>
      <c r="Q191" s="6">
        <f>HYPERLINK("https://map.naver.com/p/search/부강면 부강리 970-11", "지도Link")</f>
        <v/>
      </c>
      <c r="R191" s="6">
        <f>HYPERLINK("http://www.eum.go.kr/web/ar/lu/luLandDet.jsp?pnu=3611033021109700011&amp;isNoScr=script&amp;mode=search", "토지이음")</f>
        <v/>
      </c>
      <c r="S191" s="3" t="inlineStr">
        <is>
          <t>지원</t>
        </is>
      </c>
      <c r="T191" s="4" t="n">
        <v>1</v>
      </c>
      <c r="U191" s="5" t="n">
        <v>212.9</v>
      </c>
      <c r="V191" s="4" t="n">
        <v>392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부강면 부강리 970-2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150000</v>
      </c>
      <c r="H192" s="4" t="n">
        <v>0</v>
      </c>
      <c r="I192" s="4" t="n">
        <v>401</v>
      </c>
      <c r="J192" s="4" t="n">
        <v>121</v>
      </c>
      <c r="K192" s="5" t="n">
        <v>1239.7</v>
      </c>
      <c r="L192" s="4" t="n">
        <v>597</v>
      </c>
      <c r="M192" s="4" t="n">
        <v>181</v>
      </c>
      <c r="N192" s="5" t="n">
        <v>828.7</v>
      </c>
      <c r="O192" s="3" t="inlineStr">
        <is>
          <t>nan</t>
        </is>
      </c>
      <c r="P192" s="6">
        <f>HYPERLINK("https://fin.land.naver.com/articles/2649601044", "매물Link")</f>
        <v/>
      </c>
      <c r="Q192" s="6">
        <f>HYPERLINK("https://map.naver.com/p/search/부강면 부강리 970-2", "지도Link")</f>
        <v/>
      </c>
      <c r="R192" s="6">
        <f>HYPERLINK("http://www.eum.go.kr/web/ar/lu/luLandDet.jsp?pnu=3611033021109700002&amp;isNoScr=script&amp;mode=search", "토지이음")</f>
        <v/>
      </c>
      <c r="S192" s="3" t="inlineStr">
        <is>
          <t>성훈</t>
        </is>
      </c>
      <c r="T192" s="4" t="n">
        <v>1</v>
      </c>
      <c r="U192" s="5" t="n">
        <v>204.4</v>
      </c>
      <c r="V192" s="4" t="n">
        <v>401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부강면 부강리 971-5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일반원룸</t>
        </is>
      </c>
      <c r="F193" s="3" t="inlineStr">
        <is>
          <t>월세</t>
        </is>
      </c>
      <c r="G193" s="4" t="n">
        <v>500</v>
      </c>
      <c r="H193" s="4" t="n">
        <v>50</v>
      </c>
      <c r="I193" s="4" t="n">
        <v>40</v>
      </c>
      <c r="J193" s="4" t="n">
        <v>12</v>
      </c>
      <c r="K193" s="5" t="n">
        <v>4.2</v>
      </c>
      <c r="L193" s="4" t="n">
        <v>33</v>
      </c>
      <c r="M193" s="4" t="n">
        <v>10</v>
      </c>
      <c r="N193" s="5" t="n">
        <v>5</v>
      </c>
      <c r="O193" s="3" t="inlineStr">
        <is>
          <t>신축급 풀옵션 1.5룸</t>
        </is>
      </c>
      <c r="P193" s="6">
        <f>HYPERLINK("https://fin.land.naver.com/articles/2653297083", "매물Link")</f>
        <v/>
      </c>
      <c r="Q193" s="6">
        <f>HYPERLINK("https://map.naver.com/p/search/부강면 부강리 971-5", "지도Link")</f>
        <v/>
      </c>
      <c r="R193" s="6">
        <f>HYPERLINK("http://www.eum.go.kr/web/ar/lu/luLandDet.jsp?pnu=3611033021109710005&amp;isNoScr=script&amp;mode=search", "토지이음")</f>
        <v/>
      </c>
      <c r="S193" s="3" t="inlineStr">
        <is>
          <t>세종시</t>
        </is>
      </c>
      <c r="T193" s="4" t="n">
        <v>1</v>
      </c>
      <c r="U193" s="5" t="n">
        <v>230</v>
      </c>
      <c r="V193" s="4" t="n">
        <v>390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세로각지(가)</t>
        </is>
      </c>
    </row>
    <row r="194">
      <c r="A194" s="3" t="inlineStr">
        <is>
          <t>부강면 부강리 973-25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다가구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321</v>
      </c>
      <c r="J194" s="4" t="n">
        <v>97</v>
      </c>
      <c r="K194" s="5" t="n">
        <v>1443.3</v>
      </c>
      <c r="L194" s="4" t="n">
        <v>452</v>
      </c>
      <c r="M194" s="4" t="n">
        <v>137</v>
      </c>
      <c r="N194" s="5" t="n">
        <v>1021.9</v>
      </c>
      <c r="O194" s="3" t="inlineStr">
        <is>
          <t>사진보기, 신축, 부강역,공단인근 세입자수요많은지역 높은수익률,만실운영중</t>
        </is>
      </c>
      <c r="P194" s="6">
        <f>HYPERLINK("https://fin.land.naver.com/articles/2649586451", "매물Link")</f>
        <v/>
      </c>
      <c r="Q194" s="6">
        <f>HYPERLINK("https://map.naver.com/p/search/부강면 부강리 973-25", "지도Link")</f>
        <v/>
      </c>
      <c r="R194" s="6">
        <f>HYPERLINK("http://www.eum.go.kr/web/ar/lu/luLandDet.jsp?pnu=3611033021109730025&amp;isNoScr=script&amp;mode=search", "토지이음")</f>
        <v/>
      </c>
      <c r="S194" s="3" t="inlineStr">
        <is>
          <t>향기나는방</t>
        </is>
      </c>
      <c r="T194" s="4" t="n">
        <v>1</v>
      </c>
      <c r="U194" s="5" t="n">
        <v>184.9</v>
      </c>
      <c r="V194" s="4" t="n">
        <v>321</v>
      </c>
      <c r="W194" s="3" t="inlineStr">
        <is>
          <t>지정되지않음</t>
        </is>
      </c>
      <c r="X194" s="3" t="inlineStr">
        <is>
          <t>주거기타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세로한면(가)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태양광, 방4개, 화장실3개, 각방 에어컨, 실링팬</t>
        </is>
      </c>
      <c r="P195" s="6">
        <f>HYPERLINK("https://fin.land.naver.com/articles/2654227256",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명진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1046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140000</v>
      </c>
      <c r="H196" s="4" t="n">
        <v>0</v>
      </c>
      <c r="I196" s="4" t="n">
        <v>33</v>
      </c>
      <c r="J196" s="4" t="n">
        <v>10</v>
      </c>
      <c r="K196" s="5" t="n">
        <v>14000</v>
      </c>
      <c r="L196" s="4" t="n">
        <v>157</v>
      </c>
      <c r="M196" s="4" t="n">
        <v>47</v>
      </c>
      <c r="N196" s="5" t="n">
        <v>2978.7</v>
      </c>
      <c r="O196" s="3" t="inlineStr">
        <is>
          <t>교통편리한 세종 아름동 주택가, 서울세종고속도로,국도1호선, 세종외곽도로</t>
        </is>
      </c>
      <c r="P196" s="6">
        <f>HYPERLINK("https://fin.land.naver.com/articles/2651678765", "매물Link")</f>
        <v/>
      </c>
      <c r="Q196" s="6">
        <f>HYPERLINK("https://map.naver.com/p/search/아름동 1046", "지도Link")</f>
        <v/>
      </c>
      <c r="R196" s="6">
        <f>HYPERLINK("http://www.eum.go.kr/web/ar/lu/luLandDet.jsp?pnu=3611011300110460000&amp;isNoScr=script&amp;mode=search", "토지이음")</f>
        <v/>
      </c>
      <c r="S196" s="3" t="inlineStr">
        <is>
          <t>아름</t>
        </is>
      </c>
      <c r="T196" s="4" t="n">
        <v>1</v>
      </c>
      <c r="U196" s="5" t="n">
        <v>353.1</v>
      </c>
      <c r="V196" s="4" t="n">
        <v>332.4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1046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140000</v>
      </c>
      <c r="H197" s="4" t="n">
        <v>0</v>
      </c>
      <c r="I197" s="4" t="n">
        <v>332</v>
      </c>
      <c r="J197" s="4" t="n">
        <v>100</v>
      </c>
      <c r="K197" s="5" t="n">
        <v>1400</v>
      </c>
      <c r="L197" s="4" t="n">
        <v>165</v>
      </c>
      <c r="M197" s="4" t="n">
        <v>50</v>
      </c>
      <c r="N197" s="5" t="n">
        <v>2800</v>
      </c>
      <c r="O197" s="3" t="inlineStr">
        <is>
          <t>태양광설치, 풀에어컨, 실링팬, 방4개, 화장실3개</t>
        </is>
      </c>
      <c r="P197" s="6">
        <f>HYPERLINK("https://fin.land.naver.com/articles/2652842053", "매물Link")</f>
        <v/>
      </c>
      <c r="Q197" s="6">
        <f>HYPERLINK("https://map.naver.com/p/search/아름동 1046", "지도Link")</f>
        <v/>
      </c>
      <c r="R197" s="6">
        <f>HYPERLINK("http://www.eum.go.kr/web/ar/lu/luLandDet.jsp?pnu=3611011300110460000&amp;isNoScr=script&amp;mode=search", "토지이음")</f>
        <v/>
      </c>
      <c r="S197" s="3" t="inlineStr">
        <is>
          <t>세종무지개</t>
        </is>
      </c>
      <c r="T197" s="4" t="n">
        <v>1</v>
      </c>
      <c r="U197" s="5" t="n">
        <v>353.1</v>
      </c>
      <c r="V197" s="4" t="n">
        <v>332.4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1113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105000</v>
      </c>
      <c r="H198" s="4" t="n">
        <v>0</v>
      </c>
      <c r="I198" s="4" t="n">
        <v>327</v>
      </c>
      <c r="J198" s="4" t="n">
        <v>99</v>
      </c>
      <c r="K198" s="5" t="n">
        <v>1060.6</v>
      </c>
      <c r="L198" s="4" t="n">
        <v>149</v>
      </c>
      <c r="M198" s="4" t="n">
        <v>45</v>
      </c>
      <c r="N198" s="5" t="n">
        <v>2333.3</v>
      </c>
      <c r="O198" s="3" t="inlineStr">
        <is>
          <t>정남향 충대병원  단독매매</t>
        </is>
      </c>
      <c r="P198" s="6">
        <f>HYPERLINK("https://fin.land.naver.com/articles/2654518463", "매물Link")</f>
        <v/>
      </c>
      <c r="Q198" s="6">
        <f>HYPERLINK("https://map.naver.com/p/search/아름동 1113", "지도Link")</f>
        <v/>
      </c>
      <c r="R198" s="6">
        <f>HYPERLINK("http://www.eum.go.kr/web/ar/lu/luLandDet.jsp?pnu=3611011300111130000&amp;isNoScr=script&amp;mode=search", "토지이음")</f>
        <v/>
      </c>
      <c r="S198" s="3" t="inlineStr">
        <is>
          <t>THE행복</t>
        </is>
      </c>
      <c r="T198" s="4" t="n">
        <v>1</v>
      </c>
      <c r="U198" s="5" t="n">
        <v>356.4</v>
      </c>
      <c r="V198" s="4" t="n">
        <v>327.5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남향집으로 따뜻한 집 입니다. 입주는 협의 가능하며 가격절충가능합니다.</t>
        </is>
      </c>
      <c r="P199" s="6">
        <f>HYPERLINK("https://fin.land.naver.com/articles/2653236355",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주황푸르지오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벽난로. 태양광, 국제고인근 남향. 가격조율 가능한</t>
        </is>
      </c>
      <c r="P200" s="6">
        <f>HYPERLINK("https://fin.land.naver.com/articles/2652825554",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최무연</t>
        </is>
      </c>
      <c r="T200" s="4" t="n">
        <v>1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1148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단독</t>
        </is>
      </c>
      <c r="F201" s="3" t="inlineStr">
        <is>
          <t>매매</t>
        </is>
      </c>
      <c r="G201" s="4" t="n">
        <v>130000</v>
      </c>
      <c r="H201" s="4" t="n">
        <v>0</v>
      </c>
      <c r="I201" s="4" t="n">
        <v>328</v>
      </c>
      <c r="J201" s="4" t="n">
        <v>99</v>
      </c>
      <c r="K201" s="5" t="n">
        <v>1313.1</v>
      </c>
      <c r="L201" s="4" t="n">
        <v>148</v>
      </c>
      <c r="M201" s="4" t="n">
        <v>45</v>
      </c>
      <c r="N201" s="5" t="n">
        <v>2888.9</v>
      </c>
      <c r="O201" s="3" t="inlineStr">
        <is>
          <t>벽난로, 태양광, 정남향으로 가격조율가능한 단독주택</t>
        </is>
      </c>
      <c r="P201" s="6">
        <f>HYPERLINK("https://fin.land.naver.com/articles/2654933365", "매물Link")</f>
        <v/>
      </c>
      <c r="Q201" s="6">
        <f>HYPERLINK("https://map.naver.com/p/search/아름동 1148", "지도Link")</f>
        <v/>
      </c>
      <c r="R201" s="6">
        <f>HYPERLINK("http://www.eum.go.kr/web/ar/lu/luLandDet.jsp?pnu=3611011300111480000&amp;isNoScr=script&amp;mode=search", "토지이음")</f>
        <v/>
      </c>
      <c r="S201" s="3" t="inlineStr">
        <is>
          <t>명진</t>
        </is>
      </c>
      <c r="T201" s="4" t="n">
        <v>2</v>
      </c>
      <c r="U201" s="5" t="n">
        <v>356.4</v>
      </c>
      <c r="V201" s="4" t="n">
        <v>328.7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1148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130000</v>
      </c>
      <c r="H202" s="4" t="n">
        <v>0</v>
      </c>
      <c r="I202" s="4" t="n">
        <v>328</v>
      </c>
      <c r="J202" s="4" t="n">
        <v>99</v>
      </c>
      <c r="K202" s="5" t="n">
        <v>1313.1</v>
      </c>
      <c r="L202" s="4" t="n">
        <v>148</v>
      </c>
      <c r="M202" s="4" t="n">
        <v>45</v>
      </c>
      <c r="N202" s="5" t="n">
        <v>2888.9</v>
      </c>
      <c r="O202" s="3" t="inlineStr">
        <is>
          <t>조율가능 국제고인근 정남향 아이들의 놀이터같은 특색주택</t>
        </is>
      </c>
      <c r="P202" s="6">
        <f>HYPERLINK("https://fin.land.naver.com/articles/2654863236", "매물Link")</f>
        <v/>
      </c>
      <c r="Q202" s="6">
        <f>HYPERLINK("https://map.naver.com/p/search/아름동 1148", "지도Link")</f>
        <v/>
      </c>
      <c r="R202" s="6">
        <f>HYPERLINK("http://www.eum.go.kr/web/ar/lu/luLandDet.jsp?pnu=3611011300111480000&amp;isNoScr=script&amp;mode=search", "토지이음")</f>
        <v/>
      </c>
      <c r="S202" s="3" t="inlineStr">
        <is>
          <t>세종스타</t>
        </is>
      </c>
      <c r="T202" s="4" t="n">
        <v>2</v>
      </c>
      <c r="U202" s="5" t="n">
        <v>356.4</v>
      </c>
      <c r="V202" s="4" t="n">
        <v>328.7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1224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107000</v>
      </c>
      <c r="H203" s="4" t="n">
        <v>0</v>
      </c>
      <c r="I203" s="4" t="n">
        <v>364</v>
      </c>
      <c r="J203" s="4" t="n">
        <v>110</v>
      </c>
      <c r="K203" s="5" t="n">
        <v>972.7</v>
      </c>
      <c r="L203" s="4" t="n">
        <v>179</v>
      </c>
      <c r="M203" s="4" t="n">
        <v>54</v>
      </c>
      <c r="N203" s="5" t="n">
        <v>1981.5</v>
      </c>
      <c r="O203" s="3" t="inlineStr">
        <is>
          <t>아름초, 입지 좋은 단독주택, 상권이용 편리</t>
        </is>
      </c>
      <c r="P203" s="6">
        <f>HYPERLINK("https://fin.land.naver.com/articles/2654049608", "매물Link")</f>
        <v/>
      </c>
      <c r="Q203" s="6">
        <f>HYPERLINK("https://map.naver.com/p/search/아름동 1224", "지도Link")</f>
        <v/>
      </c>
      <c r="R203" s="6">
        <f>HYPERLINK("http://www.eum.go.kr/web/ar/lu/luLandDet.jsp?pnu=3611011300112240000&amp;isNoScr=script&amp;mode=search", "토지이음")</f>
        <v/>
      </c>
      <c r="S203" s="3" t="inlineStr">
        <is>
          <t>세종무지개</t>
        </is>
      </c>
      <c r="T203" s="4" t="n">
        <v>1</v>
      </c>
      <c r="U203" s="5" t="n">
        <v>343.1</v>
      </c>
      <c r="V203" s="4" t="n">
        <v>364.6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160</v>
      </c>
      <c r="J204" s="4" t="n">
        <v>48</v>
      </c>
      <c r="K204" s="5" t="n">
        <v>2916.7</v>
      </c>
      <c r="L204" s="4" t="n">
        <v>160</v>
      </c>
      <c r="M204" s="4" t="n">
        <v>48</v>
      </c>
      <c r="N204" s="5" t="n">
        <v>2916.7</v>
      </c>
      <c r="O204" s="3" t="inlineStr">
        <is>
          <t>2층주택, 현재 주인거주로 잘 관리된 집</t>
        </is>
      </c>
      <c r="P204" s="6">
        <f>HYPERLINK("https://fin.land.naver.com/articles/2652794190",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강아지풀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140000</v>
      </c>
      <c r="H205" s="4" t="n">
        <v>0</v>
      </c>
      <c r="I205" s="4" t="n">
        <v>353</v>
      </c>
      <c r="J205" s="4" t="n">
        <v>107</v>
      </c>
      <c r="K205" s="5" t="n">
        <v>1308.4</v>
      </c>
      <c r="L205" s="4" t="n">
        <v>160</v>
      </c>
      <c r="M205" s="4" t="n">
        <v>48</v>
      </c>
      <c r="N205" s="5" t="n">
        <v>2916.7</v>
      </c>
      <c r="O205" s="3" t="inlineStr">
        <is>
          <t>주택 에어컨5개 마당있고 편안한 주택매물입니다.</t>
        </is>
      </c>
      <c r="P205" s="6">
        <f>HYPERLINK("https://fin.land.naver.com/articles/2654113974",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세석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전용 48.6p, 1.2층 단독주택, 시스템에어컨풀, 협의입주</t>
        </is>
      </c>
      <c r="P206" s="6">
        <f>HYPERLINK("https://fin.land.naver.com/articles/2654893215",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명진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145000</v>
      </c>
      <c r="H207" s="4" t="n">
        <v>0</v>
      </c>
      <c r="I207" s="4" t="n">
        <v>353</v>
      </c>
      <c r="J207" s="4" t="n">
        <v>107</v>
      </c>
      <c r="K207" s="5" t="n">
        <v>1355.1</v>
      </c>
      <c r="L207" s="4" t="n">
        <v>160</v>
      </c>
      <c r="M207" s="4" t="n">
        <v>48</v>
      </c>
      <c r="N207" s="5" t="n">
        <v>3020.8</v>
      </c>
      <c r="O207" s="3" t="inlineStr">
        <is>
          <t>튼튼하게 지어진 집   교통편리 정남향</t>
        </is>
      </c>
      <c r="P207" s="6">
        <f>HYPERLINK("https://fin.land.naver.com/articles/2652845581",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세종푸르지오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정원있는 조용한 전원주택 매매</t>
        </is>
      </c>
      <c r="P208" s="6">
        <f>HYPERLINK("https://fin.land.naver.com/articles/2650453397",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인서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1241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140000</v>
      </c>
      <c r="H209" s="4" t="n">
        <v>0</v>
      </c>
      <c r="I209" s="4" t="n">
        <v>353</v>
      </c>
      <c r="J209" s="4" t="n">
        <v>107</v>
      </c>
      <c r="K209" s="5" t="n">
        <v>1308.4</v>
      </c>
      <c r="L209" s="4" t="n">
        <v>160</v>
      </c>
      <c r="M209" s="4" t="n">
        <v>48</v>
      </c>
      <c r="N209" s="5" t="n">
        <v>2916.7</v>
      </c>
      <c r="O209" s="3" t="inlineStr">
        <is>
          <t>시스템에어컨풀, 주인거주, 협의입주, 1.2층 단독주택</t>
        </is>
      </c>
      <c r="P209" s="6">
        <f>HYPERLINK("https://fin.land.naver.com/articles/2652838554", "매물Link")</f>
        <v/>
      </c>
      <c r="Q209" s="6">
        <f>HYPERLINK("https://map.naver.com/p/search/아름동 1241", "지도Link")</f>
        <v/>
      </c>
      <c r="R209" s="6">
        <f>HYPERLINK("http://www.eum.go.kr/web/ar/lu/luLandDet.jsp?pnu=3611011300112410000&amp;isNoScr=script&amp;mode=search",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343.1</v>
      </c>
      <c r="V209" s="4" t="n">
        <v>353.2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가로장방</t>
        </is>
      </c>
      <c r="AA209" s="3" t="inlineStr">
        <is>
          <t>소로한면</t>
        </is>
      </c>
    </row>
    <row r="210">
      <c r="A210" s="3" t="inlineStr">
        <is>
          <t>아름동 1241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353</v>
      </c>
      <c r="J210" s="4" t="n">
        <v>107</v>
      </c>
      <c r="K210" s="5" t="n">
        <v>1355.1</v>
      </c>
      <c r="L210" s="4" t="n">
        <v>160</v>
      </c>
      <c r="M210" s="4" t="n">
        <v>48</v>
      </c>
      <c r="N210" s="5" t="n">
        <v>3020.8</v>
      </c>
      <c r="O210" s="3" t="inlineStr">
        <is>
          <t>철근콘크리트 튼튼  시스템에어컨 5대 단독 매매</t>
        </is>
      </c>
      <c r="P210" s="6">
        <f>HYPERLINK("https://fin.land.naver.com/articles/2650613200", "매물Link")</f>
        <v/>
      </c>
      <c r="Q210" s="6">
        <f>HYPERLINK("https://map.naver.com/p/search/아름동 1241", "지도Link")</f>
        <v/>
      </c>
      <c r="R210" s="6">
        <f>HYPERLINK("http://www.eum.go.kr/web/ar/lu/luLandDet.jsp?pnu=3611011300112410000&amp;isNoScr=script&amp;mode=search", "토지이음")</f>
        <v/>
      </c>
      <c r="S210" s="3" t="inlineStr">
        <is>
          <t>THE행복</t>
        </is>
      </c>
      <c r="T210" s="4" t="n">
        <v>1</v>
      </c>
      <c r="U210" s="5" t="n">
        <v>343.1</v>
      </c>
      <c r="V210" s="4" t="n">
        <v>353.2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가로장방</t>
        </is>
      </c>
      <c r="AA210" s="3" t="inlineStr">
        <is>
          <t>소로한면</t>
        </is>
      </c>
    </row>
    <row r="211">
      <c r="A211" s="3" t="inlineStr">
        <is>
          <t>아름동 1394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145000</v>
      </c>
      <c r="H211" s="4" t="n">
        <v>0</v>
      </c>
      <c r="I211" s="4" t="n">
        <v>303</v>
      </c>
      <c r="J211" s="4" t="n">
        <v>92</v>
      </c>
      <c r="K211" s="5" t="n">
        <v>1576.1</v>
      </c>
      <c r="L211" s="4" t="n">
        <v>181</v>
      </c>
      <c r="M211" s="4" t="n">
        <v>55</v>
      </c>
      <c r="N211" s="5" t="n">
        <v>2636.4</v>
      </c>
      <c r="O211" s="3" t="inlineStr">
        <is>
          <t>내부상태 청결하고 양호함,중심학원가 근접</t>
        </is>
      </c>
      <c r="P211" s="6">
        <f>HYPERLINK("https://fin.land.naver.com/articles/2650656957", "매물Link")</f>
        <v/>
      </c>
      <c r="Q211" s="6">
        <f>HYPERLINK("https://map.naver.com/p/search/아름동 1394", "지도Link")</f>
        <v/>
      </c>
      <c r="R211" s="6">
        <f>HYPERLINK("http://www.eum.go.kr/web/ar/lu/luLandDet.jsp?pnu=3611011300113940000&amp;isNoScr=script&amp;mode=search", "토지이음")</f>
        <v/>
      </c>
      <c r="S211" s="3" t="inlineStr">
        <is>
          <t>킹세종</t>
        </is>
      </c>
      <c r="T211" s="4" t="n">
        <v>1</v>
      </c>
      <c r="U211" s="5" t="n">
        <v>338.2</v>
      </c>
      <c r="V211" s="4" t="n">
        <v>303.7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세로장방</t>
        </is>
      </c>
      <c r="AA211" s="3" t="inlineStr">
        <is>
          <t>소로한면</t>
        </is>
      </c>
    </row>
    <row r="212">
      <c r="A212" s="3" t="inlineStr">
        <is>
          <t>아름동 1408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145000</v>
      </c>
      <c r="H212" s="4" t="n">
        <v>0</v>
      </c>
      <c r="I212" s="4" t="n">
        <v>303</v>
      </c>
      <c r="J212" s="4" t="n">
        <v>92</v>
      </c>
      <c r="K212" s="5" t="n">
        <v>1576.1</v>
      </c>
      <c r="L212" s="4" t="n">
        <v>204</v>
      </c>
      <c r="M212" s="4" t="n">
        <v>62</v>
      </c>
      <c r="N212" s="5" t="n">
        <v>2338.7</v>
      </c>
      <c r="O212" s="3" t="inlineStr">
        <is>
          <t>남향에 위치 좋은집  분리세대로 2층 시스탬에어컨2대 설치 협의 입주</t>
        </is>
      </c>
      <c r="P212" s="6">
        <f>HYPERLINK("https://fin.land.naver.com/articles/2649764622", "매물Link")</f>
        <v/>
      </c>
      <c r="Q212" s="6">
        <f>HYPERLINK("https://map.naver.com/p/search/아름동 1408", "지도Link")</f>
        <v/>
      </c>
      <c r="R212" s="6">
        <f>HYPERLINK("http://www.eum.go.kr/web/ar/lu/luLandDet.jsp?pnu=3611011300114080000&amp;isNoScr=script&amp;mode=search", "토지이음")</f>
        <v/>
      </c>
      <c r="S212" s="3" t="inlineStr">
        <is>
          <t>주황푸르지오</t>
        </is>
      </c>
      <c r="T212" s="4" t="n">
        <v>1</v>
      </c>
      <c r="U212" s="5" t="n">
        <v>338.2</v>
      </c>
      <c r="V212" s="4" t="n">
        <v>303.7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세로장방</t>
        </is>
      </c>
      <c r="AA212" s="3" t="inlineStr">
        <is>
          <t>소로한면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최근 리모델링한 단독주택 매매, 방3개, 욕실2개</t>
        </is>
      </c>
      <c r="P213" s="6">
        <f>HYPERLINK("https://fin.land.naver.com/articles/2654874588",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명진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856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135000</v>
      </c>
      <c r="H214" s="4" t="n">
        <v>0</v>
      </c>
      <c r="I214" s="4" t="n">
        <v>285</v>
      </c>
      <c r="J214" s="4" t="n">
        <v>86</v>
      </c>
      <c r="K214" s="5" t="n">
        <v>1569.8</v>
      </c>
      <c r="L214" s="4" t="n">
        <v>178</v>
      </c>
      <c r="M214" s="4" t="n">
        <v>54</v>
      </c>
      <c r="N214" s="5" t="n">
        <v>2500</v>
      </c>
      <c r="O214" s="3" t="inlineStr">
        <is>
          <t>아름동 입지좋은 단독주택 매매, 올리모델링</t>
        </is>
      </c>
      <c r="P214" s="6">
        <f>HYPERLINK("https://fin.land.naver.com/articles/2654691330", "매물Link")</f>
        <v/>
      </c>
      <c r="Q214" s="6">
        <f>HYPERLINK("https://map.naver.com/p/search/아름동 856", "지도Link")</f>
        <v/>
      </c>
      <c r="R214" s="6">
        <f>HYPERLINK("http://www.eum.go.kr/web/ar/lu/luLandDet.jsp?pnu=3611011300108560000&amp;isNoScr=script&amp;mode=search", "토지이음")</f>
        <v/>
      </c>
      <c r="S214" s="3" t="inlineStr">
        <is>
          <t>세종무지개</t>
        </is>
      </c>
      <c r="T214" s="4" t="n">
        <v>1</v>
      </c>
      <c r="U214" s="5" t="n">
        <v>356.7</v>
      </c>
      <c r="V214" s="4" t="n">
        <v>285.9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소로각지</t>
        </is>
      </c>
    </row>
    <row r="215">
      <c r="A215" s="3" t="inlineStr">
        <is>
          <t>아름동 856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135000</v>
      </c>
      <c r="H215" s="4" t="n">
        <v>0</v>
      </c>
      <c r="I215" s="4" t="n">
        <v>285</v>
      </c>
      <c r="J215" s="4" t="n">
        <v>86</v>
      </c>
      <c r="K215" s="5" t="n">
        <v>1569.8</v>
      </c>
      <c r="L215" s="4" t="n">
        <v>178</v>
      </c>
      <c r="M215" s="4" t="n">
        <v>54</v>
      </c>
      <c r="N215" s="5" t="n">
        <v>2500</v>
      </c>
      <c r="O215" s="3" t="inlineStr">
        <is>
          <t>올리모델링 방3개 욕실3개 시스템에어컨5대 조율가능</t>
        </is>
      </c>
      <c r="P215" s="6">
        <f>HYPERLINK("https://fin.land.naver.com/articles/2655177366", "매물Link")</f>
        <v/>
      </c>
      <c r="Q215" s="6">
        <f>HYPERLINK("https://map.naver.com/p/search/아름동 856", "지도Link")</f>
        <v/>
      </c>
      <c r="R215" s="6">
        <f>HYPERLINK("http://www.eum.go.kr/web/ar/lu/luLandDet.jsp?pnu=3611011300108560000&amp;isNoScr=script&amp;mode=search", "토지이음")</f>
        <v/>
      </c>
      <c r="S215" s="3" t="inlineStr">
        <is>
          <t>세종스타</t>
        </is>
      </c>
      <c r="T215" s="4" t="n">
        <v>1</v>
      </c>
      <c r="U215" s="5" t="n">
        <v>356.7</v>
      </c>
      <c r="V215" s="4" t="n">
        <v>285.9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소로각지</t>
        </is>
      </c>
    </row>
    <row r="216">
      <c r="A216" s="3" t="inlineStr">
        <is>
          <t>아름동 862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314</v>
      </c>
      <c r="J216" s="4" t="n">
        <v>95</v>
      </c>
      <c r="K216" s="5" t="n">
        <v>1126.3</v>
      </c>
      <c r="L216" s="4" t="n">
        <v>147</v>
      </c>
      <c r="M216" s="4" t="n">
        <v>44</v>
      </c>
      <c r="N216" s="5" t="n">
        <v>2431.8</v>
      </c>
      <c r="O216" s="3" t="inlineStr">
        <is>
          <t>급매 전세끼고 매매 리모델링됨 마당넓음</t>
        </is>
      </c>
      <c r="P216" s="6">
        <f>HYPERLINK("https://fin.land.naver.com/articles/2651116835", "매물Link")</f>
        <v/>
      </c>
      <c r="Q216" s="6">
        <f>HYPERLINK("https://map.naver.com/p/search/아름동 862", "지도Link")</f>
        <v/>
      </c>
      <c r="R216" s="6">
        <f>HYPERLINK("http://www.eum.go.kr/web/ar/lu/luLandDet.jsp?pnu=3611011300108620000&amp;isNoScr=script&amp;mode=search", "토지이음")</f>
        <v/>
      </c>
      <c r="S216" s="3" t="inlineStr">
        <is>
          <t>세종스타</t>
        </is>
      </c>
      <c r="T216" s="4" t="n">
        <v>1</v>
      </c>
      <c r="U216" s="5" t="n">
        <v>339.8</v>
      </c>
      <c r="V216" s="4" t="n">
        <v>314.8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가로장방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nan</t>
        </is>
      </c>
      <c r="P217" s="6">
        <f>HYPERLINK("https://fin.land.naver.com/articles/2652438889",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세종갑부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875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340</v>
      </c>
      <c r="J218" s="4" t="n">
        <v>103</v>
      </c>
      <c r="K218" s="5" t="n">
        <v>1553.4</v>
      </c>
      <c r="L218" s="4" t="n">
        <v>192</v>
      </c>
      <c r="M218" s="4" t="n">
        <v>58</v>
      </c>
      <c r="N218" s="5" t="n">
        <v>2758.6</v>
      </c>
      <c r="O218" s="3" t="inlineStr">
        <is>
          <t>입주협의 위치좋은 단독주택 관리상태굿 가격조정가능</t>
        </is>
      </c>
      <c r="P218" s="6">
        <f>HYPERLINK("https://fin.land.naver.com/articles/2650696710", "매물Link")</f>
        <v/>
      </c>
      <c r="Q218" s="6">
        <f>HYPERLINK("https://map.naver.com/p/search/아름동 875", "지도Link")</f>
        <v/>
      </c>
      <c r="R218" s="6">
        <f>HYPERLINK("http://www.eum.go.kr/web/ar/lu/luLandDet.jsp?pnu=3611011300108750000&amp;isNoScr=script&amp;mode=search", "토지이음")</f>
        <v/>
      </c>
      <c r="S218" s="3" t="inlineStr">
        <is>
          <t>고운동리치세종</t>
        </is>
      </c>
      <c r="T218" s="4" t="n">
        <v>1</v>
      </c>
      <c r="U218" s="5" t="n">
        <v>339.5</v>
      </c>
      <c r="V218" s="4" t="n">
        <v>340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정방형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방5개, 화장실2개, 고급 단독주택, 태양광</t>
        </is>
      </c>
      <c r="P219" s="6">
        <f>HYPERLINK("https://fin.land.naver.com/articles/2651949107",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명진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조율가능 유럽풍스타일 1층 방2개 거실넓은 철콘주택</t>
        </is>
      </c>
      <c r="P220" s="6">
        <f>HYPERLINK("https://fin.land.naver.com/articles/2651088324",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세종스타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959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160000</v>
      </c>
      <c r="H221" s="4" t="n">
        <v>0</v>
      </c>
      <c r="I221" s="4" t="n">
        <v>357</v>
      </c>
      <c r="J221" s="4" t="n">
        <v>108</v>
      </c>
      <c r="K221" s="5" t="n">
        <v>1481.5</v>
      </c>
      <c r="L221" s="4" t="n">
        <v>248</v>
      </c>
      <c r="M221" s="4" t="n">
        <v>75</v>
      </c>
      <c r="N221" s="5" t="n">
        <v>2133.3</v>
      </c>
      <c r="O221" s="3" t="inlineStr">
        <is>
          <t>고급 단독주택 매매, 태양광 설치, 1층에 방2개</t>
        </is>
      </c>
      <c r="P221" s="6">
        <f>HYPERLINK("https://fin.land.naver.com/articles/2652844353", "매물Link")</f>
        <v/>
      </c>
      <c r="Q221" s="6">
        <f>HYPERLINK("https://map.naver.com/p/search/아름동 959", "지도Link")</f>
        <v/>
      </c>
      <c r="R221" s="6">
        <f>HYPERLINK("http://www.eum.go.kr/web/ar/lu/luLandDet.jsp?pnu=3611011300109590000&amp;isNoScr=script&amp;mode=search", "토지이음")</f>
        <v/>
      </c>
      <c r="S221" s="3" t="inlineStr">
        <is>
          <t>세종무지개</t>
        </is>
      </c>
      <c r="T221" s="4" t="n">
        <v>1</v>
      </c>
      <c r="U221" s="5" t="n">
        <v>327.2</v>
      </c>
      <c r="V221" s="4" t="n">
        <v>357.9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소로한면</t>
        </is>
      </c>
    </row>
    <row r="222">
      <c r="A222" s="3" t="inlineStr">
        <is>
          <t>아름동 991</t>
        </is>
      </c>
      <c r="B222" s="3" t="inlineStr">
        <is>
          <t>제1종전용주거지역</t>
        </is>
      </c>
      <c r="C222" s="3" t="inlineStr">
        <is>
          <t>공원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생명나무,아름동 고급주택 .꼼꼼하게 신경썼어요 관리상태 최상</t>
        </is>
      </c>
      <c r="P222" s="6">
        <f>HYPERLINK("https://fin.land.naver.com/articles/2649691019", "매물Link")</f>
        <v/>
      </c>
      <c r="Q222" s="6">
        <f>HYPERLINK("https://map.naver.com/p/search/아름동 991", "지도Link")</f>
        <v/>
      </c>
      <c r="R222" s="6">
        <f>HYPERLINK("http://www.eum.go.kr/web/ar/lu/luLandDet.jsp?pnu=3611011300109910000&amp;isNoScr=script&amp;mode=search", "토지이음")</f>
        <v/>
      </c>
      <c r="S222" s="3" t="inlineStr">
        <is>
          <t>생명나무</t>
        </is>
      </c>
      <c r="T222" s="4" t="n">
        <v>1</v>
      </c>
      <c r="U222" s="5" t="n">
        <v>110.7</v>
      </c>
      <c r="V222" s="4" t="n">
        <v>336.9</v>
      </c>
      <c r="W222" s="3" t="inlineStr">
        <is>
          <t>지정되지않음</t>
        </is>
      </c>
      <c r="X222" s="3" t="inlineStr">
        <is>
          <t>공원등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지정되지않음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방4개, 화장실3개, 벙커주차장가능, 지대높아 뷰 굿</t>
        </is>
      </c>
      <c r="P223" s="6">
        <f>HYPERLINK("https://fin.land.naver.com/articles/2652883582",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아름동 993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단독</t>
        </is>
      </c>
      <c r="F224" s="3" t="inlineStr">
        <is>
          <t>매매</t>
        </is>
      </c>
      <c r="G224" s="4" t="n">
        <v>200000</v>
      </c>
      <c r="H224" s="4" t="n">
        <v>0</v>
      </c>
      <c r="I224" s="4" t="n">
        <v>325</v>
      </c>
      <c r="J224" s="4" t="n">
        <v>98</v>
      </c>
      <c r="K224" s="5" t="n">
        <v>2040.8</v>
      </c>
      <c r="L224" s="4" t="n">
        <v>278</v>
      </c>
      <c r="M224" s="4" t="n">
        <v>84</v>
      </c>
      <c r="N224" s="5" t="n">
        <v>2381</v>
      </c>
      <c r="O224" s="3" t="inlineStr">
        <is>
          <t>동네전체 내려보이는 높은위치 벙커주차장2대 개방감최상</t>
        </is>
      </c>
      <c r="P224" s="6">
        <f>HYPERLINK("https://fin.land.naver.com/articles/2652442556", "매물Link")</f>
        <v/>
      </c>
      <c r="Q224" s="6">
        <f>HYPERLINK("https://map.naver.com/p/search/아름동 993", "지도Link")</f>
        <v/>
      </c>
      <c r="R224" s="6">
        <f>HYPERLINK("http://www.eum.go.kr/web/ar/lu/luLandDet.jsp?pnu=3611011300109930000&amp;isNoScr=script&amp;mode=search", "토지이음")</f>
        <v/>
      </c>
      <c r="S224" s="3" t="inlineStr">
        <is>
          <t>세종스타</t>
        </is>
      </c>
      <c r="T224" s="4" t="n">
        <v>1</v>
      </c>
      <c r="U224" s="5" t="n">
        <v>335.5</v>
      </c>
      <c r="V224" s="4" t="n">
        <v>325.8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가로장방</t>
        </is>
      </c>
      <c r="AA224" s="3" t="inlineStr">
        <is>
          <t>소로한면</t>
        </is>
      </c>
    </row>
    <row r="225">
      <c r="A225" s="3" t="inlineStr">
        <is>
          <t>아름동 993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단독</t>
        </is>
      </c>
      <c r="F225" s="3" t="inlineStr">
        <is>
          <t>매매</t>
        </is>
      </c>
      <c r="G225" s="4" t="n">
        <v>200000</v>
      </c>
      <c r="H225" s="4" t="n">
        <v>0</v>
      </c>
      <c r="I225" s="4" t="n">
        <v>325</v>
      </c>
      <c r="J225" s="4" t="n">
        <v>98</v>
      </c>
      <c r="K225" s="5" t="n">
        <v>2040.8</v>
      </c>
      <c r="L225" s="4" t="n">
        <v>278</v>
      </c>
      <c r="M225" s="4" t="n">
        <v>84</v>
      </c>
      <c r="N225" s="5" t="n">
        <v>2381</v>
      </c>
      <c r="O225" s="3" t="inlineStr">
        <is>
          <t>전용 84.4p, 방4개, 화장실3개, 고급 단독주택, 관리잘된집</t>
        </is>
      </c>
      <c r="P225" s="6">
        <f>HYPERLINK("https://fin.land.naver.com/articles/2653889577", "매물Link")</f>
        <v/>
      </c>
      <c r="Q225" s="6">
        <f>HYPERLINK("https://map.naver.com/p/search/아름동 993", "지도Link")</f>
        <v/>
      </c>
      <c r="R225" s="6">
        <f>HYPERLINK("http://www.eum.go.kr/web/ar/lu/luLandDet.jsp?pnu=3611011300109930000&amp;isNoScr=script&amp;mode=search", "토지이음")</f>
        <v/>
      </c>
      <c r="S225" s="3" t="inlineStr">
        <is>
          <t>명진</t>
        </is>
      </c>
      <c r="T225" s="4" t="n">
        <v>1</v>
      </c>
      <c r="U225" s="5" t="n">
        <v>335.5</v>
      </c>
      <c r="V225" s="4" t="n">
        <v>325.8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가로장방</t>
        </is>
      </c>
      <c r="AA225" s="3" t="inlineStr">
        <is>
          <t>소로한면</t>
        </is>
      </c>
    </row>
    <row r="226">
      <c r="A226" s="3" t="inlineStr">
        <is>
          <t>연동면 내판리 17-11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39000</v>
      </c>
      <c r="H226" s="4" t="n">
        <v>0</v>
      </c>
      <c r="I226" s="4" t="n">
        <v>284</v>
      </c>
      <c r="J226" s="4" t="n">
        <v>86</v>
      </c>
      <c r="K226" s="5" t="n">
        <v>453.5</v>
      </c>
      <c r="L226" s="4" t="n">
        <v>65</v>
      </c>
      <c r="M226" s="4" t="n">
        <v>20</v>
      </c>
      <c r="N226" s="5" t="n">
        <v>1950</v>
      </c>
      <c r="O226" s="3" t="inlineStr">
        <is>
          <t>총2필지 340㎡,세종행정중심복합도시 ,오송역 세종 청주고속도로예정</t>
        </is>
      </c>
      <c r="P226" s="6">
        <f>HYPERLINK("https://fin.land.naver.com/articles/2650782396", "매물Link")</f>
        <v/>
      </c>
      <c r="Q226" s="6">
        <f>HYPERLINK("https://map.naver.com/p/search/연동면 내판리 17-11", "지도Link")</f>
        <v/>
      </c>
      <c r="R226" s="6">
        <f>HYPERLINK("http://www.eum.go.kr/web/ar/lu/luLandDet.jsp?pnu=3611032021100170011&amp;isNoScr=script&amp;mode=search", "토지이음")</f>
        <v/>
      </c>
      <c r="S226" s="3" t="inlineStr">
        <is>
          <t>단골</t>
        </is>
      </c>
      <c r="T226" s="4" t="n">
        <v>1</v>
      </c>
      <c r="U226" s="5" t="n">
        <v>125.8</v>
      </c>
      <c r="V226" s="4" t="n">
        <v>284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노송리 28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2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180000</v>
      </c>
      <c r="H227" s="4" t="n">
        <v>0</v>
      </c>
      <c r="I227" s="4" t="n">
        <v>1756</v>
      </c>
      <c r="J227" s="4" t="n">
        <v>531</v>
      </c>
      <c r="K227" s="5" t="n">
        <v>339</v>
      </c>
      <c r="L227" s="4" t="n">
        <v>191</v>
      </c>
      <c r="M227" s="4" t="n">
        <v>58</v>
      </c>
      <c r="N227" s="5" t="n">
        <v>3103.4</v>
      </c>
      <c r="O227" s="3" t="inlineStr">
        <is>
          <t>남향의 2층 전원주택</t>
        </is>
      </c>
      <c r="P227" s="6">
        <f>HYPERLINK("https://fin.land.naver.com/articles/2651838387", "매물Link")</f>
        <v/>
      </c>
      <c r="Q227" s="6">
        <f>HYPERLINK("https://map.naver.com/p/search/연동면 노송리 28", "지도Link")</f>
        <v/>
      </c>
      <c r="R227" s="6">
        <f>HYPERLINK("http://www.eum.go.kr/web/ar/lu/luLandDet.jsp?pnu=3611032025100280000&amp;isNoScr=script&amp;mode=search", "토지이음")</f>
        <v/>
      </c>
      <c r="S227" s="3" t="inlineStr">
        <is>
          <t>보람최고</t>
        </is>
      </c>
      <c r="T227" s="4" t="n">
        <v>1</v>
      </c>
      <c r="U227" s="5" t="n">
        <v>68.90000000000001</v>
      </c>
      <c r="V227" s="4" t="n">
        <v>1001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세로각지(가)</t>
        </is>
      </c>
    </row>
    <row r="228">
      <c r="A228" s="3" t="inlineStr">
        <is>
          <t>연동면 명학리 217-1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17000</v>
      </c>
      <c r="H228" s="4" t="n">
        <v>0</v>
      </c>
      <c r="I228" s="4" t="n">
        <v>176</v>
      </c>
      <c r="J228" s="4" t="n">
        <v>53</v>
      </c>
      <c r="K228" s="5" t="n">
        <v>320.8</v>
      </c>
      <c r="L228" s="4" t="n">
        <v>52</v>
      </c>
      <c r="M228" s="4" t="n">
        <v>16</v>
      </c>
      <c r="N228" s="5" t="n">
        <v>1062.5</v>
      </c>
      <c r="O228" s="3" t="inlineStr">
        <is>
          <t>태양광,도시가스 사용, 소액 투자, 세컨하우스, 주말별장, 실거주도 추천</t>
        </is>
      </c>
      <c r="P228" s="6">
        <f>HYPERLINK("https://fin.land.naver.com/articles/2652143034", "매물Link")</f>
        <v/>
      </c>
      <c r="Q228" s="6">
        <f>HYPERLINK("https://map.naver.com/p/search/연동면 명학리 217-1", "지도Link")</f>
        <v/>
      </c>
      <c r="R228" s="6">
        <f>HYPERLINK("http://www.eum.go.kr/web/ar/lu/luLandDet.jsp?pnu=3611032023102170001&amp;isNoScr=script&amp;mode=search", "토지이음")</f>
        <v/>
      </c>
      <c r="S228" s="3" t="inlineStr">
        <is>
          <t>수자인시티</t>
        </is>
      </c>
      <c r="T228" s="4" t="n">
        <v>1</v>
      </c>
      <c r="U228" s="5" t="n">
        <v>98.7</v>
      </c>
      <c r="V228" s="4" t="n">
        <v>176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송용리 206-6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25000</v>
      </c>
      <c r="H229" s="4" t="n">
        <v>0</v>
      </c>
      <c r="I229" s="4" t="n">
        <v>398</v>
      </c>
      <c r="J229" s="4" t="n">
        <v>120</v>
      </c>
      <c r="K229" s="5" t="n">
        <v>208.3</v>
      </c>
      <c r="L229" s="4" t="n">
        <v>84</v>
      </c>
      <c r="M229" s="4" t="n">
        <v>25</v>
      </c>
      <c r="N229" s="5" t="n">
        <v>1000</v>
      </c>
      <c r="O229" s="3" t="inlineStr">
        <is>
          <t>송용리 단독 신축 위치 좋습니다</t>
        </is>
      </c>
      <c r="P229" s="6">
        <f>HYPERLINK("https://fin.land.naver.com/articles/2653435652", "매물Link")</f>
        <v/>
      </c>
      <c r="Q229" s="6">
        <f>HYPERLINK("https://map.naver.com/p/search/연동면 송용리 206-6", "지도Link")</f>
        <v/>
      </c>
      <c r="R229" s="6">
        <f>HYPERLINK("http://www.eum.go.kr/web/ar/lu/luLandDet.jsp?pnu=3611032027102060006&amp;isNoScr=script&amp;mode=search",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77.7</v>
      </c>
      <c r="V229" s="4" t="n">
        <v>398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연동면 예양리 27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45000</v>
      </c>
      <c r="H230" s="4" t="n">
        <v>0</v>
      </c>
      <c r="I230" s="4" t="n">
        <v>656</v>
      </c>
      <c r="J230" s="4" t="n">
        <v>198</v>
      </c>
      <c r="K230" s="5" t="n">
        <v>227.3</v>
      </c>
      <c r="L230" s="4" t="n">
        <v>79</v>
      </c>
      <c r="M230" s="4" t="n">
        <v>24</v>
      </c>
      <c r="N230" s="5" t="n">
        <v>1875</v>
      </c>
      <c r="O230" s="3" t="inlineStr">
        <is>
          <t>예양교차로인근에 위치  교통편리 버스정류장도 바로앞에 있습니다</t>
        </is>
      </c>
      <c r="P230" s="6">
        <f>HYPERLINK("https://fin.land.naver.com/articles/2653055468", "매물Link")</f>
        <v/>
      </c>
      <c r="Q230" s="6">
        <f>HYPERLINK("https://map.naver.com/p/search/연동면 예양리 27", "지도Link")</f>
        <v/>
      </c>
      <c r="R230" s="6">
        <f>HYPERLINK("http://www.eum.go.kr/web/ar/lu/luLandDet.jsp?pnu=3611032026100270000&amp;isNoScr=script&amp;mode=search", "토지이음")</f>
        <v/>
      </c>
      <c r="S230" s="3" t="inlineStr">
        <is>
          <t>시드니</t>
        </is>
      </c>
      <c r="T230" s="4" t="n">
        <v>1</v>
      </c>
      <c r="U230" s="5" t="n">
        <v>65.3</v>
      </c>
      <c r="V230" s="4" t="n">
        <v>656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55000</v>
      </c>
      <c r="H231" s="4" t="n">
        <v>0</v>
      </c>
      <c r="I231" s="4" t="n">
        <v>1230</v>
      </c>
      <c r="J231" s="4" t="n">
        <v>372</v>
      </c>
      <c r="K231" s="5" t="n">
        <v>147.8</v>
      </c>
      <c r="L231" s="4" t="n">
        <v>79</v>
      </c>
      <c r="M231" s="4" t="n">
        <v>24</v>
      </c>
      <c r="N231" s="5" t="n">
        <v>2291.7</v>
      </c>
      <c r="O231" s="3" t="inlineStr">
        <is>
          <t>nan</t>
        </is>
      </c>
      <c r="P231" s="6">
        <f>HYPERLINK("https://fin.land.naver.com/articles/2651986983",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오송퍼스트영웅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640-1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21000</v>
      </c>
      <c r="H232" s="4" t="n">
        <v>0</v>
      </c>
      <c r="I232" s="4" t="n">
        <v>259</v>
      </c>
      <c r="J232" s="4" t="n">
        <v>78</v>
      </c>
      <c r="K232" s="5" t="n">
        <v>269.2</v>
      </c>
      <c r="L232" s="4" t="n">
        <v>92</v>
      </c>
      <c r="M232" s="4" t="n">
        <v>28</v>
      </c>
      <c r="N232" s="5" t="n">
        <v>750</v>
      </c>
      <c r="O232" s="3" t="inlineStr">
        <is>
          <t>세종시 공기좋고 한적한 곳 저렴한 시골집 세컨하우스 주말주택</t>
        </is>
      </c>
      <c r="P232" s="6">
        <f>HYPERLINK("https://fin.land.naver.com/articles/2651693393", "매물Link")</f>
        <v/>
      </c>
      <c r="Q232" s="6">
        <f>HYPERLINK("https://map.naver.com/p/search/연동면 예양리 640-1", "지도Link")</f>
        <v/>
      </c>
      <c r="R232" s="6">
        <f>HYPERLINK("http://www.eum.go.kr/web/ar/lu/luLandDet.jsp?pnu=3611032026106400001&amp;isNoScr=script&amp;mode=search", "토지이음")</f>
        <v/>
      </c>
      <c r="S232" s="3" t="inlineStr">
        <is>
          <t>청담</t>
        </is>
      </c>
      <c r="T232" s="4" t="n">
        <v>1</v>
      </c>
      <c r="U232" s="5" t="n">
        <v>60.4</v>
      </c>
      <c r="V232" s="4" t="n">
        <v>259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연동면 예양리 642-4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28000</v>
      </c>
      <c r="H233" s="4" t="n">
        <v>0</v>
      </c>
      <c r="I233" s="4" t="n">
        <v>480</v>
      </c>
      <c r="J233" s="4" t="n">
        <v>145</v>
      </c>
      <c r="K233" s="5" t="n">
        <v>193.1</v>
      </c>
      <c r="L233" s="4" t="n">
        <v>168</v>
      </c>
      <c r="M233" s="4" t="n">
        <v>51</v>
      </c>
      <c r="N233" s="5" t="n">
        <v>549</v>
      </c>
      <c r="O233" s="3" t="inlineStr">
        <is>
          <t>즉시입주.넓은 마당과 텃밭.저렴매매.전원주택의 여유를 느껴보세요.</t>
        </is>
      </c>
      <c r="P233" s="6">
        <f>HYPERLINK("https://fin.land.naver.com/articles/2651510028", "매물Link")</f>
        <v/>
      </c>
      <c r="Q233" s="6">
        <f>HYPERLINK("https://map.naver.com/p/search/연동면 예양리 642-4", "지도Link")</f>
        <v/>
      </c>
      <c r="R233" s="6">
        <f>HYPERLINK("http://www.eum.go.kr/web/ar/lu/luLandDet.jsp?pnu=3611032026106420004&amp;isNoScr=script&amp;mode=search", "토지이음")</f>
        <v/>
      </c>
      <c r="S233" s="3" t="inlineStr">
        <is>
          <t>수자인</t>
        </is>
      </c>
      <c r="T233" s="4" t="n">
        <v>1</v>
      </c>
      <c r="U233" s="5" t="n">
        <v>60.4</v>
      </c>
      <c r="V233" s="4" t="n">
        <v>480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25000</v>
      </c>
      <c r="H234" s="4" t="n">
        <v>0</v>
      </c>
      <c r="I234" s="4" t="n">
        <v>480</v>
      </c>
      <c r="J234" s="4" t="n">
        <v>145</v>
      </c>
      <c r="K234" s="5" t="n">
        <v>172.4</v>
      </c>
      <c r="L234" s="4" t="n">
        <v>168</v>
      </c>
      <c r="M234" s="4" t="n">
        <v>51</v>
      </c>
      <c r="N234" s="5" t="n">
        <v>490.2</v>
      </c>
      <c r="O234" s="3" t="inlineStr">
        <is>
          <t>nan</t>
        </is>
      </c>
      <c r="P234" s="6">
        <f>HYPERLINK("https://fin.land.naver.com/articles/2652759291",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효자</t>
        </is>
      </c>
      <c r="T234" s="4" t="n">
        <v>1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응암리 121-4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48000</v>
      </c>
      <c r="H235" s="4" t="n">
        <v>0</v>
      </c>
      <c r="I235" s="4" t="n">
        <v>1025</v>
      </c>
      <c r="J235" s="4" t="n">
        <v>310</v>
      </c>
      <c r="K235" s="5" t="n">
        <v>154.8</v>
      </c>
      <c r="L235" s="4" t="n">
        <v>103</v>
      </c>
      <c r="M235" s="4" t="n">
        <v>31</v>
      </c>
      <c r="N235" s="5" t="n">
        <v>1548.4</v>
      </c>
      <c r="O235" s="3" t="inlineStr">
        <is>
          <t>nan</t>
        </is>
      </c>
      <c r="P235" s="6">
        <f>HYPERLINK("https://fin.land.naver.com/articles/2654142663", "매물Link")</f>
        <v/>
      </c>
      <c r="Q235" s="6">
        <f>HYPERLINK("https://map.naver.com/p/search/연동면 응암리 121-4", "지도Link")</f>
        <v/>
      </c>
      <c r="R235" s="6">
        <f>HYPERLINK("http://www.eum.go.kr/web/ar/lu/luLandDet.jsp?pnu=3611032024101210004&amp;isNoScr=script&amp;mode=search", "토지이음")</f>
        <v/>
      </c>
      <c r="S235" s="3" t="inlineStr">
        <is>
          <t>세종지원</t>
        </is>
      </c>
      <c r="T235" s="4" t="n">
        <v>1</v>
      </c>
      <c r="U235" s="5" t="n">
        <v>67.5</v>
      </c>
      <c r="V235" s="4" t="n">
        <v>1025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연동면 응암리 632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35000</v>
      </c>
      <c r="H236" s="4" t="n">
        <v>0</v>
      </c>
      <c r="I236" s="4" t="n">
        <v>456</v>
      </c>
      <c r="J236" s="4" t="n">
        <v>138</v>
      </c>
      <c r="K236" s="5" t="n">
        <v>253.6</v>
      </c>
      <c r="L236" s="4" t="n">
        <v>66</v>
      </c>
      <c r="M236" s="4" t="n">
        <v>20</v>
      </c>
      <c r="N236" s="5" t="n">
        <v>1750</v>
      </c>
      <c r="O236" s="3" t="inlineStr">
        <is>
          <t>위치 매우 좋은 연동면 응암리 리모델링 추천 I 단독주택 I 텃밭 가능</t>
        </is>
      </c>
      <c r="P236" s="6">
        <f>HYPERLINK("https://fin.land.naver.com/articles/2653366001", "매물Link")</f>
        <v/>
      </c>
      <c r="Q236" s="6">
        <f>HYPERLINK("https://map.naver.com/p/search/연동면 응암리 632", "지도Link")</f>
        <v/>
      </c>
      <c r="R236" s="6">
        <f>HYPERLINK("http://www.eum.go.kr/web/ar/lu/luLandDet.jsp?pnu=3611032024106320000&amp;isNoScr=script&amp;mode=search", "토지이음")</f>
        <v/>
      </c>
      <c r="S236" s="3" t="inlineStr">
        <is>
          <t>세종신한</t>
        </is>
      </c>
      <c r="T236" s="4" t="n">
        <v>1</v>
      </c>
      <c r="U236" s="5" t="n">
        <v>85.7</v>
      </c>
      <c r="V236" s="4" t="n">
        <v>655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연서면 고복리 460-2</t>
        </is>
      </c>
      <c r="B237" s="3" t="inlineStr">
        <is>
          <t>자연환경보전지역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195000</v>
      </c>
      <c r="H237" s="4" t="n">
        <v>0</v>
      </c>
      <c r="I237" s="4" t="n">
        <v>729</v>
      </c>
      <c r="J237" s="4" t="n">
        <v>221</v>
      </c>
      <c r="K237" s="5" t="n">
        <v>882.4</v>
      </c>
      <c r="L237" s="4" t="n">
        <v>378</v>
      </c>
      <c r="M237" s="4" t="n">
        <v>114</v>
      </c>
      <c r="N237" s="5" t="n">
        <v>1710.5</v>
      </c>
      <c r="O237" s="3" t="inlineStr">
        <is>
          <t>고복저수지가 보이는 곳에 2층 상가주택</t>
        </is>
      </c>
      <c r="P237" s="6">
        <f>HYPERLINK("https://fin.land.naver.com/articles/2651253733", "매물Link")</f>
        <v/>
      </c>
      <c r="Q237" s="6">
        <f>HYPERLINK("https://map.naver.com/p/search/연서면 고복리 460-2", "지도Link")</f>
        <v/>
      </c>
      <c r="R237" s="6">
        <f>HYPERLINK("http://www.eum.go.kr/web/ar/lu/luLandDet.jsp?pnu=3611036024104600002&amp;isNoScr=script&amp;mode=search", "토지이음")</f>
        <v/>
      </c>
      <c r="S237" s="3" t="inlineStr">
        <is>
          <t>세종토박이</t>
        </is>
      </c>
      <c r="T237" s="4" t="n">
        <v>1</v>
      </c>
      <c r="U237" s="5" t="n">
        <v>92.3</v>
      </c>
      <c r="V237" s="4" t="n">
        <v>729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고복리 75-1</t>
        </is>
      </c>
      <c r="B238" s="3" t="inlineStr">
        <is>
          <t>생산관리지역</t>
        </is>
      </c>
      <c r="C238" s="3" t="inlineStr">
        <is>
          <t>대</t>
        </is>
      </c>
      <c r="D238" s="3" t="inlineStr">
        <is>
          <t>2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150000</v>
      </c>
      <c r="H238" s="4" t="n">
        <v>0</v>
      </c>
      <c r="I238" s="4" t="n">
        <v>2707</v>
      </c>
      <c r="J238" s="4" t="n">
        <v>819</v>
      </c>
      <c r="K238" s="5" t="n">
        <v>183.2</v>
      </c>
      <c r="L238" s="4" t="n">
        <v>187</v>
      </c>
      <c r="M238" s="4" t="n">
        <v>57</v>
      </c>
      <c r="N238" s="5" t="n">
        <v>2631.6</v>
      </c>
      <c r="O238" s="3" t="inlineStr">
        <is>
          <t>고복저수지 방향 상가주택 장수한증막운영중. 3필지 일괄매매 건물포함.</t>
        </is>
      </c>
      <c r="P238" s="6">
        <f>HYPERLINK("https://fin.land.naver.com/articles/2652535751", "매물Link")</f>
        <v/>
      </c>
      <c r="Q238" s="6">
        <f>HYPERLINK("https://map.naver.com/p/search/연서면 고복리 75-1", "지도Link")</f>
        <v/>
      </c>
      <c r="R238" s="6">
        <f>HYPERLINK("http://www.eum.go.kr/web/ar/lu/luLandDet.jsp?pnu=3611036024100750001&amp;isNoScr=script&amp;mode=search", "토지이음")</f>
        <v/>
      </c>
      <c r="S238" s="3" t="inlineStr">
        <is>
          <t>세종대장</t>
        </is>
      </c>
      <c r="T238" s="4" t="n">
        <v>1</v>
      </c>
      <c r="U238" s="5" t="n">
        <v>91.8</v>
      </c>
      <c r="V238" s="4" t="n">
        <v>999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연서면 국촌리 122-2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52000</v>
      </c>
      <c r="H239" s="4" t="n">
        <v>0</v>
      </c>
      <c r="I239" s="4" t="n">
        <v>741</v>
      </c>
      <c r="J239" s="4" t="n">
        <v>224</v>
      </c>
      <c r="K239" s="5" t="n">
        <v>232.1</v>
      </c>
      <c r="L239" s="4" t="n">
        <v>156</v>
      </c>
      <c r="M239" s="4" t="n">
        <v>47</v>
      </c>
      <c r="N239" s="5" t="n">
        <v>1106.4</v>
      </c>
      <c r="O239" s="3" t="inlineStr">
        <is>
          <t>국촌리 한옥목조주택으로 주변 개발이 많아 향후 투자로 적극추천.</t>
        </is>
      </c>
      <c r="P239" s="6">
        <f>HYPERLINK("https://fin.land.naver.com/articles/2649553012", "매물Link")</f>
        <v/>
      </c>
      <c r="Q239" s="6">
        <f>HYPERLINK("https://map.naver.com/p/search/연서면 국촌리 122-2", "지도Link")</f>
        <v/>
      </c>
      <c r="R239" s="6">
        <f>HYPERLINK("http://www.eum.go.kr/web/ar/lu/luLandDet.jsp?pnu=3611036030101220002&amp;isNoScr=script&amp;mode=search", "토지이음")</f>
        <v/>
      </c>
      <c r="S239" s="3" t="inlineStr">
        <is>
          <t>세종대장</t>
        </is>
      </c>
      <c r="T239" s="4" t="n">
        <v>1</v>
      </c>
      <c r="U239" s="5" t="n">
        <v>106.6</v>
      </c>
      <c r="V239" s="4" t="n">
        <v>741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연서면 기룡리 657-4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7000</v>
      </c>
      <c r="H240" s="4" t="n">
        <v>0</v>
      </c>
      <c r="I240" s="4" t="n">
        <v>304</v>
      </c>
      <c r="J240" s="4" t="n">
        <v>92</v>
      </c>
      <c r="K240" s="5" t="n">
        <v>76.09999999999999</v>
      </c>
      <c r="L240" s="4" t="n">
        <v>54</v>
      </c>
      <c r="M240" s="4" t="n">
        <v>16</v>
      </c>
      <c r="N240" s="5" t="n">
        <v>437.5</v>
      </c>
      <c r="O240" s="3" t="inlineStr">
        <is>
          <t>매매가 이하 저렴한 농가주택입니다</t>
        </is>
      </c>
      <c r="P240" s="6">
        <f>HYPERLINK("https://fin.land.naver.com/articles/2650597094", "매물Link")</f>
        <v/>
      </c>
      <c r="Q240" s="6">
        <f>HYPERLINK("https://map.naver.com/p/search/연서면 기룡리 657-4", "지도Link")</f>
        <v/>
      </c>
      <c r="R240" s="6">
        <f>HYPERLINK("http://www.eum.go.kr/web/ar/lu/luLandDet.jsp?pnu=3611036028106570004&amp;isNoScr=script&amp;mode=search", "토지이음")</f>
        <v/>
      </c>
      <c r="S240" s="3" t="inlineStr">
        <is>
          <t>캠퍼스</t>
        </is>
      </c>
      <c r="T240" s="4" t="n">
        <v>1</v>
      </c>
      <c r="U240" s="5" t="n">
        <v>66.7</v>
      </c>
      <c r="V240" s="4" t="n">
        <v>304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연서면 봉암리 112-30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다가구</t>
        </is>
      </c>
      <c r="F241" s="3" t="inlineStr">
        <is>
          <t>매매</t>
        </is>
      </c>
      <c r="G241" s="4" t="n">
        <v>107000</v>
      </c>
      <c r="H241" s="4" t="n">
        <v>0</v>
      </c>
      <c r="I241" s="4" t="n">
        <v>420</v>
      </c>
      <c r="J241" s="4" t="n">
        <v>127</v>
      </c>
      <c r="K241" s="5" t="n">
        <v>842.5</v>
      </c>
      <c r="L241" s="4" t="n">
        <v>450</v>
      </c>
      <c r="M241" s="4" t="n">
        <v>136</v>
      </c>
      <c r="N241" s="5" t="n">
        <v>786.8</v>
      </c>
      <c r="O241" s="3" t="inlineStr">
        <is>
          <t>다가구 매매 .위치.방 컨디션 매우좋은 건물</t>
        </is>
      </c>
      <c r="P241" s="6">
        <f>HYPERLINK("https://fin.land.naver.com/articles/2653501155", "매물Link")</f>
        <v/>
      </c>
      <c r="Q241" s="6">
        <f>HYPERLINK("https://map.naver.com/p/search/연서면 봉암리 112-30", "지도Link")</f>
        <v/>
      </c>
      <c r="R241" s="6">
        <f>HYPERLINK("http://www.eum.go.kr/web/ar/lu/luLandDet.jsp?pnu=3611036033101120030&amp;isNoScr=script&amp;mode=search", "토지이음")</f>
        <v/>
      </c>
      <c r="S241" s="3" t="inlineStr">
        <is>
          <t>연서</t>
        </is>
      </c>
      <c r="T241" s="4" t="n">
        <v>1</v>
      </c>
      <c r="U241" s="5" t="n">
        <v>194.8</v>
      </c>
      <c r="V241" s="4" t="n">
        <v>421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112-30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단독</t>
        </is>
      </c>
      <c r="F242" s="3" t="inlineStr">
        <is>
          <t>매매</t>
        </is>
      </c>
      <c r="G242" s="4" t="n">
        <v>107000</v>
      </c>
      <c r="H242" s="4" t="n">
        <v>0</v>
      </c>
      <c r="I242" s="4" t="n">
        <v>421</v>
      </c>
      <c r="J242" s="4" t="n">
        <v>127</v>
      </c>
      <c r="K242" s="5" t="n">
        <v>842.5</v>
      </c>
      <c r="L242" s="4" t="n">
        <v>450</v>
      </c>
      <c r="M242" s="4" t="n">
        <v>136</v>
      </c>
      <c r="N242" s="5" t="n">
        <v>786.8</v>
      </c>
      <c r="O242" s="3" t="inlineStr">
        <is>
          <t>스마트산업단지 예정 인근 다가구 통매매,중심상권 위치로 투자수익 기대</t>
        </is>
      </c>
      <c r="P242" s="6">
        <f>HYPERLINK("https://fin.land.naver.com/articles/2651024368", "매물Link")</f>
        <v/>
      </c>
      <c r="Q242" s="6">
        <f>HYPERLINK("https://map.naver.com/p/search/연서면 봉암리 112-30", "지도Link")</f>
        <v/>
      </c>
      <c r="R242" s="6">
        <f>HYPERLINK("http://www.eum.go.kr/web/ar/lu/luLandDet.jsp?pnu=3611036033101120030&amp;isNoScr=script&amp;mode=search", "토지이음")</f>
        <v/>
      </c>
      <c r="S242" s="3" t="inlineStr">
        <is>
          <t>연기더조은</t>
        </is>
      </c>
      <c r="T242" s="4" t="n">
        <v>1</v>
      </c>
      <c r="U242" s="5" t="n">
        <v>194.8</v>
      </c>
      <c r="V242" s="4" t="n">
        <v>421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112-35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98000</v>
      </c>
      <c r="H243" s="4" t="n">
        <v>0</v>
      </c>
      <c r="I243" s="4" t="n">
        <v>410</v>
      </c>
      <c r="J243" s="4" t="n">
        <v>124</v>
      </c>
      <c r="K243" s="5" t="n">
        <v>790.3</v>
      </c>
      <c r="L243" s="4" t="n">
        <v>487</v>
      </c>
      <c r="M243" s="4" t="n">
        <v>147</v>
      </c>
      <c r="N243" s="5" t="n">
        <v>666.7</v>
      </c>
      <c r="O243" s="3" t="inlineStr">
        <is>
          <t>세종시 투자의 정석 공실 걱정 없는 안정적인 고수익 다가구주택</t>
        </is>
      </c>
      <c r="P243" s="6">
        <f>HYPERLINK("https://fin.land.naver.com/articles/2652498864", "매물Link")</f>
        <v/>
      </c>
      <c r="Q243" s="6">
        <f>HYPERLINK("https://map.naver.com/p/search/연서면 봉암리 112-35", "지도Link")</f>
        <v/>
      </c>
      <c r="R243" s="6">
        <f>HYPERLINK("http://www.eum.go.kr/web/ar/lu/luLandDet.jsp?pnu=3611036033101120035&amp;isNoScr=script&amp;mode=search", "토지이음")</f>
        <v/>
      </c>
      <c r="S243" s="3" t="inlineStr">
        <is>
          <t>엄지척</t>
        </is>
      </c>
      <c r="T243" s="4" t="n">
        <v>1</v>
      </c>
      <c r="U243" s="5" t="n">
        <v>194.8</v>
      </c>
      <c r="V243" s="4" t="n">
        <v>410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112-40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50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4.2</v>
      </c>
      <c r="O244" s="3" t="inlineStr">
        <is>
          <t>가성비좋은 풀옵션 1,5룸   깔끔한 주방분리  도배완료 즉시입주</t>
        </is>
      </c>
      <c r="P244" s="6">
        <f>HYPERLINK("https://fin.land.naver.com/articles/2654320570", "매물Link")</f>
        <v/>
      </c>
      <c r="Q244" s="6">
        <f>HYPERLINK("https://map.naver.com/p/search/연서면 봉암리 112-40", "지도Link")</f>
        <v/>
      </c>
      <c r="R244" s="6">
        <f>HYPERLINK("http://www.eum.go.kr/web/ar/lu/luLandDet.jsp?pnu=3611036033101120040&amp;isNoScr=script&amp;mode=search",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194.8</v>
      </c>
      <c r="V244" s="4" t="n">
        <v>412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215-4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90000</v>
      </c>
      <c r="H245" s="4" t="n">
        <v>0</v>
      </c>
      <c r="I245" s="4" t="n">
        <v>269</v>
      </c>
      <c r="J245" s="4" t="n">
        <v>81</v>
      </c>
      <c r="K245" s="5" t="n">
        <v>1111.1</v>
      </c>
      <c r="L245" s="4" t="n">
        <v>327</v>
      </c>
      <c r="M245" s="4" t="n">
        <v>99</v>
      </c>
      <c r="N245" s="5" t="n">
        <v>909.1</v>
      </c>
      <c r="O245" s="3" t="inlineStr">
        <is>
          <t>상가,다가구주택 매매</t>
        </is>
      </c>
      <c r="P245" s="6">
        <f>HYPERLINK("https://fin.land.naver.com/articles/2655036255", "매물Link")</f>
        <v/>
      </c>
      <c r="Q245" s="6">
        <f>HYPERLINK("https://map.naver.com/p/search/연서면 봉암리 215-4", "지도Link")</f>
        <v/>
      </c>
      <c r="R245" s="6">
        <f>HYPERLINK("http://www.eum.go.kr/web/ar/lu/luLandDet.jsp?pnu=3611036033102150004&amp;isNoScr=script&amp;mode=search", "토지이음")</f>
        <v/>
      </c>
      <c r="S245" s="3" t="inlineStr">
        <is>
          <t>세종대박</t>
        </is>
      </c>
      <c r="T245" s="4" t="n">
        <v>1</v>
      </c>
      <c r="U245" s="5" t="n">
        <v>321.4</v>
      </c>
      <c r="V245" s="4" t="n">
        <v>269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연서면 봉암리 215-4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50</v>
      </c>
      <c r="I246" s="4" t="n">
        <v>0</v>
      </c>
      <c r="J246" s="4" t="n">
        <v>0</v>
      </c>
      <c r="K246" s="5" t="n">
        <v>0</v>
      </c>
      <c r="L246" s="4" t="n">
        <v>45</v>
      </c>
      <c r="M246" s="4" t="n">
        <v>14</v>
      </c>
      <c r="N246" s="5" t="n">
        <v>3.6</v>
      </c>
      <c r="O246" s="3" t="inlineStr">
        <is>
          <t>깨끗한 투룸</t>
        </is>
      </c>
      <c r="P246" s="6">
        <f>HYPERLINK("https://fin.land.naver.com/articles/2655032825", "매물Link")</f>
        <v/>
      </c>
      <c r="Q246" s="6">
        <f>HYPERLINK("https://map.naver.com/p/search/연서면 봉암리 215-4", "지도Link")</f>
        <v/>
      </c>
      <c r="R246" s="6">
        <f>HYPERLINK("http://www.eum.go.kr/web/ar/lu/luLandDet.jsp?pnu=3611036033102150004&amp;isNoScr=script&amp;mode=search", "토지이음")</f>
        <v/>
      </c>
      <c r="S246" s="3" t="inlineStr">
        <is>
          <t>세종대박</t>
        </is>
      </c>
      <c r="T246" s="4" t="n">
        <v>1</v>
      </c>
      <c r="U246" s="5" t="n">
        <v>321.4</v>
      </c>
      <c r="V246" s="4" t="n">
        <v>269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연서면 봉암리 217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0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30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4.3</v>
      </c>
      <c r="O247" s="3" t="inlineStr">
        <is>
          <t>nan</t>
        </is>
      </c>
      <c r="P247" s="6">
        <f>HYPERLINK("https://fin.land.naver.com/articles/2653013969", "매물Link")</f>
        <v/>
      </c>
      <c r="Q247" s="6">
        <f>HYPERLINK("https://map.naver.com/p/search/연서면 봉암리 217", "지도Link")</f>
        <v/>
      </c>
      <c r="R247" s="6">
        <f>HYPERLINK("http://www.eum.go.kr/web/ar/lu/luLandDet.jsp?pnu=3611036033102170000&amp;isNoScr=script&amp;mode=search",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172.4</v>
      </c>
      <c r="V247" s="4" t="n">
        <v>366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217-16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단독</t>
        </is>
      </c>
      <c r="F248" s="3" t="inlineStr">
        <is>
          <t>매매</t>
        </is>
      </c>
      <c r="G248" s="4" t="n">
        <v>85000</v>
      </c>
      <c r="H248" s="4" t="n">
        <v>0</v>
      </c>
      <c r="I248" s="4" t="n">
        <v>372</v>
      </c>
      <c r="J248" s="4" t="n">
        <v>113</v>
      </c>
      <c r="K248" s="5" t="n">
        <v>752.2</v>
      </c>
      <c r="L248" s="4" t="n">
        <v>483</v>
      </c>
      <c r="M248" s="4" t="n">
        <v>146</v>
      </c>
      <c r="N248" s="5" t="n">
        <v>582.2</v>
      </c>
      <c r="O248" s="3" t="inlineStr">
        <is>
          <t>스마트산업단지 예정 인근 다가구 통매매,중심상권 위치로 투자수익 기대</t>
        </is>
      </c>
      <c r="P248" s="6">
        <f>HYPERLINK("https://fin.land.naver.com/articles/2651025375", "매물Link")</f>
        <v/>
      </c>
      <c r="Q248" s="6">
        <f>HYPERLINK("https://map.naver.com/p/search/연서면 봉암리 217-16", "지도Link")</f>
        <v/>
      </c>
      <c r="R248" s="6">
        <f>HYPERLINK("http://www.eum.go.kr/web/ar/lu/luLandDet.jsp?pnu=3611036033102170016&amp;isNoScr=script&amp;mode=search", "토지이음")</f>
        <v/>
      </c>
      <c r="S248" s="3" t="inlineStr">
        <is>
          <t>연기더조은</t>
        </is>
      </c>
      <c r="T248" s="4" t="n">
        <v>1</v>
      </c>
      <c r="U248" s="5" t="n">
        <v>172.4</v>
      </c>
      <c r="V248" s="4" t="n">
        <v>372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연서면 봉암리 234-36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34</v>
      </c>
      <c r="I249" s="4" t="n">
        <v>179</v>
      </c>
      <c r="J249" s="4" t="n">
        <v>54</v>
      </c>
      <c r="K249" s="5" t="n">
        <v>0.6</v>
      </c>
      <c r="L249" s="4" t="n">
        <v>33</v>
      </c>
      <c r="M249" s="4" t="n">
        <v>10</v>
      </c>
      <c r="N249" s="5" t="n">
        <v>3.4</v>
      </c>
      <c r="O249" s="3" t="inlineStr">
        <is>
          <t>인기매물  깔끔한 풀옵션방  정류장 1분  나성동 10분  산울동  5분</t>
        </is>
      </c>
      <c r="P249" s="6">
        <f>HYPERLINK("https://fin.land.naver.com/articles/2655070150", "매물Link")</f>
        <v/>
      </c>
      <c r="Q249" s="6">
        <f>HYPERLINK("https://map.naver.com/p/search/연서면 봉암리 234-36", "지도Link")</f>
        <v/>
      </c>
      <c r="R249" s="6">
        <f>HYPERLINK("http://www.eum.go.kr/web/ar/lu/luLandDet.jsp?pnu=3611036033102340036&amp;isNoScr=script&amp;mode=search", "토지이음")</f>
        <v/>
      </c>
      <c r="S249" s="3" t="inlineStr">
        <is>
          <t>연서으뜸</t>
        </is>
      </c>
      <c r="T249" s="4" t="n">
        <v>1</v>
      </c>
      <c r="U249" s="5" t="n">
        <v>172.4</v>
      </c>
      <c r="V249" s="4" t="n">
        <v>363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연서면 봉암리 234-37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300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36</v>
      </c>
      <c r="M250" s="4" t="n">
        <v>11</v>
      </c>
      <c r="N250" s="5" t="n">
        <v>4.1</v>
      </c>
      <c r="O250" s="3" t="inlineStr">
        <is>
          <t>인기좋은  풀옵션완비 1.5룸   깔끔한 주방분리  주차편함 해밀동 5분</t>
        </is>
      </c>
      <c r="P250" s="6">
        <f>HYPERLINK("https://fin.land.naver.com/articles/2653861961", "매물Link")</f>
        <v/>
      </c>
      <c r="Q250" s="6">
        <f>HYPERLINK("https://map.naver.com/p/search/연서면 봉암리 234-37", "지도Link")</f>
        <v/>
      </c>
      <c r="R250" s="6">
        <f>HYPERLINK("http://www.eum.go.kr/web/ar/lu/luLandDet.jsp?pnu=3611036033102340037&amp;isNoScr=script&amp;mode=search",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172.4</v>
      </c>
      <c r="V250" s="4" t="n">
        <v>356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세로한면(가)</t>
        </is>
      </c>
    </row>
    <row r="251">
      <c r="A251" s="3" t="inlineStr">
        <is>
          <t>연서면 봉암리 391-1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연립</t>
        </is>
      </c>
      <c r="F251" s="3" t="inlineStr">
        <is>
          <t>매매</t>
        </is>
      </c>
      <c r="G251" s="4" t="n">
        <v>8500</v>
      </c>
      <c r="H251" s="4" t="n">
        <v>0</v>
      </c>
      <c r="I251" s="4" t="n">
        <v>89</v>
      </c>
      <c r="J251" s="4" t="n">
        <v>27</v>
      </c>
      <c r="K251" s="5" t="n">
        <v>314.8</v>
      </c>
      <c r="L251" s="4" t="n">
        <v>82</v>
      </c>
      <c r="M251" s="4" t="n">
        <v>25</v>
      </c>
      <c r="N251" s="5" t="n">
        <v>340</v>
      </c>
      <c r="O251" s="3" t="inlineStr">
        <is>
          <t>6생활권과 8차선 확장된 1번국도와 근접.  BRT도로가 생겨 교통이 편</t>
        </is>
      </c>
      <c r="P251" s="6">
        <f>HYPERLINK("https://fin.land.naver.com/articles/2650807841", "매물Link")</f>
        <v/>
      </c>
      <c r="Q251" s="6">
        <f>HYPERLINK("https://map.naver.com/p/search/연서면 봉암리 391-1", "지도Link")</f>
        <v/>
      </c>
      <c r="R251" s="6">
        <f>HYPERLINK("http://www.eum.go.kr/web/ar/lu/luLandDet.jsp?pnu=3611036033103910001&amp;isNoScr=script&amp;mode=search", "토지이음")</f>
        <v/>
      </c>
      <c r="S251" s="3" t="inlineStr">
        <is>
          <t>꿈드림</t>
        </is>
      </c>
      <c r="T251" s="4" t="n">
        <v>1</v>
      </c>
      <c r="U251" s="5" t="n">
        <v>127.9</v>
      </c>
      <c r="V251" s="4" t="n">
        <v>410</v>
      </c>
      <c r="W251" s="3" t="inlineStr">
        <is>
          <t>농림지역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427-3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33000</v>
      </c>
      <c r="H252" s="4" t="n">
        <v>0</v>
      </c>
      <c r="I252" s="4" t="n">
        <v>420</v>
      </c>
      <c r="J252" s="4" t="n">
        <v>127</v>
      </c>
      <c r="K252" s="5" t="n">
        <v>259.8</v>
      </c>
      <c r="L252" s="4" t="n">
        <v>82</v>
      </c>
      <c r="M252" s="4" t="n">
        <v>25</v>
      </c>
      <c r="N252" s="5" t="n">
        <v>1320</v>
      </c>
      <c r="O252" s="3" t="inlineStr">
        <is>
          <t>계획관리 대지,세종시 단독주택,수도,전기,보일러,6생활권,1번국도 등.</t>
        </is>
      </c>
      <c r="P252" s="6">
        <f>HYPERLINK("https://fin.land.naver.com/articles/2654229309", "매물Link")</f>
        <v/>
      </c>
      <c r="Q252" s="6">
        <f>HYPERLINK("https://map.naver.com/p/search/연서면 봉암리 427-3", "지도Link")</f>
        <v/>
      </c>
      <c r="R252" s="6">
        <f>HYPERLINK("http://www.eum.go.kr/web/ar/lu/luLandDet.jsp?pnu=3611036033104270003&amp;isNoScr=script&amp;mode=search", "토지이음")</f>
        <v/>
      </c>
      <c r="S252" s="3" t="inlineStr">
        <is>
          <t>열린자이</t>
        </is>
      </c>
      <c r="T252" s="4" t="n">
        <v>1</v>
      </c>
      <c r="U252" s="5" t="n">
        <v>134</v>
      </c>
      <c r="V252" s="4" t="n">
        <v>343.4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54-16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42</v>
      </c>
      <c r="I253" s="4" t="n">
        <v>152</v>
      </c>
      <c r="J253" s="4" t="n">
        <v>46</v>
      </c>
      <c r="K253" s="5" t="n">
        <v>0.9</v>
      </c>
      <c r="L253" s="4" t="n">
        <v>39</v>
      </c>
      <c r="M253" s="4" t="n">
        <v>12</v>
      </c>
      <c r="N253" s="5" t="n">
        <v>3.5</v>
      </c>
      <c r="O253" s="3" t="inlineStr">
        <is>
          <t>인기좋은  풀옵션완비방  주방분리형  편의점 1분 정류장 1분  바로입주</t>
        </is>
      </c>
      <c r="P253" s="6">
        <f>HYPERLINK("https://fin.land.naver.com/articles/2653642315", "매물Link")</f>
        <v/>
      </c>
      <c r="Q253" s="6">
        <f>HYPERLINK("https://map.naver.com/p/search/연서면 봉암리 54-16", "지도Link")</f>
        <v/>
      </c>
      <c r="R253" s="6">
        <f>HYPERLINK("http://www.eum.go.kr/web/ar/lu/luLandDet.jsp?pnu=3611036033100540016&amp;isNoScr=script&amp;mode=search",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214.5</v>
      </c>
      <c r="V253" s="4" t="n">
        <v>350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소로한면</t>
        </is>
      </c>
    </row>
    <row r="254">
      <c r="A254" s="3" t="inlineStr">
        <is>
          <t>연서면 봉암리 54-45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18500</v>
      </c>
      <c r="H254" s="4" t="n">
        <v>0</v>
      </c>
      <c r="I254" s="4" t="n">
        <v>175</v>
      </c>
      <c r="J254" s="4" t="n">
        <v>53</v>
      </c>
      <c r="K254" s="5" t="n">
        <v>349.1</v>
      </c>
      <c r="L254" s="4" t="n">
        <v>67</v>
      </c>
      <c r="M254" s="4" t="n">
        <v>20</v>
      </c>
      <c r="N254" s="5" t="n">
        <v>925</v>
      </c>
      <c r="O254" s="3" t="inlineStr">
        <is>
          <t>nan</t>
        </is>
      </c>
      <c r="P254" s="6">
        <f>HYPERLINK("https://fin.land.naver.com/articles/2653949069", "매물Link")</f>
        <v/>
      </c>
      <c r="Q254" s="6">
        <f>HYPERLINK("https://map.naver.com/p/search/연서면 봉암리 54-45", "지도Link")</f>
        <v/>
      </c>
      <c r="R254" s="6">
        <f>HYPERLINK("http://www.eum.go.kr/web/ar/lu/luLandDet.jsp?pnu=3611036033100540045&amp;isNoScr=script&amp;mode=search", "토지이음")</f>
        <v/>
      </c>
      <c r="S254" s="3" t="inlineStr">
        <is>
          <t>KB세종</t>
        </is>
      </c>
      <c r="T254" s="4" t="n">
        <v>1</v>
      </c>
      <c r="U254" s="5" t="n">
        <v>116.1</v>
      </c>
      <c r="V254" s="4" t="n">
        <v>175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세로한면(불)</t>
        </is>
      </c>
    </row>
    <row r="255">
      <c r="A255" s="3" t="inlineStr">
        <is>
          <t>연서면 봉암리 54-80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32</v>
      </c>
      <c r="I255" s="4" t="n">
        <v>0</v>
      </c>
      <c r="J255" s="4" t="n">
        <v>0</v>
      </c>
      <c r="K255" s="5" t="n">
        <v>0</v>
      </c>
      <c r="L255" s="4" t="n">
        <v>24</v>
      </c>
      <c r="M255" s="4" t="n">
        <v>7</v>
      </c>
      <c r="N255" s="5" t="n">
        <v>4.6</v>
      </c>
      <c r="O255" s="3" t="inlineStr">
        <is>
          <t>인기좋은  풀옵션완비방   깔끔한 주거공간   바로입주  주차편함</t>
        </is>
      </c>
      <c r="P255" s="6">
        <f>HYPERLINK("https://fin.land.naver.com/articles/2655091903", "매물Link")</f>
        <v/>
      </c>
      <c r="Q255" s="6">
        <f>HYPERLINK("https://map.naver.com/p/search/연서면 봉암리 54-80", "지도Link")</f>
        <v/>
      </c>
      <c r="R255" s="6">
        <f>HYPERLINK("http://www.eum.go.kr/web/ar/lu/luLandDet.jsp?pnu=3611036033100540080&amp;isNoScr=script&amp;mode=search",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196.8</v>
      </c>
      <c r="V255" s="4" t="n">
        <v>336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54-85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31</v>
      </c>
      <c r="I256" s="4" t="n">
        <v>152</v>
      </c>
      <c r="J256" s="4" t="n">
        <v>46</v>
      </c>
      <c r="K256" s="5" t="n">
        <v>0.7</v>
      </c>
      <c r="L256" s="4" t="n">
        <v>25</v>
      </c>
      <c r="M256" s="4" t="n">
        <v>8</v>
      </c>
      <c r="N256" s="5" t="n">
        <v>3.9</v>
      </c>
      <c r="O256" s="3" t="inlineStr">
        <is>
          <t>인기좋은  풀옵션방  깔끔한 주방분리형  짐만가져오세요  바로입주</t>
        </is>
      </c>
      <c r="P256" s="6">
        <f>HYPERLINK("https://fin.land.naver.com/articles/2654732799", "매물Link")</f>
        <v/>
      </c>
      <c r="Q256" s="6">
        <f>HYPERLINK("https://map.naver.com/p/search/연서면 봉암리 54-85", "지도Link")</f>
        <v/>
      </c>
      <c r="R256" s="6">
        <f>HYPERLINK("http://www.eum.go.kr/web/ar/lu/luLandDet.jsp?pnu=3611036033100540085&amp;isNoScr=script&amp;mode=search", "토지이음")</f>
        <v/>
      </c>
      <c r="S256" s="3" t="inlineStr">
        <is>
          <t>연서으뜸</t>
        </is>
      </c>
      <c r="T256" s="4" t="n">
        <v>1</v>
      </c>
      <c r="U256" s="5" t="n">
        <v>196.8</v>
      </c>
      <c r="V256" s="4" t="n">
        <v>333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54-89</t>
        </is>
      </c>
      <c r="B257" s="3" t="inlineStr">
        <is>
          <t>계획관리지역</t>
        </is>
      </c>
      <c r="C257" s="3" t="inlineStr">
        <is>
          <t>임야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100000</v>
      </c>
      <c r="H257" s="4" t="n">
        <v>0</v>
      </c>
      <c r="I257" s="4" t="n">
        <v>359</v>
      </c>
      <c r="J257" s="4" t="n">
        <v>109</v>
      </c>
      <c r="K257" s="5" t="n">
        <v>917.4</v>
      </c>
      <c r="L257" s="4" t="n">
        <v>490</v>
      </c>
      <c r="M257" s="4" t="n">
        <v>148</v>
      </c>
      <c r="N257" s="5" t="n">
        <v>675.7</v>
      </c>
      <c r="O257" s="3" t="inlineStr">
        <is>
          <t>세종시 인접  19실  수익형 다가구매매</t>
        </is>
      </c>
      <c r="P257" s="6">
        <f>HYPERLINK("https://fin.land.naver.com/articles/2653501119", "매물Link")</f>
        <v/>
      </c>
      <c r="Q257" s="6">
        <f>HYPERLINK("https://map.naver.com/p/search/연서면 봉암리 54-89", "지도Link")</f>
        <v/>
      </c>
      <c r="R257" s="6">
        <f>HYPERLINK("http://www.eum.go.kr/web/ar/lu/luLandDet.jsp?pnu=3611036033100540089&amp;isNoScr=script&amp;mode=search", "토지이음")</f>
        <v/>
      </c>
      <c r="S257" s="3" t="inlineStr">
        <is>
          <t>연서</t>
        </is>
      </c>
      <c r="T257" s="4" t="n">
        <v>1</v>
      </c>
      <c r="U257" s="5" t="n">
        <v>196.8</v>
      </c>
      <c r="V257" s="4" t="n">
        <v>360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54-89</t>
        </is>
      </c>
      <c r="B258" s="3" t="inlineStr">
        <is>
          <t>계획관리지역</t>
        </is>
      </c>
      <c r="C258" s="3" t="inlineStr">
        <is>
          <t>임야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360</v>
      </c>
      <c r="J258" s="4" t="n">
        <v>109</v>
      </c>
      <c r="K258" s="5" t="n">
        <v>917.4</v>
      </c>
      <c r="L258" s="4" t="n">
        <v>490</v>
      </c>
      <c r="M258" s="4" t="n">
        <v>148</v>
      </c>
      <c r="N258" s="5" t="n">
        <v>675.7</v>
      </c>
      <c r="O258" s="3" t="inlineStr">
        <is>
          <t>nan</t>
        </is>
      </c>
      <c r="P258" s="6">
        <f>HYPERLINK("https://fin.land.naver.com/articles/2652499431", "매물Link")</f>
        <v/>
      </c>
      <c r="Q258" s="6">
        <f>HYPERLINK("https://map.naver.com/p/search/연서면 봉암리 54-89", "지도Link")</f>
        <v/>
      </c>
      <c r="R258" s="6">
        <f>HYPERLINK("http://www.eum.go.kr/web/ar/lu/luLandDet.jsp?pnu=3611036033100540089&amp;isNoScr=script&amp;mode=search", "토지이음")</f>
        <v/>
      </c>
      <c r="S258" s="3" t="inlineStr">
        <is>
          <t>엄지척</t>
        </is>
      </c>
      <c r="T258" s="4" t="n">
        <v>1</v>
      </c>
      <c r="U258" s="5" t="n">
        <v>196.8</v>
      </c>
      <c r="V258" s="4" t="n">
        <v>360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봉암리 557-2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30000</v>
      </c>
      <c r="H259" s="4" t="n">
        <v>0</v>
      </c>
      <c r="I259" s="4" t="n">
        <v>244</v>
      </c>
      <c r="J259" s="4" t="n">
        <v>74</v>
      </c>
      <c r="K259" s="5" t="n">
        <v>405.4</v>
      </c>
      <c r="L259" s="4" t="n">
        <v>84</v>
      </c>
      <c r="M259" s="4" t="n">
        <v>25</v>
      </c>
      <c r="N259" s="5" t="n">
        <v>1200</v>
      </c>
      <c r="O259" s="3" t="inlineStr">
        <is>
          <t>세종시 중심지역 스마산단 등 입주시 급부상 지역</t>
        </is>
      </c>
      <c r="P259" s="6">
        <f>HYPERLINK("https://fin.land.naver.com/articles/2653340050", "매물Link")</f>
        <v/>
      </c>
      <c r="Q259" s="6">
        <f>HYPERLINK("https://map.naver.com/p/search/연서면 봉암리 557-2", "지도Link")</f>
        <v/>
      </c>
      <c r="R259" s="6">
        <f>HYPERLINK("http://www.eum.go.kr/web/ar/lu/luLandDet.jsp?pnu=3611036033105570002&amp;isNoScr=script&amp;mode=search", "토지이음")</f>
        <v/>
      </c>
      <c r="S259" s="3" t="inlineStr">
        <is>
          <t>상상</t>
        </is>
      </c>
      <c r="T259" s="4" t="n">
        <v>1</v>
      </c>
      <c r="U259" s="5" t="n">
        <v>199.6</v>
      </c>
      <c r="V259" s="4" t="n">
        <v>244.3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연서면 봉암리 58-3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200</v>
      </c>
      <c r="H260" s="4" t="n">
        <v>50</v>
      </c>
      <c r="I260" s="4" t="n">
        <v>139</v>
      </c>
      <c r="J260" s="4" t="n">
        <v>42</v>
      </c>
      <c r="K260" s="5" t="n">
        <v>4.8</v>
      </c>
      <c r="L260" s="4" t="n">
        <v>39</v>
      </c>
      <c r="M260" s="4" t="n">
        <v>12</v>
      </c>
      <c r="N260" s="5" t="n">
        <v>16.7</v>
      </c>
      <c r="O260" s="3" t="inlineStr">
        <is>
          <t>즉시,방1개 거실별도, 3달6달은 50만원 ,도시가스,도배중입니다.</t>
        </is>
      </c>
      <c r="P260" s="6">
        <f>HYPERLINK("https://fin.land.naver.com/articles/2654189890", "매물Link")</f>
        <v/>
      </c>
      <c r="Q260" s="6">
        <f>HYPERLINK("https://map.naver.com/p/search/연서면 봉암리 58-3", "지도Link")</f>
        <v/>
      </c>
      <c r="R260" s="6">
        <f>HYPERLINK("http://www.eum.go.kr/web/ar/lu/luLandDet.jsp?pnu=3611036033100580003&amp;isNoScr=script&amp;mode=search", "토지이음")</f>
        <v/>
      </c>
      <c r="S260" s="3" t="inlineStr">
        <is>
          <t>동서남북</t>
        </is>
      </c>
      <c r="T260" s="4" t="n">
        <v>1</v>
      </c>
      <c r="U260" s="5" t="n">
        <v>196.8</v>
      </c>
      <c r="V260" s="4" t="n">
        <v>434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58-3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단기임대</t>
        </is>
      </c>
      <c r="G261" s="4" t="n">
        <v>200</v>
      </c>
      <c r="H261" s="4" t="n">
        <v>50</v>
      </c>
      <c r="I261" s="4" t="n">
        <v>139</v>
      </c>
      <c r="J261" s="4" t="n">
        <v>42</v>
      </c>
      <c r="K261" s="5" t="n">
        <v>4.8</v>
      </c>
      <c r="L261" s="4" t="n">
        <v>39</v>
      </c>
      <c r="M261" s="4" t="n">
        <v>12</v>
      </c>
      <c r="N261" s="5" t="n">
        <v>16.7</v>
      </c>
      <c r="O261" s="3" t="inlineStr">
        <is>
          <t>nan</t>
        </is>
      </c>
      <c r="P261" s="6">
        <f>HYPERLINK("https://fin.land.naver.com/articles/2654182716", "매물Link")</f>
        <v/>
      </c>
      <c r="Q261" s="6">
        <f>HYPERLINK("https://map.naver.com/p/search/연서면 봉암리 58-3", "지도Link")</f>
        <v/>
      </c>
      <c r="R261" s="6">
        <f>HYPERLINK("http://www.eum.go.kr/web/ar/lu/luLandDet.jsp?pnu=3611036033100580003&amp;isNoScr=script&amp;mode=search", "토지이음")</f>
        <v/>
      </c>
      <c r="S261" s="3" t="inlineStr">
        <is>
          <t>동서남북</t>
        </is>
      </c>
      <c r="T261" s="4" t="n">
        <v>1</v>
      </c>
      <c r="U261" s="5" t="n">
        <v>196.8</v>
      </c>
      <c r="V261" s="4" t="n">
        <v>434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연서면 봉암리 58-3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월세</t>
        </is>
      </c>
      <c r="G262" s="4" t="n">
        <v>200</v>
      </c>
      <c r="H262" s="4" t="n">
        <v>45</v>
      </c>
      <c r="I262" s="4" t="n">
        <v>139</v>
      </c>
      <c r="J262" s="4" t="n">
        <v>42</v>
      </c>
      <c r="K262" s="5" t="n">
        <v>1.1</v>
      </c>
      <c r="L262" s="4" t="n">
        <v>39</v>
      </c>
      <c r="M262" s="4" t="n">
        <v>12</v>
      </c>
      <c r="N262" s="5" t="n">
        <v>3.8</v>
      </c>
      <c r="O262" s="3" t="inlineStr">
        <is>
          <t>nan</t>
        </is>
      </c>
      <c r="P262" s="6">
        <f>HYPERLINK("https://fin.land.naver.com/articles/2654181426", "매물Link")</f>
        <v/>
      </c>
      <c r="Q262" s="6">
        <f>HYPERLINK("https://map.naver.com/p/search/연서면 봉암리 58-3", "지도Link")</f>
        <v/>
      </c>
      <c r="R262" s="6">
        <f>HYPERLINK("http://www.eum.go.kr/web/ar/lu/luLandDet.jsp?pnu=3611036033100580003&amp;isNoScr=script&amp;mode=search", "토지이음")</f>
        <v/>
      </c>
      <c r="S262" s="3" t="inlineStr">
        <is>
          <t>동서남북</t>
        </is>
      </c>
      <c r="T262" s="4" t="n">
        <v>1</v>
      </c>
      <c r="U262" s="5" t="n">
        <v>196.8</v>
      </c>
      <c r="V262" s="4" t="n">
        <v>434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연서면 봉암리 58-3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200</v>
      </c>
      <c r="H263" s="4" t="n">
        <v>45</v>
      </c>
      <c r="I263" s="4" t="n">
        <v>139</v>
      </c>
      <c r="J263" s="4" t="n">
        <v>42</v>
      </c>
      <c r="K263" s="5" t="n">
        <v>1.1</v>
      </c>
      <c r="L263" s="4" t="n">
        <v>39</v>
      </c>
      <c r="M263" s="4" t="n">
        <v>12</v>
      </c>
      <c r="N263" s="5" t="n">
        <v>3.8</v>
      </c>
      <c r="O263" s="3" t="inlineStr">
        <is>
          <t>즉시,방1개 거실별도, 3달6달은 50만원 ,도시가스,도배중입니다.</t>
        </is>
      </c>
      <c r="P263" s="6">
        <f>HYPERLINK("https://fin.land.naver.com/articles/2654188593", "매물Link")</f>
        <v/>
      </c>
      <c r="Q263" s="6">
        <f>HYPERLINK("https://map.naver.com/p/search/연서면 봉암리 58-3", "지도Link")</f>
        <v/>
      </c>
      <c r="R263" s="6">
        <f>HYPERLINK("http://www.eum.go.kr/web/ar/lu/luLandDet.jsp?pnu=3611036033100580003&amp;isNoScr=script&amp;mode=search", "토지이음")</f>
        <v/>
      </c>
      <c r="S263" s="3" t="inlineStr">
        <is>
          <t>동서남북</t>
        </is>
      </c>
      <c r="T263" s="4" t="n">
        <v>1</v>
      </c>
      <c r="U263" s="5" t="n">
        <v>196.8</v>
      </c>
      <c r="V263" s="4" t="n">
        <v>434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세로한면(가)</t>
        </is>
      </c>
    </row>
    <row r="264">
      <c r="A264" s="3" t="inlineStr">
        <is>
          <t>연서면 봉암리 58-4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100000</v>
      </c>
      <c r="H264" s="4" t="n">
        <v>0</v>
      </c>
      <c r="I264" s="4" t="n">
        <v>435</v>
      </c>
      <c r="J264" s="4" t="n">
        <v>132</v>
      </c>
      <c r="K264" s="5" t="n">
        <v>757.6</v>
      </c>
      <c r="L264" s="4" t="n">
        <v>434</v>
      </c>
      <c r="M264" s="4" t="n">
        <v>131</v>
      </c>
      <c r="N264" s="5" t="n">
        <v>763.4</v>
      </c>
      <c r="O264" s="3" t="inlineStr">
        <is>
          <t>nan</t>
        </is>
      </c>
      <c r="P264" s="6">
        <f>HYPERLINK("https://fin.land.naver.com/articles/2651371076", "매물Link")</f>
        <v/>
      </c>
      <c r="Q264" s="6">
        <f>HYPERLINK("https://map.naver.com/p/search/연서면 봉암리 58-4", "지도Link")</f>
        <v/>
      </c>
      <c r="R264" s="6">
        <f>HYPERLINK("http://www.eum.go.kr/web/ar/lu/luLandDet.jsp?pnu=3611036033100580004&amp;isNoScr=script&amp;mode=search", "토지이음")</f>
        <v/>
      </c>
      <c r="S264" s="3" t="inlineStr">
        <is>
          <t>동서남북</t>
        </is>
      </c>
      <c r="T264" s="4" t="n">
        <v>1</v>
      </c>
      <c r="U264" s="5" t="n">
        <v>196.8</v>
      </c>
      <c r="V264" s="4" t="n">
        <v>435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연서면 봉암리 58-5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105000</v>
      </c>
      <c r="H265" s="4" t="n">
        <v>0</v>
      </c>
      <c r="I265" s="4" t="n">
        <v>436</v>
      </c>
      <c r="J265" s="4" t="n">
        <v>132</v>
      </c>
      <c r="K265" s="5" t="n">
        <v>795.5</v>
      </c>
      <c r="L265" s="4" t="n">
        <v>434</v>
      </c>
      <c r="M265" s="4" t="n">
        <v>131</v>
      </c>
      <c r="N265" s="5" t="n">
        <v>801.5</v>
      </c>
      <c r="O265" s="3" t="inlineStr">
        <is>
          <t>일반원룸보다 큰방  18개,주차편리,도시가스 월세와 관리비 포함 284만</t>
        </is>
      </c>
      <c r="P265" s="6">
        <f>HYPERLINK("https://fin.land.naver.com/articles/2649699772", "매물Link")</f>
        <v/>
      </c>
      <c r="Q265" s="6">
        <f>HYPERLINK("https://map.naver.com/p/search/연서면 봉암리 58-5", "지도Link")</f>
        <v/>
      </c>
      <c r="R265" s="6">
        <f>HYPERLINK("http://www.eum.go.kr/web/ar/lu/luLandDet.jsp?pnu=3611036033100580005&amp;isNoScr=script&amp;mode=search", "토지이음")</f>
        <v/>
      </c>
      <c r="S265" s="3" t="inlineStr">
        <is>
          <t>동서남북</t>
        </is>
      </c>
      <c r="T265" s="4" t="n">
        <v>1</v>
      </c>
      <c r="U265" s="5" t="n">
        <v>196.8</v>
      </c>
      <c r="V265" s="4" t="n">
        <v>436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연서면 봉암리 598-4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일반원룸</t>
        </is>
      </c>
      <c r="F266" s="3" t="inlineStr">
        <is>
          <t>단기임대</t>
        </is>
      </c>
      <c r="G266" s="4" t="n">
        <v>100</v>
      </c>
      <c r="H266" s="4" t="n">
        <v>30</v>
      </c>
      <c r="I266" s="4" t="n">
        <v>0</v>
      </c>
      <c r="J266" s="4" t="n">
        <v>0</v>
      </c>
      <c r="K266" s="5" t="n">
        <v>0</v>
      </c>
      <c r="L266" s="4" t="n">
        <v>26</v>
      </c>
      <c r="M266" s="4" t="n">
        <v>8</v>
      </c>
      <c r="N266" s="5" t="n">
        <v>12.5</v>
      </c>
      <c r="O266" s="3" t="inlineStr">
        <is>
          <t>큰방 현장숙소 단기가능 세종 부강 오송 근접</t>
        </is>
      </c>
      <c r="P266" s="6">
        <f>HYPERLINK("https://fin.land.naver.com/articles/2653034901", "매물Link")</f>
        <v/>
      </c>
      <c r="Q266" s="6">
        <f>HYPERLINK("https://map.naver.com/p/search/연서면 봉암리 598-4", "지도Link")</f>
        <v/>
      </c>
      <c r="R266" s="6">
        <f>HYPERLINK("http://www.eum.go.kr/web/ar/lu/luLandDet.jsp?pnu=3611036033105980004&amp;isNoScr=script&amp;mode=search", "토지이음")</f>
        <v/>
      </c>
      <c r="S266" s="3" t="inlineStr">
        <is>
          <t>엄지척</t>
        </is>
      </c>
      <c r="T266" s="4" t="n">
        <v>1</v>
      </c>
      <c r="U266" s="5" t="n">
        <v>199.6</v>
      </c>
      <c r="V266" s="4" t="n">
        <v>353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677-2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400000</v>
      </c>
      <c r="H267" s="4" t="n">
        <v>0</v>
      </c>
      <c r="I267" s="4" t="n">
        <v>655</v>
      </c>
      <c r="J267" s="4" t="n">
        <v>198</v>
      </c>
      <c r="K267" s="5" t="n">
        <v>2020.2</v>
      </c>
      <c r="L267" s="4" t="n">
        <v>253</v>
      </c>
      <c r="M267" s="4" t="n">
        <v>77</v>
      </c>
      <c r="N267" s="5" t="n">
        <v>5194.8</v>
      </c>
      <c r="O267" s="3" t="inlineStr">
        <is>
          <t>nan</t>
        </is>
      </c>
      <c r="P267" s="6">
        <f>HYPERLINK("https://fin.land.naver.com/articles/2651088122", "매물Link")</f>
        <v/>
      </c>
      <c r="Q267" s="6">
        <f>HYPERLINK("https://map.naver.com/p/search/연서면 봉암리 677-2", "지도Link")</f>
        <v/>
      </c>
      <c r="R267" s="6">
        <f>HYPERLINK("http://www.eum.go.kr/web/ar/lu/luLandDet.jsp?pnu=3611036033106770002&amp;isNoScr=script&amp;mode=search", "토지이음")</f>
        <v/>
      </c>
      <c r="S267" s="3" t="inlineStr">
        <is>
          <t>오송파라곤리치</t>
        </is>
      </c>
      <c r="T267" s="4" t="n">
        <v>1</v>
      </c>
      <c r="U267" s="5" t="n">
        <v>116.6</v>
      </c>
      <c r="V267" s="4" t="n">
        <v>655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세로한면(가)</t>
        </is>
      </c>
    </row>
    <row r="268">
      <c r="A268" s="3" t="inlineStr">
        <is>
          <t>연서면 봉암리 73-8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500</v>
      </c>
      <c r="H268" s="4" t="n">
        <v>40</v>
      </c>
      <c r="I268" s="4" t="n">
        <v>33</v>
      </c>
      <c r="J268" s="4" t="n">
        <v>10</v>
      </c>
      <c r="K268" s="5" t="n">
        <v>4</v>
      </c>
      <c r="L268" s="4" t="n">
        <v>16</v>
      </c>
      <c r="M268" s="4" t="n">
        <v>5</v>
      </c>
      <c r="N268" s="5" t="n">
        <v>8</v>
      </c>
      <c r="O268" s="3" t="inlineStr">
        <is>
          <t>원룸,11월하순입주 가능,전세도 가능 6천만원 풀옵션</t>
        </is>
      </c>
      <c r="P268" s="6">
        <f>HYPERLINK("https://fin.land.naver.com/articles/2652745423", "매물Link")</f>
        <v/>
      </c>
      <c r="Q268" s="6">
        <f>HYPERLINK("https://map.naver.com/p/search/연서면 봉암리 73-8", "지도Link")</f>
        <v/>
      </c>
      <c r="R268" s="6">
        <f>HYPERLINK("http://www.eum.go.kr/web/ar/lu/luLandDet.jsp?pnu=3611036033100730008&amp;isNoScr=script&amp;mode=search", "토지이음")</f>
        <v/>
      </c>
      <c r="S268" s="3" t="inlineStr">
        <is>
          <t>담뜰</t>
        </is>
      </c>
      <c r="T268" s="4" t="n">
        <v>1</v>
      </c>
      <c r="U268" s="5" t="n">
        <v>199.3</v>
      </c>
      <c r="V268" s="4" t="n">
        <v>570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자루형</t>
        </is>
      </c>
      <c r="AA268" s="3" t="inlineStr">
        <is>
          <t>소로한면</t>
        </is>
      </c>
    </row>
    <row r="269">
      <c r="A269" s="3" t="inlineStr">
        <is>
          <t>연서면 봉암리 73-8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4000</v>
      </c>
      <c r="H269" s="4" t="n">
        <v>40</v>
      </c>
      <c r="I269" s="4" t="n">
        <v>0</v>
      </c>
      <c r="J269" s="4" t="n">
        <v>0</v>
      </c>
      <c r="K269" s="5" t="n">
        <v>0</v>
      </c>
      <c r="L269" s="4" t="n">
        <v>43</v>
      </c>
      <c r="M269" s="4" t="n">
        <v>13</v>
      </c>
      <c r="N269" s="5" t="n">
        <v>3.1</v>
      </c>
      <c r="O269" s="3" t="inlineStr">
        <is>
          <t>인기짱  신축 풀옵션 2룸 심플하고 깔끔한방  엘베설치  넓은주차장</t>
        </is>
      </c>
      <c r="P269" s="6">
        <f>HYPERLINK("https://fin.land.naver.com/articles/2654750740", "매물Link")</f>
        <v/>
      </c>
      <c r="Q269" s="6">
        <f>HYPERLINK("https://map.naver.com/p/search/연서면 봉암리 73-8", "지도Link")</f>
        <v/>
      </c>
      <c r="R269" s="6">
        <f>HYPERLINK("http://www.eum.go.kr/web/ar/lu/luLandDet.jsp?pnu=3611036033100730008&amp;isNoScr=script&amp;mode=search", "토지이음")</f>
        <v/>
      </c>
      <c r="S269" s="3" t="inlineStr">
        <is>
          <t>연서으뜸</t>
        </is>
      </c>
      <c r="T269" s="4" t="n">
        <v>1</v>
      </c>
      <c r="U269" s="5" t="n">
        <v>199.3</v>
      </c>
      <c r="V269" s="4" t="n">
        <v>570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자루형</t>
        </is>
      </c>
      <c r="AA269" s="3" t="inlineStr">
        <is>
          <t>소로한면</t>
        </is>
      </c>
    </row>
    <row r="270">
      <c r="A270" s="3" t="inlineStr">
        <is>
          <t>연서면 봉암리 73-8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190000</v>
      </c>
      <c r="H270" s="4" t="n">
        <v>0</v>
      </c>
      <c r="I270" s="4" t="n">
        <v>570</v>
      </c>
      <c r="J270" s="4" t="n">
        <v>172</v>
      </c>
      <c r="K270" s="5" t="n">
        <v>1104.7</v>
      </c>
      <c r="L270" s="4" t="n">
        <v>568</v>
      </c>
      <c r="M270" s="4" t="n">
        <v>172</v>
      </c>
      <c r="N270" s="5" t="n">
        <v>1104.7</v>
      </c>
      <c r="O270" s="3" t="inlineStr">
        <is>
          <t>신축다가구건물, 엘리베이터 1층 카페,23층 원룸,투룸,1.5룸으로구성</t>
        </is>
      </c>
      <c r="P270" s="6">
        <f>HYPERLINK("https://fin.land.naver.com/articles/2650625683", "매물Link")</f>
        <v/>
      </c>
      <c r="Q270" s="6">
        <f>HYPERLINK("https://map.naver.com/p/search/연서면 봉암리 73-8", "지도Link")</f>
        <v/>
      </c>
      <c r="R270" s="6">
        <f>HYPERLINK("http://www.eum.go.kr/web/ar/lu/luLandDet.jsp?pnu=3611036033100730008&amp;isNoScr=script&amp;mode=search", "토지이음")</f>
        <v/>
      </c>
      <c r="S270" s="3" t="inlineStr">
        <is>
          <t>담뜰</t>
        </is>
      </c>
      <c r="T270" s="4" t="n">
        <v>1</v>
      </c>
      <c r="U270" s="5" t="n">
        <v>199.3</v>
      </c>
      <c r="V270" s="4" t="n">
        <v>570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자루형</t>
        </is>
      </c>
      <c r="AA270" s="3" t="inlineStr">
        <is>
          <t>소로한면</t>
        </is>
      </c>
    </row>
    <row r="271">
      <c r="A271" s="3" t="inlineStr">
        <is>
          <t>연서면 봉암리 73-8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500</v>
      </c>
      <c r="H271" s="4" t="n">
        <v>40</v>
      </c>
      <c r="I271" s="4" t="n">
        <v>178</v>
      </c>
      <c r="J271" s="4" t="n">
        <v>54</v>
      </c>
      <c r="K271" s="5" t="n">
        <v>0.7</v>
      </c>
      <c r="L271" s="4" t="n">
        <v>25</v>
      </c>
      <c r="M271" s="4" t="n">
        <v>8</v>
      </c>
      <c r="N271" s="5" t="n">
        <v>5</v>
      </c>
      <c r="O271" s="3" t="inlineStr">
        <is>
          <t>신축 깔끔한 풀옵션완비방  엘베는기본  주차편리 정남향  정부청사10분</t>
        </is>
      </c>
      <c r="P271" s="6">
        <f>HYPERLINK("https://fin.land.naver.com/articles/2652712844", "매물Link")</f>
        <v/>
      </c>
      <c r="Q271" s="6">
        <f>HYPERLINK("https://map.naver.com/p/search/연서면 봉암리 73-8", "지도Link")</f>
        <v/>
      </c>
      <c r="R271" s="6">
        <f>HYPERLINK("http://www.eum.go.kr/web/ar/lu/luLandDet.jsp?pnu=3611036033100730008&amp;isNoScr=script&amp;mode=search", "토지이음")</f>
        <v/>
      </c>
      <c r="S271" s="3" t="inlineStr">
        <is>
          <t>연서으뜸</t>
        </is>
      </c>
      <c r="T271" s="4" t="n">
        <v>1</v>
      </c>
      <c r="U271" s="5" t="n">
        <v>199.3</v>
      </c>
      <c r="V271" s="4" t="n">
        <v>570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자루형</t>
        </is>
      </c>
      <c r="AA271" s="3" t="inlineStr">
        <is>
          <t>소로한면</t>
        </is>
      </c>
    </row>
    <row r="272">
      <c r="A272" s="3" t="inlineStr">
        <is>
          <t>연서면 봉암리 73-8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4000</v>
      </c>
      <c r="H272" s="4" t="n">
        <v>40</v>
      </c>
      <c r="I272" s="4" t="n">
        <v>60</v>
      </c>
      <c r="J272" s="4" t="n">
        <v>18</v>
      </c>
      <c r="K272" s="5" t="n">
        <v>2.2</v>
      </c>
      <c r="L272" s="4" t="n">
        <v>30</v>
      </c>
      <c r="M272" s="4" t="n">
        <v>9</v>
      </c>
      <c r="N272" s="5" t="n">
        <v>4.4</v>
      </c>
      <c r="O272" s="3" t="inlineStr">
        <is>
          <t>투룸,10월26일입주 가능,금액조율가능,전세도 가능9천만원풀옵션</t>
        </is>
      </c>
      <c r="P272" s="6">
        <f>HYPERLINK("https://fin.land.naver.com/articles/2652335755", "매물Link")</f>
        <v/>
      </c>
      <c r="Q272" s="6">
        <f>HYPERLINK("https://map.naver.com/p/search/연서면 봉암리 73-8", "지도Link")</f>
        <v/>
      </c>
      <c r="R272" s="6">
        <f>HYPERLINK("http://www.eum.go.kr/web/ar/lu/luLandDet.jsp?pnu=3611036033100730008&amp;isNoScr=script&amp;mode=search", "토지이음")</f>
        <v/>
      </c>
      <c r="S272" s="3" t="inlineStr">
        <is>
          <t>담뜰</t>
        </is>
      </c>
      <c r="T272" s="4" t="n">
        <v>1</v>
      </c>
      <c r="U272" s="5" t="n">
        <v>199.3</v>
      </c>
      <c r="V272" s="4" t="n">
        <v>570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자루형</t>
        </is>
      </c>
      <c r="AA272" s="3" t="inlineStr">
        <is>
          <t>소로한면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190000</v>
      </c>
      <c r="H273" s="4" t="n">
        <v>0</v>
      </c>
      <c r="I273" s="4" t="n">
        <v>570</v>
      </c>
      <c r="J273" s="4" t="n">
        <v>172</v>
      </c>
      <c r="K273" s="5" t="n">
        <v>1104.7</v>
      </c>
      <c r="L273" s="4" t="n">
        <v>594</v>
      </c>
      <c r="M273" s="4" t="n">
        <v>180</v>
      </c>
      <c r="N273" s="5" t="n">
        <v>1055.6</v>
      </c>
      <c r="O273" s="3" t="inlineStr">
        <is>
          <t>신축다가구  가격조정가능 엘리베이터 와촌국가산업단지 인근</t>
        </is>
      </c>
      <c r="P273" s="6">
        <f>HYPERLINK("https://fin.land.naver.com/articles/2651059296",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그래그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부동리 80-2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40000</v>
      </c>
      <c r="H274" s="4" t="n">
        <v>0</v>
      </c>
      <c r="I274" s="4" t="n">
        <v>507</v>
      </c>
      <c r="J274" s="4" t="n">
        <v>153</v>
      </c>
      <c r="K274" s="5" t="n">
        <v>261.4</v>
      </c>
      <c r="L274" s="4" t="n">
        <v>92</v>
      </c>
      <c r="M274" s="4" t="n">
        <v>28</v>
      </c>
      <c r="N274" s="5" t="n">
        <v>1428.6</v>
      </c>
      <c r="O274" s="3" t="inlineStr">
        <is>
          <t>세종 스마트국가산업단지 인근 단독주택 도로지분포함 저렴하게 일괄매매.</t>
        </is>
      </c>
      <c r="P274" s="6">
        <f>HYPERLINK("https://fin.land.naver.com/articles/2652233102", "매물Link")</f>
        <v/>
      </c>
      <c r="Q274" s="6">
        <f>HYPERLINK("https://map.naver.com/p/search/연서면 부동리 80-2", "지도Link")</f>
        <v/>
      </c>
      <c r="R274" s="6">
        <f>HYPERLINK("http://www.eum.go.kr/web/ar/lu/luLandDet.jsp?pnu=3611036032100800002&amp;isNoScr=script&amp;mode=search", "토지이음")</f>
        <v/>
      </c>
      <c r="S274" s="3" t="inlineStr">
        <is>
          <t>세종대장</t>
        </is>
      </c>
      <c r="T274" s="4" t="n">
        <v>1</v>
      </c>
      <c r="U274" s="5" t="n">
        <v>86.40000000000001</v>
      </c>
      <c r="V274" s="4" t="n">
        <v>507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세로한면(불)</t>
        </is>
      </c>
    </row>
    <row r="275">
      <c r="A275" s="3" t="inlineStr">
        <is>
          <t>연서면 부동리 90-1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592</v>
      </c>
      <c r="J275" s="4" t="n">
        <v>179</v>
      </c>
      <c r="K275" s="5" t="n">
        <v>363.1</v>
      </c>
      <c r="L275" s="4" t="n">
        <v>95</v>
      </c>
      <c r="M275" s="4" t="n">
        <v>29</v>
      </c>
      <c r="N275" s="5" t="n">
        <v>2241.4</v>
      </c>
      <c r="O275" s="3" t="inlineStr">
        <is>
          <t>(할인)세종국가산업단지 인근의 멋진집</t>
        </is>
      </c>
      <c r="P275" s="6">
        <f>HYPERLINK("https://fin.land.naver.com/articles/2651943869", "매물Link")</f>
        <v/>
      </c>
      <c r="Q275" s="6">
        <f>HYPERLINK("https://map.naver.com/p/search/연서면 부동리 90-1", "지도Link")</f>
        <v/>
      </c>
      <c r="R275" s="6">
        <f>HYPERLINK("http://www.eum.go.kr/web/ar/lu/luLandDet.jsp?pnu=3611036032100900001&amp;isNoScr=script&amp;mode=search", "토지이음")</f>
        <v/>
      </c>
      <c r="S275" s="3" t="inlineStr">
        <is>
          <t>용궁</t>
        </is>
      </c>
      <c r="T275" s="4" t="n">
        <v>1</v>
      </c>
      <c r="U275" s="5" t="n">
        <v>92.5</v>
      </c>
      <c r="V275" s="4" t="n">
        <v>592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세로한면(가)</t>
        </is>
      </c>
    </row>
    <row r="276">
      <c r="A276" s="3" t="inlineStr">
        <is>
          <t>연서면 성제리 120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112000</v>
      </c>
      <c r="H276" s="4" t="n">
        <v>0</v>
      </c>
      <c r="I276" s="4" t="n">
        <v>662</v>
      </c>
      <c r="J276" s="4" t="n">
        <v>200</v>
      </c>
      <c r="K276" s="5" t="n">
        <v>560</v>
      </c>
      <c r="L276" s="4" t="n">
        <v>128</v>
      </c>
      <c r="M276" s="4" t="n">
        <v>39</v>
      </c>
      <c r="N276" s="5" t="n">
        <v>2871.8</v>
      </c>
      <c r="O276" s="3" t="inlineStr">
        <is>
          <t>전원주택과 붙어있는 계획관리지역 전1193㎡ 를 포함한 일괄매매 협의입주</t>
        </is>
      </c>
      <c r="P276" s="6">
        <f>HYPERLINK("https://fin.land.naver.com/articles/2650977179", "매물Link")</f>
        <v/>
      </c>
      <c r="Q276" s="6">
        <f>HYPERLINK("https://map.naver.com/p/search/연서면 성제리 120", "지도Link")</f>
        <v/>
      </c>
      <c r="R276" s="6">
        <f>HYPERLINK("http://www.eum.go.kr/web/ar/lu/luLandDet.jsp?pnu=3611036023101200000&amp;isNoScr=script&amp;mode=search", "토지이음")</f>
        <v/>
      </c>
      <c r="S276" s="3" t="inlineStr">
        <is>
          <t>정보은행</t>
        </is>
      </c>
      <c r="T276" s="4" t="n">
        <v>1</v>
      </c>
      <c r="U276" s="5" t="n">
        <v>95.09999999999999</v>
      </c>
      <c r="V276" s="4" t="n">
        <v>662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성제리 150-8</t>
        </is>
      </c>
      <c r="B277" s="3" t="inlineStr">
        <is>
          <t>농림지역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33000</v>
      </c>
      <c r="H277" s="4" t="n">
        <v>0</v>
      </c>
      <c r="I277" s="4" t="n">
        <v>493</v>
      </c>
      <c r="J277" s="4" t="n">
        <v>149</v>
      </c>
      <c r="K277" s="5" t="n">
        <v>221.5</v>
      </c>
      <c r="L277" s="4" t="n">
        <v>234</v>
      </c>
      <c r="M277" s="4" t="n">
        <v>71</v>
      </c>
      <c r="N277" s="5" t="n">
        <v>464.8</v>
      </c>
      <c r="O277" s="3" t="inlineStr">
        <is>
          <t>급매세종 생활권 5분 탁 트인 조망과 햇살을 품은 프리미엄 2층단독</t>
        </is>
      </c>
      <c r="P277" s="6">
        <f>HYPERLINK("https://fin.land.naver.com/articles/2655074425", "매물Link")</f>
        <v/>
      </c>
      <c r="Q277" s="6">
        <f>HYPERLINK("https://map.naver.com/p/search/연서면 성제리 150-8", "지도Link")</f>
        <v/>
      </c>
      <c r="R277" s="6">
        <f>HYPERLINK("http://www.eum.go.kr/web/ar/lu/luLandDet.jsp?pnu=3611036023101500008&amp;isNoScr=script&amp;mode=search", "토지이음")</f>
        <v/>
      </c>
      <c r="S277" s="3" t="inlineStr">
        <is>
          <t>엄지척</t>
        </is>
      </c>
      <c r="T277" s="4" t="n">
        <v>1</v>
      </c>
      <c r="U277" s="5" t="n">
        <v>38.2</v>
      </c>
      <c r="V277" s="4" t="n">
        <v>493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세로한면(가)</t>
        </is>
      </c>
    </row>
    <row r="278">
      <c r="A278" s="3" t="inlineStr">
        <is>
          <t>연서면 성제리 150-8</t>
        </is>
      </c>
      <c r="B278" s="3" t="inlineStr">
        <is>
          <t>농림지역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33000</v>
      </c>
      <c r="H278" s="4" t="n">
        <v>0</v>
      </c>
      <c r="I278" s="4" t="n">
        <v>493</v>
      </c>
      <c r="J278" s="4" t="n">
        <v>149</v>
      </c>
      <c r="K278" s="5" t="n">
        <v>221.5</v>
      </c>
      <c r="L278" s="4" t="n">
        <v>234</v>
      </c>
      <c r="M278" s="4" t="n">
        <v>71</v>
      </c>
      <c r="N278" s="5" t="n">
        <v>464.8</v>
      </c>
      <c r="O278" s="3" t="inlineStr">
        <is>
          <t>급매, 조율가능, 2층 단독주택, 정남향, 조용한 전원주택 생활 가능</t>
        </is>
      </c>
      <c r="P278" s="6">
        <f>HYPERLINK("https://fin.land.naver.com/articles/2654049589", "매물Link")</f>
        <v/>
      </c>
      <c r="Q278" s="6">
        <f>HYPERLINK("https://map.naver.com/p/search/연서면 성제리 150-8", "지도Link")</f>
        <v/>
      </c>
      <c r="R278" s="6">
        <f>HYPERLINK("http://www.eum.go.kr/web/ar/lu/luLandDet.jsp?pnu=3611036023101500008&amp;isNoScr=script&amp;mode=search", "토지이음")</f>
        <v/>
      </c>
      <c r="S278" s="3" t="inlineStr">
        <is>
          <t>세종무지개</t>
        </is>
      </c>
      <c r="T278" s="4" t="n">
        <v>1</v>
      </c>
      <c r="U278" s="5" t="n">
        <v>38.2</v>
      </c>
      <c r="V278" s="4" t="n">
        <v>493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성제리 178-1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25000</v>
      </c>
      <c r="H279" s="4" t="n">
        <v>0</v>
      </c>
      <c r="I279" s="4" t="n">
        <v>399</v>
      </c>
      <c r="J279" s="4" t="n">
        <v>121</v>
      </c>
      <c r="K279" s="5" t="n">
        <v>206.6</v>
      </c>
      <c r="L279" s="4" t="n">
        <v>109</v>
      </c>
      <c r="M279" s="4" t="n">
        <v>33</v>
      </c>
      <c r="N279" s="5" t="n">
        <v>757.6</v>
      </c>
      <c r="O279" s="3" t="inlineStr">
        <is>
          <t>성제리 주택지</t>
        </is>
      </c>
      <c r="P279" s="6">
        <f>HYPERLINK("https://fin.land.naver.com/articles/2654909943", "매물Link")</f>
        <v/>
      </c>
      <c r="Q279" s="6">
        <f>HYPERLINK("https://map.naver.com/p/search/연서면 성제리 178-1", "지도Link")</f>
        <v/>
      </c>
      <c r="R279" s="6">
        <f>HYPERLINK("http://www.eum.go.kr/web/ar/lu/luLandDet.jsp?pnu=3611036023101780001&amp;isNoScr=script&amp;mode=search", "토지이음")</f>
        <v/>
      </c>
      <c r="S279" s="3" t="inlineStr">
        <is>
          <t>KB세종</t>
        </is>
      </c>
      <c r="T279" s="4" t="n">
        <v>1</v>
      </c>
      <c r="U279" s="5" t="n">
        <v>76.59999999999999</v>
      </c>
      <c r="V279" s="4" t="n">
        <v>399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세로한면(불)</t>
        </is>
      </c>
    </row>
    <row r="280">
      <c r="A280" s="3" t="inlineStr">
        <is>
          <t>연서면 신대리 105-8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39000</v>
      </c>
      <c r="H280" s="4" t="n">
        <v>0</v>
      </c>
      <c r="I280" s="4" t="n">
        <v>327</v>
      </c>
      <c r="J280" s="4" t="n">
        <v>99</v>
      </c>
      <c r="K280" s="5" t="n">
        <v>393.9</v>
      </c>
      <c r="L280" s="4" t="n">
        <v>168</v>
      </c>
      <c r="M280" s="4" t="n">
        <v>51</v>
      </c>
      <c r="N280" s="5" t="n">
        <v>764.7</v>
      </c>
      <c r="O280" s="3" t="inlineStr">
        <is>
          <t>깔끔한 전원주택</t>
        </is>
      </c>
      <c r="P280" s="6">
        <f>HYPERLINK("https://fin.land.naver.com/articles/2652250435", "매물Link")</f>
        <v/>
      </c>
      <c r="Q280" s="6">
        <f>HYPERLINK("https://map.naver.com/p/search/연서면 신대리 105-8", "지도Link")</f>
        <v/>
      </c>
      <c r="R280" s="6">
        <f>HYPERLINK("http://www.eum.go.kr/web/ar/lu/luLandDet.jsp?pnu=3611036029101050008&amp;isNoScr=script&amp;mode=search", "토지이음")</f>
        <v/>
      </c>
      <c r="S280" s="3" t="inlineStr">
        <is>
          <t>제일</t>
        </is>
      </c>
      <c r="T280" s="4" t="n">
        <v>1</v>
      </c>
      <c r="U280" s="5" t="n">
        <v>91.59999999999999</v>
      </c>
      <c r="V280" s="4" t="n">
        <v>327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신대리 105-8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전원주택</t>
        </is>
      </c>
      <c r="F281" s="3" t="inlineStr">
        <is>
          <t>매매</t>
        </is>
      </c>
      <c r="G281" s="4" t="n">
        <v>39000</v>
      </c>
      <c r="H281" s="4" t="n">
        <v>0</v>
      </c>
      <c r="I281" s="4" t="n">
        <v>327</v>
      </c>
      <c r="J281" s="4" t="n">
        <v>99</v>
      </c>
      <c r="K281" s="5" t="n">
        <v>393.9</v>
      </c>
      <c r="L281" s="4" t="n">
        <v>168</v>
      </c>
      <c r="M281" s="4" t="n">
        <v>51</v>
      </c>
      <c r="N281" s="5" t="n">
        <v>764.7</v>
      </c>
      <c r="O281" s="3" t="inlineStr">
        <is>
          <t>급매 조정가능 연서중인근 고속도로 나들목 가깝고 텃밭있음</t>
        </is>
      </c>
      <c r="P281" s="6">
        <f>HYPERLINK("https://fin.land.naver.com/articles/2654464490", "매물Link")</f>
        <v/>
      </c>
      <c r="Q281" s="6">
        <f>HYPERLINK("https://map.naver.com/p/search/연서면 신대리 105-8", "지도Link")</f>
        <v/>
      </c>
      <c r="R281" s="6">
        <f>HYPERLINK("http://www.eum.go.kr/web/ar/lu/luLandDet.jsp?pnu=3611036029101050008&amp;isNoScr=script&amp;mode=search", "토지이음")</f>
        <v/>
      </c>
      <c r="S281" s="3" t="inlineStr">
        <is>
          <t>그래그</t>
        </is>
      </c>
      <c r="T281" s="4" t="n">
        <v>2</v>
      </c>
      <c r="U281" s="5" t="n">
        <v>91.59999999999999</v>
      </c>
      <c r="V281" s="4" t="n">
        <v>327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신대리 105-8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전세</t>
        </is>
      </c>
      <c r="G282" s="4" t="n">
        <v>30000</v>
      </c>
      <c r="H282" s="4" t="n">
        <v>0</v>
      </c>
      <c r="I282" s="4" t="n">
        <v>327</v>
      </c>
      <c r="J282" s="4" t="n">
        <v>99</v>
      </c>
      <c r="K282" s="5" t="n">
        <v>303</v>
      </c>
      <c r="L282" s="4" t="n">
        <v>168</v>
      </c>
      <c r="M282" s="4" t="n">
        <v>51</v>
      </c>
      <c r="N282" s="5" t="n">
        <v>588.2</v>
      </c>
      <c r="O282" s="3" t="inlineStr">
        <is>
          <t>깨끗한 2층전원주택,주택바로뒤가 연서중학교 위치,3층다락방은 서비스면적</t>
        </is>
      </c>
      <c r="P282" s="6">
        <f>HYPERLINK("https://fin.land.naver.com/articles/2652036901", "매물Link")</f>
        <v/>
      </c>
      <c r="Q282" s="6">
        <f>HYPERLINK("https://map.naver.com/p/search/연서면 신대리 105-8", "지도Link")</f>
        <v/>
      </c>
      <c r="R282" s="6">
        <f>HYPERLINK("http://www.eum.go.kr/web/ar/lu/luLandDet.jsp?pnu=3611036029101050008&amp;isNoScr=script&amp;mode=search", "토지이음")</f>
        <v/>
      </c>
      <c r="S282" s="3" t="inlineStr">
        <is>
          <t>담뜰</t>
        </is>
      </c>
      <c r="T282" s="4" t="n">
        <v>1</v>
      </c>
      <c r="U282" s="5" t="n">
        <v>91.59999999999999</v>
      </c>
      <c r="V282" s="4" t="n">
        <v>327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신대리 105-8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39000</v>
      </c>
      <c r="H283" s="4" t="n">
        <v>0</v>
      </c>
      <c r="I283" s="4" t="n">
        <v>327</v>
      </c>
      <c r="J283" s="4" t="n">
        <v>99</v>
      </c>
      <c r="K283" s="5" t="n">
        <v>393.9</v>
      </c>
      <c r="L283" s="4" t="n">
        <v>168</v>
      </c>
      <c r="M283" s="4" t="n">
        <v>51</v>
      </c>
      <c r="N283" s="5" t="n">
        <v>764.7</v>
      </c>
      <c r="O283" s="3" t="inlineStr">
        <is>
          <t>깨끗한 2층전원주택,주택바로뒤가 연서중학교 위치,3층다락방은 서비스면적</t>
        </is>
      </c>
      <c r="P283" s="6">
        <f>HYPERLINK("https://fin.land.naver.com/articles/2651289585", "매물Link")</f>
        <v/>
      </c>
      <c r="Q283" s="6">
        <f>HYPERLINK("https://map.naver.com/p/search/연서면 신대리 105-8", "지도Link")</f>
        <v/>
      </c>
      <c r="R283" s="6">
        <f>HYPERLINK("http://www.eum.go.kr/web/ar/lu/luLandDet.jsp?pnu=3611036029101050008&amp;isNoScr=script&amp;mode=search", "토지이음")</f>
        <v/>
      </c>
      <c r="S283" s="3" t="inlineStr">
        <is>
          <t>담뜰</t>
        </is>
      </c>
      <c r="T283" s="4" t="n">
        <v>1</v>
      </c>
      <c r="U283" s="5" t="n">
        <v>91.59999999999999</v>
      </c>
      <c r="V283" s="4" t="n">
        <v>327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월세</t>
        </is>
      </c>
      <c r="G284" s="4" t="n">
        <v>5000</v>
      </c>
      <c r="H284" s="4" t="n">
        <v>120</v>
      </c>
      <c r="I284" s="4" t="n">
        <v>327</v>
      </c>
      <c r="J284" s="4" t="n">
        <v>99</v>
      </c>
      <c r="K284" s="5" t="n">
        <v>1.2</v>
      </c>
      <c r="L284" s="4" t="n">
        <v>168</v>
      </c>
      <c r="M284" s="4" t="n">
        <v>51</v>
      </c>
      <c r="N284" s="5" t="n">
        <v>2.4</v>
      </c>
      <c r="O284" s="3" t="inlineStr">
        <is>
          <t>깨끗한 2층전원주택,주택바로뒤가 연서중학교 위치,3층다락방은 서비스면적</t>
        </is>
      </c>
      <c r="P284" s="6">
        <f>HYPERLINK("https://fin.land.naver.com/articles/2652036207",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담뜰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전원주택</t>
        </is>
      </c>
      <c r="F285" s="3" t="inlineStr">
        <is>
          <t>전세</t>
        </is>
      </c>
      <c r="G285" s="4" t="n">
        <v>30000</v>
      </c>
      <c r="H285" s="4" t="n">
        <v>0</v>
      </c>
      <c r="I285" s="4" t="n">
        <v>327</v>
      </c>
      <c r="J285" s="4" t="n">
        <v>99</v>
      </c>
      <c r="K285" s="5" t="n">
        <v>303</v>
      </c>
      <c r="L285" s="4" t="n">
        <v>168</v>
      </c>
      <c r="M285" s="4" t="n">
        <v>51</v>
      </c>
      <c r="N285" s="5" t="n">
        <v>588.2</v>
      </c>
      <c r="O285" s="3" t="inlineStr">
        <is>
          <t>깔끔한 전원주택</t>
        </is>
      </c>
      <c r="P285" s="6">
        <f>HYPERLINK("https://fin.land.naver.com/articles/2652284182",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제일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전원주택</t>
        </is>
      </c>
      <c r="F286" s="3" t="inlineStr">
        <is>
          <t>월세</t>
        </is>
      </c>
      <c r="G286" s="4" t="n">
        <v>5000</v>
      </c>
      <c r="H286" s="4" t="n">
        <v>120</v>
      </c>
      <c r="I286" s="4" t="n">
        <v>327</v>
      </c>
      <c r="J286" s="4" t="n">
        <v>99</v>
      </c>
      <c r="K286" s="5" t="n">
        <v>1.2</v>
      </c>
      <c r="L286" s="4" t="n">
        <v>168</v>
      </c>
      <c r="M286" s="4" t="n">
        <v>51</v>
      </c>
      <c r="N286" s="5" t="n">
        <v>2.4</v>
      </c>
      <c r="O286" s="3" t="inlineStr">
        <is>
          <t>깔끔한 전원주택</t>
        </is>
      </c>
      <c r="P286" s="6">
        <f>HYPERLINK("https://fin.land.naver.com/articles/2652285276",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제일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556-1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31000</v>
      </c>
      <c r="H287" s="4" t="n">
        <v>0</v>
      </c>
      <c r="I287" s="4" t="n">
        <v>373</v>
      </c>
      <c r="J287" s="4" t="n">
        <v>113</v>
      </c>
      <c r="K287" s="5" t="n">
        <v>274.3</v>
      </c>
      <c r="L287" s="4" t="n">
        <v>72</v>
      </c>
      <c r="M287" s="4" t="n">
        <v>22</v>
      </c>
      <c r="N287" s="5" t="n">
        <v>1409.1</v>
      </c>
      <c r="O287" s="3" t="inlineStr">
        <is>
          <t>태양광 설치된 1층 단독주택, 즉시입주 가능한 귀촌형 전원주택</t>
        </is>
      </c>
      <c r="P287" s="6">
        <f>HYPERLINK("https://fin.land.naver.com/articles/2650903513", "매물Link")</f>
        <v/>
      </c>
      <c r="Q287" s="6">
        <f>HYPERLINK("https://map.naver.com/p/search/연서면 신대리 556-1", "지도Link")</f>
        <v/>
      </c>
      <c r="R287" s="6">
        <f>HYPERLINK("http://www.eum.go.kr/web/ar/lu/luLandDet.jsp?pnu=3611036029105560001&amp;isNoScr=script&amp;mode=search", "토지이음")</f>
        <v/>
      </c>
      <c r="S287" s="3" t="inlineStr">
        <is>
          <t>세종소담황금</t>
        </is>
      </c>
      <c r="T287" s="4" t="n">
        <v>1</v>
      </c>
      <c r="U287" s="5" t="n">
        <v>71.90000000000001</v>
      </c>
      <c r="V287" s="4" t="n">
        <v>373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세로한면(가)</t>
        </is>
      </c>
    </row>
    <row r="288">
      <c r="A288" s="3" t="inlineStr">
        <is>
          <t>연서면 쌍류리 257-2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단독</t>
        </is>
      </c>
      <c r="F288" s="3" t="inlineStr">
        <is>
          <t>매매</t>
        </is>
      </c>
      <c r="G288" s="4" t="n">
        <v>40000</v>
      </c>
      <c r="H288" s="4" t="n">
        <v>0</v>
      </c>
      <c r="I288" s="4" t="n">
        <v>313</v>
      </c>
      <c r="J288" s="4" t="n">
        <v>95</v>
      </c>
      <c r="K288" s="5" t="n">
        <v>421.1</v>
      </c>
      <c r="L288" s="4" t="n">
        <v>127</v>
      </c>
      <c r="M288" s="4" t="n">
        <v>38</v>
      </c>
      <c r="N288" s="5" t="n">
        <v>1052.6</v>
      </c>
      <c r="O288" s="3" t="inlineStr">
        <is>
          <t>고복저수지 인근 단독주택</t>
        </is>
      </c>
      <c r="P288" s="6">
        <f>HYPERLINK("https://fin.land.naver.com/articles/2651277336", "매물Link")</f>
        <v/>
      </c>
      <c r="Q288" s="6">
        <f>HYPERLINK("https://map.naver.com/p/search/연서면 쌍류리 257-2", "지도Link")</f>
        <v/>
      </c>
      <c r="R288" s="6">
        <f>HYPERLINK("http://www.eum.go.kr/web/ar/lu/luLandDet.jsp?pnu=3611036026102570002&amp;isNoScr=script&amp;mode=search", "토지이음")</f>
        <v/>
      </c>
      <c r="S288" s="3" t="inlineStr">
        <is>
          <t>강아지풀</t>
        </is>
      </c>
      <c r="T288" s="4" t="n">
        <v>1</v>
      </c>
      <c r="U288" s="5" t="n">
        <v>59.5</v>
      </c>
      <c r="V288" s="4" t="n">
        <v>717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쌍전리 159-2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55000</v>
      </c>
      <c r="H289" s="4" t="n">
        <v>0</v>
      </c>
      <c r="I289" s="4" t="n">
        <v>624</v>
      </c>
      <c r="J289" s="4" t="n">
        <v>189</v>
      </c>
      <c r="K289" s="5" t="n">
        <v>291</v>
      </c>
      <c r="L289" s="4" t="n">
        <v>140</v>
      </c>
      <c r="M289" s="4" t="n">
        <v>42</v>
      </c>
      <c r="N289" s="5" t="n">
        <v>1309.5</v>
      </c>
      <c r="O289" s="3" t="inlineStr">
        <is>
          <t>급매. 쌍전리 뷰 좋고 관리 잘 된 2층 단독주택. 입주일 협의.</t>
        </is>
      </c>
      <c r="P289" s="6">
        <f>HYPERLINK("https://fin.land.naver.com/articles/2653849760", "매물Link")</f>
        <v/>
      </c>
      <c r="Q289" s="6">
        <f>HYPERLINK("https://map.naver.com/p/search/연서면 쌍전리 159-2", "지도Link")</f>
        <v/>
      </c>
      <c r="R289" s="6">
        <f>HYPERLINK("http://www.eum.go.kr/web/ar/lu/luLandDet.jsp?pnu=3611036022101590002&amp;isNoScr=script&amp;mode=search", "토지이음")</f>
        <v/>
      </c>
      <c r="S289" s="3" t="inlineStr">
        <is>
          <t>세종대장</t>
        </is>
      </c>
      <c r="T289" s="4" t="n">
        <v>1</v>
      </c>
      <c r="U289" s="5" t="n">
        <v>111.2</v>
      </c>
      <c r="V289" s="4" t="n">
        <v>635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쌍전리 188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43000</v>
      </c>
      <c r="H290" s="4" t="n">
        <v>0</v>
      </c>
      <c r="I290" s="4" t="n">
        <v>412</v>
      </c>
      <c r="J290" s="4" t="n">
        <v>125</v>
      </c>
      <c r="K290" s="5" t="n">
        <v>344</v>
      </c>
      <c r="L290" s="4" t="n">
        <v>70</v>
      </c>
      <c r="M290" s="4" t="n">
        <v>21</v>
      </c>
      <c r="N290" s="5" t="n">
        <v>2047.6</v>
      </c>
      <c r="O290" s="3" t="inlineStr">
        <is>
          <t>햇살좋은 단독전원주택 심야전기 큰방1 작은방1 화장실1 다락1 마당</t>
        </is>
      </c>
      <c r="P290" s="6">
        <f>HYPERLINK("https://fin.land.naver.com/articles/2655217516", "매물Link")</f>
        <v/>
      </c>
      <c r="Q290" s="6">
        <f>HYPERLINK("https://map.naver.com/p/search/연서면 쌍전리 188", "지도Link")</f>
        <v/>
      </c>
      <c r="R290" s="6">
        <f>HYPERLINK("http://www.eum.go.kr/web/ar/lu/luLandDet.jsp?pnu=3611036022101880000&amp;isNoScr=script&amp;mode=search", "토지이음")</f>
        <v/>
      </c>
      <c r="S290" s="3" t="inlineStr">
        <is>
          <t>세종이룸</t>
        </is>
      </c>
      <c r="T290" s="4" t="n">
        <v>2</v>
      </c>
      <c r="U290" s="5" t="n">
        <v>111.2</v>
      </c>
      <c r="V290" s="4" t="n">
        <v>421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쌍전리 188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43000</v>
      </c>
      <c r="H291" s="4" t="n">
        <v>0</v>
      </c>
      <c r="I291" s="4" t="n">
        <v>421</v>
      </c>
      <c r="J291" s="4" t="n">
        <v>127</v>
      </c>
      <c r="K291" s="5" t="n">
        <v>338.6</v>
      </c>
      <c r="L291" s="4" t="n">
        <v>70</v>
      </c>
      <c r="M291" s="4" t="n">
        <v>21</v>
      </c>
      <c r="N291" s="5" t="n">
        <v>2047.6</v>
      </c>
      <c r="O291" s="3" t="inlineStr">
        <is>
          <t>세종 스마트산단 봉암IC 호재 I 뷰 좋은 대지 넓은 전원주택</t>
        </is>
      </c>
      <c r="P291" s="6">
        <f>HYPERLINK("https://fin.land.naver.com/articles/2650325536", "매물Link")</f>
        <v/>
      </c>
      <c r="Q291" s="6">
        <f>HYPERLINK("https://map.naver.com/p/search/연서면 쌍전리 188", "지도Link")</f>
        <v/>
      </c>
      <c r="R291" s="6">
        <f>HYPERLINK("http://www.eum.go.kr/web/ar/lu/luLandDet.jsp?pnu=3611036022101880000&amp;isNoScr=script&amp;mode=search", "토지이음")</f>
        <v/>
      </c>
      <c r="S291" s="3" t="inlineStr">
        <is>
          <t>세종신한</t>
        </is>
      </c>
      <c r="T291" s="4" t="n">
        <v>1</v>
      </c>
      <c r="U291" s="5" t="n">
        <v>111.2</v>
      </c>
      <c r="V291" s="4" t="n">
        <v>421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와촌리 1218</t>
        </is>
      </c>
      <c r="B292" s="3" t="inlineStr">
        <is>
          <t>계획관리지역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전원주택</t>
        </is>
      </c>
      <c r="F292" s="3" t="inlineStr">
        <is>
          <t>매매</t>
        </is>
      </c>
      <c r="G292" s="4" t="n">
        <v>71000</v>
      </c>
      <c r="H292" s="4" t="n">
        <v>0</v>
      </c>
      <c r="I292" s="4" t="n">
        <v>877</v>
      </c>
      <c r="J292" s="4" t="n">
        <v>265</v>
      </c>
      <c r="K292" s="5" t="n">
        <v>267.9</v>
      </c>
      <c r="L292" s="4" t="n">
        <v>96</v>
      </c>
      <c r="M292" s="4" t="n">
        <v>29</v>
      </c>
      <c r="N292" s="5" t="n">
        <v>2448.3</v>
      </c>
      <c r="O292" s="3" t="inlineStr">
        <is>
          <t>최근 리모델링 ,  입주 가능 , 국가산업단지 인근,투자가치높은지역</t>
        </is>
      </c>
      <c r="P292" s="6">
        <f>HYPERLINK("https://fin.land.naver.com/articles/2652359824", "매물Link")</f>
        <v/>
      </c>
      <c r="Q292" s="6">
        <f>HYPERLINK("https://map.naver.com/p/search/연서면 와촌리 1218", "지도Link")</f>
        <v/>
      </c>
      <c r="R292" s="6">
        <f>HYPERLINK("http://www.eum.go.kr/web/ar/lu/luLandDet.jsp?pnu=3611036031112180000&amp;isNoScr=script&amp;mode=search", "토지이음")</f>
        <v/>
      </c>
      <c r="S292" s="3" t="inlineStr">
        <is>
          <t>세종특별시</t>
        </is>
      </c>
      <c r="T292" s="4" t="n">
        <v>1</v>
      </c>
      <c r="U292" s="5" t="n">
        <v>90.3</v>
      </c>
      <c r="V292" s="4" t="n">
        <v>745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와촌리 1218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전원주택</t>
        </is>
      </c>
      <c r="F293" s="3" t="inlineStr">
        <is>
          <t>매매</t>
        </is>
      </c>
      <c r="G293" s="4" t="n">
        <v>70000</v>
      </c>
      <c r="H293" s="4" t="n">
        <v>0</v>
      </c>
      <c r="I293" s="4" t="n">
        <v>766</v>
      </c>
      <c r="J293" s="4" t="n">
        <v>232</v>
      </c>
      <c r="K293" s="5" t="n">
        <v>301.7</v>
      </c>
      <c r="L293" s="4" t="n">
        <v>96</v>
      </c>
      <c r="M293" s="4" t="n">
        <v>29</v>
      </c>
      <c r="N293" s="5" t="n">
        <v>2413.8</v>
      </c>
      <c r="O293" s="3" t="inlineStr">
        <is>
          <t>올리모델링. 뒷마당,앞마당 창고 및 저온저장고. 야외수도2. 지하수등.</t>
        </is>
      </c>
      <c r="P293" s="6">
        <f>HYPERLINK("https://fin.land.naver.com/articles/2651423312", "매물Link")</f>
        <v/>
      </c>
      <c r="Q293" s="6">
        <f>HYPERLINK("https://map.naver.com/p/search/연서면 와촌리 1218", "지도Link")</f>
        <v/>
      </c>
      <c r="R293" s="6">
        <f>HYPERLINK("http://www.eum.go.kr/web/ar/lu/luLandDet.jsp?pnu=3611036031112180000&amp;isNoScr=script&amp;mode=search", "토지이음")</f>
        <v/>
      </c>
      <c r="S293" s="3" t="inlineStr">
        <is>
          <t>세종소담114</t>
        </is>
      </c>
      <c r="T293" s="4" t="n">
        <v>1</v>
      </c>
      <c r="U293" s="5" t="n">
        <v>90.3</v>
      </c>
      <c r="V293" s="4" t="n">
        <v>745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세로한면(가)</t>
        </is>
      </c>
    </row>
    <row r="294">
      <c r="A294" s="3" t="inlineStr">
        <is>
          <t>연서면 와촌리 791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단독</t>
        </is>
      </c>
      <c r="F294" s="3" t="inlineStr">
        <is>
          <t>매매</t>
        </is>
      </c>
      <c r="G294" s="4" t="n">
        <v>65000</v>
      </c>
      <c r="H294" s="4" t="n">
        <v>0</v>
      </c>
      <c r="I294" s="4" t="n">
        <v>496</v>
      </c>
      <c r="J294" s="4" t="n">
        <v>150</v>
      </c>
      <c r="K294" s="5" t="n">
        <v>433.3</v>
      </c>
      <c r="L294" s="4" t="n">
        <v>91</v>
      </c>
      <c r="M294" s="4" t="n">
        <v>28</v>
      </c>
      <c r="N294" s="5" t="n">
        <v>2321.4</v>
      </c>
      <c r="O294" s="3" t="inlineStr">
        <is>
          <t>신축 한옥주택황토방 즉시입주협의</t>
        </is>
      </c>
      <c r="P294" s="6">
        <f>HYPERLINK("https://fin.land.naver.com/articles/2650856623", "매물Link")</f>
        <v/>
      </c>
      <c r="Q294" s="6">
        <f>HYPERLINK("https://map.naver.com/p/search/연서면 와촌리 791", "지도Link")</f>
        <v/>
      </c>
      <c r="R294" s="6">
        <f>HYPERLINK("http://www.eum.go.kr/web/ar/lu/luLandDet.jsp?pnu=3611036031107910000&amp;isNoScr=script&amp;mode=search", "토지이음")</f>
        <v/>
      </c>
      <c r="S294" s="3" t="inlineStr">
        <is>
          <t>세종대박</t>
        </is>
      </c>
      <c r="T294" s="4" t="n">
        <v>1</v>
      </c>
      <c r="U294" s="5" t="n">
        <v>122</v>
      </c>
      <c r="V294" s="4" t="n">
        <v>496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와촌리 900-5</t>
        </is>
      </c>
      <c r="B295" s="3" t="inlineStr">
        <is>
          <t>계획관리지역</t>
        </is>
      </c>
      <c r="C295" s="3" t="inlineStr">
        <is>
          <t>종교용지</t>
        </is>
      </c>
      <c r="D295" s="3" t="inlineStr">
        <is>
          <t>1</t>
        </is>
      </c>
      <c r="E295" s="3" t="inlineStr">
        <is>
          <t>전원주택</t>
        </is>
      </c>
      <c r="F295" s="3" t="inlineStr">
        <is>
          <t>매매</t>
        </is>
      </c>
      <c r="G295" s="4" t="n">
        <v>289000</v>
      </c>
      <c r="H295" s="4" t="n">
        <v>0</v>
      </c>
      <c r="I295" s="4" t="n">
        <v>1597</v>
      </c>
      <c r="J295" s="4" t="n">
        <v>483</v>
      </c>
      <c r="K295" s="5" t="n">
        <v>598.3</v>
      </c>
      <c r="L295" s="4" t="n">
        <v>314</v>
      </c>
      <c r="M295" s="4" t="n">
        <v>95</v>
      </c>
      <c r="N295" s="5" t="n">
        <v>3042.1</v>
      </c>
      <c r="O295" s="3" t="inlineStr">
        <is>
          <t>스마트시티도시 인근. 도로변토지.계획관리.취락지구. 건폐율,용적률완화</t>
        </is>
      </c>
      <c r="P295" s="6">
        <f>HYPERLINK("https://fin.land.naver.com/articles/2650516167", "매물Link")</f>
        <v/>
      </c>
      <c r="Q295" s="6">
        <f>HYPERLINK("https://map.naver.com/p/search/연서면 와촌리 900-5", "지도Link")</f>
        <v/>
      </c>
      <c r="R295" s="6">
        <f>HYPERLINK("http://www.eum.go.kr/web/ar/lu/luLandDet.jsp?pnu=3611036031109000005&amp;isNoScr=script&amp;mode=search", "토지이음")</f>
        <v/>
      </c>
      <c r="S295" s="3" t="inlineStr">
        <is>
          <t>양평땅진이서</t>
        </is>
      </c>
      <c r="T295" s="4" t="n">
        <v>1</v>
      </c>
      <c r="U295" s="5" t="n">
        <v>134.5</v>
      </c>
      <c r="V295" s="4" t="n">
        <v>555</v>
      </c>
      <c r="W295" s="3" t="inlineStr">
        <is>
          <t>지정되지않음</t>
        </is>
      </c>
      <c r="X295" s="3" t="inlineStr">
        <is>
          <t>주거기타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소로한면</t>
        </is>
      </c>
    </row>
    <row r="296">
      <c r="A296" s="3" t="inlineStr">
        <is>
          <t>연서면 월하리 1008-5</t>
        </is>
      </c>
      <c r="B296" s="3" t="inlineStr">
        <is>
          <t>제1종일반주거지역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전원주택</t>
        </is>
      </c>
      <c r="F296" s="3" t="inlineStr">
        <is>
          <t>매매</t>
        </is>
      </c>
      <c r="G296" s="4" t="n">
        <v>30000</v>
      </c>
      <c r="H296" s="4" t="n">
        <v>0</v>
      </c>
      <c r="I296" s="4" t="n">
        <v>144</v>
      </c>
      <c r="J296" s="4" t="n">
        <v>44</v>
      </c>
      <c r="K296" s="5" t="n">
        <v>681.8</v>
      </c>
      <c r="L296" s="4" t="n">
        <v>84</v>
      </c>
      <c r="M296" s="4" t="n">
        <v>25</v>
      </c>
      <c r="N296" s="5" t="n">
        <v>1200</v>
      </c>
      <c r="O296" s="3" t="inlineStr">
        <is>
          <t>빠른입주, 전망 좋은 주택</t>
        </is>
      </c>
      <c r="P296" s="6">
        <f>HYPERLINK("https://fin.land.naver.com/articles/2651233233", "매물Link")</f>
        <v/>
      </c>
      <c r="Q296" s="6">
        <f>HYPERLINK("https://map.naver.com/p/search/연서면 월하리 1008-5", "지도Link")</f>
        <v/>
      </c>
      <c r="R296" s="6">
        <f>HYPERLINK("http://www.eum.go.kr/web/ar/lu/luLandDet.jsp?pnu=3611036021110080005&amp;isNoScr=script&amp;mode=search", "토지이음")</f>
        <v/>
      </c>
      <c r="S296" s="3" t="inlineStr">
        <is>
          <t>정인</t>
        </is>
      </c>
      <c r="T296" s="4" t="n">
        <v>1</v>
      </c>
      <c r="U296" s="5" t="n">
        <v>184.8</v>
      </c>
      <c r="V296" s="4" t="n">
        <v>145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연서면 월하리 1008-5</t>
        </is>
      </c>
      <c r="B297" s="3" t="inlineStr">
        <is>
          <t>제1종일반주거지역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단독</t>
        </is>
      </c>
      <c r="F297" s="3" t="inlineStr">
        <is>
          <t>전세</t>
        </is>
      </c>
      <c r="G297" s="4" t="n">
        <v>17000</v>
      </c>
      <c r="H297" s="4" t="n">
        <v>0</v>
      </c>
      <c r="I297" s="4" t="n">
        <v>84</v>
      </c>
      <c r="J297" s="4" t="n">
        <v>25</v>
      </c>
      <c r="K297" s="5" t="n">
        <v>680</v>
      </c>
      <c r="L297" s="4" t="n">
        <v>84</v>
      </c>
      <c r="M297" s="4" t="n">
        <v>25</v>
      </c>
      <c r="N297" s="5" t="n">
        <v>680</v>
      </c>
      <c r="O297" s="3" t="inlineStr">
        <is>
          <t>nan</t>
        </is>
      </c>
      <c r="P297" s="6">
        <f>HYPERLINK("https://fin.land.naver.com/articles/2649752267", "매물Link")</f>
        <v/>
      </c>
      <c r="Q297" s="6">
        <f>HYPERLINK("https://map.naver.com/p/search/연서면 월하리 1008-5", "지도Link")</f>
        <v/>
      </c>
      <c r="R297" s="6">
        <f>HYPERLINK("http://www.eum.go.kr/web/ar/lu/luLandDet.jsp?pnu=3611036021110080005&amp;isNoScr=script&amp;mode=search", "토지이음")</f>
        <v/>
      </c>
      <c r="S297" s="3" t="inlineStr">
        <is>
          <t>뉴스카이</t>
        </is>
      </c>
      <c r="T297" s="4" t="n">
        <v>1</v>
      </c>
      <c r="U297" s="5" t="n">
        <v>184.8</v>
      </c>
      <c r="V297" s="4" t="n">
        <v>145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연서면 월하리 617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단독</t>
        </is>
      </c>
      <c r="F298" s="3" t="inlineStr">
        <is>
          <t>매매</t>
        </is>
      </c>
      <c r="G298" s="4" t="n">
        <v>60000</v>
      </c>
      <c r="H298" s="4" t="n">
        <v>0</v>
      </c>
      <c r="I298" s="4" t="n">
        <v>413</v>
      </c>
      <c r="J298" s="4" t="n">
        <v>125</v>
      </c>
      <c r="K298" s="5" t="n">
        <v>480</v>
      </c>
      <c r="L298" s="4" t="n">
        <v>296</v>
      </c>
      <c r="M298" s="4" t="n">
        <v>90</v>
      </c>
      <c r="N298" s="5" t="n">
        <v>666.7</v>
      </c>
      <c r="O298" s="3" t="inlineStr">
        <is>
          <t>1동 2동 단독주택 가격조정가능 입지좋아요</t>
        </is>
      </c>
      <c r="P298" s="6">
        <f>HYPERLINK("https://fin.land.naver.com/articles/2651366901", "매물Link")</f>
        <v/>
      </c>
      <c r="Q298" s="6">
        <f>HYPERLINK("https://map.naver.com/p/search/연서면 월하리 617", "지도Link")</f>
        <v/>
      </c>
      <c r="R298" s="6">
        <f>HYPERLINK("http://www.eum.go.kr/web/ar/lu/luLandDet.jsp?pnu=3611036021106170000&amp;isNoScr=script&amp;mode=search", "토지이음")</f>
        <v/>
      </c>
      <c r="S298" s="3" t="inlineStr">
        <is>
          <t>고운동리치세종</t>
        </is>
      </c>
      <c r="T298" s="4" t="n">
        <v>1</v>
      </c>
      <c r="U298" s="5" t="n">
        <v>157.5</v>
      </c>
      <c r="V298" s="4" t="n">
        <v>413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월하리 618-1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연립</t>
        </is>
      </c>
      <c r="F299" s="3" t="inlineStr">
        <is>
          <t>매매</t>
        </is>
      </c>
      <c r="G299" s="4" t="n">
        <v>8000</v>
      </c>
      <c r="H299" s="4" t="n">
        <v>0</v>
      </c>
      <c r="I299" s="4" t="n">
        <v>54</v>
      </c>
      <c r="J299" s="4" t="n">
        <v>16</v>
      </c>
      <c r="K299" s="5" t="n">
        <v>500</v>
      </c>
      <c r="L299" s="4" t="n">
        <v>54</v>
      </c>
      <c r="M299" s="4" t="n">
        <v>16</v>
      </c>
      <c r="N299" s="5" t="n">
        <v>500</v>
      </c>
      <c r="O299" s="3" t="inlineStr">
        <is>
          <t>욕실,주방,거실,샷시까지 올리모델링됨,세입자끼고매매,소액투자</t>
        </is>
      </c>
      <c r="P299" s="6">
        <f>HYPERLINK("https://fin.land.naver.com/articles/2650717018", "매물Link")</f>
        <v/>
      </c>
      <c r="Q299" s="6">
        <f>HYPERLINK("https://map.naver.com/p/search/연서면 월하리 618-1", "지도Link")</f>
        <v/>
      </c>
      <c r="R299" s="6">
        <f>HYPERLINK("http://www.eum.go.kr/web/ar/lu/luLandDet.jsp?pnu=3611036021106180001&amp;isNoScr=script&amp;mode=search", "토지이음")</f>
        <v/>
      </c>
      <c r="S299" s="3" t="inlineStr">
        <is>
          <t>신안무소</t>
        </is>
      </c>
      <c r="T299" s="4" t="n">
        <v>1</v>
      </c>
      <c r="U299" s="5" t="n">
        <v>151.2</v>
      </c>
      <c r="V299" s="4" t="n">
        <v>281</v>
      </c>
      <c r="W299" s="3" t="inlineStr">
        <is>
          <t>지정되지않음</t>
        </is>
      </c>
      <c r="X299" s="3" t="inlineStr">
        <is>
          <t>다세대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연서면 월하리 647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전원주택</t>
        </is>
      </c>
      <c r="F300" s="3" t="inlineStr">
        <is>
          <t>매매</t>
        </is>
      </c>
      <c r="G300" s="4" t="n">
        <v>22000</v>
      </c>
      <c r="H300" s="4" t="n">
        <v>0</v>
      </c>
      <c r="I300" s="4" t="n">
        <v>291</v>
      </c>
      <c r="J300" s="4" t="n">
        <v>88</v>
      </c>
      <c r="K300" s="5" t="n">
        <v>250</v>
      </c>
      <c r="L300" s="4" t="n">
        <v>70</v>
      </c>
      <c r="M300" s="4" t="n">
        <v>21</v>
      </c>
      <c r="N300" s="5" t="n">
        <v>1047.6</v>
      </c>
      <c r="O300" s="3" t="inlineStr">
        <is>
          <t>6차선도로 인접이며 상태 좋은 주택입니다</t>
        </is>
      </c>
      <c r="P300" s="6">
        <f>HYPERLINK("https://fin.land.naver.com/articles/2652095425", "매물Link")</f>
        <v/>
      </c>
      <c r="Q300" s="6">
        <f>HYPERLINK("https://map.naver.com/p/search/연서면 월하리 647", "지도Link")</f>
        <v/>
      </c>
      <c r="R300" s="6">
        <f>HYPERLINK("http://www.eum.go.kr/web/ar/lu/luLandDet.jsp?pnu=3611036021106470000&amp;isNoScr=script&amp;mode=search", "토지이음")</f>
        <v/>
      </c>
      <c r="S300" s="3" t="inlineStr">
        <is>
          <t>지호주식회사</t>
        </is>
      </c>
      <c r="T300" s="4" t="n">
        <v>1</v>
      </c>
      <c r="U300" s="5" t="n">
        <v>157.5</v>
      </c>
      <c r="V300" s="4" t="n">
        <v>281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연서면 월하리 647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매매</t>
        </is>
      </c>
      <c r="G301" s="4" t="n">
        <v>21500</v>
      </c>
      <c r="H301" s="4" t="n">
        <v>0</v>
      </c>
      <c r="I301" s="4" t="n">
        <v>281</v>
      </c>
      <c r="J301" s="4" t="n">
        <v>85</v>
      </c>
      <c r="K301" s="5" t="n">
        <v>252.9</v>
      </c>
      <c r="L301" s="4" t="n">
        <v>70</v>
      </c>
      <c r="M301" s="4" t="n">
        <v>21</v>
      </c>
      <c r="N301" s="5" t="n">
        <v>1023.8</v>
      </c>
      <c r="O301" s="3" t="inlineStr">
        <is>
          <t>가장 중심 지역으로 8차선 1번국도옆, 와촌리 국가 산업 단지 근교,</t>
        </is>
      </c>
      <c r="P301" s="6">
        <f>HYPERLINK("https://fin.land.naver.com/articles/2649482835", "매물Link")</f>
        <v/>
      </c>
      <c r="Q301" s="6">
        <f>HYPERLINK("https://map.naver.com/p/search/연서면 월하리 647", "지도Link")</f>
        <v/>
      </c>
      <c r="R301" s="6">
        <f>HYPERLINK("http://www.eum.go.kr/web/ar/lu/luLandDet.jsp?pnu=3611036021106470000&amp;isNoScr=script&amp;mode=search", "토지이음")</f>
        <v/>
      </c>
      <c r="S301" s="3" t="inlineStr">
        <is>
          <t>꿈드림</t>
        </is>
      </c>
      <c r="T301" s="4" t="n">
        <v>1</v>
      </c>
      <c r="U301" s="5" t="n">
        <v>157.5</v>
      </c>
      <c r="V301" s="4" t="n">
        <v>281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연서면 월하리 650-19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단독</t>
        </is>
      </c>
      <c r="F302" s="3" t="inlineStr">
        <is>
          <t>매매</t>
        </is>
      </c>
      <c r="G302" s="4" t="n">
        <v>30000</v>
      </c>
      <c r="H302" s="4" t="n">
        <v>0</v>
      </c>
      <c r="I302" s="4" t="n">
        <v>207</v>
      </c>
      <c r="J302" s="4" t="n">
        <v>63</v>
      </c>
      <c r="K302" s="5" t="n">
        <v>476.2</v>
      </c>
      <c r="L302" s="4" t="n">
        <v>82</v>
      </c>
      <c r="M302" s="4" t="n">
        <v>25</v>
      </c>
      <c r="N302" s="5" t="n">
        <v>1200</v>
      </c>
      <c r="O302" s="3" t="inlineStr">
        <is>
          <t>1번국도 인접한 교통좋고 깨끗한 2층단독주택.1층과 2층 모두 임대중.</t>
        </is>
      </c>
      <c r="P302" s="6">
        <f>HYPERLINK("https://fin.land.naver.com/articles/2653046906", "매물Link")</f>
        <v/>
      </c>
      <c r="Q302" s="6">
        <f>HYPERLINK("https://map.naver.com/p/search/연서면 월하리 650-19", "지도Link")</f>
        <v/>
      </c>
      <c r="R302" s="6">
        <f>HYPERLINK("http://www.eum.go.kr/web/ar/lu/luLandDet.jsp?pnu=3611036021106500019&amp;isNoScr=script&amp;mode=search", "토지이음")</f>
        <v/>
      </c>
      <c r="S302" s="3" t="inlineStr">
        <is>
          <t>세종대장</t>
        </is>
      </c>
      <c r="T302" s="4" t="n">
        <v>1</v>
      </c>
      <c r="U302" s="5" t="n">
        <v>157.5</v>
      </c>
      <c r="V302" s="4" t="n">
        <v>207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805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매매</t>
        </is>
      </c>
      <c r="G303" s="4" t="n">
        <v>100000</v>
      </c>
      <c r="H303" s="4" t="n">
        <v>0</v>
      </c>
      <c r="I303" s="4" t="n">
        <v>637</v>
      </c>
      <c r="J303" s="4" t="n">
        <v>193</v>
      </c>
      <c r="K303" s="5" t="n">
        <v>518.1</v>
      </c>
      <c r="L303" s="4" t="n">
        <v>330</v>
      </c>
      <c r="M303" s="4" t="n">
        <v>100</v>
      </c>
      <c r="N303" s="5" t="n">
        <v>1000</v>
      </c>
      <c r="O303" s="3" t="inlineStr">
        <is>
          <t>자이 아파트에서  면사무소 가는길 2차선 변에 있음.</t>
        </is>
      </c>
      <c r="P303" s="6">
        <f>HYPERLINK("https://fin.land.naver.com/articles/2650807142", "매물Link")</f>
        <v/>
      </c>
      <c r="Q303" s="6">
        <f>HYPERLINK("https://map.naver.com/p/search/연서면 월하리 805", "지도Link")</f>
        <v/>
      </c>
      <c r="R303" s="6">
        <f>HYPERLINK("http://www.eum.go.kr/web/ar/lu/luLandDet.jsp?pnu=3611036021108050000&amp;isNoScr=script&amp;mode=search", "토지이음")</f>
        <v/>
      </c>
      <c r="S303" s="3" t="inlineStr">
        <is>
          <t>꿈드림</t>
        </is>
      </c>
      <c r="T303" s="4" t="n">
        <v>1</v>
      </c>
      <c r="U303" s="5" t="n">
        <v>242.8</v>
      </c>
      <c r="V303" s="4" t="n">
        <v>638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소로각지</t>
        </is>
      </c>
    </row>
    <row r="304">
      <c r="A304" s="3" t="inlineStr">
        <is>
          <t>연서면 월하리 805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상가주택</t>
        </is>
      </c>
      <c r="F304" s="3" t="inlineStr">
        <is>
          <t>매매</t>
        </is>
      </c>
      <c r="G304" s="4" t="n">
        <v>100000</v>
      </c>
      <c r="H304" s="4" t="n">
        <v>0</v>
      </c>
      <c r="I304" s="4" t="n">
        <v>637</v>
      </c>
      <c r="J304" s="4" t="n">
        <v>193</v>
      </c>
      <c r="K304" s="5" t="n">
        <v>518.1</v>
      </c>
      <c r="L304" s="4" t="n">
        <v>330</v>
      </c>
      <c r="M304" s="4" t="n">
        <v>100</v>
      </c>
      <c r="N304" s="5" t="n">
        <v>1000</v>
      </c>
      <c r="O304" s="3" t="inlineStr">
        <is>
          <t>관리가 잘된 상가주택. 1층 상가, 2층 주택 전체매매</t>
        </is>
      </c>
      <c r="P304" s="6">
        <f>HYPERLINK("https://fin.land.naver.com/articles/2654658444", "매물Link")</f>
        <v/>
      </c>
      <c r="Q304" s="6">
        <f>HYPERLINK("https://map.naver.com/p/search/연서면 월하리 805", "지도Link")</f>
        <v/>
      </c>
      <c r="R304" s="6">
        <f>HYPERLINK("http://www.eum.go.kr/web/ar/lu/luLandDet.jsp?pnu=3611036021108050000&amp;isNoScr=script&amp;mode=search", "토지이음")</f>
        <v/>
      </c>
      <c r="S304" s="3" t="inlineStr">
        <is>
          <t>세종대장</t>
        </is>
      </c>
      <c r="T304" s="4" t="n">
        <v>1</v>
      </c>
      <c r="U304" s="5" t="n">
        <v>242.8</v>
      </c>
      <c r="V304" s="4" t="n">
        <v>638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부정형</t>
        </is>
      </c>
      <c r="AA304" s="3" t="inlineStr">
        <is>
          <t>소로각지</t>
        </is>
      </c>
    </row>
    <row r="305">
      <c r="A305" s="3" t="inlineStr">
        <is>
          <t>조치원읍 교리 11-6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4</t>
        </is>
      </c>
      <c r="E305" s="3" t="inlineStr">
        <is>
          <t>상가주택</t>
        </is>
      </c>
      <c r="F305" s="3" t="inlineStr">
        <is>
          <t>매매</t>
        </is>
      </c>
      <c r="G305" s="4" t="n">
        <v>140000</v>
      </c>
      <c r="H305" s="4" t="n">
        <v>0</v>
      </c>
      <c r="I305" s="4" t="n">
        <v>396</v>
      </c>
      <c r="J305" s="4" t="n">
        <v>120</v>
      </c>
      <c r="K305" s="5" t="n">
        <v>1166.7</v>
      </c>
      <c r="L305" s="4" t="n">
        <v>616</v>
      </c>
      <c r="M305" s="4" t="n">
        <v>186</v>
      </c>
      <c r="N305" s="5" t="n">
        <v>752.7</v>
      </c>
      <c r="O305" s="3" t="inlineStr">
        <is>
          <t>nan</t>
        </is>
      </c>
      <c r="P305" s="6">
        <f>HYPERLINK("https://fin.land.naver.com/articles/2654810818", "매물Link")</f>
        <v/>
      </c>
      <c r="Q305" s="6">
        <f>HYPERLINK("https://map.naver.com/p/search/조치원읍 교리 11-6", "지도Link")</f>
        <v/>
      </c>
      <c r="R305" s="6">
        <f>HYPERLINK("http://www.eum.go.kr/web/ar/lu/luLandDet.jsp?pnu=3611025024100110006&amp;isNoScr=script&amp;mode=search", "토지이음")</f>
        <v/>
      </c>
      <c r="S305" s="3" t="inlineStr">
        <is>
          <t>효자</t>
        </is>
      </c>
      <c r="T305" s="4" t="n">
        <v>1</v>
      </c>
      <c r="U305" s="5" t="n">
        <v>283.3</v>
      </c>
      <c r="V305" s="4" t="n">
        <v>396.4</v>
      </c>
      <c r="W305" s="3" t="inlineStr">
        <is>
          <t>지정되지않음</t>
        </is>
      </c>
      <c r="X305" s="3" t="inlineStr">
        <is>
          <t>주상용</t>
        </is>
      </c>
      <c r="Y305" s="3" t="inlineStr">
        <is>
          <t>평지</t>
        </is>
      </c>
      <c r="Z305" s="3" t="inlineStr">
        <is>
          <t>세로장방</t>
        </is>
      </c>
      <c r="AA305" s="3" t="inlineStr">
        <is>
          <t>중로각지</t>
        </is>
      </c>
    </row>
    <row r="306">
      <c r="A306" s="3" t="inlineStr">
        <is>
          <t>조치원읍 교리 11-6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4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150000</v>
      </c>
      <c r="H306" s="4" t="n">
        <v>0</v>
      </c>
      <c r="I306" s="4" t="n">
        <v>396</v>
      </c>
      <c r="J306" s="4" t="n">
        <v>120</v>
      </c>
      <c r="K306" s="5" t="n">
        <v>1250</v>
      </c>
      <c r="L306" s="4" t="n">
        <v>616</v>
      </c>
      <c r="M306" s="4" t="n">
        <v>186</v>
      </c>
      <c r="N306" s="5" t="n">
        <v>806.5</v>
      </c>
      <c r="O306" s="3" t="inlineStr">
        <is>
          <t>상가주택, 2가구, 상가임대1, 가격조정가능, 주차가능</t>
        </is>
      </c>
      <c r="P306" s="6">
        <f>HYPERLINK("https://fin.land.naver.com/articles/2650985563", "매물Link")</f>
        <v/>
      </c>
      <c r="Q306" s="6">
        <f>HYPERLINK("https://map.naver.com/p/search/조치원읍 교리 11-6", "지도Link")</f>
        <v/>
      </c>
      <c r="R306" s="6">
        <f>HYPERLINK("http://www.eum.go.kr/web/ar/lu/luLandDet.jsp?pnu=3611025024100110006&amp;isNoScr=script&amp;mode=search", "토지이음")</f>
        <v/>
      </c>
      <c r="S306" s="3" t="inlineStr">
        <is>
          <t>엄마와딸</t>
        </is>
      </c>
      <c r="T306" s="4" t="n">
        <v>1</v>
      </c>
      <c r="U306" s="5" t="n">
        <v>283.3</v>
      </c>
      <c r="V306" s="4" t="n">
        <v>396.4</v>
      </c>
      <c r="W306" s="3" t="inlineStr">
        <is>
          <t>지정되지않음</t>
        </is>
      </c>
      <c r="X306" s="3" t="inlineStr">
        <is>
          <t>주상용</t>
        </is>
      </c>
      <c r="Y306" s="3" t="inlineStr">
        <is>
          <t>평지</t>
        </is>
      </c>
      <c r="Z306" s="3" t="inlineStr">
        <is>
          <t>세로장방</t>
        </is>
      </c>
      <c r="AA306" s="3" t="inlineStr">
        <is>
          <t>중로각지</t>
        </is>
      </c>
    </row>
    <row r="307">
      <c r="A307" s="3" t="inlineStr">
        <is>
          <t>조치원읍 교리 13-14</t>
        </is>
      </c>
      <c r="B307" s="3" t="inlineStr">
        <is>
          <t>준주거지역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다가구</t>
        </is>
      </c>
      <c r="F307" s="3" t="inlineStr">
        <is>
          <t>월세</t>
        </is>
      </c>
      <c r="G307" s="4" t="n">
        <v>200</v>
      </c>
      <c r="H307" s="4" t="n">
        <v>31</v>
      </c>
      <c r="I307" s="4" t="n">
        <v>26</v>
      </c>
      <c r="J307" s="4" t="n">
        <v>8</v>
      </c>
      <c r="K307" s="5" t="n">
        <v>3.9</v>
      </c>
      <c r="L307" s="4" t="n">
        <v>26</v>
      </c>
      <c r="M307" s="4" t="n">
        <v>8</v>
      </c>
      <c r="N307" s="5" t="n">
        <v>3.9</v>
      </c>
      <c r="O307" s="3" t="inlineStr">
        <is>
          <t>넒은 원룸이며, 조치원시장, 조치원역 옆에 위치하여 교통 편리</t>
        </is>
      </c>
      <c r="P307" s="6">
        <f>HYPERLINK("https://fin.land.naver.com/articles/2653987786", "매물Link")</f>
        <v/>
      </c>
      <c r="Q307" s="6">
        <f>HYPERLINK("https://map.naver.com/p/search/조치원읍 교리 13-14", "지도Link")</f>
        <v/>
      </c>
      <c r="R307" s="6">
        <f>HYPERLINK("http://www.eum.go.kr/web/ar/lu/luLandDet.jsp?pnu=3611025024100130014&amp;isNoScr=script&amp;mode=search", "토지이음")</f>
        <v/>
      </c>
      <c r="S307" s="3" t="inlineStr">
        <is>
          <t>세종베스트</t>
        </is>
      </c>
      <c r="T307" s="4" t="n">
        <v>1</v>
      </c>
      <c r="U307" s="5" t="n">
        <v>377.9</v>
      </c>
      <c r="V307" s="4" t="n">
        <v>305.1</v>
      </c>
      <c r="W307" s="3" t="inlineStr">
        <is>
          <t>지정되지않음</t>
        </is>
      </c>
      <c r="X307" s="3" t="inlineStr">
        <is>
          <t>주상나지</t>
        </is>
      </c>
      <c r="Y307" s="3" t="inlineStr">
        <is>
          <t>평지</t>
        </is>
      </c>
      <c r="Z307" s="3" t="inlineStr">
        <is>
          <t>가로장방</t>
        </is>
      </c>
      <c r="AA307" s="3" t="inlineStr">
        <is>
          <t>소로각지</t>
        </is>
      </c>
    </row>
    <row r="308">
      <c r="A308" s="3" t="inlineStr">
        <is>
          <t>조치원읍 교리 13-15</t>
        </is>
      </c>
      <c r="B308" s="3" t="inlineStr">
        <is>
          <t>준주거지역</t>
        </is>
      </c>
      <c r="C308" s="3" t="inlineStr">
        <is>
          <t>대</t>
        </is>
      </c>
      <c r="D308" s="3" t="inlineStr">
        <is>
          <t>0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300</v>
      </c>
      <c r="H308" s="4" t="n">
        <v>60</v>
      </c>
      <c r="I308" s="4" t="n">
        <v>0</v>
      </c>
      <c r="J308" s="4" t="n">
        <v>0</v>
      </c>
      <c r="K308" s="5" t="n">
        <v>0</v>
      </c>
      <c r="L308" s="4" t="n">
        <v>49</v>
      </c>
      <c r="M308" s="4" t="n">
        <v>15</v>
      </c>
      <c r="N308" s="5" t="n">
        <v>4</v>
      </c>
      <c r="O308" s="3" t="inlineStr">
        <is>
          <t>역세권 투룸 방볼수있어요</t>
        </is>
      </c>
      <c r="P308" s="6">
        <f>HYPERLINK("https://fin.land.naver.com/articles/2653929800", "매물Link")</f>
        <v/>
      </c>
      <c r="Q308" s="6">
        <f>HYPERLINK("https://map.naver.com/p/search/조치원읍 교리 13-15", "지도Link")</f>
        <v/>
      </c>
      <c r="R308" s="6">
        <f>HYPERLINK("http://www.eum.go.kr/web/ar/lu/luLandDet.jsp?pnu=3611025024100130015&amp;isNoScr=script&amp;mode=search",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316.3</v>
      </c>
      <c r="V308" s="4" t="n">
        <v>360.9</v>
      </c>
      <c r="W308" s="3" t="inlineStr">
        <is>
          <t>지정되지않음</t>
        </is>
      </c>
      <c r="X308" s="3" t="inlineStr">
        <is>
          <t>주상나지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세로한면(가)</t>
        </is>
      </c>
    </row>
    <row r="309">
      <c r="A309" s="3" t="inlineStr">
        <is>
          <t>조치원읍 교리 16-11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0</v>
      </c>
      <c r="J309" s="4" t="n">
        <v>0</v>
      </c>
      <c r="K309" s="5" t="n">
        <v>0</v>
      </c>
      <c r="L309" s="4" t="n">
        <v>23</v>
      </c>
      <c r="M309" s="4" t="n">
        <v>7</v>
      </c>
      <c r="N309" s="5" t="n">
        <v>4.3</v>
      </c>
      <c r="O309" s="3" t="inlineStr">
        <is>
          <t>메가박스 뒷편 조치원역 도보거리</t>
        </is>
      </c>
      <c r="P309" s="6">
        <f>HYPERLINK("https://fin.land.naver.com/articles/2652852845", "매물Link")</f>
        <v/>
      </c>
      <c r="Q309" s="6">
        <f>HYPERLINK("https://map.naver.com/p/search/조치원읍 교리 16-11", "지도Link")</f>
        <v/>
      </c>
      <c r="R309" s="6">
        <f>HYPERLINK("http://www.eum.go.kr/web/ar/lu/luLandDet.jsp?pnu=3611025024100160011&amp;isNoScr=script&amp;mode=search",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367.3</v>
      </c>
      <c r="V309" s="4" t="n">
        <v>445</v>
      </c>
      <c r="W309" s="3" t="inlineStr">
        <is>
          <t>지정되지않음</t>
        </is>
      </c>
      <c r="X309" s="3" t="inlineStr">
        <is>
          <t>상업나지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소로각지</t>
        </is>
      </c>
    </row>
    <row r="310">
      <c r="A310" s="3" t="inlineStr">
        <is>
          <t>조치원읍 교리 18-13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단독</t>
        </is>
      </c>
      <c r="F310" s="3" t="inlineStr">
        <is>
          <t>매매</t>
        </is>
      </c>
      <c r="G310" s="4" t="n">
        <v>25000</v>
      </c>
      <c r="H310" s="4" t="n">
        <v>0</v>
      </c>
      <c r="I310" s="4" t="n">
        <v>140</v>
      </c>
      <c r="J310" s="4" t="n">
        <v>42</v>
      </c>
      <c r="K310" s="5" t="n">
        <v>595.2</v>
      </c>
      <c r="L310" s="4" t="n">
        <v>119</v>
      </c>
      <c r="M310" s="4" t="n">
        <v>36</v>
      </c>
      <c r="N310" s="5" t="n">
        <v>694.4</v>
      </c>
      <c r="O310" s="3" t="inlineStr">
        <is>
          <t>행정복지센터 인근,2층 단독주택 매매</t>
        </is>
      </c>
      <c r="P310" s="6">
        <f>HYPERLINK("https://fin.land.naver.com/articles/2654473669", "매물Link")</f>
        <v/>
      </c>
      <c r="Q310" s="6">
        <f>HYPERLINK("https://map.naver.com/p/search/조치원읍 교리 18-13", "지도Link")</f>
        <v/>
      </c>
      <c r="R310" s="6">
        <f>HYPERLINK("http://www.eum.go.kr/web/ar/lu/luLandDet.jsp?pnu=3611025024100180013&amp;isNoScr=script&amp;mode=search", "토지이음")</f>
        <v/>
      </c>
      <c r="S310" s="3" t="inlineStr">
        <is>
          <t>이음 사무소</t>
        </is>
      </c>
      <c r="T310" s="4" t="n">
        <v>1</v>
      </c>
      <c r="U310" s="5" t="n">
        <v>229.1</v>
      </c>
      <c r="V310" s="4" t="n">
        <v>140.8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소로한면</t>
        </is>
      </c>
    </row>
    <row r="311">
      <c r="A311" s="3" t="inlineStr">
        <is>
          <t>조치원읍 교리 18-19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3</t>
        </is>
      </c>
      <c r="E311" s="3" t="inlineStr">
        <is>
          <t>일반원룸</t>
        </is>
      </c>
      <c r="F311" s="3" t="inlineStr">
        <is>
          <t>전세</t>
        </is>
      </c>
      <c r="G311" s="4" t="n">
        <v>7000</v>
      </c>
      <c r="H311" s="4" t="n">
        <v>0</v>
      </c>
      <c r="I311" s="4" t="n">
        <v>40</v>
      </c>
      <c r="J311" s="4" t="n">
        <v>12</v>
      </c>
      <c r="K311" s="5" t="n">
        <v>583.3</v>
      </c>
      <c r="L311" s="4" t="n">
        <v>40</v>
      </c>
      <c r="M311" s="4" t="n">
        <v>12</v>
      </c>
      <c r="N311" s="5" t="n">
        <v>583.3</v>
      </c>
      <c r="O311" s="3" t="inlineStr">
        <is>
          <t>2룸 조치원역 전통시장 도보가능 엘베유</t>
        </is>
      </c>
      <c r="P311" s="6">
        <f>HYPERLINK("https://fin.land.naver.com/articles/2655164519", "매물Link")</f>
        <v/>
      </c>
      <c r="Q311" s="6">
        <f>HYPERLINK("https://map.naver.com/p/search/조치원읍 교리 18-19", "지도Link")</f>
        <v/>
      </c>
      <c r="R311" s="6">
        <f>HYPERLINK("http://www.eum.go.kr/web/ar/lu/luLandDet.jsp?pnu=3611025024100180019&amp;isNoScr=script&amp;mode=search",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283.3</v>
      </c>
      <c r="V311" s="4" t="n">
        <v>378.9</v>
      </c>
      <c r="W311" s="3" t="inlineStr">
        <is>
          <t>지정되지않음</t>
        </is>
      </c>
      <c r="X311" s="3" t="inlineStr">
        <is>
          <t>주상용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중로각지</t>
        </is>
      </c>
    </row>
    <row r="312">
      <c r="A312" s="3" t="inlineStr">
        <is>
          <t>조치원읍 교리 2-2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단독</t>
        </is>
      </c>
      <c r="F312" s="3" t="inlineStr">
        <is>
          <t>매매</t>
        </is>
      </c>
      <c r="G312" s="4" t="n">
        <v>60000</v>
      </c>
      <c r="H312" s="4" t="n">
        <v>0</v>
      </c>
      <c r="I312" s="4" t="n">
        <v>285</v>
      </c>
      <c r="J312" s="4" t="n">
        <v>86</v>
      </c>
      <c r="K312" s="5" t="n">
        <v>697.7</v>
      </c>
      <c r="L312" s="4" t="n">
        <v>201</v>
      </c>
      <c r="M312" s="4" t="n">
        <v>61</v>
      </c>
      <c r="N312" s="5" t="n">
        <v>983.6</v>
      </c>
      <c r="O312" s="3" t="inlineStr">
        <is>
          <t>문화정원 앞, 코너 2층단독주택, 옆동건축물로 월세수입 가능</t>
        </is>
      </c>
      <c r="P312" s="6">
        <f>HYPERLINK("https://fin.land.naver.com/articles/2651076917", "매물Link")</f>
        <v/>
      </c>
      <c r="Q312" s="6">
        <f>HYPERLINK("https://map.naver.com/p/search/조치원읍 교리 2-2", "지도Link")</f>
        <v/>
      </c>
      <c r="R312" s="6">
        <f>HYPERLINK("http://www.eum.go.kr/web/ar/lu/luLandDet.jsp?pnu=3611025024100020002&amp;isNoScr=script&amp;mode=search", "토지이음")</f>
        <v/>
      </c>
      <c r="S312" s="3" t="inlineStr">
        <is>
          <t>다옴</t>
        </is>
      </c>
      <c r="T312" s="4" t="n">
        <v>1</v>
      </c>
      <c r="U312" s="5" t="n">
        <v>302.8</v>
      </c>
      <c r="V312" s="4" t="n">
        <v>285.6</v>
      </c>
      <c r="W312" s="3" t="inlineStr">
        <is>
          <t>지정되지않음</t>
        </is>
      </c>
      <c r="X312" s="3" t="inlineStr">
        <is>
          <t>주상용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소로각지</t>
        </is>
      </c>
    </row>
    <row r="313">
      <c r="A313" s="3" t="inlineStr">
        <is>
          <t>조치원읍 교리 2-27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단독</t>
        </is>
      </c>
      <c r="F313" s="3" t="inlineStr">
        <is>
          <t>월세</t>
        </is>
      </c>
      <c r="G313" s="4" t="n">
        <v>100</v>
      </c>
      <c r="H313" s="4" t="n">
        <v>25</v>
      </c>
      <c r="I313" s="4" t="n">
        <v>23</v>
      </c>
      <c r="J313" s="4" t="n">
        <v>7</v>
      </c>
      <c r="K313" s="5" t="n">
        <v>3.6</v>
      </c>
      <c r="L313" s="4" t="n">
        <v>23</v>
      </c>
      <c r="M313" s="4" t="n">
        <v>7</v>
      </c>
      <c r="N313" s="5" t="n">
        <v>3.6</v>
      </c>
      <c r="O313" s="3" t="inlineStr">
        <is>
          <t>교동초 근처 저렴한 원룸 즉시입주가능합니다</t>
        </is>
      </c>
      <c r="P313" s="6">
        <f>HYPERLINK("https://fin.land.naver.com/articles/2651708073", "매물Link")</f>
        <v/>
      </c>
      <c r="Q313" s="6">
        <f>HYPERLINK("https://map.naver.com/p/search/조치원읍 교리 2-27", "지도Link")</f>
        <v/>
      </c>
      <c r="R313" s="6">
        <f>HYPERLINK("http://www.eum.go.kr/web/ar/lu/luLandDet.jsp?pnu=3611025024100020027&amp;isNoScr=script&amp;mode=search", "토지이음")</f>
        <v/>
      </c>
      <c r="S313" s="3" t="inlineStr">
        <is>
          <t>OK수</t>
        </is>
      </c>
      <c r="T313" s="4" t="n">
        <v>2</v>
      </c>
      <c r="U313" s="5" t="n">
        <v>199.8</v>
      </c>
      <c r="V313" s="4" t="n">
        <v>330.6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정방형</t>
        </is>
      </c>
      <c r="AA313" s="3" t="inlineStr">
        <is>
          <t>세로한면(가)</t>
        </is>
      </c>
    </row>
    <row r="314">
      <c r="A314" s="3" t="inlineStr">
        <is>
          <t>조치원읍 교리 20-10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상가주택</t>
        </is>
      </c>
      <c r="F314" s="3" t="inlineStr">
        <is>
          <t>매매</t>
        </is>
      </c>
      <c r="G314" s="4" t="n">
        <v>46000</v>
      </c>
      <c r="H314" s="4" t="n">
        <v>0</v>
      </c>
      <c r="I314" s="4" t="n">
        <v>168</v>
      </c>
      <c r="J314" s="4" t="n">
        <v>51</v>
      </c>
      <c r="K314" s="5" t="n">
        <v>902</v>
      </c>
      <c r="L314" s="4" t="n">
        <v>197</v>
      </c>
      <c r="M314" s="4" t="n">
        <v>60</v>
      </c>
      <c r="N314" s="5" t="n">
        <v>766.7</v>
      </c>
      <c r="O314" s="3" t="inlineStr">
        <is>
          <t>리모델링된 상가주택매매입니다.월세 수익 받으시면서 실거주해보세요.</t>
        </is>
      </c>
      <c r="P314" s="6">
        <f>HYPERLINK("https://fin.land.naver.com/articles/2652491110", "매물Link")</f>
        <v/>
      </c>
      <c r="Q314" s="6">
        <f>HYPERLINK("https://map.naver.com/p/search/조치원읍 교리 20-10", "지도Link")</f>
        <v/>
      </c>
      <c r="R314" s="6">
        <f>HYPERLINK("http://www.eum.go.kr/web/ar/lu/luLandDet.jsp?pnu=3611025024100200010&amp;isNoScr=script&amp;mode=search", "토지이음")</f>
        <v/>
      </c>
      <c r="S314" s="3" t="inlineStr">
        <is>
          <t>이음</t>
        </is>
      </c>
      <c r="T314" s="4" t="n">
        <v>1</v>
      </c>
      <c r="U314" s="5" t="n">
        <v>367.3</v>
      </c>
      <c r="V314" s="4" t="n">
        <v>168.6</v>
      </c>
      <c r="W314" s="3" t="inlineStr">
        <is>
          <t>지정되지않음</t>
        </is>
      </c>
      <c r="X314" s="3" t="inlineStr">
        <is>
          <t>상업용</t>
        </is>
      </c>
      <c r="Y314" s="3" t="inlineStr">
        <is>
          <t>평지</t>
        </is>
      </c>
      <c r="Z314" s="3" t="inlineStr">
        <is>
          <t>가로장방</t>
        </is>
      </c>
      <c r="AA314" s="3" t="inlineStr">
        <is>
          <t>소로각지</t>
        </is>
      </c>
    </row>
    <row r="315">
      <c r="A315" s="3" t="inlineStr">
        <is>
          <t>조치원읍 교리 20-12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상가주택</t>
        </is>
      </c>
      <c r="F315" s="3" t="inlineStr">
        <is>
          <t>월세</t>
        </is>
      </c>
      <c r="G315" s="4" t="n">
        <v>1000</v>
      </c>
      <c r="H315" s="4" t="n">
        <v>60</v>
      </c>
      <c r="I315" s="4" t="n">
        <v>55</v>
      </c>
      <c r="J315" s="4" t="n">
        <v>17</v>
      </c>
      <c r="K315" s="5" t="n">
        <v>3.5</v>
      </c>
      <c r="L315" s="4" t="n">
        <v>55</v>
      </c>
      <c r="M315" s="4" t="n">
        <v>17</v>
      </c>
      <c r="N315" s="5" t="n">
        <v>3.5</v>
      </c>
      <c r="O315" s="3" t="inlineStr">
        <is>
          <t>조치원 중심가 위치,역 근처 상권 및 편의시설 이용 좋음.</t>
        </is>
      </c>
      <c r="P315" s="6">
        <f>HYPERLINK("https://fin.land.naver.com/articles/2651984055", "매물Link")</f>
        <v/>
      </c>
      <c r="Q315" s="6">
        <f>HYPERLINK("https://map.naver.com/p/search/조치원읍 교리 20-12", "지도Link")</f>
        <v/>
      </c>
      <c r="R315" s="6">
        <f>HYPERLINK("http://www.eum.go.kr/web/ar/lu/luLandDet.jsp?pnu=3611025024100200012&amp;isNoScr=script&amp;mode=search", "토지이음")</f>
        <v/>
      </c>
      <c r="S315" s="3" t="inlineStr">
        <is>
          <t>베스트매경</t>
        </is>
      </c>
      <c r="T315" s="4" t="n">
        <v>1</v>
      </c>
      <c r="U315" s="5" t="n">
        <v>352.7</v>
      </c>
      <c r="V315" s="4" t="n">
        <v>138.8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소로한면</t>
        </is>
      </c>
    </row>
    <row r="316">
      <c r="A316" s="3" t="inlineStr">
        <is>
          <t>조치원읍 교리 23-9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단독</t>
        </is>
      </c>
      <c r="F316" s="3" t="inlineStr">
        <is>
          <t>매매</t>
        </is>
      </c>
      <c r="G316" s="4" t="n">
        <v>65000</v>
      </c>
      <c r="H316" s="4" t="n">
        <v>0</v>
      </c>
      <c r="I316" s="4" t="n">
        <v>192</v>
      </c>
      <c r="J316" s="4" t="n">
        <v>58</v>
      </c>
      <c r="K316" s="5" t="n">
        <v>1120.7</v>
      </c>
      <c r="L316" s="4" t="n">
        <v>385</v>
      </c>
      <c r="M316" s="4" t="n">
        <v>116</v>
      </c>
      <c r="N316" s="5" t="n">
        <v>560.3</v>
      </c>
      <c r="O316" s="3" t="inlineStr">
        <is>
          <t>메가박스 뒷편 용우동 상가건물 급매매</t>
        </is>
      </c>
      <c r="P316" s="6">
        <f>HYPERLINK("https://fin.land.naver.com/articles/2654393581", "매물Link")</f>
        <v/>
      </c>
      <c r="Q316" s="6">
        <f>HYPERLINK("https://map.naver.com/p/search/조치원읍 교리 23-9", "지도Link")</f>
        <v/>
      </c>
      <c r="R316" s="6">
        <f>HYPERLINK("http://www.eum.go.kr/web/ar/lu/luLandDet.jsp?pnu=3611025024100230009&amp;isNoScr=script&amp;mode=search",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410.9</v>
      </c>
      <c r="V316" s="4" t="n">
        <v>192.7</v>
      </c>
      <c r="W316" s="3" t="inlineStr">
        <is>
          <t>지정되지않음</t>
        </is>
      </c>
      <c r="X316" s="3" t="inlineStr">
        <is>
          <t>상업용</t>
        </is>
      </c>
      <c r="Y316" s="3" t="inlineStr">
        <is>
          <t>평지</t>
        </is>
      </c>
      <c r="Z316" s="3" t="inlineStr">
        <is>
          <t>정방형</t>
        </is>
      </c>
      <c r="AA316" s="3" t="inlineStr">
        <is>
          <t>세로한면(가)</t>
        </is>
      </c>
    </row>
    <row r="317">
      <c r="A317" s="3" t="inlineStr">
        <is>
          <t>조치원읍 교리 25-8</t>
        </is>
      </c>
      <c r="B317" s="3" t="inlineStr">
        <is>
          <t>준주거지역</t>
        </is>
      </c>
      <c r="C317" s="3" t="inlineStr">
        <is>
          <t>대</t>
        </is>
      </c>
      <c r="D317" s="3" t="inlineStr">
        <is>
          <t>3</t>
        </is>
      </c>
      <c r="E317" s="3" t="inlineStr">
        <is>
          <t>상가주택</t>
        </is>
      </c>
      <c r="F317" s="3" t="inlineStr">
        <is>
          <t>월세</t>
        </is>
      </c>
      <c r="G317" s="4" t="n">
        <v>500</v>
      </c>
      <c r="H317" s="4" t="n">
        <v>40</v>
      </c>
      <c r="I317" s="4" t="n">
        <v>69</v>
      </c>
      <c r="J317" s="4" t="n">
        <v>21</v>
      </c>
      <c r="K317" s="5" t="n">
        <v>1.9</v>
      </c>
      <c r="L317" s="4" t="n">
        <v>69</v>
      </c>
      <c r="M317" s="4" t="n">
        <v>21</v>
      </c>
      <c r="N317" s="5" t="n">
        <v>1.9</v>
      </c>
      <c r="O317" s="3" t="inlineStr">
        <is>
          <t>쓰리룸.기숙사용도로 사용 하기 좋습니다.</t>
        </is>
      </c>
      <c r="P317" s="6">
        <f>HYPERLINK("https://fin.land.naver.com/articles/2654473654", "매물Link")</f>
        <v/>
      </c>
      <c r="Q317" s="6">
        <f>HYPERLINK("https://map.naver.com/p/search/조치원읍 교리 25-8", "지도Link")</f>
        <v/>
      </c>
      <c r="R317" s="6">
        <f>HYPERLINK("http://www.eum.go.kr/web/ar/lu/luLandDet.jsp?pnu=3611025024100250008&amp;isNoScr=script&amp;mode=search", "토지이음")</f>
        <v/>
      </c>
      <c r="S317" s="3" t="inlineStr">
        <is>
          <t>이음 사무소</t>
        </is>
      </c>
      <c r="T317" s="4" t="n">
        <v>1</v>
      </c>
      <c r="U317" s="5" t="n">
        <v>723.3</v>
      </c>
      <c r="V317" s="4" t="n">
        <v>125.4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세로장방</t>
        </is>
      </c>
      <c r="AA317" s="3" t="inlineStr">
        <is>
          <t>중로한면</t>
        </is>
      </c>
    </row>
    <row r="318">
      <c r="A318" s="3" t="inlineStr">
        <is>
          <t>조치원읍 교리 3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3</t>
        </is>
      </c>
      <c r="E318" s="3" t="inlineStr">
        <is>
          <t>연립</t>
        </is>
      </c>
      <c r="F318" s="3" t="inlineStr">
        <is>
          <t>매매</t>
        </is>
      </c>
      <c r="G318" s="4" t="n">
        <v>10000</v>
      </c>
      <c r="H318" s="4" t="n">
        <v>0</v>
      </c>
      <c r="I318" s="4" t="n">
        <v>56</v>
      </c>
      <c r="J318" s="4" t="n">
        <v>17</v>
      </c>
      <c r="K318" s="5" t="n">
        <v>588.2</v>
      </c>
      <c r="L318" s="4" t="n">
        <v>51</v>
      </c>
      <c r="M318" s="4" t="n">
        <v>15</v>
      </c>
      <c r="N318" s="5" t="n">
        <v>666.7</v>
      </c>
      <c r="O318" s="3" t="inlineStr">
        <is>
          <t>조치원역, 조치원 전통시장에 가까움</t>
        </is>
      </c>
      <c r="P318" s="6">
        <f>HYPERLINK("https://fin.land.naver.com/articles/2650121694", "매물Link")</f>
        <v/>
      </c>
      <c r="Q318" s="6">
        <f>HYPERLINK("https://map.naver.com/p/search/조치원읍 교리 3", "지도Link")</f>
        <v/>
      </c>
      <c r="R318" s="6">
        <f>HYPERLINK("http://www.eum.go.kr/web/ar/lu/luLandDet.jsp?pnu=3611025024100030000&amp;isNoScr=script&amp;mode=search", "토지이음")</f>
        <v/>
      </c>
      <c r="S318" s="3" t="inlineStr">
        <is>
          <t>세종베스트</t>
        </is>
      </c>
      <c r="T318" s="4" t="n">
        <v>1</v>
      </c>
      <c r="U318" s="5" t="n">
        <v>261.5</v>
      </c>
      <c r="V318" s="4" t="n">
        <v>4586.5</v>
      </c>
      <c r="W318" s="3" t="inlineStr">
        <is>
          <t>지정되지않음</t>
        </is>
      </c>
      <c r="X318" s="3" t="inlineStr">
        <is>
          <t>연립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중로한면</t>
        </is>
      </c>
    </row>
    <row r="319">
      <c r="A319" s="3" t="inlineStr">
        <is>
          <t>조치원읍 교리 3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연립</t>
        </is>
      </c>
      <c r="F319" s="3" t="inlineStr">
        <is>
          <t>매매</t>
        </is>
      </c>
      <c r="G319" s="4" t="n">
        <v>12000</v>
      </c>
      <c r="H319" s="4" t="n">
        <v>0</v>
      </c>
      <c r="I319" s="4" t="n">
        <v>56</v>
      </c>
      <c r="J319" s="4" t="n">
        <v>17</v>
      </c>
      <c r="K319" s="5" t="n">
        <v>705.9</v>
      </c>
      <c r="L319" s="4" t="n">
        <v>51</v>
      </c>
      <c r="M319" s="4" t="n">
        <v>15</v>
      </c>
      <c r="N319" s="5" t="n">
        <v>800</v>
      </c>
      <c r="O319" s="3" t="inlineStr">
        <is>
          <t>샷시까지 올 리모델링됨 협의입주 가능합니다</t>
        </is>
      </c>
      <c r="P319" s="6">
        <f>HYPERLINK("https://fin.land.naver.com/articles/2650000609", "매물Link")</f>
        <v/>
      </c>
      <c r="Q319" s="6">
        <f>HYPERLINK("https://map.naver.com/p/search/조치원읍 교리 3", "지도Link")</f>
        <v/>
      </c>
      <c r="R319" s="6">
        <f>HYPERLINK("http://www.eum.go.kr/web/ar/lu/luLandDet.jsp?pnu=3611025024100030000&amp;isNoScr=script&amp;mode=search", "토지이음")</f>
        <v/>
      </c>
      <c r="S319" s="3" t="inlineStr">
        <is>
          <t>OK수</t>
        </is>
      </c>
      <c r="T319" s="4" t="n">
        <v>1</v>
      </c>
      <c r="U319" s="5" t="n">
        <v>261.5</v>
      </c>
      <c r="V319" s="4" t="n">
        <v>4586.5</v>
      </c>
      <c r="W319" s="3" t="inlineStr">
        <is>
          <t>지정되지않음</t>
        </is>
      </c>
      <c r="X319" s="3" t="inlineStr">
        <is>
          <t>연립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중로한면</t>
        </is>
      </c>
    </row>
    <row r="320">
      <c r="A320" s="3" t="inlineStr">
        <is>
          <t>조치원읍 교리 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3</t>
        </is>
      </c>
      <c r="E320" s="3" t="inlineStr">
        <is>
          <t>연립</t>
        </is>
      </c>
      <c r="F320" s="3" t="inlineStr">
        <is>
          <t>매매</t>
        </is>
      </c>
      <c r="G320" s="4" t="n">
        <v>10500</v>
      </c>
      <c r="H320" s="4" t="n">
        <v>0</v>
      </c>
      <c r="I320" s="4" t="n">
        <v>56</v>
      </c>
      <c r="J320" s="4" t="n">
        <v>17</v>
      </c>
      <c r="K320" s="5" t="n">
        <v>617.6</v>
      </c>
      <c r="L320" s="4" t="n">
        <v>51</v>
      </c>
      <c r="M320" s="4" t="n">
        <v>15</v>
      </c>
      <c r="N320" s="5" t="n">
        <v>700</v>
      </c>
      <c r="O320" s="3" t="inlineStr">
        <is>
          <t>샷시까지 올 리모델링됨 협의입주 가능합니다</t>
        </is>
      </c>
      <c r="P320" s="6">
        <f>HYPERLINK("https://fin.land.naver.com/articles/2654339100", "매물Link")</f>
        <v/>
      </c>
      <c r="Q320" s="6">
        <f>HYPERLINK("https://map.naver.com/p/search/조치원읍 교리 3", "지도Link")</f>
        <v/>
      </c>
      <c r="R320" s="6">
        <f>HYPERLINK("http://www.eum.go.kr/web/ar/lu/luLandDet.jsp?pnu=3611025024100030000&amp;isNoScr=script&amp;mode=search", "토지이음")</f>
        <v/>
      </c>
      <c r="S320" s="3" t="inlineStr">
        <is>
          <t>OK수</t>
        </is>
      </c>
      <c r="T320" s="4" t="n">
        <v>1</v>
      </c>
      <c r="U320" s="5" t="n">
        <v>261.5</v>
      </c>
      <c r="V320" s="4" t="n">
        <v>4586.5</v>
      </c>
      <c r="W320" s="3" t="inlineStr">
        <is>
          <t>지정되지않음</t>
        </is>
      </c>
      <c r="X320" s="3" t="inlineStr">
        <is>
          <t>연립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중로한면</t>
        </is>
      </c>
    </row>
    <row r="321">
      <c r="A321" s="3" t="inlineStr">
        <is>
          <t>조치원읍 교리 4-13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0</v>
      </c>
      <c r="J321" s="4" t="n">
        <v>0</v>
      </c>
      <c r="K321" s="5" t="n">
        <v>0</v>
      </c>
      <c r="L321" s="4" t="n">
        <v>23</v>
      </c>
      <c r="M321" s="4" t="n">
        <v>7</v>
      </c>
      <c r="N321" s="5" t="n">
        <v>4.3</v>
      </c>
      <c r="O321" s="3" t="inlineStr">
        <is>
          <t>역세권 투베이</t>
        </is>
      </c>
      <c r="P321" s="6">
        <f>HYPERLINK("https://fin.land.naver.com/articles/2652851166", "매물Link")</f>
        <v/>
      </c>
      <c r="Q321" s="6">
        <f>HYPERLINK("https://map.naver.com/p/search/조치원읍 교리 4-13", "지도Link")</f>
        <v/>
      </c>
      <c r="R321" s="6">
        <f>HYPERLINK("http://www.eum.go.kr/web/ar/lu/luLandDet.jsp?pnu=3611025024100040013&amp;isNoScr=script&amp;mode=search", "토지이음")</f>
        <v/>
      </c>
      <c r="S321" s="3" t="inlineStr">
        <is>
          <t>척척</t>
        </is>
      </c>
      <c r="T321" s="4" t="n">
        <v>1</v>
      </c>
      <c r="U321" s="5" t="n">
        <v>269.2</v>
      </c>
      <c r="V321" s="4" t="n">
        <v>352.4</v>
      </c>
      <c r="W321" s="3" t="inlineStr">
        <is>
          <t>지정되지않음</t>
        </is>
      </c>
      <c r="X321" s="3" t="inlineStr">
        <is>
          <t>주거기타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중로각지</t>
        </is>
      </c>
    </row>
    <row r="322">
      <c r="A322" s="3" t="inlineStr">
        <is>
          <t>조치원읍 교리 4-13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27</v>
      </c>
      <c r="I322" s="4" t="n">
        <v>0</v>
      </c>
      <c r="J322" s="4" t="n">
        <v>0</v>
      </c>
      <c r="K322" s="5" t="n">
        <v>0</v>
      </c>
      <c r="L322" s="4" t="n">
        <v>23</v>
      </c>
      <c r="M322" s="4" t="n">
        <v>7</v>
      </c>
      <c r="N322" s="5" t="n">
        <v>3.9</v>
      </c>
      <c r="O322" s="3" t="inlineStr">
        <is>
          <t>역세권 주방넓고 통풍잘되는 집</t>
        </is>
      </c>
      <c r="P322" s="6">
        <f>HYPERLINK("https://fin.land.naver.com/articles/2649888270", "매물Link")</f>
        <v/>
      </c>
      <c r="Q322" s="6">
        <f>HYPERLINK("https://map.naver.com/p/search/조치원읍 교리 4-13", "지도Link")</f>
        <v/>
      </c>
      <c r="R322" s="6">
        <f>HYPERLINK("http://www.eum.go.kr/web/ar/lu/luLandDet.jsp?pnu=3611025024100040013&amp;isNoScr=script&amp;mode=search",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269.2</v>
      </c>
      <c r="V322" s="4" t="n">
        <v>352.4</v>
      </c>
      <c r="W322" s="3" t="inlineStr">
        <is>
          <t>지정되지않음</t>
        </is>
      </c>
      <c r="X322" s="3" t="inlineStr">
        <is>
          <t>주거기타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4-13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200</v>
      </c>
      <c r="H323" s="4" t="n">
        <v>28</v>
      </c>
      <c r="I323" s="4" t="n">
        <v>25</v>
      </c>
      <c r="J323" s="4" t="n">
        <v>8</v>
      </c>
      <c r="K323" s="5" t="n">
        <v>3.5</v>
      </c>
      <c r="L323" s="4" t="n">
        <v>20</v>
      </c>
      <c r="M323" s="4" t="n">
        <v>6</v>
      </c>
      <c r="N323" s="5" t="n">
        <v>4.7</v>
      </c>
      <c r="O323" s="3" t="inlineStr">
        <is>
          <t>문화정원인근 깔끔 원룸.분리형.방이 넓어요.즉시입주가능.</t>
        </is>
      </c>
      <c r="P323" s="6">
        <f>HYPERLINK("https://fin.land.naver.com/articles/2650064246", "매물Link")</f>
        <v/>
      </c>
      <c r="Q323" s="6">
        <f>HYPERLINK("https://map.naver.com/p/search/조치원읍 교리 4-13", "지도Link")</f>
        <v/>
      </c>
      <c r="R323" s="6">
        <f>HYPERLINK("http://www.eum.go.kr/web/ar/lu/luLandDet.jsp?pnu=3611025024100040013&amp;isNoScr=script&amp;mode=search", "토지이음")</f>
        <v/>
      </c>
      <c r="S323" s="3" t="inlineStr">
        <is>
          <t>이음</t>
        </is>
      </c>
      <c r="T323" s="4" t="n">
        <v>1</v>
      </c>
      <c r="U323" s="5" t="n">
        <v>269.2</v>
      </c>
      <c r="V323" s="4" t="n">
        <v>352.4</v>
      </c>
      <c r="W323" s="3" t="inlineStr">
        <is>
          <t>지정되지않음</t>
        </is>
      </c>
      <c r="X323" s="3" t="inlineStr">
        <is>
          <t>주거기타</t>
        </is>
      </c>
      <c r="Y323" s="3" t="inlineStr">
        <is>
          <t>평지</t>
        </is>
      </c>
      <c r="Z323" s="3" t="inlineStr">
        <is>
          <t>사다리형</t>
        </is>
      </c>
      <c r="AA323" s="3" t="inlineStr">
        <is>
          <t>중로각지</t>
        </is>
      </c>
    </row>
    <row r="324">
      <c r="A324" s="3" t="inlineStr">
        <is>
          <t>조치원읍 교리 5-2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단독</t>
        </is>
      </c>
      <c r="F324" s="3" t="inlineStr">
        <is>
          <t>매매</t>
        </is>
      </c>
      <c r="G324" s="4" t="n">
        <v>25000</v>
      </c>
      <c r="H324" s="4" t="n">
        <v>0</v>
      </c>
      <c r="I324" s="4" t="n">
        <v>139</v>
      </c>
      <c r="J324" s="4" t="n">
        <v>42</v>
      </c>
      <c r="K324" s="5" t="n">
        <v>595.2</v>
      </c>
      <c r="L324" s="4" t="n">
        <v>128</v>
      </c>
      <c r="M324" s="4" t="n">
        <v>39</v>
      </c>
      <c r="N324" s="5" t="n">
        <v>641</v>
      </c>
      <c r="O324" s="3" t="inlineStr">
        <is>
          <t>nan</t>
        </is>
      </c>
      <c r="P324" s="6">
        <f>HYPERLINK("https://fin.land.naver.com/articles/2649622161", "매물Link")</f>
        <v/>
      </c>
      <c r="Q324" s="6">
        <f>HYPERLINK("https://map.naver.com/p/search/조치원읍 교리 5-2", "지도Link")</f>
        <v/>
      </c>
      <c r="R324" s="6">
        <f>HYPERLINK("http://www.eum.go.kr/web/ar/lu/luLandDet.jsp?pnu=3611025024100050002&amp;isNoScr=script&amp;mode=search", "토지이음")</f>
        <v/>
      </c>
      <c r="S324" s="3" t="inlineStr">
        <is>
          <t>효자</t>
        </is>
      </c>
      <c r="T324" s="4" t="n">
        <v>1</v>
      </c>
      <c r="U324" s="5" t="n">
        <v>361.3</v>
      </c>
      <c r="V324" s="4" t="n">
        <v>139.5</v>
      </c>
      <c r="W324" s="3" t="inlineStr">
        <is>
          <t>지정되지않음</t>
        </is>
      </c>
      <c r="X324" s="3" t="inlineStr">
        <is>
          <t>주상기타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중로각지</t>
        </is>
      </c>
    </row>
    <row r="325">
      <c r="A325" s="3" t="inlineStr">
        <is>
          <t>조치원읍 교리 7-15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6</t>
        </is>
      </c>
      <c r="E325" s="3" t="inlineStr">
        <is>
          <t>단독</t>
        </is>
      </c>
      <c r="F325" s="3" t="inlineStr">
        <is>
          <t>매매</t>
        </is>
      </c>
      <c r="G325" s="4" t="n">
        <v>42000</v>
      </c>
      <c r="H325" s="4" t="n">
        <v>0</v>
      </c>
      <c r="I325" s="4" t="n">
        <v>139</v>
      </c>
      <c r="J325" s="4" t="n">
        <v>42</v>
      </c>
      <c r="K325" s="5" t="n">
        <v>1000</v>
      </c>
      <c r="L325" s="4" t="n">
        <v>341</v>
      </c>
      <c r="M325" s="4" t="n">
        <v>103</v>
      </c>
      <c r="N325" s="5" t="n">
        <v>407.8</v>
      </c>
      <c r="O325" s="3" t="inlineStr">
        <is>
          <t>6층 다가구 및 상가 통건물, 공실없이 임대수익 중</t>
        </is>
      </c>
      <c r="P325" s="6">
        <f>HYPERLINK("https://fin.land.naver.com/articles/2654800366", "매물Link")</f>
        <v/>
      </c>
      <c r="Q325" s="6">
        <f>HYPERLINK("https://map.naver.com/p/search/조치원읍 교리 7-15", "지도Link")</f>
        <v/>
      </c>
      <c r="R325" s="6">
        <f>HYPERLINK("http://www.eum.go.kr/web/ar/lu/luLandDet.jsp?pnu=3611025024100070015&amp;isNoScr=script&amp;mode=search", "토지이음")</f>
        <v/>
      </c>
      <c r="S325" s="3" t="inlineStr">
        <is>
          <t>다옴</t>
        </is>
      </c>
      <c r="T325" s="4" t="n">
        <v>3</v>
      </c>
      <c r="U325" s="5" t="n">
        <v>217.4</v>
      </c>
      <c r="V325" s="4" t="n">
        <v>139.8</v>
      </c>
      <c r="W325" s="3" t="inlineStr">
        <is>
          <t>지정되지않음</t>
        </is>
      </c>
      <c r="X325" s="3" t="inlineStr">
        <is>
          <t>주거기타</t>
        </is>
      </c>
      <c r="Y325" s="3" t="inlineStr">
        <is>
          <t>평지</t>
        </is>
      </c>
      <c r="Z325" s="3" t="inlineStr">
        <is>
          <t>가로장방</t>
        </is>
      </c>
      <c r="AA325" s="3" t="inlineStr">
        <is>
          <t>소로한면</t>
        </is>
      </c>
    </row>
    <row r="326">
      <c r="A326" s="3" t="inlineStr">
        <is>
          <t>조치원읍 남리 103-16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상가주택</t>
        </is>
      </c>
      <c r="F326" s="3" t="inlineStr">
        <is>
          <t>매매</t>
        </is>
      </c>
      <c r="G326" s="4" t="n">
        <v>29000</v>
      </c>
      <c r="H326" s="4" t="n">
        <v>0</v>
      </c>
      <c r="I326" s="4" t="n">
        <v>282</v>
      </c>
      <c r="J326" s="4" t="n">
        <v>85</v>
      </c>
      <c r="K326" s="5" t="n">
        <v>341.2</v>
      </c>
      <c r="L326" s="4" t="n">
        <v>229</v>
      </c>
      <c r="M326" s="4" t="n">
        <v>69</v>
      </c>
      <c r="N326" s="5" t="n">
        <v>420.3</v>
      </c>
      <c r="O326" s="3" t="inlineStr">
        <is>
          <t>1층 공장 , 2층 주택 , 도로변</t>
        </is>
      </c>
      <c r="P326" s="6">
        <f>HYPERLINK("https://fin.land.naver.com/articles/2652084096", "매물Link")</f>
        <v/>
      </c>
      <c r="Q326" s="6">
        <f>HYPERLINK("https://map.naver.com/p/search/조치원읍 남리 103-16", "지도Link")</f>
        <v/>
      </c>
      <c r="R326" s="6">
        <f>HYPERLINK("http://www.eum.go.kr/web/ar/lu/luLandDet.jsp?pnu=3611025027101030016&amp;isNoScr=script&amp;mode=search", "토지이음")</f>
        <v/>
      </c>
      <c r="S326" s="3" t="inlineStr">
        <is>
          <t>KB세종</t>
        </is>
      </c>
      <c r="T326" s="4" t="n">
        <v>1</v>
      </c>
      <c r="U326" s="5" t="n">
        <v>160.4</v>
      </c>
      <c r="V326" s="4" t="n">
        <v>282</v>
      </c>
      <c r="W326" s="3" t="inlineStr">
        <is>
          <t>지정되지않음</t>
        </is>
      </c>
      <c r="X326" s="3" t="inlineStr">
        <is>
          <t>주거기타</t>
        </is>
      </c>
      <c r="Y326" s="3" t="inlineStr">
        <is>
          <t>평지</t>
        </is>
      </c>
      <c r="Z326" s="3" t="inlineStr">
        <is>
          <t>부정형</t>
        </is>
      </c>
      <c r="AA326" s="3" t="inlineStr">
        <is>
          <t>세로한면(가)</t>
        </is>
      </c>
    </row>
    <row r="327">
      <c r="A327" s="3" t="inlineStr">
        <is>
          <t>조치원읍 남리 119-10</t>
        </is>
      </c>
      <c r="B327" s="3" t="inlineStr">
        <is>
          <t>제2종일반주거지역</t>
        </is>
      </c>
      <c r="C327" s="3" t="inlineStr">
        <is>
          <t>잡종지</t>
        </is>
      </c>
      <c r="D327" s="3" t="inlineStr">
        <is>
          <t>2</t>
        </is>
      </c>
      <c r="E327" s="3" t="inlineStr">
        <is>
          <t>다가구</t>
        </is>
      </c>
      <c r="F327" s="3" t="inlineStr">
        <is>
          <t>월세</t>
        </is>
      </c>
      <c r="G327" s="4" t="n">
        <v>200</v>
      </c>
      <c r="H327" s="4" t="n">
        <v>27</v>
      </c>
      <c r="I327" s="4" t="n">
        <v>33</v>
      </c>
      <c r="J327" s="4" t="n">
        <v>10</v>
      </c>
      <c r="K327" s="5" t="n">
        <v>2.7</v>
      </c>
      <c r="L327" s="4" t="n">
        <v>19</v>
      </c>
      <c r="M327" s="4" t="n">
        <v>6</v>
      </c>
      <c r="N327" s="5" t="n">
        <v>4.5</v>
      </c>
      <c r="O327" s="3" t="inlineStr">
        <is>
          <t>조치원역도보거리O막힘없는O깨끗한 원룸</t>
        </is>
      </c>
      <c r="P327" s="6">
        <f>HYPERLINK("https://fin.land.naver.com/articles/2651069139", "매물Link")</f>
        <v/>
      </c>
      <c r="Q327" s="6">
        <f>HYPERLINK("https://map.naver.com/p/search/조치원읍 남리 119-10", "지도Link")</f>
        <v/>
      </c>
      <c r="R327" s="6">
        <f>HYPERLINK("http://www.eum.go.kr/web/ar/lu/luLandDet.jsp?pnu=3611025027101190010&amp;isNoScr=script&amp;mode=search",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242.2</v>
      </c>
      <c r="V327" s="4" t="n">
        <v>280</v>
      </c>
      <c r="W327" s="3" t="inlineStr">
        <is>
          <t>지정되지않음</t>
        </is>
      </c>
      <c r="X327" s="3" t="inlineStr">
        <is>
          <t>상업기타</t>
        </is>
      </c>
      <c r="Y327" s="3" t="inlineStr">
        <is>
          <t>평지</t>
        </is>
      </c>
      <c r="Z327" s="3" t="inlineStr">
        <is>
          <t>자루형</t>
        </is>
      </c>
      <c r="AA327" s="3" t="inlineStr">
        <is>
          <t>세로한면(가)</t>
        </is>
      </c>
    </row>
    <row r="328">
      <c r="A328" s="3" t="inlineStr">
        <is>
          <t>조치원읍 남리 119-10</t>
        </is>
      </c>
      <c r="B328" s="3" t="inlineStr">
        <is>
          <t>제2종일반주거지역</t>
        </is>
      </c>
      <c r="C328" s="3" t="inlineStr">
        <is>
          <t>잡종지</t>
        </is>
      </c>
      <c r="D328" s="3" t="inlineStr">
        <is>
          <t>1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25</v>
      </c>
      <c r="I328" s="4" t="n">
        <v>33</v>
      </c>
      <c r="J328" s="4" t="n">
        <v>10</v>
      </c>
      <c r="K328" s="5" t="n">
        <v>2.5</v>
      </c>
      <c r="L328" s="4" t="n">
        <v>5</v>
      </c>
      <c r="M328" s="4" t="n">
        <v>2</v>
      </c>
      <c r="N328" s="5" t="n">
        <v>12.5</v>
      </c>
      <c r="O328" s="3" t="inlineStr">
        <is>
          <t>조치원역도보거리 저렴한 원룸 즉시입주</t>
        </is>
      </c>
      <c r="P328" s="6">
        <f>HYPERLINK("https://fin.land.naver.com/articles/2650728690", "매물Link")</f>
        <v/>
      </c>
      <c r="Q328" s="6">
        <f>HYPERLINK("https://map.naver.com/p/search/조치원읍 남리 119-10", "지도Link")</f>
        <v/>
      </c>
      <c r="R328" s="6">
        <f>HYPERLINK("http://www.eum.go.kr/web/ar/lu/luLandDet.jsp?pnu=3611025027101190010&amp;isNoScr=script&amp;mode=search",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242.2</v>
      </c>
      <c r="V328" s="4" t="n">
        <v>280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자루형</t>
        </is>
      </c>
      <c r="AA328" s="3" t="inlineStr">
        <is>
          <t>세로한면(가)</t>
        </is>
      </c>
    </row>
    <row r="329">
      <c r="A329" s="3" t="inlineStr">
        <is>
          <t>조치원읍 남리 119-12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30</v>
      </c>
      <c r="I329" s="4" t="n">
        <v>20</v>
      </c>
      <c r="J329" s="4" t="n">
        <v>6</v>
      </c>
      <c r="K329" s="5" t="n">
        <v>5</v>
      </c>
      <c r="L329" s="4" t="n">
        <v>20</v>
      </c>
      <c r="M329" s="4" t="n">
        <v>6</v>
      </c>
      <c r="N329" s="5" t="n">
        <v>5</v>
      </c>
      <c r="O329" s="3" t="inlineStr">
        <is>
          <t>원룸 남향  조치원역 도보가능합니다</t>
        </is>
      </c>
      <c r="P329" s="6">
        <f>HYPERLINK("https://fin.land.naver.com/articles/2653495764", "매물Link")</f>
        <v/>
      </c>
      <c r="Q329" s="6">
        <f>HYPERLINK("https://map.naver.com/p/search/조치원읍 남리 119-12", "지도Link")</f>
        <v/>
      </c>
      <c r="R329" s="6">
        <f>HYPERLINK("http://www.eum.go.kr/web/ar/lu/luLandDet.jsp?pnu=3611025027101190012&amp;isNoScr=script&amp;mode=search",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282.8</v>
      </c>
      <c r="V329" s="4" t="n">
        <v>485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119-12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39</v>
      </c>
      <c r="J330" s="4" t="n">
        <v>12</v>
      </c>
      <c r="K330" s="5" t="n">
        <v>2.5</v>
      </c>
      <c r="L330" s="4" t="n">
        <v>26</v>
      </c>
      <c r="M330" s="4" t="n">
        <v>8</v>
      </c>
      <c r="N330" s="5" t="n">
        <v>3.8</v>
      </c>
      <c r="O330" s="3" t="inlineStr">
        <is>
          <t>남향 조치원시내권도보거리 주차시설완비 완벽풀옵션</t>
        </is>
      </c>
      <c r="P330" s="6">
        <f>HYPERLINK("https://fin.land.naver.com/articles/2652366588", "매물Link")</f>
        <v/>
      </c>
      <c r="Q330" s="6">
        <f>HYPERLINK("https://map.naver.com/p/search/조치원읍 남리 119-12", "지도Link")</f>
        <v/>
      </c>
      <c r="R330" s="6">
        <f>HYPERLINK("http://www.eum.go.kr/web/ar/lu/luLandDet.jsp?pnu=3611025027101190012&amp;isNoScr=script&amp;mode=search",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282.8</v>
      </c>
      <c r="V330" s="4" t="n">
        <v>485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소로한면</t>
        </is>
      </c>
    </row>
    <row r="331">
      <c r="A331" s="3" t="inlineStr">
        <is>
          <t>조치원읍 남리 119-6</t>
        </is>
      </c>
      <c r="B331" s="3" t="inlineStr">
        <is>
          <t>제2종일반주거지역</t>
        </is>
      </c>
      <c r="C331" s="3" t="inlineStr">
        <is>
          <t>잡종지</t>
        </is>
      </c>
      <c r="D331" s="3" t="inlineStr">
        <is>
          <t>1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27</v>
      </c>
      <c r="I331" s="4" t="n">
        <v>16</v>
      </c>
      <c r="J331" s="4" t="n">
        <v>5</v>
      </c>
      <c r="K331" s="5" t="n">
        <v>5.4</v>
      </c>
      <c r="L331" s="4" t="n">
        <v>16</v>
      </c>
      <c r="M331" s="4" t="n">
        <v>5</v>
      </c>
      <c r="N331" s="5" t="n">
        <v>5.4</v>
      </c>
      <c r="O331" s="3" t="inlineStr">
        <is>
          <t>아늑하고 깔끔한 풀옵션,교통과 생활이 아주 편리,가성비 좋음,즉시 입주</t>
        </is>
      </c>
      <c r="P331" s="6">
        <f>HYPERLINK("https://fin.land.naver.com/articles/2651659898", "매물Link")</f>
        <v/>
      </c>
      <c r="Q331" s="6">
        <f>HYPERLINK("https://map.naver.com/p/search/조치원읍 남리 119-6", "지도Link")</f>
        <v/>
      </c>
      <c r="R331" s="6">
        <f>HYPERLINK("http://www.eum.go.kr/web/ar/lu/luLandDet.jsp?pnu=3611025027101190006&amp;isNoScr=script&amp;mode=search", "토지이음")</f>
        <v/>
      </c>
      <c r="S331" s="3" t="inlineStr">
        <is>
          <t>유정희</t>
        </is>
      </c>
      <c r="T331" s="4" t="n">
        <v>1</v>
      </c>
      <c r="U331" s="5" t="n">
        <v>285.5</v>
      </c>
      <c r="V331" s="4" t="n">
        <v>249</v>
      </c>
      <c r="W331" s="3" t="inlineStr">
        <is>
          <t>지정되지않음</t>
        </is>
      </c>
      <c r="X331" s="3" t="inlineStr">
        <is>
          <t>상업기타</t>
        </is>
      </c>
      <c r="Y331" s="3" t="inlineStr">
        <is>
          <t>평지</t>
        </is>
      </c>
      <c r="Z331" s="3" t="inlineStr">
        <is>
          <t>정방형</t>
        </is>
      </c>
      <c r="AA331" s="3" t="inlineStr">
        <is>
          <t>소로한면</t>
        </is>
      </c>
    </row>
    <row r="332">
      <c r="A332" s="3" t="inlineStr">
        <is>
          <t>조치원읍 남리 119-6</t>
        </is>
      </c>
      <c r="B332" s="3" t="inlineStr">
        <is>
          <t>제2종일반주거지역</t>
        </is>
      </c>
      <c r="C332" s="3" t="inlineStr">
        <is>
          <t>잡종지</t>
        </is>
      </c>
      <c r="D332" s="3" t="inlineStr">
        <is>
          <t>4</t>
        </is>
      </c>
      <c r="E332" s="3" t="inlineStr">
        <is>
          <t>단독</t>
        </is>
      </c>
      <c r="F332" s="3" t="inlineStr">
        <is>
          <t>월세</t>
        </is>
      </c>
      <c r="G332" s="4" t="n">
        <v>200</v>
      </c>
      <c r="H332" s="4" t="n">
        <v>27</v>
      </c>
      <c r="I332" s="4" t="n">
        <v>26</v>
      </c>
      <c r="J332" s="4" t="n">
        <v>8</v>
      </c>
      <c r="K332" s="5" t="n">
        <v>3.4</v>
      </c>
      <c r="L332" s="4" t="n">
        <v>26</v>
      </c>
      <c r="M332" s="4" t="n">
        <v>8</v>
      </c>
      <c r="N332" s="5" t="n">
        <v>3.4</v>
      </c>
      <c r="O332" s="3" t="inlineStr">
        <is>
          <t>조치원 시내의 교통 편리하고  깔끔한 원룸</t>
        </is>
      </c>
      <c r="P332" s="6">
        <f>HYPERLINK("https://fin.land.naver.com/articles/2653992392", "매물Link")</f>
        <v/>
      </c>
      <c r="Q332" s="6">
        <f>HYPERLINK("https://map.naver.com/p/search/조치원읍 남리 119-6", "지도Link")</f>
        <v/>
      </c>
      <c r="R332" s="6">
        <f>HYPERLINK("http://www.eum.go.kr/web/ar/lu/luLandDet.jsp?pnu=3611025027101190006&amp;isNoScr=script&amp;mode=search", "토지이음")</f>
        <v/>
      </c>
      <c r="S332" s="3" t="inlineStr">
        <is>
          <t>세종베스트</t>
        </is>
      </c>
      <c r="T332" s="4" t="n">
        <v>1</v>
      </c>
      <c r="U332" s="5" t="n">
        <v>285.5</v>
      </c>
      <c r="V332" s="4" t="n">
        <v>249</v>
      </c>
      <c r="W332" s="3" t="inlineStr">
        <is>
          <t>지정되지않음</t>
        </is>
      </c>
      <c r="X332" s="3" t="inlineStr">
        <is>
          <t>상업기타</t>
        </is>
      </c>
      <c r="Y332" s="3" t="inlineStr">
        <is>
          <t>평지</t>
        </is>
      </c>
      <c r="Z332" s="3" t="inlineStr">
        <is>
          <t>정방형</t>
        </is>
      </c>
      <c r="AA332" s="3" t="inlineStr">
        <is>
          <t>소로한면</t>
        </is>
      </c>
    </row>
    <row r="333">
      <c r="A333" s="3" t="inlineStr">
        <is>
          <t>조치원읍 남리 119-6</t>
        </is>
      </c>
      <c r="B333" s="3" t="inlineStr">
        <is>
          <t>제2종일반주거지역</t>
        </is>
      </c>
      <c r="C333" s="3" t="inlineStr">
        <is>
          <t>잡종지</t>
        </is>
      </c>
      <c r="D333" s="3" t="inlineStr">
        <is>
          <t>3</t>
        </is>
      </c>
      <c r="E333" s="3" t="inlineStr">
        <is>
          <t>일반원룸</t>
        </is>
      </c>
      <c r="F333" s="3" t="inlineStr">
        <is>
          <t>월세</t>
        </is>
      </c>
      <c r="G333" s="4" t="n">
        <v>100</v>
      </c>
      <c r="H333" s="4" t="n">
        <v>23</v>
      </c>
      <c r="I333" s="4" t="n">
        <v>0</v>
      </c>
      <c r="J333" s="4" t="n">
        <v>0</v>
      </c>
      <c r="K333" s="5" t="n">
        <v>0</v>
      </c>
      <c r="L333" s="4" t="n">
        <v>19</v>
      </c>
      <c r="M333" s="4" t="n">
        <v>6</v>
      </c>
      <c r="N333" s="5" t="n">
        <v>3.8</v>
      </c>
      <c r="O333" s="3" t="inlineStr">
        <is>
          <t>남리 버스정류장 가까운 위치</t>
        </is>
      </c>
      <c r="P333" s="6">
        <f>HYPERLINK("https://fin.land.naver.com/articles/2654005712", "매물Link")</f>
        <v/>
      </c>
      <c r="Q333" s="6">
        <f>HYPERLINK("https://map.naver.com/p/search/조치원읍 남리 119-6", "지도Link")</f>
        <v/>
      </c>
      <c r="R333" s="6">
        <f>HYPERLINK("http://www.eum.go.kr/web/ar/lu/luLandDet.jsp?pnu=3611025027101190006&amp;isNoScr=script&amp;mode=search", "토지이음")</f>
        <v/>
      </c>
      <c r="S333" s="3" t="inlineStr">
        <is>
          <t>척척</t>
        </is>
      </c>
      <c r="T333" s="4" t="n">
        <v>1</v>
      </c>
      <c r="U333" s="5" t="n">
        <v>285.5</v>
      </c>
      <c r="V333" s="4" t="n">
        <v>249</v>
      </c>
      <c r="W333" s="3" t="inlineStr">
        <is>
          <t>지정되지않음</t>
        </is>
      </c>
      <c r="X333" s="3" t="inlineStr">
        <is>
          <t>상업기타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12-34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매매</t>
        </is>
      </c>
      <c r="G334" s="4" t="n">
        <v>16500</v>
      </c>
      <c r="H334" s="4" t="n">
        <v>0</v>
      </c>
      <c r="I334" s="4" t="n">
        <v>108</v>
      </c>
      <c r="J334" s="4" t="n">
        <v>33</v>
      </c>
      <c r="K334" s="5" t="n">
        <v>500</v>
      </c>
      <c r="L334" s="4" t="n">
        <v>110</v>
      </c>
      <c r="M334" s="4" t="n">
        <v>33</v>
      </c>
      <c r="N334" s="5" t="n">
        <v>500</v>
      </c>
      <c r="O334" s="3" t="inlineStr">
        <is>
          <t>남리 우성볼링장 뒷편  주택거주하고싶은분 추천합니다</t>
        </is>
      </c>
      <c r="P334" s="6">
        <f>HYPERLINK("https://fin.land.naver.com/articles/2649790458", "매물Link")</f>
        <v/>
      </c>
      <c r="Q334" s="6">
        <f>HYPERLINK("https://map.naver.com/p/search/조치원읍 남리 12-34", "지도Link")</f>
        <v/>
      </c>
      <c r="R334" s="6">
        <f>HYPERLINK("http://www.eum.go.kr/web/ar/lu/luLandDet.jsp?pnu=3611025027100120034&amp;isNoScr=script&amp;mode=search", "토지이음")</f>
        <v/>
      </c>
      <c r="S334" s="3" t="inlineStr">
        <is>
          <t>OK수</t>
        </is>
      </c>
      <c r="T334" s="4" t="n">
        <v>1</v>
      </c>
      <c r="U334" s="5" t="n">
        <v>196.8</v>
      </c>
      <c r="V334" s="4" t="n">
        <v>108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조치원읍 남리 299-2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월세</t>
        </is>
      </c>
      <c r="G335" s="4" t="n">
        <v>200</v>
      </c>
      <c r="H335" s="4" t="n">
        <v>30</v>
      </c>
      <c r="I335" s="4" t="n">
        <v>26</v>
      </c>
      <c r="J335" s="4" t="n">
        <v>8</v>
      </c>
      <c r="K335" s="5" t="n">
        <v>3.8</v>
      </c>
      <c r="L335" s="4" t="n">
        <v>19</v>
      </c>
      <c r="M335" s="4" t="n">
        <v>6</v>
      </c>
      <c r="N335" s="5" t="n">
        <v>5</v>
      </c>
      <c r="O335" s="3" t="inlineStr">
        <is>
          <t>주방분리형.시장1분. 역3분.깔끔한방</t>
        </is>
      </c>
      <c r="P335" s="6">
        <f>HYPERLINK("https://fin.land.naver.com/articles/2653684540", "매물Link")</f>
        <v/>
      </c>
      <c r="Q335" s="6">
        <f>HYPERLINK("https://map.naver.com/p/search/조치원읍 남리 299-2", "지도Link")</f>
        <v/>
      </c>
      <c r="R335" s="6">
        <f>HYPERLINK("http://www.eum.go.kr/web/ar/lu/luLandDet.jsp?pnu=3611025027102990002&amp;isNoScr=script&amp;mode=search", "토지이음")</f>
        <v/>
      </c>
      <c r="S335" s="3" t="inlineStr">
        <is>
          <t>마이룸</t>
        </is>
      </c>
      <c r="T335" s="4" t="n">
        <v>1</v>
      </c>
      <c r="U335" s="5" t="n">
        <v>223.9</v>
      </c>
      <c r="V335" s="4" t="n">
        <v>407.8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소로각지</t>
        </is>
      </c>
    </row>
    <row r="336">
      <c r="A336" s="3" t="inlineStr">
        <is>
          <t>조치원읍 남리 322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단독</t>
        </is>
      </c>
      <c r="F336" s="3" t="inlineStr">
        <is>
          <t>월세</t>
        </is>
      </c>
      <c r="G336" s="4" t="n">
        <v>200</v>
      </c>
      <c r="H336" s="4" t="n">
        <v>54</v>
      </c>
      <c r="I336" s="4" t="n">
        <v>49</v>
      </c>
      <c r="J336" s="4" t="n">
        <v>15</v>
      </c>
      <c r="K336" s="5" t="n">
        <v>3.6</v>
      </c>
      <c r="L336" s="4" t="n">
        <v>42</v>
      </c>
      <c r="M336" s="4" t="n">
        <v>13</v>
      </c>
      <c r="N336" s="5" t="n">
        <v>4.2</v>
      </c>
      <c r="O336" s="3" t="inlineStr">
        <is>
          <t>리모델링된 투룸 주택 빠른입주 협의</t>
        </is>
      </c>
      <c r="P336" s="6">
        <f>HYPERLINK("https://fin.land.naver.com/articles/2654029961", "매물Link")</f>
        <v/>
      </c>
      <c r="Q336" s="6">
        <f>HYPERLINK("https://map.naver.com/p/search/조치원읍 남리 322", "지도Link")</f>
        <v/>
      </c>
      <c r="R336" s="6">
        <f>HYPERLINK("http://www.eum.go.kr/web/ar/lu/luLandDet.jsp?pnu=3611025027103220000&amp;isNoScr=script&amp;mode=search", "토지이음")</f>
        <v/>
      </c>
      <c r="S336" s="3" t="inlineStr">
        <is>
          <t>척척</t>
        </is>
      </c>
      <c r="T336" s="4" t="n">
        <v>1</v>
      </c>
      <c r="U336" s="5" t="n">
        <v>393.7</v>
      </c>
      <c r="V336" s="4" t="n">
        <v>155.8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가로장방</t>
        </is>
      </c>
      <c r="AA336" s="3" t="inlineStr">
        <is>
          <t>중로각지</t>
        </is>
      </c>
    </row>
    <row r="337">
      <c r="A337" s="3" t="inlineStr">
        <is>
          <t>조치원읍 남리 327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1</t>
        </is>
      </c>
      <c r="E337" s="3" t="inlineStr">
        <is>
          <t>단독</t>
        </is>
      </c>
      <c r="F337" s="3" t="inlineStr">
        <is>
          <t>월세</t>
        </is>
      </c>
      <c r="G337" s="4" t="n">
        <v>500</v>
      </c>
      <c r="H337" s="4" t="n">
        <v>55</v>
      </c>
      <c r="I337" s="4" t="n">
        <v>57</v>
      </c>
      <c r="J337" s="4" t="n">
        <v>17</v>
      </c>
      <c r="K337" s="5" t="n">
        <v>3.2</v>
      </c>
      <c r="L337" s="4" t="n">
        <v>57</v>
      </c>
      <c r="M337" s="4" t="n">
        <v>17</v>
      </c>
      <c r="N337" s="5" t="n">
        <v>3.2</v>
      </c>
      <c r="O337" s="3" t="inlineStr">
        <is>
          <t>남리 수리후 첫입주 1층 2룸  즉시입주 가능합니다</t>
        </is>
      </c>
      <c r="P337" s="6">
        <f>HYPERLINK("https://fin.land.naver.com/articles/2654337746", "매물Link")</f>
        <v/>
      </c>
      <c r="Q337" s="6">
        <f>HYPERLINK("https://map.naver.com/p/search/조치원읍 남리 327", "지도Link")</f>
        <v/>
      </c>
      <c r="R337" s="6">
        <f>HYPERLINK("http://www.eum.go.kr/web/ar/lu/luLandDet.jsp?pnu=3611025027103270000&amp;isNoScr=script&amp;mode=search", "토지이음")</f>
        <v/>
      </c>
      <c r="S337" s="3" t="inlineStr">
        <is>
          <t>OK수</t>
        </is>
      </c>
      <c r="T337" s="4" t="n">
        <v>1</v>
      </c>
      <c r="U337" s="5" t="n">
        <v>272.9</v>
      </c>
      <c r="V337" s="4" t="n">
        <v>222.4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소로한면</t>
        </is>
      </c>
    </row>
    <row r="338">
      <c r="A338" s="3" t="inlineStr">
        <is>
          <t>조치원읍 남리 351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도시형생활주택</t>
        </is>
      </c>
      <c r="F338" s="3" t="inlineStr">
        <is>
          <t>월세</t>
        </is>
      </c>
      <c r="G338" s="4" t="n">
        <v>200</v>
      </c>
      <c r="H338" s="4" t="n">
        <v>30</v>
      </c>
      <c r="I338" s="4" t="n">
        <v>25</v>
      </c>
      <c r="J338" s="4" t="n">
        <v>8</v>
      </c>
      <c r="K338" s="5" t="n">
        <v>3.8</v>
      </c>
      <c r="L338" s="4" t="n">
        <v>16</v>
      </c>
      <c r="M338" s="4" t="n">
        <v>5</v>
      </c>
      <c r="N338" s="5" t="n">
        <v>6</v>
      </c>
      <c r="O338" s="3" t="inlineStr">
        <is>
          <t>남리 깔끔1룸 월세,엘베있음.</t>
        </is>
      </c>
      <c r="P338" s="6">
        <f>HYPERLINK("https://fin.land.naver.com/articles/2650099249", "매물Link")</f>
        <v/>
      </c>
      <c r="Q338" s="6">
        <f>HYPERLINK("https://map.naver.com/p/search/조치원읍 남리 351", "지도Link")</f>
        <v/>
      </c>
      <c r="R338" s="6">
        <f>HYPERLINK("http://www.eum.go.kr/web/ar/lu/luLandDet.jsp?pnu=3611025027103510000&amp;isNoScr=script&amp;mode=search", "토지이음")</f>
        <v/>
      </c>
      <c r="S338" s="3" t="inlineStr">
        <is>
          <t>이음</t>
        </is>
      </c>
      <c r="T338" s="4" t="n">
        <v>1</v>
      </c>
      <c r="U338" s="5" t="n">
        <v>278.9</v>
      </c>
      <c r="V338" s="4" t="n">
        <v>812.5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소로각지</t>
        </is>
      </c>
    </row>
    <row r="339">
      <c r="A339" s="3" t="inlineStr">
        <is>
          <t>조치원읍 남리 351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도시형생활주택</t>
        </is>
      </c>
      <c r="F339" s="3" t="inlineStr">
        <is>
          <t>월세</t>
        </is>
      </c>
      <c r="G339" s="4" t="n">
        <v>200</v>
      </c>
      <c r="H339" s="4" t="n">
        <v>31</v>
      </c>
      <c r="I339" s="4" t="n">
        <v>25</v>
      </c>
      <c r="J339" s="4" t="n">
        <v>8</v>
      </c>
      <c r="K339" s="5" t="n">
        <v>3.9</v>
      </c>
      <c r="L339" s="4" t="n">
        <v>17</v>
      </c>
      <c r="M339" s="4" t="n">
        <v>5</v>
      </c>
      <c r="N339" s="5" t="n">
        <v>6.2</v>
      </c>
      <c r="O339" s="3" t="inlineStr">
        <is>
          <t>세종 명품 오피스텔</t>
        </is>
      </c>
      <c r="P339" s="6">
        <f>HYPERLINK("https://fin.land.naver.com/articles/2654414962", "매물Link")</f>
        <v/>
      </c>
      <c r="Q339" s="6">
        <f>HYPERLINK("https://map.naver.com/p/search/조치원읍 남리 351", "지도Link")</f>
        <v/>
      </c>
      <c r="R339" s="6">
        <f>HYPERLINK("http://www.eum.go.kr/web/ar/lu/luLandDet.jsp?pnu=3611025027103510000&amp;isNoScr=script&amp;mode=search",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278.9</v>
      </c>
      <c r="V339" s="4" t="n">
        <v>812.5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소로각지</t>
        </is>
      </c>
    </row>
    <row r="340">
      <c r="A340" s="3" t="inlineStr">
        <is>
          <t>조치원읍 남리 351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0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200</v>
      </c>
      <c r="H340" s="4" t="n">
        <v>30</v>
      </c>
      <c r="I340" s="4" t="n">
        <v>39</v>
      </c>
      <c r="J340" s="4" t="n">
        <v>12</v>
      </c>
      <c r="K340" s="5" t="n">
        <v>2.5</v>
      </c>
      <c r="L340" s="4" t="n">
        <v>26</v>
      </c>
      <c r="M340" s="4" t="n">
        <v>8</v>
      </c>
      <c r="N340" s="5" t="n">
        <v>3.8</v>
      </c>
      <c r="O340" s="3" t="inlineStr">
        <is>
          <t>넓은싸이즈 깔끔한 오피스텔 편리한주차시설 엘리베이터완비</t>
        </is>
      </c>
      <c r="P340" s="6">
        <f>HYPERLINK("https://fin.land.naver.com/articles/2650578754", "매물Link")</f>
        <v/>
      </c>
      <c r="Q340" s="6">
        <f>HYPERLINK("https://map.naver.com/p/search/조치원읍 남리 351", "지도Link")</f>
        <v/>
      </c>
      <c r="R340" s="6">
        <f>HYPERLINK("http://www.eum.go.kr/web/ar/lu/luLandDet.jsp?pnu=3611025027103510000&amp;isNoScr=script&amp;mode=search",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278.9</v>
      </c>
      <c r="V340" s="4" t="n">
        <v>812.5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소로각지</t>
        </is>
      </c>
    </row>
    <row r="341">
      <c r="A341" s="3" t="inlineStr">
        <is>
          <t>조치원읍 남리 354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4</t>
        </is>
      </c>
      <c r="E341" s="3" t="inlineStr">
        <is>
          <t>일반원룸</t>
        </is>
      </c>
      <c r="F341" s="3" t="inlineStr">
        <is>
          <t>단기임대</t>
        </is>
      </c>
      <c r="G341" s="4" t="n">
        <v>120</v>
      </c>
      <c r="H341" s="4" t="n">
        <v>40</v>
      </c>
      <c r="I341" s="4" t="n">
        <v>29</v>
      </c>
      <c r="J341" s="4" t="n">
        <v>9</v>
      </c>
      <c r="K341" s="5" t="n">
        <v>13.3</v>
      </c>
      <c r="L341" s="4" t="n">
        <v>20</v>
      </c>
      <c r="M341" s="4" t="n">
        <v>6</v>
      </c>
      <c r="N341" s="5" t="n">
        <v>20</v>
      </c>
      <c r="O341" s="3" t="inlineStr">
        <is>
          <t>단기 2개월도 임대가능 명품원룸 조치원역도보5분 주차넉넉 즉시입주</t>
        </is>
      </c>
      <c r="P341" s="6">
        <f>HYPERLINK("https://fin.land.naver.com/articles/2651797631", "매물Link")</f>
        <v/>
      </c>
      <c r="Q341" s="6">
        <f>HYPERLINK("https://map.naver.com/p/search/조치원읍 남리 354", "지도Link")</f>
        <v/>
      </c>
      <c r="R341" s="6">
        <f>HYPERLINK("http://www.eum.go.kr/web/ar/lu/luLandDet.jsp?pnu=3611025027103540000&amp;isNoScr=script&amp;mode=search", "토지이음")</f>
        <v/>
      </c>
      <c r="S341" s="3" t="inlineStr">
        <is>
          <t>까치</t>
        </is>
      </c>
      <c r="T341" s="4" t="n">
        <v>1</v>
      </c>
      <c r="U341" s="5" t="n">
        <v>275.7</v>
      </c>
      <c r="V341" s="4" t="n">
        <v>605.2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정방형</t>
        </is>
      </c>
      <c r="AA341" s="3" t="inlineStr">
        <is>
          <t>소로한면</t>
        </is>
      </c>
    </row>
    <row r="342">
      <c r="A342" s="3" t="inlineStr">
        <is>
          <t>조치원읍 남리 354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단기임대</t>
        </is>
      </c>
      <c r="G342" s="4" t="n">
        <v>150</v>
      </c>
      <c r="H342" s="4" t="n">
        <v>40</v>
      </c>
      <c r="I342" s="4" t="n">
        <v>30</v>
      </c>
      <c r="J342" s="4" t="n">
        <v>9</v>
      </c>
      <c r="K342" s="5" t="n">
        <v>16.7</v>
      </c>
      <c r="L342" s="4" t="n">
        <v>21</v>
      </c>
      <c r="M342" s="4" t="n">
        <v>6</v>
      </c>
      <c r="N342" s="5" t="n">
        <v>25</v>
      </c>
      <c r="O342" s="3" t="inlineStr">
        <is>
          <t>조치원명품원룸 도시형생활주택 조치원역도보5분  즉시입주가능 관리소장근무</t>
        </is>
      </c>
      <c r="P342" s="6">
        <f>HYPERLINK("https://fin.land.naver.com/articles/2651801042", "매물Link")</f>
        <v/>
      </c>
      <c r="Q342" s="6">
        <f>HYPERLINK("https://map.naver.com/p/search/조치원읍 남리 354", "지도Link")</f>
        <v/>
      </c>
      <c r="R342" s="6">
        <f>HYPERLINK("http://www.eum.go.kr/web/ar/lu/luLandDet.jsp?pnu=3611025027103540000&amp;isNoScr=script&amp;mode=search", "토지이음")</f>
        <v/>
      </c>
      <c r="S342" s="3" t="inlineStr">
        <is>
          <t>까치</t>
        </is>
      </c>
      <c r="T342" s="4" t="n">
        <v>1</v>
      </c>
      <c r="U342" s="5" t="n">
        <v>275.7</v>
      </c>
      <c r="V342" s="4" t="n">
        <v>605.2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정방형</t>
        </is>
      </c>
      <c r="AA342" s="3" t="inlineStr">
        <is>
          <t>소로한면</t>
        </is>
      </c>
    </row>
    <row r="343">
      <c r="A343" s="3" t="inlineStr">
        <is>
          <t>조치원읍 남리 354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단기임대</t>
        </is>
      </c>
      <c r="G343" s="4" t="n">
        <v>150</v>
      </c>
      <c r="H343" s="4" t="n">
        <v>38</v>
      </c>
      <c r="I343" s="4" t="n">
        <v>30</v>
      </c>
      <c r="J343" s="4" t="n">
        <v>9</v>
      </c>
      <c r="K343" s="5" t="n">
        <v>16.7</v>
      </c>
      <c r="L343" s="4" t="n">
        <v>21</v>
      </c>
      <c r="M343" s="4" t="n">
        <v>6</v>
      </c>
      <c r="N343" s="5" t="n">
        <v>25</v>
      </c>
      <c r="O343" s="3" t="inlineStr">
        <is>
          <t>조치원명품원룸 도시형생활주택 조치원역도보5분  즉시입주가능 관리소장근무</t>
        </is>
      </c>
      <c r="P343" s="6">
        <f>HYPERLINK("https://fin.land.naver.com/articles/2651839350", "매물Link")</f>
        <v/>
      </c>
      <c r="Q343" s="6">
        <f>HYPERLINK("https://map.naver.com/p/search/조치원읍 남리 354", "지도Link")</f>
        <v/>
      </c>
      <c r="R343" s="6">
        <f>HYPERLINK("http://www.eum.go.kr/web/ar/lu/luLandDet.jsp?pnu=3611025027103540000&amp;isNoScr=script&amp;mode=search", "토지이음")</f>
        <v/>
      </c>
      <c r="S343" s="3" t="inlineStr">
        <is>
          <t>까치</t>
        </is>
      </c>
      <c r="T343" s="4" t="n">
        <v>1</v>
      </c>
      <c r="U343" s="5" t="n">
        <v>275.7</v>
      </c>
      <c r="V343" s="4" t="n">
        <v>605.2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정방형</t>
        </is>
      </c>
      <c r="AA343" s="3" t="inlineStr">
        <is>
          <t>소로한면</t>
        </is>
      </c>
    </row>
    <row r="344">
      <c r="A344" s="3" t="inlineStr">
        <is>
          <t>조치원읍 남리 354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3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32</v>
      </c>
      <c r="I344" s="4" t="n">
        <v>24</v>
      </c>
      <c r="J344" s="4" t="n">
        <v>7</v>
      </c>
      <c r="K344" s="5" t="n">
        <v>4.6</v>
      </c>
      <c r="L344" s="4" t="n">
        <v>13</v>
      </c>
      <c r="M344" s="4" t="n">
        <v>4</v>
      </c>
      <c r="N344" s="5" t="n">
        <v>8</v>
      </c>
      <c r="O344" s="3" t="inlineStr">
        <is>
          <t>조치원명품원룸 도시형생활주택 조치원역도보5분  즉시입주가능 관리소장근무</t>
        </is>
      </c>
      <c r="P344" s="6">
        <f>HYPERLINK("https://fin.land.naver.com/articles/2651832029", "매물Link")</f>
        <v/>
      </c>
      <c r="Q344" s="6">
        <f>HYPERLINK("https://map.naver.com/p/search/조치원읍 남리 354", "지도Link")</f>
        <v/>
      </c>
      <c r="R344" s="6">
        <f>HYPERLINK("http://www.eum.go.kr/web/ar/lu/luLandDet.jsp?pnu=3611025027103540000&amp;isNoScr=script&amp;mode=search", "토지이음")</f>
        <v/>
      </c>
      <c r="S344" s="3" t="inlineStr">
        <is>
          <t>까치</t>
        </is>
      </c>
      <c r="T344" s="4" t="n">
        <v>1</v>
      </c>
      <c r="U344" s="5" t="n">
        <v>275.7</v>
      </c>
      <c r="V344" s="4" t="n">
        <v>605.2</v>
      </c>
      <c r="W344" s="3" t="inlineStr">
        <is>
          <t>지정되지않음</t>
        </is>
      </c>
      <c r="X344" s="3" t="inlineStr">
        <is>
          <t>상업나지</t>
        </is>
      </c>
      <c r="Y344" s="3" t="inlineStr">
        <is>
          <t>평지</t>
        </is>
      </c>
      <c r="Z344" s="3" t="inlineStr">
        <is>
          <t>정방형</t>
        </is>
      </c>
      <c r="AA344" s="3" t="inlineStr">
        <is>
          <t>소로한면</t>
        </is>
      </c>
    </row>
    <row r="345">
      <c r="A345" s="3" t="inlineStr">
        <is>
          <t>조치원읍 남리 367-1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100</v>
      </c>
      <c r="H345" s="4" t="n">
        <v>30</v>
      </c>
      <c r="I345" s="4" t="n">
        <v>23</v>
      </c>
      <c r="J345" s="4" t="n">
        <v>7</v>
      </c>
      <c r="K345" s="5" t="n">
        <v>4.3</v>
      </c>
      <c r="L345" s="4" t="n">
        <v>18</v>
      </c>
      <c r="M345" s="4" t="n">
        <v>5</v>
      </c>
      <c r="N345" s="5" t="n">
        <v>6</v>
      </c>
      <c r="O345" s="3" t="inlineStr">
        <is>
          <t>방크고 저렴한 원룸</t>
        </is>
      </c>
      <c r="P345" s="6">
        <f>HYPERLINK("https://fin.land.naver.com/articles/2650575812", "매물Link")</f>
        <v/>
      </c>
      <c r="Q345" s="6">
        <f>HYPERLINK("https://map.naver.com/p/search/조치원읍 남리 367-1", "지도Link")</f>
        <v/>
      </c>
      <c r="R345" s="6">
        <f>HYPERLINK("http://www.eum.go.kr/web/ar/lu/luLandDet.jsp?pnu=3611025027103670001&amp;isNoScr=script&amp;mode=search", "토지이음")</f>
        <v/>
      </c>
      <c r="S345" s="3" t="inlineStr">
        <is>
          <t>골드</t>
        </is>
      </c>
      <c r="T345" s="4" t="n">
        <v>1</v>
      </c>
      <c r="U345" s="5" t="n">
        <v>280.4</v>
      </c>
      <c r="V345" s="4" t="n">
        <v>270.8</v>
      </c>
      <c r="W345" s="3" t="inlineStr">
        <is>
          <t>지정되지않음</t>
        </is>
      </c>
      <c r="X345" s="3" t="inlineStr">
        <is>
          <t>상업나지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중로한면</t>
        </is>
      </c>
    </row>
    <row r="346">
      <c r="A346" s="3" t="inlineStr">
        <is>
          <t>조치원읍 남리 368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0</t>
        </is>
      </c>
      <c r="E346" s="3" t="inlineStr">
        <is>
          <t>단독</t>
        </is>
      </c>
      <c r="F346" s="3" t="inlineStr">
        <is>
          <t>전세</t>
        </is>
      </c>
      <c r="G346" s="4" t="n">
        <v>4200</v>
      </c>
      <c r="H346" s="4" t="n">
        <v>0</v>
      </c>
      <c r="I346" s="4" t="n">
        <v>46</v>
      </c>
      <c r="J346" s="4" t="n">
        <v>14</v>
      </c>
      <c r="K346" s="5" t="n">
        <v>300</v>
      </c>
      <c r="L346" s="4" t="n">
        <v>33</v>
      </c>
      <c r="M346" s="4" t="n">
        <v>10</v>
      </c>
      <c r="N346" s="5" t="n">
        <v>420</v>
      </c>
      <c r="O346" s="3" t="inlineStr">
        <is>
          <t>nan</t>
        </is>
      </c>
      <c r="P346" s="6">
        <f>HYPERLINK("https://fin.land.naver.com/articles/2653251952", "매물Link")</f>
        <v/>
      </c>
      <c r="Q346" s="6">
        <f>HYPERLINK("https://map.naver.com/p/search/조치원읍 남리 368", "지도Link")</f>
        <v/>
      </c>
      <c r="R346" s="6">
        <f>HYPERLINK("http://www.eum.go.kr/web/ar/lu/luLandDet.jsp?pnu=3611025027103680000&amp;isNoScr=script&amp;mode=search",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280.4</v>
      </c>
      <c r="V346" s="4" t="n">
        <v>549.4</v>
      </c>
      <c r="W346" s="3" t="inlineStr">
        <is>
          <t>지정되지않음</t>
        </is>
      </c>
      <c r="X346" s="3" t="inlineStr">
        <is>
          <t>상업나지</t>
        </is>
      </c>
      <c r="Y346" s="3" t="inlineStr">
        <is>
          <t>평지</t>
        </is>
      </c>
      <c r="Z346" s="3" t="inlineStr">
        <is>
          <t>세로장방</t>
        </is>
      </c>
      <c r="AA346" s="3" t="inlineStr">
        <is>
          <t>중로한면</t>
        </is>
      </c>
    </row>
    <row r="347">
      <c r="A347" s="3" t="inlineStr">
        <is>
          <t>조치원읍 남리 37-4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100</v>
      </c>
      <c r="H347" s="4" t="n">
        <v>29</v>
      </c>
      <c r="I347" s="4" t="n">
        <v>39</v>
      </c>
      <c r="J347" s="4" t="n">
        <v>12</v>
      </c>
      <c r="K347" s="5" t="n">
        <v>2.4</v>
      </c>
      <c r="L347" s="4" t="n">
        <v>26</v>
      </c>
      <c r="M347" s="4" t="n">
        <v>8</v>
      </c>
      <c r="N347" s="5" t="n">
        <v>3.6</v>
      </c>
      <c r="O347" s="3" t="inlineStr">
        <is>
          <t>조치원역 인근O엘리베이터O인프라좋아요</t>
        </is>
      </c>
      <c r="P347" s="6">
        <f>HYPERLINK("https://fin.land.naver.com/articles/2653996242", "매물Link")</f>
        <v/>
      </c>
      <c r="Q347" s="6">
        <f>HYPERLINK("https://map.naver.com/p/search/조치원읍 남리 37-4", "지도Link")</f>
        <v/>
      </c>
      <c r="R347" s="6">
        <f>HYPERLINK("http://www.eum.go.kr/web/ar/lu/luLandDet.jsp?pnu=3611025027100370004&amp;isNoScr=script&amp;mode=search",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254.6</v>
      </c>
      <c r="V347" s="4" t="n">
        <v>221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소로한면</t>
        </is>
      </c>
    </row>
    <row r="348">
      <c r="A348" s="3" t="inlineStr">
        <is>
          <t>조치원읍 남리 397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300</v>
      </c>
      <c r="H348" s="4" t="n">
        <v>45</v>
      </c>
      <c r="I348" s="4" t="n">
        <v>52</v>
      </c>
      <c r="J348" s="4" t="n">
        <v>16</v>
      </c>
      <c r="K348" s="5" t="n">
        <v>2.8</v>
      </c>
      <c r="L348" s="4" t="n">
        <v>42</v>
      </c>
      <c r="M348" s="4" t="n">
        <v>13</v>
      </c>
      <c r="N348" s="5" t="n">
        <v>3.5</v>
      </c>
      <c r="O348" s="3" t="inlineStr">
        <is>
          <t>조치원역,시장 10분거리, 투룸,엘리베이터O,먹자골목위치,채광환기짱</t>
        </is>
      </c>
      <c r="P348" s="6">
        <f>HYPERLINK("https://fin.land.naver.com/articles/2651743053", "매물Link")</f>
        <v/>
      </c>
      <c r="Q348" s="6">
        <f>HYPERLINK("https://map.naver.com/p/search/조치원읍 남리 397", "지도Link")</f>
        <v/>
      </c>
      <c r="R348" s="6">
        <f>HYPERLINK("http://www.eum.go.kr/web/ar/lu/luLandDet.jsp?pnu=3611025027103970000&amp;isNoScr=script&amp;mode=search", "토지이음")</f>
        <v/>
      </c>
      <c r="S348" s="3" t="inlineStr">
        <is>
          <t>오송메카</t>
        </is>
      </c>
      <c r="T348" s="4" t="n">
        <v>1</v>
      </c>
      <c r="U348" s="5" t="n">
        <v>286.1</v>
      </c>
      <c r="V348" s="4" t="n">
        <v>546.2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중로한면</t>
        </is>
      </c>
    </row>
    <row r="349">
      <c r="A349" s="3" t="inlineStr">
        <is>
          <t>조치원읍 남리 408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다가구</t>
        </is>
      </c>
      <c r="F349" s="3" t="inlineStr">
        <is>
          <t>월세</t>
        </is>
      </c>
      <c r="G349" s="4" t="n">
        <v>500</v>
      </c>
      <c r="H349" s="4" t="n">
        <v>55</v>
      </c>
      <c r="I349" s="4" t="n">
        <v>59</v>
      </c>
      <c r="J349" s="4" t="n">
        <v>18</v>
      </c>
      <c r="K349" s="5" t="n">
        <v>3.1</v>
      </c>
      <c r="L349" s="4" t="n">
        <v>49</v>
      </c>
      <c r="M349" s="4" t="n">
        <v>15</v>
      </c>
      <c r="N349" s="5" t="n">
        <v>3.7</v>
      </c>
      <c r="O349" s="3" t="inlineStr">
        <is>
          <t>관리비없음.큰투룸.즉시입주.조치원시내상권편리</t>
        </is>
      </c>
      <c r="P349" s="6">
        <f>HYPERLINK("https://fin.land.naver.com/articles/2654028930", "매물Link")</f>
        <v/>
      </c>
      <c r="Q349" s="6">
        <f>HYPERLINK("https://map.naver.com/p/search/조치원읍 남리 408", "지도Link")</f>
        <v/>
      </c>
      <c r="R349" s="6">
        <f>HYPERLINK("http://www.eum.go.kr/web/ar/lu/luLandDet.jsp?pnu=3611025027104080000&amp;isNoScr=script&amp;mode=search",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240.7</v>
      </c>
      <c r="V349" s="4" t="n">
        <v>475.8</v>
      </c>
      <c r="W349" s="3" t="inlineStr">
        <is>
          <t>지정되지않음</t>
        </is>
      </c>
      <c r="X349" s="3" t="inlineStr">
        <is>
          <t>상업기타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세로한면(가)</t>
        </is>
      </c>
    </row>
    <row r="350">
      <c r="A350" s="3" t="inlineStr">
        <is>
          <t>조치원읍 남리 421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4</t>
        </is>
      </c>
      <c r="E350" s="3" t="inlineStr">
        <is>
          <t>일반원룸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42</v>
      </c>
      <c r="J350" s="4" t="n">
        <v>13</v>
      </c>
      <c r="K350" s="5" t="n">
        <v>2.3</v>
      </c>
      <c r="L350" s="4" t="n">
        <v>36</v>
      </c>
      <c r="M350" s="4" t="n">
        <v>11</v>
      </c>
      <c r="N350" s="5" t="n">
        <v>2.7</v>
      </c>
      <c r="O350" s="3" t="inlineStr">
        <is>
          <t>풀옵션완비.주차시설편리.조치원시내권.역도가까워요</t>
        </is>
      </c>
      <c r="P350" s="6">
        <f>HYPERLINK("https://fin.land.naver.com/articles/2652875059", "매물Link")</f>
        <v/>
      </c>
      <c r="Q350" s="6">
        <f>HYPERLINK("https://map.naver.com/p/search/조치원읍 남리 421", "지도Link")</f>
        <v/>
      </c>
      <c r="R350" s="6">
        <f>HYPERLINK("http://www.eum.go.kr/web/ar/lu/luLandDet.jsp?pnu=3611025027104210000&amp;isNoScr=script&amp;mode=search", "토지이음")</f>
        <v/>
      </c>
      <c r="S350" s="3" t="inlineStr">
        <is>
          <t>척척</t>
        </is>
      </c>
      <c r="T350" s="4" t="n">
        <v>1</v>
      </c>
      <c r="U350" s="5" t="n">
        <v>284.6</v>
      </c>
      <c r="V350" s="4" t="n">
        <v>248</v>
      </c>
      <c r="W350" s="3" t="inlineStr">
        <is>
          <t>지정되지않음</t>
        </is>
      </c>
      <c r="X350" s="3" t="inlineStr">
        <is>
          <t>상업나지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소로각지</t>
        </is>
      </c>
    </row>
    <row r="351">
      <c r="A351" s="3" t="inlineStr">
        <is>
          <t>조치원읍 남리 421-1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100</v>
      </c>
      <c r="H351" s="4" t="n">
        <v>27</v>
      </c>
      <c r="I351" s="4" t="n">
        <v>39</v>
      </c>
      <c r="J351" s="4" t="n">
        <v>12</v>
      </c>
      <c r="K351" s="5" t="n">
        <v>2.2</v>
      </c>
      <c r="L351" s="4" t="n">
        <v>23</v>
      </c>
      <c r="M351" s="4" t="n">
        <v>7</v>
      </c>
      <c r="N351" s="5" t="n">
        <v>3.9</v>
      </c>
      <c r="O351" s="3" t="inlineStr">
        <is>
          <t>보증금 100만원.조치원역 도보7분.즉시입주.</t>
        </is>
      </c>
      <c r="P351" s="6">
        <f>HYPERLINK("https://fin.land.naver.com/articles/2654958726", "매물Link")</f>
        <v/>
      </c>
      <c r="Q351" s="6">
        <f>HYPERLINK("https://map.naver.com/p/search/조치원읍 남리 421-1", "지도Link")</f>
        <v/>
      </c>
      <c r="R351" s="6">
        <f>HYPERLINK("http://www.eum.go.kr/web/ar/lu/luLandDet.jsp?pnu=3611025027104210001&amp;isNoScr=script&amp;mode=search",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272.9</v>
      </c>
      <c r="V351" s="4" t="n">
        <v>249.5</v>
      </c>
      <c r="W351" s="3" t="inlineStr">
        <is>
          <t>지정되지않음</t>
        </is>
      </c>
      <c r="X351" s="3" t="inlineStr">
        <is>
          <t>상업나지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소로한면</t>
        </is>
      </c>
    </row>
    <row r="352">
      <c r="A352" s="3" t="inlineStr">
        <is>
          <t>조치원읍 남리 445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4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150</v>
      </c>
      <c r="H352" s="4" t="n">
        <v>26</v>
      </c>
      <c r="I352" s="4" t="n">
        <v>20</v>
      </c>
      <c r="J352" s="4" t="n">
        <v>6</v>
      </c>
      <c r="K352" s="5" t="n">
        <v>4.3</v>
      </c>
      <c r="L352" s="4" t="n">
        <v>20</v>
      </c>
      <c r="M352" s="4" t="n">
        <v>6</v>
      </c>
      <c r="N352" s="5" t="n">
        <v>4.3</v>
      </c>
      <c r="O352" s="3" t="inlineStr">
        <is>
          <t>남리 원룸 전통시장 조치원역도보가능합니다</t>
        </is>
      </c>
      <c r="P352" s="6">
        <f>HYPERLINK("https://fin.land.naver.com/articles/2649793828", "매물Link")</f>
        <v/>
      </c>
      <c r="Q352" s="6">
        <f>HYPERLINK("https://map.naver.com/p/search/조치원읍 남리 445", "지도Link")</f>
        <v/>
      </c>
      <c r="R352" s="6">
        <f>HYPERLINK("http://www.eum.go.kr/web/ar/lu/luLandDet.jsp?pnu=3611025027104450000&amp;isNoScr=script&amp;mode=search", "토지이음")</f>
        <v/>
      </c>
      <c r="S352" s="3" t="inlineStr">
        <is>
          <t>OK수</t>
        </is>
      </c>
      <c r="T352" s="4" t="n">
        <v>1</v>
      </c>
      <c r="U352" s="5" t="n">
        <v>207.7</v>
      </c>
      <c r="V352" s="4" t="n">
        <v>287.8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소로한면</t>
        </is>
      </c>
    </row>
    <row r="353">
      <c r="A353" s="3" t="inlineStr">
        <is>
          <t>조치원읍 남리 445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4</t>
        </is>
      </c>
      <c r="E353" s="3" t="inlineStr">
        <is>
          <t>일반원룸</t>
        </is>
      </c>
      <c r="F353" s="3" t="inlineStr">
        <is>
          <t>월세</t>
        </is>
      </c>
      <c r="G353" s="4" t="n">
        <v>150</v>
      </c>
      <c r="H353" s="4" t="n">
        <v>30</v>
      </c>
      <c r="I353" s="4" t="n">
        <v>39</v>
      </c>
      <c r="J353" s="4" t="n">
        <v>12</v>
      </c>
      <c r="K353" s="5" t="n">
        <v>2.5</v>
      </c>
      <c r="L353" s="4" t="n">
        <v>26</v>
      </c>
      <c r="M353" s="4" t="n">
        <v>8</v>
      </c>
      <c r="N353" s="5" t="n">
        <v>3.8</v>
      </c>
      <c r="O353" s="3" t="inlineStr">
        <is>
          <t>저렴한 원룸.가성비 짱.조치원역도보거리.시내권.</t>
        </is>
      </c>
      <c r="P353" s="6">
        <f>HYPERLINK("https://fin.land.naver.com/articles/2652559742", "매물Link")</f>
        <v/>
      </c>
      <c r="Q353" s="6">
        <f>HYPERLINK("https://map.naver.com/p/search/조치원읍 남리 445", "지도Link")</f>
        <v/>
      </c>
      <c r="R353" s="6">
        <f>HYPERLINK("http://www.eum.go.kr/web/ar/lu/luLandDet.jsp?pnu=3611025027104450000&amp;isNoScr=script&amp;mode=search",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207.7</v>
      </c>
      <c r="V353" s="4" t="n">
        <v>287.8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세로장방</t>
        </is>
      </c>
      <c r="AA353" s="3" t="inlineStr">
        <is>
          <t>소로한면</t>
        </is>
      </c>
    </row>
    <row r="354">
      <c r="A354" s="3" t="inlineStr">
        <is>
          <t>조치원읍 남리 473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200</v>
      </c>
      <c r="H354" s="4" t="n">
        <v>30</v>
      </c>
      <c r="I354" s="4" t="n">
        <v>39</v>
      </c>
      <c r="J354" s="4" t="n">
        <v>12</v>
      </c>
      <c r="K354" s="5" t="n">
        <v>2.5</v>
      </c>
      <c r="L354" s="4" t="n">
        <v>23</v>
      </c>
      <c r="M354" s="4" t="n">
        <v>7</v>
      </c>
      <c r="N354" s="5" t="n">
        <v>4.3</v>
      </c>
      <c r="O354" s="3" t="inlineStr">
        <is>
          <t>채광좋은 배란다 아주 크고 깨끗한 방</t>
        </is>
      </c>
      <c r="P354" s="6">
        <f>HYPERLINK("https://fin.land.naver.com/articles/2654582313", "매물Link")</f>
        <v/>
      </c>
      <c r="Q354" s="6">
        <f>HYPERLINK("https://map.naver.com/p/search/조치원읍 남리 473", "지도Link")</f>
        <v/>
      </c>
      <c r="R354" s="6">
        <f>HYPERLINK("http://www.eum.go.kr/web/ar/lu/luLandDet.jsp?pnu=3611025027104730000&amp;isNoScr=script&amp;mode=search",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261.8</v>
      </c>
      <c r="V354" s="4" t="n">
        <v>446.7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정방형</t>
        </is>
      </c>
      <c r="AA354" s="3" t="inlineStr">
        <is>
          <t>중로한면</t>
        </is>
      </c>
    </row>
    <row r="355">
      <c r="A355" s="3" t="inlineStr">
        <is>
          <t>조치원읍 남리 473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3</t>
        </is>
      </c>
      <c r="E355" s="3" t="inlineStr">
        <is>
          <t>다가구</t>
        </is>
      </c>
      <c r="F355" s="3" t="inlineStr">
        <is>
          <t>월세</t>
        </is>
      </c>
      <c r="G355" s="4" t="n">
        <v>200</v>
      </c>
      <c r="H355" s="4" t="n">
        <v>31</v>
      </c>
      <c r="I355" s="4" t="n">
        <v>26</v>
      </c>
      <c r="J355" s="4" t="n">
        <v>8</v>
      </c>
      <c r="K355" s="5" t="n">
        <v>3.9</v>
      </c>
      <c r="L355" s="4" t="n">
        <v>26</v>
      </c>
      <c r="M355" s="4" t="n">
        <v>8</v>
      </c>
      <c r="N355" s="5" t="n">
        <v>3.9</v>
      </c>
      <c r="O355" s="3" t="inlineStr">
        <is>
          <t>조치원 시내이며, 재래시장, 초등학교인근이며, 오송과 인접함</t>
        </is>
      </c>
      <c r="P355" s="6">
        <f>HYPERLINK("https://fin.land.naver.com/articles/2651504477", "매물Link")</f>
        <v/>
      </c>
      <c r="Q355" s="6">
        <f>HYPERLINK("https://map.naver.com/p/search/조치원읍 남리 473", "지도Link")</f>
        <v/>
      </c>
      <c r="R355" s="6">
        <f>HYPERLINK("http://www.eum.go.kr/web/ar/lu/luLandDet.jsp?pnu=3611025027104730000&amp;isNoScr=script&amp;mode=search", "토지이음")</f>
        <v/>
      </c>
      <c r="S355" s="3" t="inlineStr">
        <is>
          <t>세종베스트</t>
        </is>
      </c>
      <c r="T355" s="4" t="n">
        <v>1</v>
      </c>
      <c r="U355" s="5" t="n">
        <v>261.8</v>
      </c>
      <c r="V355" s="4" t="n">
        <v>446.7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정방형</t>
        </is>
      </c>
      <c r="AA355" s="3" t="inlineStr">
        <is>
          <t>중로한면</t>
        </is>
      </c>
    </row>
    <row r="356">
      <c r="A356" s="3" t="inlineStr">
        <is>
          <t>조치원읍 남리 478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다가구</t>
        </is>
      </c>
      <c r="F356" s="3" t="inlineStr">
        <is>
          <t>월세</t>
        </is>
      </c>
      <c r="G356" s="4" t="n">
        <v>1000</v>
      </c>
      <c r="H356" s="4" t="n">
        <v>65</v>
      </c>
      <c r="I356" s="4" t="n">
        <v>60</v>
      </c>
      <c r="J356" s="4" t="n">
        <v>18</v>
      </c>
      <c r="K356" s="5" t="n">
        <v>3.6</v>
      </c>
      <c r="L356" s="4" t="n">
        <v>55</v>
      </c>
      <c r="M356" s="4" t="n">
        <v>17</v>
      </c>
      <c r="N356" s="5" t="n">
        <v>3.8</v>
      </c>
      <c r="O356" s="3" t="inlineStr">
        <is>
          <t>미친옵션. 풀옵 2룸.몸만오세요</t>
        </is>
      </c>
      <c r="P356" s="6">
        <f>HYPERLINK("https://fin.land.naver.com/articles/2653691701", "매물Link")</f>
        <v/>
      </c>
      <c r="Q356" s="6">
        <f>HYPERLINK("https://map.naver.com/p/search/조치원읍 남리 478", "지도Link")</f>
        <v/>
      </c>
      <c r="R356" s="6">
        <f>HYPERLINK("http://www.eum.go.kr/web/ar/lu/luLandDet.jsp?pnu=3611025027104780000&amp;isNoScr=script&amp;mode=search", "토지이음")</f>
        <v/>
      </c>
      <c r="S356" s="3" t="inlineStr">
        <is>
          <t>마이룸</t>
        </is>
      </c>
      <c r="T356" s="4" t="n">
        <v>1</v>
      </c>
      <c r="U356" s="5" t="n">
        <v>240</v>
      </c>
      <c r="V356" s="4" t="n">
        <v>448.3</v>
      </c>
      <c r="W356" s="3" t="inlineStr">
        <is>
          <t>지정되지않음</t>
        </is>
      </c>
      <c r="X356" s="3" t="inlineStr">
        <is>
          <t>상업나지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소로각지</t>
        </is>
      </c>
    </row>
    <row r="357">
      <c r="A357" s="3" t="inlineStr">
        <is>
          <t>조치원읍 남리 60-8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3</t>
        </is>
      </c>
      <c r="E357" s="3" t="inlineStr">
        <is>
          <t>도시형생활주택</t>
        </is>
      </c>
      <c r="F357" s="3" t="inlineStr">
        <is>
          <t>월세</t>
        </is>
      </c>
      <c r="G357" s="4" t="n">
        <v>200</v>
      </c>
      <c r="H357" s="4" t="n">
        <v>30</v>
      </c>
      <c r="I357" s="4" t="n">
        <v>0</v>
      </c>
      <c r="J357" s="4" t="n">
        <v>0</v>
      </c>
      <c r="K357" s="5" t="n">
        <v>0</v>
      </c>
      <c r="L357" s="4" t="n">
        <v>22</v>
      </c>
      <c r="M357" s="4" t="n">
        <v>7</v>
      </c>
      <c r="N357" s="5" t="n">
        <v>4.3</v>
      </c>
      <c r="O357" s="3" t="inlineStr">
        <is>
          <t>인기좋은  풀옵션완비방   깔끔한 주방분리   조치원역5분 교통편리</t>
        </is>
      </c>
      <c r="P357" s="6">
        <f>HYPERLINK("https://fin.land.naver.com/articles/2654004184", "매물Link")</f>
        <v/>
      </c>
      <c r="Q357" s="6">
        <f>HYPERLINK("https://map.naver.com/p/search/조치원읍 남리 60-8", "지도Link")</f>
        <v/>
      </c>
      <c r="R357" s="6">
        <f>HYPERLINK("http://www.eum.go.kr/web/ar/lu/luLandDet.jsp?pnu=3611025027100600008&amp;isNoScr=script&amp;mode=search", "토지이음")</f>
        <v/>
      </c>
      <c r="S357" s="3" t="inlineStr">
        <is>
          <t>연서으뜸</t>
        </is>
      </c>
      <c r="T357" s="4" t="n">
        <v>1</v>
      </c>
      <c r="U357" s="5" t="n">
        <v>400</v>
      </c>
      <c r="V357" s="4" t="n">
        <v>514</v>
      </c>
      <c r="W357" s="3" t="inlineStr">
        <is>
          <t>지정되지않음</t>
        </is>
      </c>
      <c r="X357" s="3" t="inlineStr">
        <is>
          <t>상업용</t>
        </is>
      </c>
      <c r="Y357" s="3" t="inlineStr">
        <is>
          <t>평지</t>
        </is>
      </c>
      <c r="Z357" s="3" t="inlineStr">
        <is>
          <t>세로장방</t>
        </is>
      </c>
      <c r="AA357" s="3" t="inlineStr">
        <is>
          <t>세로한면(가)</t>
        </is>
      </c>
    </row>
    <row r="358">
      <c r="A358" s="3" t="inlineStr">
        <is>
          <t>조치원읍 남리 60-8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29</v>
      </c>
      <c r="I358" s="4" t="n">
        <v>19</v>
      </c>
      <c r="J358" s="4" t="n">
        <v>6</v>
      </c>
      <c r="K358" s="5" t="n">
        <v>4.8</v>
      </c>
      <c r="L358" s="4" t="n">
        <v>14</v>
      </c>
      <c r="M358" s="4" t="n">
        <v>4</v>
      </c>
      <c r="N358" s="5" t="n">
        <v>7.2</v>
      </c>
      <c r="O358" s="3" t="inlineStr">
        <is>
          <t>조치원역 도보5분 풀옵션 분리형원룸</t>
        </is>
      </c>
      <c r="P358" s="6">
        <f>HYPERLINK("https://fin.land.naver.com/articles/2650893111", "매물Link")</f>
        <v/>
      </c>
      <c r="Q358" s="6">
        <f>HYPERLINK("https://map.naver.com/p/search/조치원읍 남리 60-8", "지도Link")</f>
        <v/>
      </c>
      <c r="R358" s="6">
        <f>HYPERLINK("http://www.eum.go.kr/web/ar/lu/luLandDet.jsp?pnu=3611025027100600008&amp;isNoScr=script&amp;mode=search", "토지이음")</f>
        <v/>
      </c>
      <c r="S358" s="3" t="inlineStr">
        <is>
          <t>용죽부자</t>
        </is>
      </c>
      <c r="T358" s="4" t="n">
        <v>1</v>
      </c>
      <c r="U358" s="5" t="n">
        <v>400</v>
      </c>
      <c r="V358" s="4" t="n">
        <v>514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세로장방</t>
        </is>
      </c>
      <c r="AA358" s="3" t="inlineStr">
        <is>
          <t>세로한면(가)</t>
        </is>
      </c>
    </row>
    <row r="359">
      <c r="A359" s="3" t="inlineStr">
        <is>
          <t>조치원읍 남리 60-8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200</v>
      </c>
      <c r="H359" s="4" t="n">
        <v>35</v>
      </c>
      <c r="I359" s="4" t="n">
        <v>42</v>
      </c>
      <c r="J359" s="4" t="n">
        <v>13</v>
      </c>
      <c r="K359" s="5" t="n">
        <v>2.7</v>
      </c>
      <c r="L359" s="4" t="n">
        <v>29</v>
      </c>
      <c r="M359" s="4" t="n">
        <v>9</v>
      </c>
      <c r="N359" s="5" t="n">
        <v>3.9</v>
      </c>
      <c r="O359" s="3" t="inlineStr">
        <is>
          <t>큰 방.조치원시내위치.깔끔한관리.즉시입주.</t>
        </is>
      </c>
      <c r="P359" s="6">
        <f>HYPERLINK("https://fin.land.naver.com/articles/2650821771", "매물Link")</f>
        <v/>
      </c>
      <c r="Q359" s="6">
        <f>HYPERLINK("https://map.naver.com/p/search/조치원읍 남리 60-8", "지도Link")</f>
        <v/>
      </c>
      <c r="R359" s="6">
        <f>HYPERLINK("http://www.eum.go.kr/web/ar/lu/luLandDet.jsp?pnu=3611025027100600008&amp;isNoScr=script&amp;mode=search", "토지이음")</f>
        <v/>
      </c>
      <c r="S359" s="3" t="inlineStr">
        <is>
          <t>척척</t>
        </is>
      </c>
      <c r="T359" s="4" t="n">
        <v>1</v>
      </c>
      <c r="U359" s="5" t="n">
        <v>400</v>
      </c>
      <c r="V359" s="4" t="n">
        <v>514</v>
      </c>
      <c r="W359" s="3" t="inlineStr">
        <is>
          <t>지정되지않음</t>
        </is>
      </c>
      <c r="X359" s="3" t="inlineStr">
        <is>
          <t>상업용</t>
        </is>
      </c>
      <c r="Y359" s="3" t="inlineStr">
        <is>
          <t>평지</t>
        </is>
      </c>
      <c r="Z359" s="3" t="inlineStr">
        <is>
          <t>세로장방</t>
        </is>
      </c>
      <c r="AA359" s="3" t="inlineStr">
        <is>
          <t>세로한면(가)</t>
        </is>
      </c>
    </row>
    <row r="360">
      <c r="A360" s="3" t="inlineStr">
        <is>
          <t>조치원읍 남리 62-19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다가구</t>
        </is>
      </c>
      <c r="F360" s="3" t="inlineStr">
        <is>
          <t>매매</t>
        </is>
      </c>
      <c r="G360" s="4" t="n">
        <v>29500</v>
      </c>
      <c r="H360" s="4" t="n">
        <v>0</v>
      </c>
      <c r="I360" s="4" t="n">
        <v>180</v>
      </c>
      <c r="J360" s="4" t="n">
        <v>54</v>
      </c>
      <c r="K360" s="5" t="n">
        <v>546.3</v>
      </c>
      <c r="L360" s="4" t="n">
        <v>163</v>
      </c>
      <c r="M360" s="4" t="n">
        <v>49</v>
      </c>
      <c r="N360" s="5" t="n">
        <v>602</v>
      </c>
      <c r="O360" s="3" t="inlineStr">
        <is>
          <t>조치원시내 관공서와 버스정류장 조치원역 도보로 가능한 조용한 주택,</t>
        </is>
      </c>
      <c r="P360" s="6">
        <f>HYPERLINK("https://fin.land.naver.com/articles/2651053326", "매물Link")</f>
        <v/>
      </c>
      <c r="Q360" s="6">
        <f>HYPERLINK("https://map.naver.com/p/search/조치원읍 남리 62-19", "지도Link")</f>
        <v/>
      </c>
      <c r="R360" s="6">
        <f>HYPERLINK("http://www.eum.go.kr/web/ar/lu/luLandDet.jsp?pnu=3611025027100620019&amp;isNoScr=script&amp;mode=search", "토지이음")</f>
        <v/>
      </c>
      <c r="S360" s="3" t="inlineStr">
        <is>
          <t>담뜰</t>
        </is>
      </c>
      <c r="T360" s="4" t="n">
        <v>1</v>
      </c>
      <c r="U360" s="5" t="n">
        <v>178.8</v>
      </c>
      <c r="V360" s="4" t="n">
        <v>180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세로한면(불)</t>
        </is>
      </c>
    </row>
    <row r="361">
      <c r="A361" s="3" t="inlineStr">
        <is>
          <t>조치원읍 남리 62-6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4</t>
        </is>
      </c>
      <c r="E361" s="3" t="inlineStr">
        <is>
          <t>일반원룸</t>
        </is>
      </c>
      <c r="F361" s="3" t="inlineStr">
        <is>
          <t>전세</t>
        </is>
      </c>
      <c r="G361" s="4" t="n">
        <v>4000</v>
      </c>
      <c r="H361" s="4" t="n">
        <v>0</v>
      </c>
      <c r="I361" s="4" t="n">
        <v>26</v>
      </c>
      <c r="J361" s="4" t="n">
        <v>8</v>
      </c>
      <c r="K361" s="5" t="n">
        <v>500</v>
      </c>
      <c r="L361" s="4" t="n">
        <v>19</v>
      </c>
      <c r="M361" s="4" t="n">
        <v>6</v>
      </c>
      <c r="N361" s="5" t="n">
        <v>666.7</v>
      </c>
      <c r="O361" s="3" t="inlineStr">
        <is>
          <t>조치원역도보5분 근저당없는 전세 풀옵션 큰방</t>
        </is>
      </c>
      <c r="P361" s="6">
        <f>HYPERLINK("https://fin.land.naver.com/articles/2654053914", "매물Link")</f>
        <v/>
      </c>
      <c r="Q361" s="6">
        <f>HYPERLINK("https://map.naver.com/p/search/조치원읍 남리 62-6", "지도Link")</f>
        <v/>
      </c>
      <c r="R361" s="6">
        <f>HYPERLINK("http://www.eum.go.kr/web/ar/lu/luLandDet.jsp?pnu=3611025027100620006&amp;isNoScr=script&amp;mode=search", "토지이음")</f>
        <v/>
      </c>
      <c r="S361" s="3" t="inlineStr">
        <is>
          <t>용죽부자</t>
        </is>
      </c>
      <c r="T361" s="4" t="n">
        <v>1</v>
      </c>
      <c r="U361" s="5" t="n">
        <v>396</v>
      </c>
      <c r="V361" s="4" t="n">
        <v>472</v>
      </c>
      <c r="W361" s="3" t="inlineStr">
        <is>
          <t>지정되지않음</t>
        </is>
      </c>
      <c r="X361" s="3" t="inlineStr">
        <is>
          <t>상업용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남리 62-6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일반원룸</t>
        </is>
      </c>
      <c r="F362" s="3" t="inlineStr">
        <is>
          <t>전세</t>
        </is>
      </c>
      <c r="G362" s="4" t="n">
        <v>3800</v>
      </c>
      <c r="H362" s="4" t="n">
        <v>0</v>
      </c>
      <c r="I362" s="4" t="n">
        <v>39</v>
      </c>
      <c r="J362" s="4" t="n">
        <v>12</v>
      </c>
      <c r="K362" s="5" t="n">
        <v>316.7</v>
      </c>
      <c r="L362" s="4" t="n">
        <v>23</v>
      </c>
      <c r="M362" s="4" t="n">
        <v>7</v>
      </c>
      <c r="N362" s="5" t="n">
        <v>542.9</v>
      </c>
      <c r="O362" s="3" t="inlineStr">
        <is>
          <t>남향 안전 안뜰 안심 전세  즉시입주</t>
        </is>
      </c>
      <c r="P362" s="6">
        <f>HYPERLINK("https://fin.land.naver.com/articles/2653977666", "매물Link")</f>
        <v/>
      </c>
      <c r="Q362" s="6">
        <f>HYPERLINK("https://map.naver.com/p/search/조치원읍 남리 62-6", "지도Link")</f>
        <v/>
      </c>
      <c r="R362" s="6">
        <f>HYPERLINK("http://www.eum.go.kr/web/ar/lu/luLandDet.jsp?pnu=3611025027100620006&amp;isNoScr=script&amp;mode=search",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396</v>
      </c>
      <c r="V362" s="4" t="n">
        <v>472</v>
      </c>
      <c r="W362" s="3" t="inlineStr">
        <is>
          <t>지정되지않음</t>
        </is>
      </c>
      <c r="X362" s="3" t="inlineStr">
        <is>
          <t>상업용</t>
        </is>
      </c>
      <c r="Y362" s="3" t="inlineStr">
        <is>
          <t>평지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조치원읍 남리 62-6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4</t>
        </is>
      </c>
      <c r="E363" s="3" t="inlineStr">
        <is>
          <t>다가구</t>
        </is>
      </c>
      <c r="F363" s="3" t="inlineStr">
        <is>
          <t>전세</t>
        </is>
      </c>
      <c r="G363" s="4" t="n">
        <v>4000</v>
      </c>
      <c r="H363" s="4" t="n">
        <v>0</v>
      </c>
      <c r="I363" s="4" t="n">
        <v>39</v>
      </c>
      <c r="J363" s="4" t="n">
        <v>12</v>
      </c>
      <c r="K363" s="5" t="n">
        <v>333.3</v>
      </c>
      <c r="L363" s="4" t="n">
        <v>26</v>
      </c>
      <c r="M363" s="4" t="n">
        <v>8</v>
      </c>
      <c r="N363" s="5" t="n">
        <v>500</v>
      </c>
      <c r="O363" s="3" t="inlineStr">
        <is>
          <t>조치원역도보거리.융자없음.깔끔한전세.즉시입주</t>
        </is>
      </c>
      <c r="P363" s="6">
        <f>HYPERLINK("https://fin.land.naver.com/articles/2651980466", "매물Link")</f>
        <v/>
      </c>
      <c r="Q363" s="6">
        <f>HYPERLINK("https://map.naver.com/p/search/조치원읍 남리 62-6", "지도Link")</f>
        <v/>
      </c>
      <c r="R363" s="6">
        <f>HYPERLINK("http://www.eum.go.kr/web/ar/lu/luLandDet.jsp?pnu=3611025027100620006&amp;isNoScr=script&amp;mode=search", "토지이음")</f>
        <v/>
      </c>
      <c r="S363" s="3" t="inlineStr">
        <is>
          <t>척척</t>
        </is>
      </c>
      <c r="T363" s="4" t="n">
        <v>1</v>
      </c>
      <c r="U363" s="5" t="n">
        <v>396</v>
      </c>
      <c r="V363" s="4" t="n">
        <v>472</v>
      </c>
      <c r="W363" s="3" t="inlineStr">
        <is>
          <t>지정되지않음</t>
        </is>
      </c>
      <c r="X363" s="3" t="inlineStr">
        <is>
          <t>상업용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세로한면(가)</t>
        </is>
      </c>
    </row>
    <row r="364">
      <c r="A364" s="3" t="inlineStr">
        <is>
          <t>조치원읍 남리 69-17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연립</t>
        </is>
      </c>
      <c r="F364" s="3" t="inlineStr">
        <is>
          <t>매매</t>
        </is>
      </c>
      <c r="G364" s="4" t="n">
        <v>7500</v>
      </c>
      <c r="H364" s="4" t="n">
        <v>0</v>
      </c>
      <c r="I364" s="4" t="n">
        <v>47</v>
      </c>
      <c r="J364" s="4" t="n">
        <v>14</v>
      </c>
      <c r="K364" s="5" t="n">
        <v>535.7</v>
      </c>
      <c r="L364" s="4" t="n">
        <v>47</v>
      </c>
      <c r="M364" s="4" t="n">
        <v>14</v>
      </c>
      <c r="N364" s="5" t="n">
        <v>535.7</v>
      </c>
      <c r="O364" s="3" t="inlineStr">
        <is>
          <t>남리 성당근처 빌라 2층 수리됨 협의입주입니다</t>
        </is>
      </c>
      <c r="P364" s="6">
        <f>HYPERLINK("https://fin.land.naver.com/articles/2651708338", "매물Link")</f>
        <v/>
      </c>
      <c r="Q364" s="6">
        <f>HYPERLINK("https://map.naver.com/p/search/조치원읍 남리 69-17", "지도Link")</f>
        <v/>
      </c>
      <c r="R364" s="6">
        <f>HYPERLINK("http://www.eum.go.kr/web/ar/lu/luLandDet.jsp?pnu=3611025027100690017&amp;isNoScr=script&amp;mode=search", "토지이음")</f>
        <v/>
      </c>
      <c r="S364" s="3" t="inlineStr">
        <is>
          <t>OK수</t>
        </is>
      </c>
      <c r="T364" s="4" t="n">
        <v>1</v>
      </c>
      <c r="U364" s="5" t="n">
        <v>202.1</v>
      </c>
      <c r="V364" s="4" t="n">
        <v>140</v>
      </c>
      <c r="W364" s="3" t="inlineStr">
        <is>
          <t>지정되지않음</t>
        </is>
      </c>
      <c r="X364" s="3" t="inlineStr">
        <is>
          <t>다세대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세로각지(가)</t>
        </is>
      </c>
    </row>
    <row r="365">
      <c r="A365" s="3" t="inlineStr">
        <is>
          <t>조치원읍 명리 13-1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4</t>
        </is>
      </c>
      <c r="E365" s="3" t="inlineStr">
        <is>
          <t>일반원룸</t>
        </is>
      </c>
      <c r="F365" s="3" t="inlineStr">
        <is>
          <t>월세</t>
        </is>
      </c>
      <c r="G365" s="4" t="n">
        <v>500</v>
      </c>
      <c r="H365" s="4" t="n">
        <v>40</v>
      </c>
      <c r="I365" s="4" t="n">
        <v>42</v>
      </c>
      <c r="J365" s="4" t="n">
        <v>13</v>
      </c>
      <c r="K365" s="5" t="n">
        <v>3.1</v>
      </c>
      <c r="L365" s="4" t="n">
        <v>36</v>
      </c>
      <c r="M365" s="4" t="n">
        <v>11</v>
      </c>
      <c r="N365" s="5" t="n">
        <v>3.6</v>
      </c>
      <c r="O365" s="3" t="inlineStr">
        <is>
          <t>분리형1.5룸 엘리베이터있고 깔끔한 관리</t>
        </is>
      </c>
      <c r="P365" s="6">
        <f>HYPERLINK("https://fin.land.naver.com/articles/2653118453", "매물Link")</f>
        <v/>
      </c>
      <c r="Q365" s="6">
        <f>HYPERLINK("https://map.naver.com/p/search/조치원읍 명리 13-1", "지도Link")</f>
        <v/>
      </c>
      <c r="R365" s="6">
        <f>HYPERLINK("http://www.eum.go.kr/web/ar/lu/luLandDet.jsp?pnu=3611025026100130001&amp;isNoScr=script&amp;mode=search", "토지이음")</f>
        <v/>
      </c>
      <c r="S365" s="3" t="inlineStr">
        <is>
          <t>척척</t>
        </is>
      </c>
      <c r="T365" s="4" t="n">
        <v>1</v>
      </c>
      <c r="U365" s="5" t="n">
        <v>270.4</v>
      </c>
      <c r="V365" s="4" t="n">
        <v>377</v>
      </c>
      <c r="W365" s="3" t="inlineStr">
        <is>
          <t>지정되지않음</t>
        </is>
      </c>
      <c r="X365" s="3" t="inlineStr">
        <is>
          <t>주상기타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소로한면</t>
        </is>
      </c>
    </row>
    <row r="366">
      <c r="A366" s="3" t="inlineStr">
        <is>
          <t>조치원읍 명리 13-1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일반원룸</t>
        </is>
      </c>
      <c r="F366" s="3" t="inlineStr">
        <is>
          <t>월세</t>
        </is>
      </c>
      <c r="G366" s="4" t="n">
        <v>200</v>
      </c>
      <c r="H366" s="4" t="n">
        <v>35</v>
      </c>
      <c r="I366" s="4" t="n">
        <v>39</v>
      </c>
      <c r="J366" s="4" t="n">
        <v>12</v>
      </c>
      <c r="K366" s="5" t="n">
        <v>2.9</v>
      </c>
      <c r="L366" s="4" t="n">
        <v>28</v>
      </c>
      <c r="M366" s="4" t="n">
        <v>8</v>
      </c>
      <c r="N366" s="5" t="n">
        <v>4.4</v>
      </c>
      <c r="O366" s="3" t="inlineStr">
        <is>
          <t>넓은 원룸 엘리베이터있고 깔끔한 관리</t>
        </is>
      </c>
      <c r="P366" s="6">
        <f>HYPERLINK("https://fin.land.naver.com/articles/2654023929", "매물Link")</f>
        <v/>
      </c>
      <c r="Q366" s="6">
        <f>HYPERLINK("https://map.naver.com/p/search/조치원읍 명리 13-1", "지도Link")</f>
        <v/>
      </c>
      <c r="R366" s="6">
        <f>HYPERLINK("http://www.eum.go.kr/web/ar/lu/luLandDet.jsp?pnu=3611025026100130001&amp;isNoScr=script&amp;mode=search",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270.4</v>
      </c>
      <c r="V366" s="4" t="n">
        <v>377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소로한면</t>
        </is>
      </c>
    </row>
    <row r="367">
      <c r="A367" s="3" t="inlineStr">
        <is>
          <t>조치원읍 명리 14-2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월세</t>
        </is>
      </c>
      <c r="G367" s="4" t="n">
        <v>1000</v>
      </c>
      <c r="H367" s="4" t="n">
        <v>55</v>
      </c>
      <c r="I367" s="4" t="n">
        <v>65</v>
      </c>
      <c r="J367" s="4" t="n">
        <v>20</v>
      </c>
      <c r="K367" s="5" t="n">
        <v>2.8</v>
      </c>
      <c r="L367" s="4" t="n">
        <v>65</v>
      </c>
      <c r="M367" s="4" t="n">
        <v>20</v>
      </c>
      <c r="N367" s="5" t="n">
        <v>2.8</v>
      </c>
      <c r="O367" s="3" t="inlineStr">
        <is>
          <t>시장 근처 깨끗한 2층 월세</t>
        </is>
      </c>
      <c r="P367" s="6">
        <f>HYPERLINK("https://fin.land.naver.com/articles/2654897678", "매물Link")</f>
        <v/>
      </c>
      <c r="Q367" s="6">
        <f>HYPERLINK("https://map.naver.com/p/search/조치원읍 명리 14-2", "지도Link")</f>
        <v/>
      </c>
      <c r="R367" s="6">
        <f>HYPERLINK("http://www.eum.go.kr/web/ar/lu/luLandDet.jsp?pnu=3611025026100140002&amp;isNoScr=script&amp;mode=search", "토지이음")</f>
        <v/>
      </c>
      <c r="S367" s="3" t="inlineStr">
        <is>
          <t>KB세종</t>
        </is>
      </c>
      <c r="T367" s="4" t="n">
        <v>1</v>
      </c>
      <c r="U367" s="5" t="n">
        <v>184.6</v>
      </c>
      <c r="V367" s="4" t="n">
        <v>145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가로장방</t>
        </is>
      </c>
      <c r="AA367" s="3" t="inlineStr">
        <is>
          <t>세로한면(가)</t>
        </is>
      </c>
    </row>
    <row r="368">
      <c r="A368" s="3" t="inlineStr">
        <is>
          <t>조치원읍 명리 15-1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매매</t>
        </is>
      </c>
      <c r="G368" s="4" t="n">
        <v>35000</v>
      </c>
      <c r="H368" s="4" t="n">
        <v>0</v>
      </c>
      <c r="I368" s="4" t="n">
        <v>340</v>
      </c>
      <c r="J368" s="4" t="n">
        <v>103</v>
      </c>
      <c r="K368" s="5" t="n">
        <v>339.8</v>
      </c>
      <c r="L368" s="4" t="n">
        <v>76</v>
      </c>
      <c r="M368" s="4" t="n">
        <v>23</v>
      </c>
      <c r="N368" s="5" t="n">
        <v>1521.7</v>
      </c>
      <c r="O368" s="3" t="inlineStr">
        <is>
          <t>명동초등학교 코너 주택</t>
        </is>
      </c>
      <c r="P368" s="6">
        <f>HYPERLINK("https://fin.land.naver.com/articles/2651590418", "매물Link")</f>
        <v/>
      </c>
      <c r="Q368" s="6">
        <f>HYPERLINK("https://map.naver.com/p/search/조치원읍 명리 15-1", "지도Link")</f>
        <v/>
      </c>
      <c r="R368" s="6">
        <f>HYPERLINK("http://www.eum.go.kr/web/ar/lu/luLandDet.jsp?pnu=3611025026100150001&amp;isNoScr=script&amp;mode=search", "토지이음")</f>
        <v/>
      </c>
      <c r="S368" s="3" t="inlineStr">
        <is>
          <t>OK수</t>
        </is>
      </c>
      <c r="T368" s="4" t="n">
        <v>1</v>
      </c>
      <c r="U368" s="5" t="n">
        <v>207.3</v>
      </c>
      <c r="V368" s="4" t="n">
        <v>304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조치원읍 명리 48-3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1</t>
        </is>
      </c>
      <c r="E369" s="3" t="inlineStr">
        <is>
          <t>단독</t>
        </is>
      </c>
      <c r="F369" s="3" t="inlineStr">
        <is>
          <t>전세</t>
        </is>
      </c>
      <c r="G369" s="4" t="n">
        <v>13000</v>
      </c>
      <c r="H369" s="4" t="n">
        <v>0</v>
      </c>
      <c r="I369" s="4" t="n">
        <v>53</v>
      </c>
      <c r="J369" s="4" t="n">
        <v>16</v>
      </c>
      <c r="K369" s="5" t="n">
        <v>812.5</v>
      </c>
      <c r="L369" s="4" t="n">
        <v>53</v>
      </c>
      <c r="M369" s="4" t="n">
        <v>16</v>
      </c>
      <c r="N369" s="5" t="n">
        <v>812.5</v>
      </c>
      <c r="O369" s="3" t="inlineStr">
        <is>
          <t>반전세가능 샷시까지 올리모델링 단독주택 1층 방3,거실1</t>
        </is>
      </c>
      <c r="P369" s="6">
        <f>HYPERLINK("https://fin.land.naver.com/articles/2653790984", "매물Link")</f>
        <v/>
      </c>
      <c r="Q369" s="6">
        <f>HYPERLINK("https://map.naver.com/p/search/조치원읍 명리 48-3", "지도Link")</f>
        <v/>
      </c>
      <c r="R369" s="6">
        <f>HYPERLINK("http://www.eum.go.kr/web/ar/lu/luLandDet.jsp?pnu=3611025026100480003&amp;isNoScr=script&amp;mode=search", "토지이음")</f>
        <v/>
      </c>
      <c r="S369" s="3" t="inlineStr">
        <is>
          <t>이노</t>
        </is>
      </c>
      <c r="T369" s="4" t="n">
        <v>1</v>
      </c>
      <c r="U369" s="5" t="n">
        <v>163.8</v>
      </c>
      <c r="V369" s="4" t="n">
        <v>165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세로한면(불)</t>
        </is>
      </c>
    </row>
    <row r="370">
      <c r="A370" s="3" t="inlineStr">
        <is>
          <t>조치원읍 명리 51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단독</t>
        </is>
      </c>
      <c r="F370" s="3" t="inlineStr">
        <is>
          <t>매매</t>
        </is>
      </c>
      <c r="G370" s="4" t="n">
        <v>45000</v>
      </c>
      <c r="H370" s="4" t="n">
        <v>0</v>
      </c>
      <c r="I370" s="4" t="n">
        <v>325</v>
      </c>
      <c r="J370" s="4" t="n">
        <v>98</v>
      </c>
      <c r="K370" s="5" t="n">
        <v>459.2</v>
      </c>
      <c r="L370" s="4" t="n">
        <v>218</v>
      </c>
      <c r="M370" s="4" t="n">
        <v>66</v>
      </c>
      <c r="N370" s="5" t="n">
        <v>681.8</v>
      </c>
      <c r="O370" s="3" t="inlineStr">
        <is>
          <t>교통과 생활이 편리한 위치,초등학교 인근,대지 넓은 단독주택</t>
        </is>
      </c>
      <c r="P370" s="6">
        <f>HYPERLINK("https://fin.land.naver.com/articles/2653047822", "매물Link")</f>
        <v/>
      </c>
      <c r="Q370" s="6">
        <f>HYPERLINK("https://map.naver.com/p/search/조치원읍 명리 51", "지도Link")</f>
        <v/>
      </c>
      <c r="R370" s="6">
        <f>HYPERLINK("http://www.eum.go.kr/web/ar/lu/luLandDet.jsp?pnu=3611025026100510000&amp;isNoScr=script&amp;mode=search",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223.3</v>
      </c>
      <c r="V370" s="4" t="n">
        <v>318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부정형</t>
        </is>
      </c>
      <c r="AA370" s="3" t="inlineStr">
        <is>
          <t>소로한면</t>
        </is>
      </c>
    </row>
    <row r="371">
      <c r="A371" s="3" t="inlineStr">
        <is>
          <t>조치원읍 명리 54-12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일반원룸</t>
        </is>
      </c>
      <c r="F371" s="3" t="inlineStr">
        <is>
          <t>월세</t>
        </is>
      </c>
      <c r="G371" s="4" t="n">
        <v>300</v>
      </c>
      <c r="H371" s="4" t="n">
        <v>31</v>
      </c>
      <c r="I371" s="4" t="n">
        <v>23</v>
      </c>
      <c r="J371" s="4" t="n">
        <v>7</v>
      </c>
      <c r="K371" s="5" t="n">
        <v>4.4</v>
      </c>
      <c r="L371" s="4" t="n">
        <v>23</v>
      </c>
      <c r="M371" s="4" t="n">
        <v>7</v>
      </c>
      <c r="N371" s="5" t="n">
        <v>4.4</v>
      </c>
      <c r="O371" s="3" t="inlineStr">
        <is>
          <t>명리 원룸 터미널인근,풀옵션,엘베유,집상태 깨끗합니다</t>
        </is>
      </c>
      <c r="P371" s="6">
        <f>HYPERLINK("https://fin.land.naver.com/articles/2654598280", "매물Link")</f>
        <v/>
      </c>
      <c r="Q371" s="6">
        <f>HYPERLINK("https://map.naver.com/p/search/조치원읍 명리 54-12", "지도Link")</f>
        <v/>
      </c>
      <c r="R371" s="6">
        <f>HYPERLINK("http://www.eum.go.kr/web/ar/lu/luLandDet.jsp?pnu=3611025026100540012&amp;isNoScr=script&amp;mode=search", "토지이음")</f>
        <v/>
      </c>
      <c r="S371" s="3" t="inlineStr">
        <is>
          <t>OK수</t>
        </is>
      </c>
      <c r="T371" s="4" t="n">
        <v>1</v>
      </c>
      <c r="U371" s="5" t="n">
        <v>230.3</v>
      </c>
      <c r="V371" s="4" t="n">
        <v>520</v>
      </c>
      <c r="W371" s="3" t="inlineStr">
        <is>
          <t>지정되지않음</t>
        </is>
      </c>
      <c r="X371" s="3" t="inlineStr">
        <is>
          <t>주거기타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소로한면</t>
        </is>
      </c>
    </row>
    <row r="372">
      <c r="A372" s="3" t="inlineStr">
        <is>
          <t>조치원읍 명리 66-2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단독</t>
        </is>
      </c>
      <c r="F372" s="3" t="inlineStr">
        <is>
          <t>월세</t>
        </is>
      </c>
      <c r="G372" s="4" t="n">
        <v>1000</v>
      </c>
      <c r="H372" s="4" t="n">
        <v>50</v>
      </c>
      <c r="I372" s="4" t="n">
        <v>0</v>
      </c>
      <c r="J372" s="4" t="n">
        <v>0</v>
      </c>
      <c r="K372" s="5" t="n">
        <v>0</v>
      </c>
      <c r="L372" s="4" t="n">
        <v>71</v>
      </c>
      <c r="M372" s="4" t="n">
        <v>21</v>
      </c>
      <c r="N372" s="5" t="n">
        <v>2.4</v>
      </c>
      <c r="O372" s="3" t="inlineStr">
        <is>
          <t>남리 마을회관인근 1층 귀한 주택월세 방3개 화1</t>
        </is>
      </c>
      <c r="P372" s="6">
        <f>HYPERLINK("https://fin.land.naver.com/articles/2652009820", "매물Link")</f>
        <v/>
      </c>
      <c r="Q372" s="6">
        <f>HYPERLINK("https://map.naver.com/p/search/조치원읍 명리 66-2", "지도Link")</f>
        <v/>
      </c>
      <c r="R372" s="6">
        <f>HYPERLINK("http://www.eum.go.kr/web/ar/lu/luLandDet.jsp?pnu=3611025026100660002&amp;isNoScr=script&amp;mode=search", "토지이음")</f>
        <v/>
      </c>
      <c r="S372" s="3" t="inlineStr">
        <is>
          <t>욱일</t>
        </is>
      </c>
      <c r="T372" s="4" t="n">
        <v>1</v>
      </c>
      <c r="U372" s="5" t="n">
        <v>208.4</v>
      </c>
      <c r="V372" s="4" t="n">
        <v>141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가로장방</t>
        </is>
      </c>
      <c r="AA372" s="3" t="inlineStr">
        <is>
          <t>소로한면</t>
        </is>
      </c>
    </row>
    <row r="373">
      <c r="A373" s="3" t="inlineStr">
        <is>
          <t>조치원읍 명리 79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상가주택</t>
        </is>
      </c>
      <c r="F373" s="3" t="inlineStr">
        <is>
          <t>매매</t>
        </is>
      </c>
      <c r="G373" s="4" t="n">
        <v>95000</v>
      </c>
      <c r="H373" s="4" t="n">
        <v>0</v>
      </c>
      <c r="I373" s="4" t="n">
        <v>261</v>
      </c>
      <c r="J373" s="4" t="n">
        <v>79</v>
      </c>
      <c r="K373" s="5" t="n">
        <v>1202.5</v>
      </c>
      <c r="L373" s="4" t="n">
        <v>492</v>
      </c>
      <c r="M373" s="4" t="n">
        <v>149</v>
      </c>
      <c r="N373" s="5" t="n">
        <v>637.6</v>
      </c>
      <c r="O373" s="3" t="inlineStr">
        <is>
          <t>명리 코너 상가주택 1,2층 상가 3층주택</t>
        </is>
      </c>
      <c r="P373" s="6">
        <f>HYPERLINK("https://fin.land.naver.com/articles/2654995129", "매물Link")</f>
        <v/>
      </c>
      <c r="Q373" s="6">
        <f>HYPERLINK("https://map.naver.com/p/search/조치원읍 명리 79", "지도Link")</f>
        <v/>
      </c>
      <c r="R373" s="6">
        <f>HYPERLINK("http://www.eum.go.kr/web/ar/lu/luLandDet.jsp?pnu=3611025026100790000&amp;isNoScr=script&amp;mode=search", "토지이음")</f>
        <v/>
      </c>
      <c r="S373" s="3" t="inlineStr">
        <is>
          <t>OK수</t>
        </is>
      </c>
      <c r="T373" s="4" t="n">
        <v>1</v>
      </c>
      <c r="U373" s="5" t="n">
        <v>358.3</v>
      </c>
      <c r="V373" s="4" t="n">
        <v>153</v>
      </c>
      <c r="W373" s="3" t="inlineStr">
        <is>
          <t>지정되지않음</t>
        </is>
      </c>
      <c r="X373" s="3" t="inlineStr">
        <is>
          <t>상업용</t>
        </is>
      </c>
      <c r="Y373" s="3" t="inlineStr">
        <is>
          <t>평지</t>
        </is>
      </c>
      <c r="Z373" s="3" t="inlineStr">
        <is>
          <t>가로장방</t>
        </is>
      </c>
      <c r="AA373" s="3" t="inlineStr">
        <is>
          <t>중로각지</t>
        </is>
      </c>
    </row>
    <row r="374">
      <c r="A374" s="3" t="inlineStr">
        <is>
          <t>조치원읍 번암리 110-1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상가주택</t>
        </is>
      </c>
      <c r="F374" s="3" t="inlineStr">
        <is>
          <t>매매</t>
        </is>
      </c>
      <c r="G374" s="4" t="n">
        <v>75000</v>
      </c>
      <c r="H374" s="4" t="n">
        <v>0</v>
      </c>
      <c r="I374" s="4" t="n">
        <v>328</v>
      </c>
      <c r="J374" s="4" t="n">
        <v>99</v>
      </c>
      <c r="K374" s="5" t="n">
        <v>757.6</v>
      </c>
      <c r="L374" s="4" t="n">
        <v>421</v>
      </c>
      <c r="M374" s="4" t="n">
        <v>127</v>
      </c>
      <c r="N374" s="5" t="n">
        <v>590.6</v>
      </c>
      <c r="O374" s="3" t="inlineStr">
        <is>
          <t>번암리 홈플러스 맞은편 6차선 접한 상가주택 저렴합니다</t>
        </is>
      </c>
      <c r="P374" s="6">
        <f>HYPERLINK("https://fin.land.naver.com/articles/2649796407", "매물Link")</f>
        <v/>
      </c>
      <c r="Q374" s="6">
        <f>HYPERLINK("https://map.naver.com/p/search/조치원읍 번암리 110-1", "지도Link")</f>
        <v/>
      </c>
      <c r="R374" s="6">
        <f>HYPERLINK("http://www.eum.go.kr/web/ar/lu/luLandDet.jsp?pnu=3611025031101100001&amp;isNoScr=script&amp;mode=search", "토지이음")</f>
        <v/>
      </c>
      <c r="S374" s="3" t="inlineStr">
        <is>
          <t>OK수</t>
        </is>
      </c>
      <c r="T374" s="4" t="n">
        <v>1</v>
      </c>
      <c r="U374" s="5" t="n">
        <v>341.8</v>
      </c>
      <c r="V374" s="4" t="n">
        <v>349</v>
      </c>
      <c r="W374" s="3" t="inlineStr">
        <is>
          <t>지정되지않음</t>
        </is>
      </c>
      <c r="X374" s="3" t="inlineStr">
        <is>
          <t>주상용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광대로한면</t>
        </is>
      </c>
    </row>
    <row r="375">
      <c r="A375" s="3" t="inlineStr">
        <is>
          <t>조치원읍 번암리 128-2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4</t>
        </is>
      </c>
      <c r="E375" s="3" t="inlineStr">
        <is>
          <t>다가구</t>
        </is>
      </c>
      <c r="F375" s="3" t="inlineStr">
        <is>
          <t>매매</t>
        </is>
      </c>
      <c r="G375" s="4" t="n">
        <v>82000</v>
      </c>
      <c r="H375" s="4" t="n">
        <v>0</v>
      </c>
      <c r="I375" s="4" t="n">
        <v>211</v>
      </c>
      <c r="J375" s="4" t="n">
        <v>64</v>
      </c>
      <c r="K375" s="5" t="n">
        <v>1281.2</v>
      </c>
      <c r="L375" s="4" t="n">
        <v>380</v>
      </c>
      <c r="M375" s="4" t="n">
        <v>115</v>
      </c>
      <c r="N375" s="5" t="n">
        <v>713</v>
      </c>
      <c r="O375" s="3" t="inlineStr">
        <is>
          <t>nan</t>
        </is>
      </c>
      <c r="P375" s="6">
        <f>HYPERLINK("https://fin.land.naver.com/articles/2654393034", "매물Link")</f>
        <v/>
      </c>
      <c r="Q375" s="6">
        <f>HYPERLINK("https://map.naver.com/p/search/조치원읍 번암리 128-2", "지도Link")</f>
        <v/>
      </c>
      <c r="R375" s="6">
        <f>HYPERLINK("http://www.eum.go.kr/web/ar/lu/luLandDet.jsp?pnu=3611025031101280002&amp;isNoScr=script&amp;mode=search",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309.1</v>
      </c>
      <c r="V375" s="4" t="n">
        <v>211</v>
      </c>
      <c r="W375" s="3" t="inlineStr">
        <is>
          <t>지정되지않음</t>
        </is>
      </c>
      <c r="X375" s="3" t="inlineStr">
        <is>
          <t>주상용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광대로한면</t>
        </is>
      </c>
    </row>
    <row r="376">
      <c r="A376" s="3" t="inlineStr">
        <is>
          <t>조치원읍 번암리 69-12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0</v>
      </c>
      <c r="J376" s="4" t="n">
        <v>0</v>
      </c>
      <c r="K376" s="5" t="n">
        <v>0</v>
      </c>
      <c r="L376" s="4" t="n">
        <v>26</v>
      </c>
      <c r="M376" s="4" t="n">
        <v>8</v>
      </c>
      <c r="N376" s="5" t="n">
        <v>3.8</v>
      </c>
      <c r="O376" s="3" t="inlineStr">
        <is>
          <t>엘리베이터 있어요. 원 룸 분리형 구조</t>
        </is>
      </c>
      <c r="P376" s="6">
        <f>HYPERLINK("https://fin.land.naver.com/articles/2652478073", "매물Link")</f>
        <v/>
      </c>
      <c r="Q376" s="6">
        <f>HYPERLINK("https://map.naver.com/p/search/조치원읍 번암리 69-12", "지도Link")</f>
        <v/>
      </c>
      <c r="R376" s="6">
        <f>HYPERLINK("http://www.eum.go.kr/web/ar/lu/luLandDet.jsp?pnu=3611025031100690012&amp;isNoScr=script&amp;mode=search", "토지이음")</f>
        <v/>
      </c>
      <c r="S376" s="3" t="inlineStr">
        <is>
          <t>지성</t>
        </is>
      </c>
      <c r="T376" s="4" t="n">
        <v>1</v>
      </c>
      <c r="U376" s="5" t="n">
        <v>341.2</v>
      </c>
      <c r="V376" s="4" t="n">
        <v>338</v>
      </c>
      <c r="W376" s="3" t="inlineStr">
        <is>
          <t>지정되지않음</t>
        </is>
      </c>
      <c r="X376" s="3" t="inlineStr">
        <is>
          <t>주상용</t>
        </is>
      </c>
      <c r="Y376" s="3" t="inlineStr">
        <is>
          <t>평지</t>
        </is>
      </c>
      <c r="Z376" s="3" t="inlineStr">
        <is>
          <t>세로장방</t>
        </is>
      </c>
      <c r="AA376" s="3" t="inlineStr">
        <is>
          <t>광대로한면</t>
        </is>
      </c>
    </row>
    <row r="377">
      <c r="A377" s="3" t="inlineStr">
        <is>
          <t>조치원읍 번암리 69-12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300</v>
      </c>
      <c r="H377" s="4" t="n">
        <v>32</v>
      </c>
      <c r="I377" s="4" t="n">
        <v>39</v>
      </c>
      <c r="J377" s="4" t="n">
        <v>12</v>
      </c>
      <c r="K377" s="5" t="n">
        <v>2.7</v>
      </c>
      <c r="L377" s="4" t="n">
        <v>26</v>
      </c>
      <c r="M377" s="4" t="n">
        <v>8</v>
      </c>
      <c r="N377" s="5" t="n">
        <v>4</v>
      </c>
      <c r="O377" s="3" t="inlineStr">
        <is>
          <t>번암리 아주깨끗하게 관리해주십니다</t>
        </is>
      </c>
      <c r="P377" s="6">
        <f>HYPERLINK("https://fin.land.naver.com/articles/2653929088", "매물Link")</f>
        <v/>
      </c>
      <c r="Q377" s="6">
        <f>HYPERLINK("https://map.naver.com/p/search/조치원읍 번암리 69-12", "지도Link")</f>
        <v/>
      </c>
      <c r="R377" s="6">
        <f>HYPERLINK("http://www.eum.go.kr/web/ar/lu/luLandDet.jsp?pnu=3611025031100690012&amp;isNoScr=script&amp;mode=search",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341.2</v>
      </c>
      <c r="V377" s="4" t="n">
        <v>338</v>
      </c>
      <c r="W377" s="3" t="inlineStr">
        <is>
          <t>지정되지않음</t>
        </is>
      </c>
      <c r="X377" s="3" t="inlineStr">
        <is>
          <t>주상용</t>
        </is>
      </c>
      <c r="Y377" s="3" t="inlineStr">
        <is>
          <t>평지</t>
        </is>
      </c>
      <c r="Z377" s="3" t="inlineStr">
        <is>
          <t>세로장방</t>
        </is>
      </c>
      <c r="AA377" s="3" t="inlineStr">
        <is>
          <t>광대로한면</t>
        </is>
      </c>
    </row>
    <row r="378">
      <c r="A378" s="3" t="inlineStr">
        <is>
          <t>조치원읍 번암리 69-7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0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300</v>
      </c>
      <c r="H378" s="4" t="n">
        <v>36</v>
      </c>
      <c r="I378" s="4" t="n">
        <v>30</v>
      </c>
      <c r="J378" s="4" t="n">
        <v>9</v>
      </c>
      <c r="K378" s="5" t="n">
        <v>4</v>
      </c>
      <c r="L378" s="4" t="n">
        <v>30</v>
      </c>
      <c r="M378" s="4" t="n">
        <v>9</v>
      </c>
      <c r="N378" s="5" t="n">
        <v>4</v>
      </c>
      <c r="O378" s="3" t="inlineStr">
        <is>
          <t>홈플러스 앞 원룸 가격인 1.5룸, 세종 신도시 또는 오송 출퇴근 용이</t>
        </is>
      </c>
      <c r="P378" s="6">
        <f>HYPERLINK("https://fin.land.naver.com/articles/2654460016", "매물Link")</f>
        <v/>
      </c>
      <c r="Q378" s="6">
        <f>HYPERLINK("https://map.naver.com/p/search/조치원읍 번암리 69-7", "지도Link")</f>
        <v/>
      </c>
      <c r="R378" s="6">
        <f>HYPERLINK("http://www.eum.go.kr/web/ar/lu/luLandDet.jsp?pnu=3611025031100690007&amp;isNoScr=script&amp;mode=search", "토지이음")</f>
        <v/>
      </c>
      <c r="S378" s="3" t="inlineStr">
        <is>
          <t>유정희</t>
        </is>
      </c>
      <c r="T378" s="4" t="n">
        <v>1</v>
      </c>
      <c r="U378" s="5" t="n">
        <v>306.6</v>
      </c>
      <c r="V378" s="4" t="n">
        <v>220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소로한면</t>
        </is>
      </c>
    </row>
    <row r="379">
      <c r="A379" s="3" t="inlineStr">
        <is>
          <t>조치원읍 번암리 69-7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0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16</v>
      </c>
      <c r="J379" s="4" t="n">
        <v>5</v>
      </c>
      <c r="K379" s="5" t="n">
        <v>6</v>
      </c>
      <c r="L379" s="4" t="n">
        <v>16</v>
      </c>
      <c r="M379" s="4" t="n">
        <v>5</v>
      </c>
      <c r="N379" s="5" t="n">
        <v>6</v>
      </c>
      <c r="O379" s="3" t="inlineStr">
        <is>
          <t>홈플러스 앞 원룸, 세종 신도시 또는 오송으로 출퇴근 용이</t>
        </is>
      </c>
      <c r="P379" s="6">
        <f>HYPERLINK("https://fin.land.naver.com/articles/2654459531", "매물Link")</f>
        <v/>
      </c>
      <c r="Q379" s="6">
        <f>HYPERLINK("https://map.naver.com/p/search/조치원읍 번암리 69-7", "지도Link")</f>
        <v/>
      </c>
      <c r="R379" s="6">
        <f>HYPERLINK("http://www.eum.go.kr/web/ar/lu/luLandDet.jsp?pnu=3611025031100690007&amp;isNoScr=script&amp;mode=search", "토지이음")</f>
        <v/>
      </c>
      <c r="S379" s="3" t="inlineStr">
        <is>
          <t>유정희</t>
        </is>
      </c>
      <c r="T379" s="4" t="n">
        <v>1</v>
      </c>
      <c r="U379" s="5" t="n">
        <v>306.6</v>
      </c>
      <c r="V379" s="4" t="n">
        <v>220</v>
      </c>
      <c r="W379" s="3" t="inlineStr">
        <is>
          <t>지정되지않음</t>
        </is>
      </c>
      <c r="X379" s="3" t="inlineStr">
        <is>
          <t>주상용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소로한면</t>
        </is>
      </c>
    </row>
    <row r="380">
      <c r="A380" s="3" t="inlineStr">
        <is>
          <t>조치원읍 봉산리 170-9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다가구</t>
        </is>
      </c>
      <c r="F380" s="3" t="inlineStr">
        <is>
          <t>매매</t>
        </is>
      </c>
      <c r="G380" s="4" t="n">
        <v>115000</v>
      </c>
      <c r="H380" s="4" t="n">
        <v>0</v>
      </c>
      <c r="I380" s="4" t="n">
        <v>640</v>
      </c>
      <c r="J380" s="4" t="n">
        <v>194</v>
      </c>
      <c r="K380" s="5" t="n">
        <v>592.8</v>
      </c>
      <c r="L380" s="4" t="n">
        <v>332</v>
      </c>
      <c r="M380" s="4" t="n">
        <v>100</v>
      </c>
      <c r="N380" s="5" t="n">
        <v>1150</v>
      </c>
      <c r="O380" s="3" t="inlineStr">
        <is>
          <t>봉산리 1층,2층 다중주택으로 1층 리모델링 완료. 입주일 협의가능.</t>
        </is>
      </c>
      <c r="P380" s="6">
        <f>HYPERLINK("https://fin.land.naver.com/articles/2653372676", "매물Link")</f>
        <v/>
      </c>
      <c r="Q380" s="6">
        <f>HYPERLINK("https://map.naver.com/p/search/조치원읍 봉산리 170-9", "지도Link")</f>
        <v/>
      </c>
      <c r="R380" s="6">
        <f>HYPERLINK("http://www.eum.go.kr/web/ar/lu/luLandDet.jsp?pnu=3611025033101700009&amp;isNoScr=script&amp;mode=search",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162</v>
      </c>
      <c r="V380" s="4" t="n">
        <v>640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조치원읍 봉산리 190-11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빌라</t>
        </is>
      </c>
      <c r="F381" s="3" t="inlineStr">
        <is>
          <t>매매</t>
        </is>
      </c>
      <c r="G381" s="4" t="n">
        <v>4500</v>
      </c>
      <c r="H381" s="4" t="n">
        <v>0</v>
      </c>
      <c r="I381" s="4" t="n">
        <v>21</v>
      </c>
      <c r="J381" s="4" t="n">
        <v>6</v>
      </c>
      <c r="K381" s="5" t="n">
        <v>750</v>
      </c>
      <c r="L381" s="4" t="n">
        <v>20</v>
      </c>
      <c r="M381" s="4" t="n">
        <v>6</v>
      </c>
      <c r="N381" s="5" t="n">
        <v>750</v>
      </c>
      <c r="O381" s="3" t="inlineStr">
        <is>
          <t>고려대 세종캠퍼스 인근 복층형 원룸 개별 매매</t>
        </is>
      </c>
      <c r="P381" s="6">
        <f>HYPERLINK("https://fin.land.naver.com/articles/2654309249", "매물Link")</f>
        <v/>
      </c>
      <c r="Q381" s="6">
        <f>HYPERLINK("https://map.naver.com/p/search/조치원읍 봉산리 190-11", "지도Link")</f>
        <v/>
      </c>
      <c r="R381" s="6">
        <f>HYPERLINK("http://www.eum.go.kr/web/ar/lu/luLandDet.jsp?pnu=3611025033101900011&amp;isNoScr=script&amp;mode=search", "토지이음")</f>
        <v/>
      </c>
      <c r="S381" s="3" t="inlineStr">
        <is>
          <t>고래</t>
        </is>
      </c>
      <c r="T381" s="4" t="n">
        <v>1</v>
      </c>
      <c r="U381" s="5" t="n">
        <v>168.4</v>
      </c>
      <c r="V381" s="4" t="n">
        <v>565</v>
      </c>
      <c r="W381" s="3" t="inlineStr">
        <is>
          <t>지정되지않음</t>
        </is>
      </c>
      <c r="X381" s="3" t="inlineStr">
        <is>
          <t>다세대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조치원읍 봉산리 190-13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도시형생활주택</t>
        </is>
      </c>
      <c r="F382" s="3" t="inlineStr">
        <is>
          <t>월세</t>
        </is>
      </c>
      <c r="G382" s="4" t="n">
        <v>200</v>
      </c>
      <c r="H382" s="4" t="n">
        <v>30</v>
      </c>
      <c r="I382" s="4" t="n">
        <v>0</v>
      </c>
      <c r="J382" s="4" t="n">
        <v>0</v>
      </c>
      <c r="K382" s="5" t="n">
        <v>0</v>
      </c>
      <c r="L382" s="4" t="n">
        <v>22</v>
      </c>
      <c r="M382" s="4" t="n">
        <v>7</v>
      </c>
      <c r="N382" s="5" t="n">
        <v>4.3</v>
      </c>
      <c r="O382" s="3" t="inlineStr">
        <is>
          <t>인기좋은  풀옵션완비방    바로입주  주차편함   고대캠퍼스10분</t>
        </is>
      </c>
      <c r="P382" s="6">
        <f>HYPERLINK("https://fin.land.naver.com/articles/2655096118", "매물Link")</f>
        <v/>
      </c>
      <c r="Q382" s="6">
        <f>HYPERLINK("https://map.naver.com/p/search/조치원읍 봉산리 190-13", "지도Link")</f>
        <v/>
      </c>
      <c r="R382" s="6">
        <f>HYPERLINK("http://www.eum.go.kr/web/ar/lu/luLandDet.jsp?pnu=3611025033101900013&amp;isNoScr=script&amp;mode=search", "토지이음")</f>
        <v/>
      </c>
      <c r="S382" s="3" t="inlineStr">
        <is>
          <t>연서으뜸</t>
        </is>
      </c>
      <c r="T382" s="4" t="n">
        <v>1</v>
      </c>
      <c r="U382" s="5" t="n">
        <v>168.4</v>
      </c>
      <c r="V382" s="4" t="n">
        <v>737</v>
      </c>
      <c r="W382" s="3" t="inlineStr">
        <is>
          <t>지정되지않음</t>
        </is>
      </c>
      <c r="X382" s="3" t="inlineStr">
        <is>
          <t>다세대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조치원읍 상리 114-1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0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100</v>
      </c>
      <c r="H383" s="4" t="n">
        <v>32</v>
      </c>
      <c r="I383" s="4" t="n">
        <v>24</v>
      </c>
      <c r="J383" s="4" t="n">
        <v>7</v>
      </c>
      <c r="K383" s="5" t="n">
        <v>4.6</v>
      </c>
      <c r="L383" s="4" t="n">
        <v>16</v>
      </c>
      <c r="M383" s="4" t="n">
        <v>5</v>
      </c>
      <c r="N383" s="5" t="n">
        <v>6.4</v>
      </c>
      <c r="O383" s="3" t="inlineStr">
        <is>
          <t>상리 조치원터미날 맞은편 깨끗하고 교통좋습니다9.8일입주가능</t>
        </is>
      </c>
      <c r="P383" s="6">
        <f>HYPERLINK("https://fin.land.naver.com/articles/2655013156", "매물Link")</f>
        <v/>
      </c>
      <c r="Q383" s="6">
        <f>HYPERLINK("https://map.naver.com/p/search/조치원읍 상리 114-1", "지도Link")</f>
        <v/>
      </c>
      <c r="R383" s="6">
        <f>HYPERLINK("http://www.eum.go.kr/web/ar/lu/luLandDet.jsp?pnu=3611025022101140001&amp;isNoScr=script&amp;mode=search",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261.3</v>
      </c>
      <c r="V383" s="4" t="n">
        <v>532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소로한면</t>
        </is>
      </c>
    </row>
    <row r="384">
      <c r="A384" s="3" t="inlineStr">
        <is>
          <t>조치원읍 상리 123</t>
        </is>
      </c>
      <c r="B384" s="3" t="inlineStr">
        <is>
          <t>준주거지역</t>
        </is>
      </c>
      <c r="C384" s="3" t="inlineStr">
        <is>
          <t>대</t>
        </is>
      </c>
      <c r="D384" s="3" t="inlineStr">
        <is>
          <t>3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200</v>
      </c>
      <c r="H384" s="4" t="n">
        <v>30</v>
      </c>
      <c r="I384" s="4" t="n">
        <v>0</v>
      </c>
      <c r="J384" s="4" t="n">
        <v>0</v>
      </c>
      <c r="K384" s="5" t="n">
        <v>0</v>
      </c>
      <c r="L384" s="4" t="n">
        <v>23</v>
      </c>
      <c r="M384" s="4" t="n">
        <v>7</v>
      </c>
      <c r="N384" s="5" t="n">
        <v>4.3</v>
      </c>
      <c r="O384" s="3" t="inlineStr">
        <is>
          <t>L 시장.터미널앞, 역5분, 즉시입주가능, 특대형원룸</t>
        </is>
      </c>
      <c r="P384" s="6">
        <f>HYPERLINK("https://fin.land.naver.com/articles/2651114568", "매물Link")</f>
        <v/>
      </c>
      <c r="Q384" s="6">
        <f>HYPERLINK("https://map.naver.com/p/search/조치원읍 상리 123", "지도Link")</f>
        <v/>
      </c>
      <c r="R384" s="6">
        <f>HYPERLINK("http://www.eum.go.kr/web/ar/lu/luLandDet.jsp?pnu=3611025022101230000&amp;isNoScr=script&amp;mode=search", "토지이음")</f>
        <v/>
      </c>
      <c r="S384" s="3" t="inlineStr">
        <is>
          <t>바다</t>
        </is>
      </c>
      <c r="T384" s="4" t="n">
        <v>1</v>
      </c>
      <c r="U384" s="5" t="n">
        <v>280</v>
      </c>
      <c r="V384" s="4" t="n">
        <v>236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소로각지</t>
        </is>
      </c>
    </row>
    <row r="385">
      <c r="A385" s="3" t="inlineStr">
        <is>
          <t>조치원읍 상리 124-2</t>
        </is>
      </c>
      <c r="B385" s="3" t="inlineStr">
        <is>
          <t>준주거지역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39</v>
      </c>
      <c r="J385" s="4" t="n">
        <v>12</v>
      </c>
      <c r="K385" s="5" t="n">
        <v>2.5</v>
      </c>
      <c r="L385" s="4" t="n">
        <v>26</v>
      </c>
      <c r="M385" s="4" t="n">
        <v>8</v>
      </c>
      <c r="N385" s="5" t="n">
        <v>3.8</v>
      </c>
      <c r="O385" s="3" t="inlineStr">
        <is>
          <t>터미널 근처.예쁜룸.즉시입주 가능</t>
        </is>
      </c>
      <c r="P385" s="6">
        <f>HYPERLINK("https://fin.land.naver.com/articles/2652314109", "매물Link")</f>
        <v/>
      </c>
      <c r="Q385" s="6">
        <f>HYPERLINK("https://map.naver.com/p/search/조치원읍 상리 124-2", "지도Link")</f>
        <v/>
      </c>
      <c r="R385" s="6">
        <f>HYPERLINK("http://www.eum.go.kr/web/ar/lu/luLandDet.jsp?pnu=3611025022101240002&amp;isNoScr=script&amp;mode=search",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240.7</v>
      </c>
      <c r="V385" s="4" t="n">
        <v>348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가로장방</t>
        </is>
      </c>
      <c r="AA385" s="3" t="inlineStr">
        <is>
          <t>세로한면(불)</t>
        </is>
      </c>
    </row>
    <row r="386">
      <c r="A386" s="3" t="inlineStr">
        <is>
          <t>조치원읍 상리 124-2</t>
        </is>
      </c>
      <c r="B386" s="3" t="inlineStr">
        <is>
          <t>준주거지역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30</v>
      </c>
      <c r="I386" s="4" t="n">
        <v>25</v>
      </c>
      <c r="J386" s="4" t="n">
        <v>8</v>
      </c>
      <c r="K386" s="5" t="n">
        <v>3.8</v>
      </c>
      <c r="L386" s="4" t="n">
        <v>18</v>
      </c>
      <c r="M386" s="4" t="n">
        <v>5</v>
      </c>
      <c r="N386" s="5" t="n">
        <v>6</v>
      </c>
      <c r="O386" s="3" t="inlineStr">
        <is>
          <t>상리 터미날 맞은편 상태 깨끗함 즉시입주 가능합니다</t>
        </is>
      </c>
      <c r="P386" s="6">
        <f>HYPERLINK("https://fin.land.naver.com/articles/2653431981", "매물Link")</f>
        <v/>
      </c>
      <c r="Q386" s="6">
        <f>HYPERLINK("https://map.naver.com/p/search/조치원읍 상리 124-2", "지도Link")</f>
        <v/>
      </c>
      <c r="R386" s="6">
        <f>HYPERLINK("http://www.eum.go.kr/web/ar/lu/luLandDet.jsp?pnu=3611025022101240002&amp;isNoScr=script&amp;mode=search", "토지이음")</f>
        <v/>
      </c>
      <c r="S386" s="3" t="inlineStr">
        <is>
          <t>OK수</t>
        </is>
      </c>
      <c r="T386" s="4" t="n">
        <v>1</v>
      </c>
      <c r="U386" s="5" t="n">
        <v>240.7</v>
      </c>
      <c r="V386" s="4" t="n">
        <v>348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가로장방</t>
        </is>
      </c>
      <c r="AA386" s="3" t="inlineStr">
        <is>
          <t>세로한면(불)</t>
        </is>
      </c>
    </row>
    <row r="387">
      <c r="A387" s="3" t="inlineStr">
        <is>
          <t>조치원읍 상리 124-2</t>
        </is>
      </c>
      <c r="B387" s="3" t="inlineStr">
        <is>
          <t>준주거지역</t>
        </is>
      </c>
      <c r="C387" s="3" t="inlineStr">
        <is>
          <t>대</t>
        </is>
      </c>
      <c r="D387" s="3" t="inlineStr">
        <is>
          <t>4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200</v>
      </c>
      <c r="H387" s="4" t="n">
        <v>30</v>
      </c>
      <c r="I387" s="4" t="n">
        <v>39</v>
      </c>
      <c r="J387" s="4" t="n">
        <v>12</v>
      </c>
      <c r="K387" s="5" t="n">
        <v>2.5</v>
      </c>
      <c r="L387" s="4" t="n">
        <v>26</v>
      </c>
      <c r="M387" s="4" t="n">
        <v>8</v>
      </c>
      <c r="N387" s="5" t="n">
        <v>3.8</v>
      </c>
      <c r="O387" s="3" t="inlineStr">
        <is>
          <t>터미널 근처.배란다가 아주큰 전망좋은 집.즉시입주 가능</t>
        </is>
      </c>
      <c r="P387" s="6">
        <f>HYPERLINK("https://fin.land.naver.com/articles/2652312867", "매물Link")</f>
        <v/>
      </c>
      <c r="Q387" s="6">
        <f>HYPERLINK("https://map.naver.com/p/search/조치원읍 상리 124-2", "지도Link")</f>
        <v/>
      </c>
      <c r="R387" s="6">
        <f>HYPERLINK("http://www.eum.go.kr/web/ar/lu/luLandDet.jsp?pnu=3611025022101240002&amp;isNoScr=script&amp;mode=search",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240.7</v>
      </c>
      <c r="V387" s="4" t="n">
        <v>348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가로장방</t>
        </is>
      </c>
      <c r="AA387" s="3" t="inlineStr">
        <is>
          <t>세로한면(불)</t>
        </is>
      </c>
    </row>
    <row r="388">
      <c r="A388" s="3" t="inlineStr">
        <is>
          <t>조치원읍 상리 132-1</t>
        </is>
      </c>
      <c r="B388" s="3" t="inlineStr">
        <is>
          <t>준주거지역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상가주택</t>
        </is>
      </c>
      <c r="F388" s="3" t="inlineStr">
        <is>
          <t>매매</t>
        </is>
      </c>
      <c r="G388" s="4" t="n">
        <v>65000</v>
      </c>
      <c r="H388" s="4" t="n">
        <v>0</v>
      </c>
      <c r="I388" s="4" t="n">
        <v>116</v>
      </c>
      <c r="J388" s="4" t="n">
        <v>35</v>
      </c>
      <c r="K388" s="5" t="n">
        <v>1857.1</v>
      </c>
      <c r="L388" s="4" t="n">
        <v>184</v>
      </c>
      <c r="M388" s="4" t="n">
        <v>56</v>
      </c>
      <c r="N388" s="5" t="n">
        <v>1160.7</v>
      </c>
      <c r="O388" s="3" t="inlineStr">
        <is>
          <t>상리 세종문화원 맞은편 2차선 접한 전면 넓은 상가 광고효과 좋음</t>
        </is>
      </c>
      <c r="P388" s="6">
        <f>HYPERLINK("https://fin.land.naver.com/articles/2651593382", "매물Link")</f>
        <v/>
      </c>
      <c r="Q388" s="6">
        <f>HYPERLINK("https://map.naver.com/p/search/조치원읍 상리 132-1", "지도Link")</f>
        <v/>
      </c>
      <c r="R388" s="6">
        <f>HYPERLINK("http://www.eum.go.kr/web/ar/lu/luLandDet.jsp?pnu=3611025022101320001&amp;isNoScr=script&amp;mode=search", "토지이음")</f>
        <v/>
      </c>
      <c r="S388" s="3" t="inlineStr">
        <is>
          <t>OK수</t>
        </is>
      </c>
      <c r="T388" s="4" t="n">
        <v>1</v>
      </c>
      <c r="U388" s="5" t="n">
        <v>640.7</v>
      </c>
      <c r="V388" s="4" t="n">
        <v>116</v>
      </c>
      <c r="W388" s="3" t="inlineStr">
        <is>
          <t>지정되지않음</t>
        </is>
      </c>
      <c r="X388" s="3" t="inlineStr">
        <is>
          <t>상업용</t>
        </is>
      </c>
      <c r="Y388" s="3" t="inlineStr">
        <is>
          <t>평지</t>
        </is>
      </c>
      <c r="Z388" s="3" t="inlineStr">
        <is>
          <t>가로장방</t>
        </is>
      </c>
      <c r="AA388" s="3" t="inlineStr">
        <is>
          <t>중로한면</t>
        </is>
      </c>
    </row>
    <row r="389">
      <c r="A389" s="3" t="inlineStr">
        <is>
          <t>조치원읍 상리 59-1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1</t>
        </is>
      </c>
      <c r="E389" s="3" t="inlineStr">
        <is>
          <t>다가구</t>
        </is>
      </c>
      <c r="F389" s="3" t="inlineStr">
        <is>
          <t>월세</t>
        </is>
      </c>
      <c r="G389" s="4" t="n">
        <v>1000</v>
      </c>
      <c r="H389" s="4" t="n">
        <v>65</v>
      </c>
      <c r="I389" s="4" t="n">
        <v>56</v>
      </c>
      <c r="J389" s="4" t="n">
        <v>17</v>
      </c>
      <c r="K389" s="5" t="n">
        <v>3.8</v>
      </c>
      <c r="L389" s="4" t="n">
        <v>56</v>
      </c>
      <c r="M389" s="4" t="n">
        <v>17</v>
      </c>
      <c r="N389" s="5" t="n">
        <v>3.8</v>
      </c>
      <c r="O389" s="3" t="inlineStr">
        <is>
          <t>명동초 뒤 귀한 풀옵션 깨끗한 투룸. 공실로 즉시입주. 관리비 없음.</t>
        </is>
      </c>
      <c r="P389" s="6">
        <f>HYPERLINK("https://fin.land.naver.com/articles/2651216985", "매물Link")</f>
        <v/>
      </c>
      <c r="Q389" s="6">
        <f>HYPERLINK("https://map.naver.com/p/search/조치원읍 상리 59-1", "지도Link")</f>
        <v/>
      </c>
      <c r="R389" s="6">
        <f>HYPERLINK("http://www.eum.go.kr/web/ar/lu/luLandDet.jsp?pnu=3611025022100590001&amp;isNoScr=script&amp;mode=search", "토지이음")</f>
        <v/>
      </c>
      <c r="S389" s="3" t="inlineStr">
        <is>
          <t>세종대장</t>
        </is>
      </c>
      <c r="T389" s="4" t="n">
        <v>1</v>
      </c>
      <c r="U389" s="5" t="n">
        <v>207.1</v>
      </c>
      <c r="V389" s="4" t="n">
        <v>210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부정형</t>
        </is>
      </c>
      <c r="AA389" s="3" t="inlineStr">
        <is>
          <t>소로각지</t>
        </is>
      </c>
    </row>
    <row r="390">
      <c r="A390" s="3" t="inlineStr">
        <is>
          <t>조치원읍 상리 59-1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다가구</t>
        </is>
      </c>
      <c r="F390" s="3" t="inlineStr">
        <is>
          <t>매매</t>
        </is>
      </c>
      <c r="G390" s="4" t="n">
        <v>82000</v>
      </c>
      <c r="H390" s="4" t="n">
        <v>0</v>
      </c>
      <c r="I390" s="4" t="n">
        <v>210</v>
      </c>
      <c r="J390" s="4" t="n">
        <v>64</v>
      </c>
      <c r="K390" s="5" t="n">
        <v>1281.2</v>
      </c>
      <c r="L390" s="4" t="n">
        <v>305</v>
      </c>
      <c r="M390" s="4" t="n">
        <v>92</v>
      </c>
      <c r="N390" s="5" t="n">
        <v>891.3</v>
      </c>
      <c r="O390" s="3" t="inlineStr">
        <is>
          <t>상리 상생마을 옆 교통좋고 잘 지어진 다가구주택 매매.</t>
        </is>
      </c>
      <c r="P390" s="6">
        <f>HYPERLINK("https://fin.land.naver.com/articles/2654115455", "매물Link")</f>
        <v/>
      </c>
      <c r="Q390" s="6">
        <f>HYPERLINK("https://map.naver.com/p/search/조치원읍 상리 59-1", "지도Link")</f>
        <v/>
      </c>
      <c r="R390" s="6">
        <f>HYPERLINK("http://www.eum.go.kr/web/ar/lu/luLandDet.jsp?pnu=3611025022100590001&amp;isNoScr=script&amp;mode=search", "토지이음")</f>
        <v/>
      </c>
      <c r="S390" s="3" t="inlineStr">
        <is>
          <t>세종대장</t>
        </is>
      </c>
      <c r="T390" s="4" t="n">
        <v>1</v>
      </c>
      <c r="U390" s="5" t="n">
        <v>207.1</v>
      </c>
      <c r="V390" s="4" t="n">
        <v>210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부정형</t>
        </is>
      </c>
      <c r="AA390" s="3" t="inlineStr">
        <is>
          <t>소로각지</t>
        </is>
      </c>
    </row>
    <row r="391">
      <c r="A391" s="3" t="inlineStr">
        <is>
          <t>조치원읍 상리 67-9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단독</t>
        </is>
      </c>
      <c r="F391" s="3" t="inlineStr">
        <is>
          <t>월세</t>
        </is>
      </c>
      <c r="G391" s="4" t="n">
        <v>200</v>
      </c>
      <c r="H391" s="4" t="n">
        <v>25</v>
      </c>
      <c r="I391" s="4" t="n">
        <v>19</v>
      </c>
      <c r="J391" s="4" t="n">
        <v>6</v>
      </c>
      <c r="K391" s="5" t="n">
        <v>4.2</v>
      </c>
      <c r="L391" s="4" t="n">
        <v>19</v>
      </c>
      <c r="M391" s="4" t="n">
        <v>6</v>
      </c>
      <c r="N391" s="5" t="n">
        <v>4.2</v>
      </c>
      <c r="O391" s="3" t="inlineStr">
        <is>
          <t>조치원읍 상리 단독주택 2층 월세</t>
        </is>
      </c>
      <c r="P391" s="6">
        <f>HYPERLINK("https://fin.land.naver.com/articles/2652494086", "매물Link")</f>
        <v/>
      </c>
      <c r="Q391" s="6">
        <f>HYPERLINK("https://map.naver.com/p/search/조치원읍 상리 67-9", "지도Link")</f>
        <v/>
      </c>
      <c r="R391" s="6">
        <f>HYPERLINK("http://www.eum.go.kr/web/ar/lu/luLandDet.jsp?pnu=3611025022100670009&amp;isNoScr=script&amp;mode=search", "토지이음")</f>
        <v/>
      </c>
      <c r="S391" s="3" t="inlineStr">
        <is>
          <t>동원</t>
        </is>
      </c>
      <c r="T391" s="4" t="n">
        <v>1</v>
      </c>
      <c r="U391" s="5" t="n">
        <v>154</v>
      </c>
      <c r="V391" s="4" t="n">
        <v>201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세로한면(불)</t>
        </is>
      </c>
    </row>
    <row r="392">
      <c r="A392" s="3" t="inlineStr">
        <is>
          <t>조치원읍 상리 79-3</t>
        </is>
      </c>
      <c r="B392" s="3" t="inlineStr">
        <is>
          <t>일반상업지역</t>
        </is>
      </c>
      <c r="C392" s="3" t="inlineStr">
        <is>
          <t>대</t>
        </is>
      </c>
      <c r="D392" s="3" t="inlineStr">
        <is>
          <t>0</t>
        </is>
      </c>
      <c r="E392" s="3" t="inlineStr">
        <is>
          <t>도시형생활주택</t>
        </is>
      </c>
      <c r="F392" s="3" t="inlineStr">
        <is>
          <t>월세</t>
        </is>
      </c>
      <c r="G392" s="4" t="n">
        <v>4500</v>
      </c>
      <c r="H392" s="4" t="n">
        <v>12</v>
      </c>
      <c r="I392" s="4" t="n">
        <v>0</v>
      </c>
      <c r="J392" s="4" t="n">
        <v>0</v>
      </c>
      <c r="K392" s="5" t="n">
        <v>0</v>
      </c>
      <c r="L392" s="4" t="n">
        <v>18</v>
      </c>
      <c r="M392" s="4" t="n">
        <v>5</v>
      </c>
      <c r="N392" s="5" t="n">
        <v>2.4</v>
      </c>
      <c r="O392" s="3" t="inlineStr">
        <is>
          <t>L 즉시입주가능  O엘베 O정남향 O역10분내</t>
        </is>
      </c>
      <c r="P392" s="6">
        <f>HYPERLINK("https://fin.land.naver.com/articles/2654721854", "매물Link")</f>
        <v/>
      </c>
      <c r="Q392" s="6">
        <f>HYPERLINK("https://map.naver.com/p/search/조치원읍 상리 79-3", "지도Link")</f>
        <v/>
      </c>
      <c r="R392" s="6">
        <f>HYPERLINK("http://www.eum.go.kr/web/ar/lu/luLandDet.jsp?pnu=3611025022100790003&amp;isNoScr=script&amp;mode=search", "토지이음")</f>
        <v/>
      </c>
      <c r="S392" s="3" t="inlineStr">
        <is>
          <t>바다</t>
        </is>
      </c>
      <c r="T392" s="4" t="n">
        <v>1</v>
      </c>
      <c r="U392" s="5" t="n">
        <v>318.4</v>
      </c>
      <c r="V392" s="4" t="n">
        <v>465</v>
      </c>
      <c r="W392" s="3" t="inlineStr">
        <is>
          <t>지정되지않음</t>
        </is>
      </c>
      <c r="X392" s="3" t="inlineStr">
        <is>
          <t>주상기타</t>
        </is>
      </c>
      <c r="Y392" s="3" t="inlineStr">
        <is>
          <t>평지</t>
        </is>
      </c>
      <c r="Z392" s="3" t="inlineStr">
        <is>
          <t>세로장방</t>
        </is>
      </c>
      <c r="AA392" s="3" t="inlineStr">
        <is>
          <t>소로한면</t>
        </is>
      </c>
    </row>
    <row r="393">
      <c r="A393" s="3" t="inlineStr">
        <is>
          <t>조치원읍 상리 79-3</t>
        </is>
      </c>
      <c r="B393" s="3" t="inlineStr">
        <is>
          <t>일반상업지역</t>
        </is>
      </c>
      <c r="C393" s="3" t="inlineStr">
        <is>
          <t>대</t>
        </is>
      </c>
      <c r="D393" s="3" t="inlineStr">
        <is>
          <t>0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300</v>
      </c>
      <c r="H393" s="4" t="n">
        <v>36</v>
      </c>
      <c r="I393" s="4" t="n">
        <v>30</v>
      </c>
      <c r="J393" s="4" t="n">
        <v>9</v>
      </c>
      <c r="K393" s="5" t="n">
        <v>4</v>
      </c>
      <c r="L393" s="4" t="n">
        <v>20</v>
      </c>
      <c r="M393" s="4" t="n">
        <v>6</v>
      </c>
      <c r="N393" s="5" t="n">
        <v>6</v>
      </c>
      <c r="O393" s="3" t="inlineStr">
        <is>
          <t>깨끗한원룸.실사진.보안철저.주차시설완비</t>
        </is>
      </c>
      <c r="P393" s="6">
        <f>HYPERLINK("https://fin.land.naver.com/articles/2651069563", "매물Link")</f>
        <v/>
      </c>
      <c r="Q393" s="6">
        <f>HYPERLINK("https://map.naver.com/p/search/조치원읍 상리 79-3", "지도Link")</f>
        <v/>
      </c>
      <c r="R393" s="6">
        <f>HYPERLINK("http://www.eum.go.kr/web/ar/lu/luLandDet.jsp?pnu=3611025022100790003&amp;isNoScr=script&amp;mode=search",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318.4</v>
      </c>
      <c r="V393" s="4" t="n">
        <v>465</v>
      </c>
      <c r="W393" s="3" t="inlineStr">
        <is>
          <t>지정되지않음</t>
        </is>
      </c>
      <c r="X393" s="3" t="inlineStr">
        <is>
          <t>주상기타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상리 79-3</t>
        </is>
      </c>
      <c r="B394" s="3" t="inlineStr">
        <is>
          <t>일반상업지역</t>
        </is>
      </c>
      <c r="C394" s="3" t="inlineStr">
        <is>
          <t>대</t>
        </is>
      </c>
      <c r="D394" s="3" t="inlineStr">
        <is>
          <t>6</t>
        </is>
      </c>
      <c r="E394" s="3" t="inlineStr">
        <is>
          <t>도시형생활주택</t>
        </is>
      </c>
      <c r="F394" s="3" t="inlineStr">
        <is>
          <t>월세</t>
        </is>
      </c>
      <c r="G394" s="4" t="n">
        <v>300</v>
      </c>
      <c r="H394" s="4" t="n">
        <v>37</v>
      </c>
      <c r="I394" s="4" t="n">
        <v>26</v>
      </c>
      <c r="J394" s="4" t="n">
        <v>8</v>
      </c>
      <c r="K394" s="5" t="n">
        <v>4.6</v>
      </c>
      <c r="L394" s="4" t="n">
        <v>18</v>
      </c>
      <c r="M394" s="4" t="n">
        <v>5</v>
      </c>
      <c r="N394" s="5" t="n">
        <v>7.4</v>
      </c>
      <c r="O394" s="3" t="inlineStr">
        <is>
          <t>상리 터미널인근 깨끗한 원룸</t>
        </is>
      </c>
      <c r="P394" s="6">
        <f>HYPERLINK("https://fin.land.naver.com/articles/2652419757", "매물Link")</f>
        <v/>
      </c>
      <c r="Q394" s="6">
        <f>HYPERLINK("https://map.naver.com/p/search/조치원읍 상리 79-3", "지도Link")</f>
        <v/>
      </c>
      <c r="R394" s="6">
        <f>HYPERLINK("http://www.eum.go.kr/web/ar/lu/luLandDet.jsp?pnu=3611025022100790003&amp;isNoScr=script&amp;mode=search", "토지이음")</f>
        <v/>
      </c>
      <c r="S394" s="3" t="inlineStr">
        <is>
          <t>OK수</t>
        </is>
      </c>
      <c r="T394" s="4" t="n">
        <v>1</v>
      </c>
      <c r="U394" s="5" t="n">
        <v>318.4</v>
      </c>
      <c r="V394" s="4" t="n">
        <v>465</v>
      </c>
      <c r="W394" s="3" t="inlineStr">
        <is>
          <t>지정되지않음</t>
        </is>
      </c>
      <c r="X394" s="3" t="inlineStr">
        <is>
          <t>주상기타</t>
        </is>
      </c>
      <c r="Y394" s="3" t="inlineStr">
        <is>
          <t>평지</t>
        </is>
      </c>
      <c r="Z394" s="3" t="inlineStr">
        <is>
          <t>세로장방</t>
        </is>
      </c>
      <c r="AA394" s="3" t="inlineStr">
        <is>
          <t>소로한면</t>
        </is>
      </c>
    </row>
    <row r="395">
      <c r="A395" s="3" t="inlineStr">
        <is>
          <t>조치원읍 상리 79-3</t>
        </is>
      </c>
      <c r="B395" s="3" t="inlineStr">
        <is>
          <t>일반상업지역</t>
        </is>
      </c>
      <c r="C395" s="3" t="inlineStr">
        <is>
          <t>대</t>
        </is>
      </c>
      <c r="D395" s="3" t="inlineStr">
        <is>
          <t>5</t>
        </is>
      </c>
      <c r="E395" s="3" t="inlineStr">
        <is>
          <t>도시형생활주택</t>
        </is>
      </c>
      <c r="F395" s="3" t="inlineStr">
        <is>
          <t>전세</t>
        </is>
      </c>
      <c r="G395" s="4" t="n">
        <v>4200</v>
      </c>
      <c r="H395" s="4" t="n">
        <v>0</v>
      </c>
      <c r="I395" s="4" t="n">
        <v>26</v>
      </c>
      <c r="J395" s="4" t="n">
        <v>8</v>
      </c>
      <c r="K395" s="5" t="n">
        <v>525</v>
      </c>
      <c r="L395" s="4" t="n">
        <v>18</v>
      </c>
      <c r="M395" s="4" t="n">
        <v>5</v>
      </c>
      <c r="N395" s="5" t="n">
        <v>840</v>
      </c>
      <c r="O395" s="3" t="inlineStr">
        <is>
          <t>풀옵션 깔끔한 도시형생활주택 무융자조건</t>
        </is>
      </c>
      <c r="P395" s="6">
        <f>HYPERLINK("https://fin.land.naver.com/articles/2650834927", "매물Link")</f>
        <v/>
      </c>
      <c r="Q395" s="6">
        <f>HYPERLINK("https://map.naver.com/p/search/조치원읍 상리 79-3", "지도Link")</f>
        <v/>
      </c>
      <c r="R395" s="6">
        <f>HYPERLINK("http://www.eum.go.kr/web/ar/lu/luLandDet.jsp?pnu=3611025022100790003&amp;isNoScr=script&amp;mode=search", "토지이음")</f>
        <v/>
      </c>
      <c r="S395" s="3" t="inlineStr">
        <is>
          <t>용죽부자</t>
        </is>
      </c>
      <c r="T395" s="4" t="n">
        <v>1</v>
      </c>
      <c r="U395" s="5" t="n">
        <v>318.4</v>
      </c>
      <c r="V395" s="4" t="n">
        <v>465</v>
      </c>
      <c r="W395" s="3" t="inlineStr">
        <is>
          <t>지정되지않음</t>
        </is>
      </c>
      <c r="X395" s="3" t="inlineStr">
        <is>
          <t>주상기타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상리 79-3</t>
        </is>
      </c>
      <c r="B396" s="3" t="inlineStr">
        <is>
          <t>일반상업지역</t>
        </is>
      </c>
      <c r="C396" s="3" t="inlineStr">
        <is>
          <t>대</t>
        </is>
      </c>
      <c r="D396" s="3" t="inlineStr">
        <is>
          <t>6</t>
        </is>
      </c>
      <c r="E396" s="3" t="inlineStr">
        <is>
          <t>도시형생활주택</t>
        </is>
      </c>
      <c r="F396" s="3" t="inlineStr">
        <is>
          <t>월세</t>
        </is>
      </c>
      <c r="G396" s="4" t="n">
        <v>300</v>
      </c>
      <c r="H396" s="4" t="n">
        <v>37</v>
      </c>
      <c r="I396" s="4" t="n">
        <v>26</v>
      </c>
      <c r="J396" s="4" t="n">
        <v>8</v>
      </c>
      <c r="K396" s="5" t="n">
        <v>4.6</v>
      </c>
      <c r="L396" s="4" t="n">
        <v>18</v>
      </c>
      <c r="M396" s="4" t="n">
        <v>5</v>
      </c>
      <c r="N396" s="5" t="n">
        <v>7.4</v>
      </c>
      <c r="O396" s="3" t="inlineStr">
        <is>
          <t>풀옵션 원룸 도시형생활주택 넓고 깔끔해요</t>
        </is>
      </c>
      <c r="P396" s="6">
        <f>HYPERLINK("https://fin.land.naver.com/articles/2650836138", "매물Link")</f>
        <v/>
      </c>
      <c r="Q396" s="6">
        <f>HYPERLINK("https://map.naver.com/p/search/조치원읍 상리 79-3", "지도Link")</f>
        <v/>
      </c>
      <c r="R396" s="6">
        <f>HYPERLINK("http://www.eum.go.kr/web/ar/lu/luLandDet.jsp?pnu=3611025022100790003&amp;isNoScr=script&amp;mode=search", "토지이음")</f>
        <v/>
      </c>
      <c r="S396" s="3" t="inlineStr">
        <is>
          <t>용죽부자</t>
        </is>
      </c>
      <c r="T396" s="4" t="n">
        <v>1</v>
      </c>
      <c r="U396" s="5" t="n">
        <v>318.4</v>
      </c>
      <c r="V396" s="4" t="n">
        <v>465</v>
      </c>
      <c r="W396" s="3" t="inlineStr">
        <is>
          <t>지정되지않음</t>
        </is>
      </c>
      <c r="X396" s="3" t="inlineStr">
        <is>
          <t>주상기타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상리 79-3</t>
        </is>
      </c>
      <c r="B397" s="3" t="inlineStr">
        <is>
          <t>일반상업지역</t>
        </is>
      </c>
      <c r="C397" s="3" t="inlineStr">
        <is>
          <t>대</t>
        </is>
      </c>
      <c r="D397" s="3" t="inlineStr">
        <is>
          <t>7</t>
        </is>
      </c>
      <c r="E397" s="3" t="inlineStr">
        <is>
          <t>일반원룸</t>
        </is>
      </c>
      <c r="F397" s="3" t="inlineStr">
        <is>
          <t>전세</t>
        </is>
      </c>
      <c r="G397" s="4" t="n">
        <v>4200</v>
      </c>
      <c r="H397" s="4" t="n">
        <v>0</v>
      </c>
      <c r="I397" s="4" t="n">
        <v>30</v>
      </c>
      <c r="J397" s="4" t="n">
        <v>9</v>
      </c>
      <c r="K397" s="5" t="n">
        <v>466.7</v>
      </c>
      <c r="L397" s="4" t="n">
        <v>20</v>
      </c>
      <c r="M397" s="4" t="n">
        <v>6</v>
      </c>
      <c r="N397" s="5" t="n">
        <v>700</v>
      </c>
      <c r="O397" s="3" t="inlineStr">
        <is>
          <t>깨끗한원룸.넓은방.협의입주가능.보안철저.주차시설완비</t>
        </is>
      </c>
      <c r="P397" s="6">
        <f>HYPERLINK("https://fin.land.naver.com/articles/2651544463", "매물Link")</f>
        <v/>
      </c>
      <c r="Q397" s="6">
        <f>HYPERLINK("https://map.naver.com/p/search/조치원읍 상리 79-3", "지도Link")</f>
        <v/>
      </c>
      <c r="R397" s="6">
        <f>HYPERLINK("http://www.eum.go.kr/web/ar/lu/luLandDet.jsp?pnu=3611025022100790003&amp;isNoScr=script&amp;mode=search",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318.4</v>
      </c>
      <c r="V397" s="4" t="n">
        <v>465</v>
      </c>
      <c r="W397" s="3" t="inlineStr">
        <is>
          <t>지정되지않음</t>
        </is>
      </c>
      <c r="X397" s="3" t="inlineStr">
        <is>
          <t>주상기타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소로한면</t>
        </is>
      </c>
    </row>
    <row r="398">
      <c r="A398" s="3" t="inlineStr">
        <is>
          <t>조치원읍 서창리 131-1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62000</v>
      </c>
      <c r="H398" s="4" t="n">
        <v>0</v>
      </c>
      <c r="I398" s="4" t="n">
        <v>184</v>
      </c>
      <c r="J398" s="4" t="n">
        <v>56</v>
      </c>
      <c r="K398" s="5" t="n">
        <v>1107.1</v>
      </c>
      <c r="L398" s="4" t="n">
        <v>294</v>
      </c>
      <c r="M398" s="4" t="n">
        <v>89</v>
      </c>
      <c r="N398" s="5" t="n">
        <v>696.6</v>
      </c>
      <c r="O398" s="3" t="inlineStr">
        <is>
          <t>nan</t>
        </is>
      </c>
      <c r="P398" s="6">
        <f>HYPERLINK("https://fin.land.naver.com/articles/2654392771", "매물Link")</f>
        <v/>
      </c>
      <c r="Q398" s="6">
        <f>HYPERLINK("https://map.naver.com/p/search/조치원읍 서창리 131-1", "지도Link")</f>
        <v/>
      </c>
      <c r="R398" s="6">
        <f>HYPERLINK("http://www.eum.go.kr/web/ar/lu/luLandDet.jsp?pnu=3611025034101310001&amp;isNoScr=script&amp;mode=search",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276.7</v>
      </c>
      <c r="V398" s="4" t="n">
        <v>177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소로각지</t>
        </is>
      </c>
    </row>
    <row r="399">
      <c r="A399" s="3" t="inlineStr">
        <is>
          <t>조치원읍 서창리 132-7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70000</v>
      </c>
      <c r="H399" s="4" t="n">
        <v>0</v>
      </c>
      <c r="I399" s="4" t="n">
        <v>204</v>
      </c>
      <c r="J399" s="4" t="n">
        <v>62</v>
      </c>
      <c r="K399" s="5" t="n">
        <v>1129</v>
      </c>
      <c r="L399" s="4" t="n">
        <v>323</v>
      </c>
      <c r="M399" s="4" t="n">
        <v>98</v>
      </c>
      <c r="N399" s="5" t="n">
        <v>714.3</v>
      </c>
      <c r="O399" s="3" t="inlineStr">
        <is>
          <t>L 고대 도로변 위치좋은 건물</t>
        </is>
      </c>
      <c r="P399" s="6">
        <f>HYPERLINK("https://fin.land.naver.com/articles/2650552362", "매물Link")</f>
        <v/>
      </c>
      <c r="Q399" s="6">
        <f>HYPERLINK("https://map.naver.com/p/search/조치원읍 서창리 132-7", "지도Link")</f>
        <v/>
      </c>
      <c r="R399" s="6">
        <f>HYPERLINK("http://www.eum.go.kr/web/ar/lu/luLandDet.jsp?pnu=3611025034101320007&amp;isNoScr=script&amp;mode=search", "토지이음")</f>
        <v/>
      </c>
      <c r="S399" s="3" t="inlineStr">
        <is>
          <t>바다</t>
        </is>
      </c>
      <c r="T399" s="4" t="n">
        <v>1</v>
      </c>
      <c r="U399" s="5" t="n">
        <v>271.1</v>
      </c>
      <c r="V399" s="4" t="n">
        <v>204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조치원읍 서창리 132-7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단독</t>
        </is>
      </c>
      <c r="F400" s="3" t="inlineStr">
        <is>
          <t>매매</t>
        </is>
      </c>
      <c r="G400" s="4" t="n">
        <v>70000</v>
      </c>
      <c r="H400" s="4" t="n">
        <v>0</v>
      </c>
      <c r="I400" s="4" t="n">
        <v>204</v>
      </c>
      <c r="J400" s="4" t="n">
        <v>62</v>
      </c>
      <c r="K400" s="5" t="n">
        <v>1129</v>
      </c>
      <c r="L400" s="4" t="n">
        <v>323</v>
      </c>
      <c r="M400" s="4" t="n">
        <v>98</v>
      </c>
      <c r="N400" s="5" t="n">
        <v>714.3</v>
      </c>
      <c r="O400" s="3" t="inlineStr">
        <is>
          <t>대학가 원룸 통매매</t>
        </is>
      </c>
      <c r="P400" s="6">
        <f>HYPERLINK("https://fin.land.naver.com/articles/2654217651", "매물Link")</f>
        <v/>
      </c>
      <c r="Q400" s="6">
        <f>HYPERLINK("https://map.naver.com/p/search/조치원읍 서창리 132-7", "지도Link")</f>
        <v/>
      </c>
      <c r="R400" s="6">
        <f>HYPERLINK("http://www.eum.go.kr/web/ar/lu/luLandDet.jsp?pnu=3611025034101320007&amp;isNoScr=script&amp;mode=search", "토지이음")</f>
        <v/>
      </c>
      <c r="S400" s="3" t="inlineStr">
        <is>
          <t>고래</t>
        </is>
      </c>
      <c r="T400" s="4" t="n">
        <v>1</v>
      </c>
      <c r="U400" s="5" t="n">
        <v>271.1</v>
      </c>
      <c r="V400" s="4" t="n">
        <v>204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조치원읍 서창리 133-1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다가구</t>
        </is>
      </c>
      <c r="F401" s="3" t="inlineStr">
        <is>
          <t>매매</t>
        </is>
      </c>
      <c r="G401" s="4" t="n">
        <v>110000</v>
      </c>
      <c r="H401" s="4" t="n">
        <v>0</v>
      </c>
      <c r="I401" s="4" t="n">
        <v>430</v>
      </c>
      <c r="J401" s="4" t="n">
        <v>130</v>
      </c>
      <c r="K401" s="5" t="n">
        <v>846.2</v>
      </c>
      <c r="L401" s="4" t="n">
        <v>628</v>
      </c>
      <c r="M401" s="4" t="n">
        <v>190</v>
      </c>
      <c r="N401" s="5" t="n">
        <v>578.9</v>
      </c>
      <c r="O401" s="3" t="inlineStr">
        <is>
          <t>건물통매매 깔끔 관리잘된집 연세안정적인수입 수익률최고 급매조정해드림</t>
        </is>
      </c>
      <c r="P401" s="6">
        <f>HYPERLINK("https://fin.land.naver.com/articles/2651330727", "매물Link")</f>
        <v/>
      </c>
      <c r="Q401" s="6">
        <f>HYPERLINK("https://map.naver.com/p/search/조치원읍 서창리 133-1", "지도Link")</f>
        <v/>
      </c>
      <c r="R401" s="6">
        <f>HYPERLINK("http://www.eum.go.kr/web/ar/lu/luLandDet.jsp?pnu=3611025034101330001&amp;isNoScr=script&amp;mode=search", "토지이음")</f>
        <v/>
      </c>
      <c r="S401" s="3" t="inlineStr">
        <is>
          <t>금성</t>
        </is>
      </c>
      <c r="T401" s="4" t="n">
        <v>1</v>
      </c>
      <c r="U401" s="5" t="n">
        <v>251.3</v>
      </c>
      <c r="V401" s="4" t="n">
        <v>430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소로한면</t>
        </is>
      </c>
    </row>
    <row r="402">
      <c r="A402" s="3" t="inlineStr">
        <is>
          <t>조치원읍 서창리 133-25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67000</v>
      </c>
      <c r="H402" s="4" t="n">
        <v>0</v>
      </c>
      <c r="I402" s="4" t="n">
        <v>507</v>
      </c>
      <c r="J402" s="4" t="n">
        <v>153</v>
      </c>
      <c r="K402" s="5" t="n">
        <v>437.9</v>
      </c>
      <c r="L402" s="4" t="n">
        <v>495</v>
      </c>
      <c r="M402" s="4" t="n">
        <v>150</v>
      </c>
      <c r="N402" s="5" t="n">
        <v>446.7</v>
      </c>
      <c r="O402" s="3" t="inlineStr">
        <is>
          <t>최고 수익률 연세받는 원룸건물 고려대 세종캠퍼스 부근공실없음.</t>
        </is>
      </c>
      <c r="P402" s="6">
        <f>HYPERLINK("https://fin.land.naver.com/articles/2653540941", "매물Link")</f>
        <v/>
      </c>
      <c r="Q402" s="6">
        <f>HYPERLINK("https://map.naver.com/p/search/조치원읍 서창리 133-25", "지도Link")</f>
        <v/>
      </c>
      <c r="R402" s="6">
        <f>HYPERLINK("http://www.eum.go.kr/web/ar/lu/luLandDet.jsp?pnu=3611025034101330025&amp;isNoScr=script&amp;mode=search", "토지이음")</f>
        <v/>
      </c>
      <c r="S402" s="3" t="inlineStr">
        <is>
          <t>더나은</t>
        </is>
      </c>
      <c r="T402" s="4" t="n">
        <v>2</v>
      </c>
      <c r="U402" s="5" t="n">
        <v>236.2</v>
      </c>
      <c r="V402" s="4" t="n">
        <v>507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부정형</t>
        </is>
      </c>
      <c r="AA402" s="3" t="inlineStr">
        <is>
          <t>소로한면</t>
        </is>
      </c>
    </row>
    <row r="403">
      <c r="A403" s="3" t="inlineStr">
        <is>
          <t>조치원읍 서창리 133-28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다가구</t>
        </is>
      </c>
      <c r="F403" s="3" t="inlineStr">
        <is>
          <t>매매</t>
        </is>
      </c>
      <c r="G403" s="4" t="n">
        <v>52000</v>
      </c>
      <c r="H403" s="4" t="n">
        <v>0</v>
      </c>
      <c r="I403" s="4" t="n">
        <v>233</v>
      </c>
      <c r="J403" s="4" t="n">
        <v>70</v>
      </c>
      <c r="K403" s="5" t="n">
        <v>742.9</v>
      </c>
      <c r="L403" s="4" t="n">
        <v>312</v>
      </c>
      <c r="M403" s="4" t="n">
        <v>94</v>
      </c>
      <c r="N403" s="5" t="n">
        <v>553.2</v>
      </c>
      <c r="O403" s="3" t="inlineStr">
        <is>
          <t>nan</t>
        </is>
      </c>
      <c r="P403" s="6">
        <f>HYPERLINK("https://fin.land.naver.com/articles/2654392066", "매물Link")</f>
        <v/>
      </c>
      <c r="Q403" s="6">
        <f>HYPERLINK("https://map.naver.com/p/search/조치원읍 서창리 133-28", "지도Link")</f>
        <v/>
      </c>
      <c r="R403" s="6">
        <f>HYPERLINK("http://www.eum.go.kr/web/ar/lu/luLandDet.jsp?pnu=3611025034101330028&amp;isNoScr=script&amp;mode=search",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243.7</v>
      </c>
      <c r="V403" s="4" t="n">
        <v>233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조치원읍 서창리 140-26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빌라</t>
        </is>
      </c>
      <c r="F404" s="3" t="inlineStr">
        <is>
          <t>매매</t>
        </is>
      </c>
      <c r="G404" s="4" t="n">
        <v>8000</v>
      </c>
      <c r="H404" s="4" t="n">
        <v>0</v>
      </c>
      <c r="I404" s="4" t="n">
        <v>37</v>
      </c>
      <c r="J404" s="4" t="n">
        <v>11</v>
      </c>
      <c r="K404" s="5" t="n">
        <v>727.3</v>
      </c>
      <c r="L404" s="4" t="n">
        <v>37</v>
      </c>
      <c r="M404" s="4" t="n">
        <v>11</v>
      </c>
      <c r="N404" s="5" t="n">
        <v>727.3</v>
      </c>
      <c r="O404" s="3" t="inlineStr">
        <is>
          <t>L 전체 리모델링. 입주시기 협의</t>
        </is>
      </c>
      <c r="P404" s="6">
        <f>HYPERLINK("https://fin.land.naver.com/articles/2654721789", "매물Link")</f>
        <v/>
      </c>
      <c r="Q404" s="6">
        <f>HYPERLINK("https://map.naver.com/p/search/조치원읍 서창리 140-26", "지도Link")</f>
        <v/>
      </c>
      <c r="R404" s="6">
        <f>HYPERLINK("http://www.eum.go.kr/web/ar/lu/luLandDet.jsp?pnu=3611025034101400026&amp;isNoScr=script&amp;mode=search", "토지이음")</f>
        <v/>
      </c>
      <c r="S404" s="3" t="inlineStr">
        <is>
          <t>바다</t>
        </is>
      </c>
      <c r="T404" s="4" t="n">
        <v>1</v>
      </c>
      <c r="U404" s="5" t="n">
        <v>210.2</v>
      </c>
      <c r="V404" s="4" t="n">
        <v>171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세로한면(불)</t>
        </is>
      </c>
    </row>
    <row r="405">
      <c r="A405" s="3" t="inlineStr">
        <is>
          <t>조치원읍 서창리 143-4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4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200</v>
      </c>
      <c r="H405" s="4" t="n">
        <v>25</v>
      </c>
      <c r="I405" s="4" t="n">
        <v>0</v>
      </c>
      <c r="J405" s="4" t="n">
        <v>0</v>
      </c>
      <c r="K405" s="5" t="n">
        <v>0</v>
      </c>
      <c r="L405" s="4" t="n">
        <v>33</v>
      </c>
      <c r="M405" s="4" t="n">
        <v>10</v>
      </c>
      <c r="N405" s="5" t="n">
        <v>2.5</v>
      </c>
      <c r="O405" s="3" t="inlineStr">
        <is>
          <t>L 월25만. 역3분. 바로입주가능</t>
        </is>
      </c>
      <c r="P405" s="6">
        <f>HYPERLINK("https://fin.land.naver.com/articles/2651114519", "매물Link")</f>
        <v/>
      </c>
      <c r="Q405" s="6">
        <f>HYPERLINK("https://map.naver.com/p/search/조치원읍 서창리 143-4", "지도Link")</f>
        <v/>
      </c>
      <c r="R405" s="6">
        <f>HYPERLINK("http://www.eum.go.kr/web/ar/lu/luLandDet.jsp?pnu=3611025034101430004&amp;isNoScr=script&amp;mode=search", "토지이음")</f>
        <v/>
      </c>
      <c r="S405" s="3" t="inlineStr">
        <is>
          <t>바다</t>
        </is>
      </c>
      <c r="T405" s="4" t="n">
        <v>1</v>
      </c>
      <c r="U405" s="5" t="n">
        <v>419.8</v>
      </c>
      <c r="V405" s="4" t="n">
        <v>242</v>
      </c>
      <c r="W405" s="3" t="inlineStr">
        <is>
          <t>지정되지않음</t>
        </is>
      </c>
      <c r="X405" s="3" t="inlineStr">
        <is>
          <t>상업용</t>
        </is>
      </c>
      <c r="Y405" s="3" t="inlineStr">
        <is>
          <t>평지</t>
        </is>
      </c>
      <c r="Z405" s="3" t="inlineStr">
        <is>
          <t>부정형</t>
        </is>
      </c>
      <c r="AA405" s="3" t="inlineStr">
        <is>
          <t>중로각지</t>
        </is>
      </c>
    </row>
    <row r="406">
      <c r="A406" s="3" t="inlineStr">
        <is>
          <t>조치원읍 서창리 178-1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상가주택</t>
        </is>
      </c>
      <c r="F406" s="3" t="inlineStr">
        <is>
          <t>매매</t>
        </is>
      </c>
      <c r="G406" s="4" t="n">
        <v>125000</v>
      </c>
      <c r="H406" s="4" t="n">
        <v>0</v>
      </c>
      <c r="I406" s="4" t="n">
        <v>258</v>
      </c>
      <c r="J406" s="4" t="n">
        <v>78</v>
      </c>
      <c r="K406" s="5" t="n">
        <v>1602.6</v>
      </c>
      <c r="L406" s="4" t="n">
        <v>454</v>
      </c>
      <c r="M406" s="4" t="n">
        <v>137</v>
      </c>
      <c r="N406" s="5" t="n">
        <v>912.4</v>
      </c>
      <c r="O406" s="3" t="inlineStr">
        <is>
          <t>대학가 상가주택 통매매</t>
        </is>
      </c>
      <c r="P406" s="6">
        <f>HYPERLINK("https://fin.land.naver.com/articles/2654216625", "매물Link")</f>
        <v/>
      </c>
      <c r="Q406" s="6">
        <f>HYPERLINK("https://map.naver.com/p/search/조치원읍 서창리 178-1", "지도Link")</f>
        <v/>
      </c>
      <c r="R406" s="6">
        <f>HYPERLINK("http://www.eum.go.kr/web/ar/lu/luLandDet.jsp?pnu=3611025034101780001&amp;isNoScr=script&amp;mode=search", "토지이음")</f>
        <v/>
      </c>
      <c r="S406" s="3" t="inlineStr">
        <is>
          <t>고래</t>
        </is>
      </c>
      <c r="T406" s="4" t="n">
        <v>1</v>
      </c>
      <c r="U406" s="5" t="n">
        <v>227.8</v>
      </c>
      <c r="V406" s="4" t="n">
        <v>258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부정형</t>
        </is>
      </c>
      <c r="AA406" s="3" t="inlineStr">
        <is>
          <t>세로한면(가)</t>
        </is>
      </c>
    </row>
    <row r="407">
      <c r="A407" s="3" t="inlineStr">
        <is>
          <t>조치원읍 서창리 188-13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다가구</t>
        </is>
      </c>
      <c r="F407" s="3" t="inlineStr">
        <is>
          <t>매매</t>
        </is>
      </c>
      <c r="G407" s="4" t="n">
        <v>87000</v>
      </c>
      <c r="H407" s="4" t="n">
        <v>0</v>
      </c>
      <c r="I407" s="4" t="n">
        <v>286</v>
      </c>
      <c r="J407" s="4" t="n">
        <v>87</v>
      </c>
      <c r="K407" s="5" t="n">
        <v>1000</v>
      </c>
      <c r="L407" s="4" t="n">
        <v>448</v>
      </c>
      <c r="M407" s="4" t="n">
        <v>136</v>
      </c>
      <c r="N407" s="5" t="n">
        <v>639.7</v>
      </c>
      <c r="O407" s="3" t="inlineStr">
        <is>
          <t>대학가 수익률9 다가구주택</t>
        </is>
      </c>
      <c r="P407" s="6">
        <f>HYPERLINK("https://fin.land.naver.com/articles/2653931472", "매물Link")</f>
        <v/>
      </c>
      <c r="Q407" s="6">
        <f>HYPERLINK("https://map.naver.com/p/search/조치원읍 서창리 188-13", "지도Link")</f>
        <v/>
      </c>
      <c r="R407" s="6">
        <f>HYPERLINK("http://www.eum.go.kr/web/ar/lu/luLandDet.jsp?pnu=3611025034101880013&amp;isNoScr=script&amp;mode=search", "토지이음")</f>
        <v/>
      </c>
      <c r="S407" s="3" t="inlineStr">
        <is>
          <t>고래</t>
        </is>
      </c>
      <c r="T407" s="4" t="n">
        <v>1</v>
      </c>
      <c r="U407" s="5" t="n">
        <v>216.6</v>
      </c>
      <c r="V407" s="4" t="n">
        <v>286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서창리 188-31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다가구</t>
        </is>
      </c>
      <c r="F408" s="3" t="inlineStr">
        <is>
          <t>매매</t>
        </is>
      </c>
      <c r="G408" s="4" t="n">
        <v>73000</v>
      </c>
      <c r="H408" s="4" t="n">
        <v>0</v>
      </c>
      <c r="I408" s="4" t="n">
        <v>245</v>
      </c>
      <c r="J408" s="4" t="n">
        <v>74</v>
      </c>
      <c r="K408" s="5" t="n">
        <v>986.5</v>
      </c>
      <c r="L408" s="4" t="n">
        <v>382</v>
      </c>
      <c r="M408" s="4" t="n">
        <v>116</v>
      </c>
      <c r="N408" s="5" t="n">
        <v>629.3</v>
      </c>
      <c r="O408" s="3" t="inlineStr">
        <is>
          <t>월세440만원가능 다가구 건물</t>
        </is>
      </c>
      <c r="P408" s="6">
        <f>HYPERLINK("https://fin.land.naver.com/articles/2654217339", "매물Link")</f>
        <v/>
      </c>
      <c r="Q408" s="6">
        <f>HYPERLINK("https://map.naver.com/p/search/조치원읍 서창리 188-31", "지도Link")</f>
        <v/>
      </c>
      <c r="R408" s="6">
        <f>HYPERLINK("http://www.eum.go.kr/web/ar/lu/luLandDet.jsp?pnu=3611025034101880031&amp;isNoScr=script&amp;mode=search", "토지이음")</f>
        <v/>
      </c>
      <c r="S408" s="3" t="inlineStr">
        <is>
          <t>고래</t>
        </is>
      </c>
      <c r="T408" s="4" t="n">
        <v>1</v>
      </c>
      <c r="U408" s="5" t="n">
        <v>240.7</v>
      </c>
      <c r="V408" s="4" t="n">
        <v>245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완경사</t>
        </is>
      </c>
      <c r="Z408" s="3" t="inlineStr">
        <is>
          <t>사다리형</t>
        </is>
      </c>
      <c r="AA408" s="3" t="inlineStr">
        <is>
          <t>소로한면</t>
        </is>
      </c>
    </row>
    <row r="409">
      <c r="A409" s="3" t="inlineStr">
        <is>
          <t>조치원읍 서창리 203-10</t>
        </is>
      </c>
      <c r="B409" s="3" t="inlineStr">
        <is>
          <t>제1종일반주거지역</t>
        </is>
      </c>
      <c r="C409" s="3" t="inlineStr">
        <is>
          <t>대</t>
        </is>
      </c>
      <c r="D409" s="3" t="inlineStr">
        <is>
          <t>3</t>
        </is>
      </c>
      <c r="E409" s="3" t="inlineStr">
        <is>
          <t>다가구</t>
        </is>
      </c>
      <c r="F409" s="3" t="inlineStr">
        <is>
          <t>매매</t>
        </is>
      </c>
      <c r="G409" s="4" t="n">
        <v>49000</v>
      </c>
      <c r="H409" s="4" t="n">
        <v>0</v>
      </c>
      <c r="I409" s="4" t="n">
        <v>654</v>
      </c>
      <c r="J409" s="4" t="n">
        <v>198</v>
      </c>
      <c r="K409" s="5" t="n">
        <v>247.5</v>
      </c>
      <c r="L409" s="4" t="n">
        <v>581</v>
      </c>
      <c r="M409" s="4" t="n">
        <v>176</v>
      </c>
      <c r="N409" s="5" t="n">
        <v>278.4</v>
      </c>
      <c r="O409" s="3" t="inlineStr">
        <is>
          <t>nan</t>
        </is>
      </c>
      <c r="P409" s="6">
        <f>HYPERLINK("https://fin.land.naver.com/articles/2654391179", "매물Link")</f>
        <v/>
      </c>
      <c r="Q409" s="6">
        <f>HYPERLINK("https://map.naver.com/p/search/조치원읍 서창리 203-10", "지도Link")</f>
        <v/>
      </c>
      <c r="R409" s="6">
        <f>HYPERLINK("http://www.eum.go.kr/web/ar/lu/luLandDet.jsp?pnu=3611025034102030010&amp;isNoScr=script&amp;mode=search", "토지이음")</f>
        <v/>
      </c>
      <c r="S409" s="3" t="inlineStr">
        <is>
          <t>척척</t>
        </is>
      </c>
      <c r="T409" s="4" t="n">
        <v>2</v>
      </c>
      <c r="U409" s="5" t="n">
        <v>205.7</v>
      </c>
      <c r="V409" s="4" t="n">
        <v>415</v>
      </c>
      <c r="W409" s="3" t="inlineStr">
        <is>
          <t>자연녹지지역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서창리 203-6</t>
        </is>
      </c>
      <c r="B410" s="3" t="inlineStr">
        <is>
          <t>제1종일반주거지역</t>
        </is>
      </c>
      <c r="C410" s="3" t="inlineStr">
        <is>
          <t>대</t>
        </is>
      </c>
      <c r="D410" s="3" t="inlineStr">
        <is>
          <t>0</t>
        </is>
      </c>
      <c r="E410" s="3" t="inlineStr">
        <is>
          <t>일반원룸</t>
        </is>
      </c>
      <c r="F410" s="3" t="inlineStr">
        <is>
          <t>전세</t>
        </is>
      </c>
      <c r="G410" s="4" t="n">
        <v>3000</v>
      </c>
      <c r="H410" s="4" t="n">
        <v>0</v>
      </c>
      <c r="I410" s="4" t="n">
        <v>30</v>
      </c>
      <c r="J410" s="4" t="n">
        <v>9</v>
      </c>
      <c r="K410" s="5" t="n">
        <v>333.3</v>
      </c>
      <c r="L410" s="4" t="n">
        <v>30</v>
      </c>
      <c r="M410" s="4" t="n">
        <v>9</v>
      </c>
      <c r="N410" s="5" t="n">
        <v>333.3</v>
      </c>
      <c r="O410" s="3" t="inlineStr">
        <is>
          <t>위치좋고 상태 좋은 저렴한 매물 안전전세</t>
        </is>
      </c>
      <c r="P410" s="6">
        <f>HYPERLINK("https://fin.land.naver.com/articles/2653251836", "매물Link")</f>
        <v/>
      </c>
      <c r="Q410" s="6">
        <f>HYPERLINK("https://map.naver.com/p/search/조치원읍 서창리 203-6", "지도Link")</f>
        <v/>
      </c>
      <c r="R410" s="6">
        <f>HYPERLINK("http://www.eum.go.kr/web/ar/lu/luLandDet.jsp?pnu=3611025034102030006&amp;isNoScr=script&amp;mode=search", "토지이음")</f>
        <v/>
      </c>
      <c r="S410" s="3" t="inlineStr">
        <is>
          <t>부자터</t>
        </is>
      </c>
      <c r="T410" s="4" t="n">
        <v>1</v>
      </c>
      <c r="U410" s="5" t="n">
        <v>344.8</v>
      </c>
      <c r="V410" s="4" t="n">
        <v>477</v>
      </c>
      <c r="W410" s="3" t="inlineStr">
        <is>
          <t>지정되지않음</t>
        </is>
      </c>
      <c r="X410" s="3" t="inlineStr">
        <is>
          <t>주상용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중로한면</t>
        </is>
      </c>
    </row>
    <row r="411">
      <c r="A411" s="3" t="inlineStr">
        <is>
          <t>조치원읍 서창리 205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200</v>
      </c>
      <c r="H411" s="4" t="n">
        <v>30</v>
      </c>
      <c r="I411" s="4" t="n">
        <v>39</v>
      </c>
      <c r="J411" s="4" t="n">
        <v>12</v>
      </c>
      <c r="K411" s="5" t="n">
        <v>2.5</v>
      </c>
      <c r="L411" s="4" t="n">
        <v>19</v>
      </c>
      <c r="M411" s="4" t="n">
        <v>6</v>
      </c>
      <c r="N411" s="5" t="n">
        <v>5</v>
      </c>
      <c r="O411" s="3" t="inlineStr">
        <is>
          <t>알뜰하고 깔끔한 분리형 원룸</t>
        </is>
      </c>
      <c r="P411" s="6">
        <f>HYPERLINK("https://fin.land.naver.com/articles/2653930959", "매물Link")</f>
        <v/>
      </c>
      <c r="Q411" s="6">
        <f>HYPERLINK("https://map.naver.com/p/search/조치원읍 서창리 205", "지도Link")</f>
        <v/>
      </c>
      <c r="R411" s="6">
        <f>HYPERLINK("http://www.eum.go.kr/web/ar/lu/luLandDet.jsp?pnu=3611025034102050000&amp;isNoScr=script&amp;mode=search", "토지이음")</f>
        <v/>
      </c>
      <c r="S411" s="3" t="inlineStr">
        <is>
          <t>척척</t>
        </is>
      </c>
      <c r="T411" s="4" t="n">
        <v>1</v>
      </c>
      <c r="U411" s="5" t="n">
        <v>144.3</v>
      </c>
      <c r="V411" s="4" t="n">
        <v>796</v>
      </c>
      <c r="W411" s="3" t="inlineStr">
        <is>
          <t>제1종일반주거지역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부정형</t>
        </is>
      </c>
      <c r="AA411" s="3" t="inlineStr">
        <is>
          <t>세로한면(가)</t>
        </is>
      </c>
    </row>
    <row r="412">
      <c r="A412" s="3" t="inlineStr">
        <is>
          <t>조치원읍 서창리 219-3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다가구</t>
        </is>
      </c>
      <c r="F412" s="3" t="inlineStr">
        <is>
          <t>매매</t>
        </is>
      </c>
      <c r="G412" s="4" t="n">
        <v>47000</v>
      </c>
      <c r="H412" s="4" t="n">
        <v>0</v>
      </c>
      <c r="I412" s="4" t="n">
        <v>205</v>
      </c>
      <c r="J412" s="4" t="n">
        <v>62</v>
      </c>
      <c r="K412" s="5" t="n">
        <v>758.1</v>
      </c>
      <c r="L412" s="4" t="n">
        <v>360</v>
      </c>
      <c r="M412" s="4" t="n">
        <v>109</v>
      </c>
      <c r="N412" s="5" t="n">
        <v>431.2</v>
      </c>
      <c r="O412" s="3" t="inlineStr">
        <is>
          <t>nan</t>
        </is>
      </c>
      <c r="P412" s="6">
        <f>HYPERLINK("https://fin.land.naver.com/articles/2654390965", "매물Link")</f>
        <v/>
      </c>
      <c r="Q412" s="6">
        <f>HYPERLINK("https://map.naver.com/p/search/조치원읍 서창리 219-3", "지도Link")</f>
        <v/>
      </c>
      <c r="R412" s="6">
        <f>HYPERLINK("http://www.eum.go.kr/web/ar/lu/luLandDet.jsp?pnu=3611025034102190003&amp;isNoScr=script&amp;mode=search", "토지이음")</f>
        <v/>
      </c>
      <c r="S412" s="3" t="inlineStr">
        <is>
          <t>척척</t>
        </is>
      </c>
      <c r="T412" s="4" t="n">
        <v>2</v>
      </c>
      <c r="U412" s="5" t="n">
        <v>244.1</v>
      </c>
      <c r="V412" s="4" t="n">
        <v>205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서창리 291-3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200</v>
      </c>
      <c r="H413" s="4" t="n">
        <v>22</v>
      </c>
      <c r="I413" s="4" t="n">
        <v>0</v>
      </c>
      <c r="J413" s="4" t="n">
        <v>0</v>
      </c>
      <c r="K413" s="5" t="n">
        <v>0</v>
      </c>
      <c r="L413" s="4" t="n">
        <v>19</v>
      </c>
      <c r="M413" s="4" t="n">
        <v>6</v>
      </c>
      <c r="N413" s="5" t="n">
        <v>3.7</v>
      </c>
      <c r="O413" s="3" t="inlineStr">
        <is>
          <t>단기가능 엘리베이터 고대 도보거리</t>
        </is>
      </c>
      <c r="P413" s="6">
        <f>HYPERLINK("https://fin.land.naver.com/articles/2653942501", "매물Link")</f>
        <v/>
      </c>
      <c r="Q413" s="6">
        <f>HYPERLINK("https://map.naver.com/p/search/조치원읍 서창리 291-3", "지도Link")</f>
        <v/>
      </c>
      <c r="R413" s="6">
        <f>HYPERLINK("http://www.eum.go.kr/web/ar/lu/luLandDet.jsp?pnu=3611025034102910003&amp;isNoScr=script&amp;mode=search", "토지이음")</f>
        <v/>
      </c>
      <c r="S413" s="3" t="inlineStr">
        <is>
          <t>척척</t>
        </is>
      </c>
      <c r="T413" s="4" t="n">
        <v>1</v>
      </c>
      <c r="U413" s="5" t="n">
        <v>538.2</v>
      </c>
      <c r="V413" s="4" t="n">
        <v>221</v>
      </c>
      <c r="W413" s="3" t="inlineStr">
        <is>
          <t>지정되지않음</t>
        </is>
      </c>
      <c r="X413" s="3" t="inlineStr">
        <is>
          <t>주상용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중로한면</t>
        </is>
      </c>
    </row>
    <row r="414">
      <c r="A414" s="3" t="inlineStr">
        <is>
          <t>조치원읍 서창리 292-1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100</v>
      </c>
      <c r="H414" s="4" t="n">
        <v>25</v>
      </c>
      <c r="I414" s="4" t="n">
        <v>23</v>
      </c>
      <c r="J414" s="4" t="n">
        <v>7</v>
      </c>
      <c r="K414" s="5" t="n">
        <v>3.6</v>
      </c>
      <c r="L414" s="4" t="n">
        <v>23</v>
      </c>
      <c r="M414" s="4" t="n">
        <v>7</v>
      </c>
      <c r="N414" s="5" t="n">
        <v>3.6</v>
      </c>
      <c r="O414" s="3" t="inlineStr">
        <is>
          <t>즉시입주 공실 원룸 월세 서창리</t>
        </is>
      </c>
      <c r="P414" s="6">
        <f>HYPERLINK("https://fin.land.naver.com/articles/2654868874", "매물Link")</f>
        <v/>
      </c>
      <c r="Q414" s="6">
        <f>HYPERLINK("https://map.naver.com/p/search/조치원읍 서창리 292-1", "지도Link")</f>
        <v/>
      </c>
      <c r="R414" s="6">
        <f>HYPERLINK("http://www.eum.go.kr/web/ar/lu/luLandDet.jsp?pnu=3611025034102920001&amp;isNoScr=script&amp;mode=search", "토지이음")</f>
        <v/>
      </c>
      <c r="S414" s="3" t="inlineStr">
        <is>
          <t>상희</t>
        </is>
      </c>
      <c r="T414" s="4" t="n">
        <v>1</v>
      </c>
      <c r="U414" s="5" t="n">
        <v>327.8</v>
      </c>
      <c r="V414" s="4" t="n">
        <v>301.5</v>
      </c>
      <c r="W414" s="3" t="inlineStr">
        <is>
          <t>지정되지않음</t>
        </is>
      </c>
      <c r="X414" s="3" t="inlineStr">
        <is>
          <t>주상용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세로각지(가)</t>
        </is>
      </c>
    </row>
    <row r="415">
      <c r="A415" s="3" t="inlineStr">
        <is>
          <t>조치원읍 서창리 292-1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50</v>
      </c>
      <c r="H415" s="4" t="n">
        <v>25</v>
      </c>
      <c r="I415" s="4" t="n">
        <v>23</v>
      </c>
      <c r="J415" s="4" t="n">
        <v>7</v>
      </c>
      <c r="K415" s="5" t="n">
        <v>3.6</v>
      </c>
      <c r="L415" s="4" t="n">
        <v>23</v>
      </c>
      <c r="M415" s="4" t="n">
        <v>7</v>
      </c>
      <c r="N415" s="5" t="n">
        <v>3.6</v>
      </c>
      <c r="O415" s="3" t="inlineStr">
        <is>
          <t>원룸 월세</t>
        </is>
      </c>
      <c r="P415" s="6">
        <f>HYPERLINK("https://fin.land.naver.com/articles/2653727356", "매물Link")</f>
        <v/>
      </c>
      <c r="Q415" s="6">
        <f>HYPERLINK("https://map.naver.com/p/search/조치원읍 서창리 292-1", "지도Link")</f>
        <v/>
      </c>
      <c r="R415" s="6">
        <f>HYPERLINK("http://www.eum.go.kr/web/ar/lu/luLandDet.jsp?pnu=3611025034102920001&amp;isNoScr=script&amp;mode=search", "토지이음")</f>
        <v/>
      </c>
      <c r="S415" s="3" t="inlineStr">
        <is>
          <t>김준희</t>
        </is>
      </c>
      <c r="T415" s="4" t="n">
        <v>1</v>
      </c>
      <c r="U415" s="5" t="n">
        <v>327.8</v>
      </c>
      <c r="V415" s="4" t="n">
        <v>301.5</v>
      </c>
      <c r="W415" s="3" t="inlineStr">
        <is>
          <t>지정되지않음</t>
        </is>
      </c>
      <c r="X415" s="3" t="inlineStr">
        <is>
          <t>주상용</t>
        </is>
      </c>
      <c r="Y415" s="3" t="inlineStr">
        <is>
          <t>평지</t>
        </is>
      </c>
      <c r="Z415" s="3" t="inlineStr">
        <is>
          <t>정방형</t>
        </is>
      </c>
      <c r="AA415" s="3" t="inlineStr">
        <is>
          <t>세로각지(가)</t>
        </is>
      </c>
    </row>
    <row r="416">
      <c r="A416" s="3" t="inlineStr">
        <is>
          <t>조치원읍 서창리 293-11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30</v>
      </c>
      <c r="I416" s="4" t="n">
        <v>0</v>
      </c>
      <c r="J416" s="4" t="n">
        <v>0</v>
      </c>
      <c r="K416" s="5" t="n">
        <v>0</v>
      </c>
      <c r="L416" s="4" t="n">
        <v>25</v>
      </c>
      <c r="M416" s="4" t="n">
        <v>8</v>
      </c>
      <c r="N416" s="5" t="n">
        <v>3.8</v>
      </c>
      <c r="O416" s="3" t="inlineStr">
        <is>
          <t>넓고 깔끔한 풀옵션방  정남향  주차편함  짐만 챙겨오세요 교통편리</t>
        </is>
      </c>
      <c r="P416" s="6">
        <f>HYPERLINK("https://fin.land.naver.com/articles/2653291150", "매물Link")</f>
        <v/>
      </c>
      <c r="Q416" s="6">
        <f>HYPERLINK("https://map.naver.com/p/search/조치원읍 서창리 293-11", "지도Link")</f>
        <v/>
      </c>
      <c r="R416" s="6">
        <f>HYPERLINK("http://www.eum.go.kr/web/ar/lu/luLandDet.jsp?pnu=3611025034102930011&amp;isNoScr=script&amp;mode=search", "토지이음")</f>
        <v/>
      </c>
      <c r="S416" s="3" t="inlineStr">
        <is>
          <t>연서으뜸</t>
        </is>
      </c>
      <c r="T416" s="4" t="n">
        <v>1</v>
      </c>
      <c r="U416" s="5" t="n">
        <v>289.3</v>
      </c>
      <c r="V416" s="4" t="n">
        <v>222.7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세로한면(가)</t>
        </is>
      </c>
    </row>
    <row r="417">
      <c r="A417" s="3" t="inlineStr">
        <is>
          <t>조치원읍 서창리 293-13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30</v>
      </c>
      <c r="I417" s="4" t="n">
        <v>0</v>
      </c>
      <c r="J417" s="4" t="n">
        <v>0</v>
      </c>
      <c r="K417" s="5" t="n">
        <v>0</v>
      </c>
      <c r="L417" s="4" t="n">
        <v>29</v>
      </c>
      <c r="M417" s="4" t="n">
        <v>9</v>
      </c>
      <c r="N417" s="5" t="n">
        <v>3.3</v>
      </c>
      <c r="O417" s="3" t="inlineStr">
        <is>
          <t>투베이 빠른입주가능</t>
        </is>
      </c>
      <c r="P417" s="6">
        <f>HYPERLINK("https://fin.land.naver.com/articles/2653942086", "매물Link")</f>
        <v/>
      </c>
      <c r="Q417" s="6">
        <f>HYPERLINK("https://map.naver.com/p/search/조치원읍 서창리 293-13", "지도Link")</f>
        <v/>
      </c>
      <c r="R417" s="6">
        <f>HYPERLINK("http://www.eum.go.kr/web/ar/lu/luLandDet.jsp?pnu=3611025034102930013&amp;isNoScr=script&amp;mode=search", "토지이음")</f>
        <v/>
      </c>
      <c r="S417" s="3" t="inlineStr">
        <is>
          <t>척척</t>
        </is>
      </c>
      <c r="T417" s="4" t="n">
        <v>1</v>
      </c>
      <c r="U417" s="5" t="n">
        <v>295.1</v>
      </c>
      <c r="V417" s="4" t="n">
        <v>224.3</v>
      </c>
      <c r="W417" s="3" t="inlineStr">
        <is>
          <t>지정되지않음</t>
        </is>
      </c>
      <c r="X417" s="3" t="inlineStr">
        <is>
          <t>다세대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세로한면(가)</t>
        </is>
      </c>
    </row>
    <row r="418">
      <c r="A418" s="3" t="inlineStr">
        <is>
          <t>조치원읍 서창리 293-5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5</t>
        </is>
      </c>
      <c r="E418" s="3" t="inlineStr">
        <is>
          <t>다가구</t>
        </is>
      </c>
      <c r="F418" s="3" t="inlineStr">
        <is>
          <t>매매</t>
        </is>
      </c>
      <c r="G418" s="4" t="n">
        <v>78000</v>
      </c>
      <c r="H418" s="4" t="n">
        <v>0</v>
      </c>
      <c r="I418" s="4" t="n">
        <v>215</v>
      </c>
      <c r="J418" s="4" t="n">
        <v>65</v>
      </c>
      <c r="K418" s="5" t="n">
        <v>1200</v>
      </c>
      <c r="L418" s="4" t="n">
        <v>493</v>
      </c>
      <c r="M418" s="4" t="n">
        <v>149</v>
      </c>
      <c r="N418" s="5" t="n">
        <v>523.5</v>
      </c>
      <c r="O418" s="3" t="inlineStr">
        <is>
          <t>nan</t>
        </is>
      </c>
      <c r="P418" s="6">
        <f>HYPERLINK("https://fin.land.naver.com/articles/2654392386", "매물Link")</f>
        <v/>
      </c>
      <c r="Q418" s="6">
        <f>HYPERLINK("https://map.naver.com/p/search/조치원읍 서창리 293-5", "지도Link")</f>
        <v/>
      </c>
      <c r="R418" s="6">
        <f>HYPERLINK("http://www.eum.go.kr/web/ar/lu/luLandDet.jsp?pnu=3611025034102930005&amp;isNoScr=script&amp;mode=search", "토지이음")</f>
        <v/>
      </c>
      <c r="S418" s="3" t="inlineStr">
        <is>
          <t>척척</t>
        </is>
      </c>
      <c r="T418" s="4" t="n">
        <v>1</v>
      </c>
      <c r="U418" s="5" t="n">
        <v>295.1</v>
      </c>
      <c r="V418" s="4" t="n">
        <v>215.3</v>
      </c>
      <c r="W418" s="3" t="inlineStr">
        <is>
          <t>지정되지않음</t>
        </is>
      </c>
      <c r="X418" s="3" t="inlineStr">
        <is>
          <t>주거나지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세로한면(가)</t>
        </is>
      </c>
    </row>
    <row r="419">
      <c r="A419" s="3" t="inlineStr">
        <is>
          <t>조치원읍 서창리 295-1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다가구</t>
        </is>
      </c>
      <c r="F419" s="3" t="inlineStr">
        <is>
          <t>월세</t>
        </is>
      </c>
      <c r="G419" s="4" t="n">
        <v>3000</v>
      </c>
      <c r="H419" s="4" t="n">
        <v>30</v>
      </c>
      <c r="I419" s="4" t="n">
        <v>49</v>
      </c>
      <c r="J419" s="4" t="n">
        <v>15</v>
      </c>
      <c r="K419" s="5" t="n">
        <v>2</v>
      </c>
      <c r="L419" s="4" t="n">
        <v>46</v>
      </c>
      <c r="M419" s="4" t="n">
        <v>14</v>
      </c>
      <c r="N419" s="5" t="n">
        <v>2.1</v>
      </c>
      <c r="O419" s="3" t="inlineStr">
        <is>
          <t>예쁜 1.5룸.넓은거실.붙박이장.3천에40만.</t>
        </is>
      </c>
      <c r="P419" s="6">
        <f>HYPERLINK("https://fin.land.naver.com/articles/2650739917", "매물Link")</f>
        <v/>
      </c>
      <c r="Q419" s="6">
        <f>HYPERLINK("https://map.naver.com/p/search/조치원읍 서창리 295-1", "지도Link")</f>
        <v/>
      </c>
      <c r="R419" s="6">
        <f>HYPERLINK("http://www.eum.go.kr/web/ar/lu/luLandDet.jsp?pnu=3611025034102950001&amp;isNoScr=script&amp;mode=search", "토지이음")</f>
        <v/>
      </c>
      <c r="S419" s="3" t="inlineStr">
        <is>
          <t>척척</t>
        </is>
      </c>
      <c r="T419" s="4" t="n">
        <v>1</v>
      </c>
      <c r="U419" s="5" t="n">
        <v>321.6</v>
      </c>
      <c r="V419" s="4" t="n">
        <v>355.2</v>
      </c>
      <c r="W419" s="3" t="inlineStr">
        <is>
          <t>지정되지않음</t>
        </is>
      </c>
      <c r="X419" s="3" t="inlineStr">
        <is>
          <t>주상용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세로각지(가)</t>
        </is>
      </c>
    </row>
    <row r="420">
      <c r="A420" s="3" t="inlineStr">
        <is>
          <t>조치원읍 서창리 296-8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다가구</t>
        </is>
      </c>
      <c r="F420" s="3" t="inlineStr">
        <is>
          <t>매매</t>
        </is>
      </c>
      <c r="G420" s="4" t="n">
        <v>70000</v>
      </c>
      <c r="H420" s="4" t="n">
        <v>0</v>
      </c>
      <c r="I420" s="4" t="n">
        <v>317</v>
      </c>
      <c r="J420" s="4" t="n">
        <v>96</v>
      </c>
      <c r="K420" s="5" t="n">
        <v>729.2</v>
      </c>
      <c r="L420" s="4" t="n">
        <v>481</v>
      </c>
      <c r="M420" s="4" t="n">
        <v>146</v>
      </c>
      <c r="N420" s="5" t="n">
        <v>479.5</v>
      </c>
      <c r="O420" s="3" t="inlineStr">
        <is>
          <t>nan</t>
        </is>
      </c>
      <c r="P420" s="6">
        <f>HYPERLINK("https://fin.land.naver.com/articles/2654391524", "매물Link")</f>
        <v/>
      </c>
      <c r="Q420" s="6">
        <f>HYPERLINK("https://map.naver.com/p/search/조치원읍 서창리 296-8", "지도Link")</f>
        <v/>
      </c>
      <c r="R420" s="6">
        <f>HYPERLINK("http://www.eum.go.kr/web/ar/lu/luLandDet.jsp?pnu=3611025034102960008&amp;isNoScr=script&amp;mode=search", "토지이음")</f>
        <v/>
      </c>
      <c r="S420" s="3" t="inlineStr">
        <is>
          <t>척척</t>
        </is>
      </c>
      <c r="T420" s="4" t="n">
        <v>1</v>
      </c>
      <c r="U420" s="5" t="n">
        <v>321.1</v>
      </c>
      <c r="V420" s="4" t="n">
        <v>317.7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소로한면</t>
        </is>
      </c>
    </row>
    <row r="421">
      <c r="A421" s="3" t="inlineStr">
        <is>
          <t>조치원읍 서창리 296-8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일반원룸</t>
        </is>
      </c>
      <c r="F421" s="3" t="inlineStr">
        <is>
          <t>월세</t>
        </is>
      </c>
      <c r="G421" s="4" t="n">
        <v>100</v>
      </c>
      <c r="H421" s="4" t="n">
        <v>30</v>
      </c>
      <c r="I421" s="4" t="n">
        <v>23</v>
      </c>
      <c r="J421" s="4" t="n">
        <v>7</v>
      </c>
      <c r="K421" s="5" t="n">
        <v>4.3</v>
      </c>
      <c r="L421" s="4" t="n">
        <v>23</v>
      </c>
      <c r="M421" s="4" t="n">
        <v>7</v>
      </c>
      <c r="N421" s="5" t="n">
        <v>4.3</v>
      </c>
      <c r="O421" s="3" t="inlineStr">
        <is>
          <t>11월초 입주가능한 원룸</t>
        </is>
      </c>
      <c r="P421" s="6">
        <f>HYPERLINK("https://fin.land.naver.com/articles/2654006832", "매물Link")</f>
        <v/>
      </c>
      <c r="Q421" s="6">
        <f>HYPERLINK("https://map.naver.com/p/search/조치원읍 서창리 296-8", "지도Link")</f>
        <v/>
      </c>
      <c r="R421" s="6">
        <f>HYPERLINK("http://www.eum.go.kr/web/ar/lu/luLandDet.jsp?pnu=3611025034102960008&amp;isNoScr=script&amp;mode=search", "토지이음")</f>
        <v/>
      </c>
      <c r="S421" s="3" t="inlineStr">
        <is>
          <t>김준희</t>
        </is>
      </c>
      <c r="T421" s="4" t="n">
        <v>1</v>
      </c>
      <c r="U421" s="5" t="n">
        <v>321.1</v>
      </c>
      <c r="V421" s="4" t="n">
        <v>317.7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세로장방</t>
        </is>
      </c>
      <c r="AA421" s="3" t="inlineStr">
        <is>
          <t>소로한면</t>
        </is>
      </c>
    </row>
    <row r="422">
      <c r="A422" s="3" t="inlineStr">
        <is>
          <t>조치원읍 서창리 296-8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4</t>
        </is>
      </c>
      <c r="E422" s="3" t="inlineStr">
        <is>
          <t>다가구</t>
        </is>
      </c>
      <c r="F422" s="3" t="inlineStr">
        <is>
          <t>매매</t>
        </is>
      </c>
      <c r="G422" s="4" t="n">
        <v>70000</v>
      </c>
      <c r="H422" s="4" t="n">
        <v>0</v>
      </c>
      <c r="I422" s="4" t="n">
        <v>317</v>
      </c>
      <c r="J422" s="4" t="n">
        <v>96</v>
      </c>
      <c r="K422" s="5" t="n">
        <v>729.2</v>
      </c>
      <c r="L422" s="4" t="n">
        <v>481</v>
      </c>
      <c r="M422" s="4" t="n">
        <v>146</v>
      </c>
      <c r="N422" s="5" t="n">
        <v>479.5</v>
      </c>
      <c r="O422" s="3" t="inlineStr">
        <is>
          <t>다가구 매매 실투자금 약 5억</t>
        </is>
      </c>
      <c r="P422" s="6">
        <f>HYPERLINK("https://fin.land.naver.com/articles/2651340270", "매물Link")</f>
        <v/>
      </c>
      <c r="Q422" s="6">
        <f>HYPERLINK("https://map.naver.com/p/search/조치원읍 서창리 296-8", "지도Link")</f>
        <v/>
      </c>
      <c r="R422" s="6">
        <f>HYPERLINK("http://www.eum.go.kr/web/ar/lu/luLandDet.jsp?pnu=3611025034102960008&amp;isNoScr=script&amp;mode=search", "토지이음")</f>
        <v/>
      </c>
      <c r="S422" s="3" t="inlineStr">
        <is>
          <t>상희</t>
        </is>
      </c>
      <c r="T422" s="4" t="n">
        <v>1</v>
      </c>
      <c r="U422" s="5" t="n">
        <v>321.1</v>
      </c>
      <c r="V422" s="4" t="n">
        <v>317.7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세로장방</t>
        </is>
      </c>
      <c r="AA422" s="3" t="inlineStr">
        <is>
          <t>소로한면</t>
        </is>
      </c>
    </row>
    <row r="423">
      <c r="A423" s="3" t="inlineStr">
        <is>
          <t>조치원읍 서창리 297-2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100</v>
      </c>
      <c r="H423" s="4" t="n">
        <v>30</v>
      </c>
      <c r="I423" s="4" t="n">
        <v>23</v>
      </c>
      <c r="J423" s="4" t="n">
        <v>7</v>
      </c>
      <c r="K423" s="5" t="n">
        <v>4.3</v>
      </c>
      <c r="L423" s="4" t="n">
        <v>23</v>
      </c>
      <c r="M423" s="4" t="n">
        <v>7</v>
      </c>
      <c r="N423" s="5" t="n">
        <v>4.3</v>
      </c>
      <c r="O423" s="3" t="inlineStr">
        <is>
          <t>nan</t>
        </is>
      </c>
      <c r="P423" s="6">
        <f>HYPERLINK("https://fin.land.naver.com/articles/2654007914", "매물Link")</f>
        <v/>
      </c>
      <c r="Q423" s="6">
        <f>HYPERLINK("https://map.naver.com/p/search/조치원읍 서창리 297-2", "지도Link")</f>
        <v/>
      </c>
      <c r="R423" s="6">
        <f>HYPERLINK("http://www.eum.go.kr/web/ar/lu/luLandDet.jsp?pnu=3611025034102970002&amp;isNoScr=script&amp;mode=search", "토지이음")</f>
        <v/>
      </c>
      <c r="S423" s="3" t="inlineStr">
        <is>
          <t>상희</t>
        </is>
      </c>
      <c r="T423" s="4" t="n">
        <v>2</v>
      </c>
      <c r="U423" s="5" t="n">
        <v>327.5</v>
      </c>
      <c r="V423" s="4" t="n">
        <v>288.8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조치원읍 서창리 297-8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4</t>
        </is>
      </c>
      <c r="E424" s="3" t="inlineStr">
        <is>
          <t>도시형생활주택</t>
        </is>
      </c>
      <c r="F424" s="3" t="inlineStr">
        <is>
          <t>월세</t>
        </is>
      </c>
      <c r="G424" s="4" t="n">
        <v>100</v>
      </c>
      <c r="H424" s="4" t="n">
        <v>26</v>
      </c>
      <c r="I424" s="4" t="n">
        <v>0</v>
      </c>
      <c r="J424" s="4" t="n">
        <v>0</v>
      </c>
      <c r="K424" s="5" t="n">
        <v>0</v>
      </c>
      <c r="L424" s="4" t="n">
        <v>16</v>
      </c>
      <c r="M424" s="4" t="n">
        <v>5</v>
      </c>
      <c r="N424" s="5" t="n">
        <v>5.2</v>
      </c>
      <c r="O424" s="3" t="inlineStr">
        <is>
          <t>채광좋은 오픈형 원룸</t>
        </is>
      </c>
      <c r="P424" s="6">
        <f>HYPERLINK("https://fin.land.naver.com/articles/2654004694", "매물Link")</f>
        <v/>
      </c>
      <c r="Q424" s="6">
        <f>HYPERLINK("https://map.naver.com/p/search/조치원읍 서창리 297-8", "지도Link")</f>
        <v/>
      </c>
      <c r="R424" s="6">
        <f>HYPERLINK("http://www.eum.go.kr/web/ar/lu/luLandDet.jsp?pnu=3611025034102970008&amp;isNoScr=script&amp;mode=search", "토지이음")</f>
        <v/>
      </c>
      <c r="S424" s="3" t="inlineStr">
        <is>
          <t>척척</t>
        </is>
      </c>
      <c r="T424" s="4" t="n">
        <v>1</v>
      </c>
      <c r="U424" s="5" t="n">
        <v>359.3</v>
      </c>
      <c r="V424" s="4" t="n">
        <v>496.5</v>
      </c>
      <c r="W424" s="3" t="inlineStr">
        <is>
          <t>지정되지않음</t>
        </is>
      </c>
      <c r="X424" s="3" t="inlineStr">
        <is>
          <t>주상기타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조치원읍 서창리 298-2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300</v>
      </c>
      <c r="H425" s="4" t="n">
        <v>35</v>
      </c>
      <c r="I425" s="4" t="n">
        <v>0</v>
      </c>
      <c r="J425" s="4" t="n">
        <v>0</v>
      </c>
      <c r="K425" s="5" t="n">
        <v>0</v>
      </c>
      <c r="L425" s="4" t="n">
        <v>26</v>
      </c>
      <c r="M425" s="4" t="n">
        <v>8</v>
      </c>
      <c r="N425" s="5" t="n">
        <v>4.4</v>
      </c>
      <c r="O425" s="3" t="inlineStr">
        <is>
          <t>L 귀한1.5룸 O역3분 O즉시입주가능</t>
        </is>
      </c>
      <c r="P425" s="6">
        <f>HYPERLINK("https://fin.land.naver.com/articles/2649999089", "매물Link")</f>
        <v/>
      </c>
      <c r="Q425" s="6">
        <f>HYPERLINK("https://map.naver.com/p/search/조치원읍 서창리 298-2", "지도Link")</f>
        <v/>
      </c>
      <c r="R425" s="6">
        <f>HYPERLINK("http://www.eum.go.kr/web/ar/lu/luLandDet.jsp?pnu=3611025034102980002&amp;isNoScr=script&amp;mode=search", "토지이음")</f>
        <v/>
      </c>
      <c r="S425" s="3" t="inlineStr">
        <is>
          <t>바다</t>
        </is>
      </c>
      <c r="T425" s="4" t="n">
        <v>1</v>
      </c>
      <c r="U425" s="5" t="n">
        <v>347.8</v>
      </c>
      <c r="V425" s="4" t="n">
        <v>295.2</v>
      </c>
      <c r="W425" s="3" t="inlineStr">
        <is>
          <t>지정되지않음</t>
        </is>
      </c>
      <c r="X425" s="3" t="inlineStr">
        <is>
          <t>주상기타</t>
        </is>
      </c>
      <c r="Y425" s="3" t="inlineStr">
        <is>
          <t>평지</t>
        </is>
      </c>
      <c r="Z425" s="3" t="inlineStr">
        <is>
          <t>세로장방</t>
        </is>
      </c>
      <c r="AA425" s="3" t="inlineStr">
        <is>
          <t>소로한면</t>
        </is>
      </c>
    </row>
    <row r="426">
      <c r="A426" s="3" t="inlineStr">
        <is>
          <t>조치원읍 서창리 298-2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23</v>
      </c>
      <c r="I426" s="4" t="n">
        <v>0</v>
      </c>
      <c r="J426" s="4" t="n">
        <v>0</v>
      </c>
      <c r="K426" s="5" t="n">
        <v>0</v>
      </c>
      <c r="L426" s="4" t="n">
        <v>19</v>
      </c>
      <c r="M426" s="4" t="n">
        <v>6</v>
      </c>
      <c r="N426" s="5" t="n">
        <v>3.8</v>
      </c>
      <c r="O426" s="3" t="inlineStr">
        <is>
          <t>서창리 가성비 좋은 원룸</t>
        </is>
      </c>
      <c r="P426" s="6">
        <f>HYPERLINK("https://fin.land.naver.com/articles/2652873695", "매물Link")</f>
        <v/>
      </c>
      <c r="Q426" s="6">
        <f>HYPERLINK("https://map.naver.com/p/search/조치원읍 서창리 298-2", "지도Link")</f>
        <v/>
      </c>
      <c r="R426" s="6">
        <f>HYPERLINK("http://www.eum.go.kr/web/ar/lu/luLandDet.jsp?pnu=3611025034102980002&amp;isNoScr=script&amp;mode=search", "토지이음")</f>
        <v/>
      </c>
      <c r="S426" s="3" t="inlineStr">
        <is>
          <t>척척</t>
        </is>
      </c>
      <c r="T426" s="4" t="n">
        <v>1</v>
      </c>
      <c r="U426" s="5" t="n">
        <v>347.8</v>
      </c>
      <c r="V426" s="4" t="n">
        <v>295.2</v>
      </c>
      <c r="W426" s="3" t="inlineStr">
        <is>
          <t>지정되지않음</t>
        </is>
      </c>
      <c r="X426" s="3" t="inlineStr">
        <is>
          <t>주상기타</t>
        </is>
      </c>
      <c r="Y426" s="3" t="inlineStr">
        <is>
          <t>평지</t>
        </is>
      </c>
      <c r="Z426" s="3" t="inlineStr">
        <is>
          <t>세로장방</t>
        </is>
      </c>
      <c r="AA426" s="3" t="inlineStr">
        <is>
          <t>소로한면</t>
        </is>
      </c>
    </row>
    <row r="427">
      <c r="A427" s="3" t="inlineStr">
        <is>
          <t>조치원읍 서창리 298-2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200</v>
      </c>
      <c r="H427" s="4" t="n">
        <v>25</v>
      </c>
      <c r="I427" s="4" t="n">
        <v>0</v>
      </c>
      <c r="J427" s="4" t="n">
        <v>0</v>
      </c>
      <c r="K427" s="5" t="n">
        <v>0</v>
      </c>
      <c r="L427" s="4" t="n">
        <v>21</v>
      </c>
      <c r="M427" s="4" t="n">
        <v>6</v>
      </c>
      <c r="N427" s="5" t="n">
        <v>4.2</v>
      </c>
      <c r="O427" s="3" t="inlineStr">
        <is>
          <t>L 월33만. 역3분. 즉시입주가능</t>
        </is>
      </c>
      <c r="P427" s="6">
        <f>HYPERLINK("https://fin.land.naver.com/articles/2654721879", "매물Link")</f>
        <v/>
      </c>
      <c r="Q427" s="6">
        <f>HYPERLINK("https://map.naver.com/p/search/조치원읍 서창리 298-2", "지도Link")</f>
        <v/>
      </c>
      <c r="R427" s="6">
        <f>HYPERLINK("http://www.eum.go.kr/web/ar/lu/luLandDet.jsp?pnu=3611025034102980002&amp;isNoScr=script&amp;mode=search", "토지이음")</f>
        <v/>
      </c>
      <c r="S427" s="3" t="inlineStr">
        <is>
          <t>바다</t>
        </is>
      </c>
      <c r="T427" s="4" t="n">
        <v>1</v>
      </c>
      <c r="U427" s="5" t="n">
        <v>347.8</v>
      </c>
      <c r="V427" s="4" t="n">
        <v>295.2</v>
      </c>
      <c r="W427" s="3" t="inlineStr">
        <is>
          <t>지정되지않음</t>
        </is>
      </c>
      <c r="X427" s="3" t="inlineStr">
        <is>
          <t>주상기타</t>
        </is>
      </c>
      <c r="Y427" s="3" t="inlineStr">
        <is>
          <t>평지</t>
        </is>
      </c>
      <c r="Z427" s="3" t="inlineStr">
        <is>
          <t>세로장방</t>
        </is>
      </c>
      <c r="AA427" s="3" t="inlineStr">
        <is>
          <t>소로한면</t>
        </is>
      </c>
    </row>
    <row r="428">
      <c r="A428" s="3" t="inlineStr">
        <is>
          <t>조치원읍 서창리 298-2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28</v>
      </c>
      <c r="I428" s="4" t="n">
        <v>20</v>
      </c>
      <c r="J428" s="4" t="n">
        <v>6</v>
      </c>
      <c r="K428" s="5" t="n">
        <v>4.7</v>
      </c>
      <c r="L428" s="4" t="n">
        <v>20</v>
      </c>
      <c r="M428" s="4" t="n">
        <v>6</v>
      </c>
      <c r="N428" s="5" t="n">
        <v>4.7</v>
      </c>
      <c r="O428" s="3" t="inlineStr">
        <is>
          <t>원룸 월세 서창리</t>
        </is>
      </c>
      <c r="P428" s="6">
        <f>HYPERLINK("https://fin.land.naver.com/articles/2654528564", "매물Link")</f>
        <v/>
      </c>
      <c r="Q428" s="6">
        <f>HYPERLINK("https://map.naver.com/p/search/조치원읍 서창리 298-2", "지도Link")</f>
        <v/>
      </c>
      <c r="R428" s="6">
        <f>HYPERLINK("http://www.eum.go.kr/web/ar/lu/luLandDet.jsp?pnu=3611025034102980002&amp;isNoScr=script&amp;mode=search", "토지이음")</f>
        <v/>
      </c>
      <c r="S428" s="3" t="inlineStr">
        <is>
          <t>김준희</t>
        </is>
      </c>
      <c r="T428" s="4" t="n">
        <v>1</v>
      </c>
      <c r="U428" s="5" t="n">
        <v>347.8</v>
      </c>
      <c r="V428" s="4" t="n">
        <v>295.2</v>
      </c>
      <c r="W428" s="3" t="inlineStr">
        <is>
          <t>지정되지않음</t>
        </is>
      </c>
      <c r="X428" s="3" t="inlineStr">
        <is>
          <t>주상기타</t>
        </is>
      </c>
      <c r="Y428" s="3" t="inlineStr">
        <is>
          <t>평지</t>
        </is>
      </c>
      <c r="Z428" s="3" t="inlineStr">
        <is>
          <t>세로장방</t>
        </is>
      </c>
      <c r="AA428" s="3" t="inlineStr">
        <is>
          <t>소로한면</t>
        </is>
      </c>
    </row>
    <row r="429">
      <c r="A429" s="3" t="inlineStr">
        <is>
          <t>조치원읍 서창리 42-143</t>
        </is>
      </c>
      <c r="B429" s="3" t="inlineStr">
        <is>
          <t>제1종일반주거지역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20000</v>
      </c>
      <c r="H429" s="4" t="n">
        <v>0</v>
      </c>
      <c r="I429" s="4" t="n">
        <v>304</v>
      </c>
      <c r="J429" s="4" t="n">
        <v>92</v>
      </c>
      <c r="K429" s="5" t="n">
        <v>217.4</v>
      </c>
      <c r="L429" s="4" t="n">
        <v>98</v>
      </c>
      <c r="M429" s="4" t="n">
        <v>30</v>
      </c>
      <c r="N429" s="5" t="n">
        <v>666.7</v>
      </c>
      <c r="O429" s="3" t="inlineStr">
        <is>
          <t>깨끗하게 관리된 집, 협의 입주 가능</t>
        </is>
      </c>
      <c r="P429" s="6">
        <f>HYPERLINK("https://fin.land.naver.com/articles/2650460317", "매물Link")</f>
        <v/>
      </c>
      <c r="Q429" s="6">
        <f>HYPERLINK("https://map.naver.com/p/search/조치원읍 서창리 42-143", "지도Link")</f>
        <v/>
      </c>
      <c r="R429" s="6">
        <f>HYPERLINK("http://www.eum.go.kr/web/ar/lu/luLandDet.jsp?pnu=3611025034100420143&amp;isNoScr=script&amp;mode=search", "토지이음")</f>
        <v/>
      </c>
      <c r="S429" s="3" t="inlineStr">
        <is>
          <t>세종공감</t>
        </is>
      </c>
      <c r="T429" s="4" t="n">
        <v>1</v>
      </c>
      <c r="U429" s="5" t="n">
        <v>126.9</v>
      </c>
      <c r="V429" s="4" t="n">
        <v>286.4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서창리 66-34</t>
        </is>
      </c>
      <c r="B430" s="3" t="inlineStr">
        <is>
          <t>제1종일반주거지역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단독</t>
        </is>
      </c>
      <c r="F430" s="3" t="inlineStr">
        <is>
          <t>매매</t>
        </is>
      </c>
      <c r="G430" s="4" t="n">
        <v>85000</v>
      </c>
      <c r="H430" s="4" t="n">
        <v>0</v>
      </c>
      <c r="I430" s="4" t="n">
        <v>192</v>
      </c>
      <c r="J430" s="4" t="n">
        <v>58</v>
      </c>
      <c r="K430" s="5" t="n">
        <v>1465.5</v>
      </c>
      <c r="L430" s="4" t="n">
        <v>254</v>
      </c>
      <c r="M430" s="4" t="n">
        <v>77</v>
      </c>
      <c r="N430" s="5" t="n">
        <v>1103.9</v>
      </c>
      <c r="O430" s="3" t="inlineStr">
        <is>
          <t>고대세종 신축급 원룸건물 매매</t>
        </is>
      </c>
      <c r="P430" s="6">
        <f>HYPERLINK("https://fin.land.naver.com/articles/2653931508", "매물Link")</f>
        <v/>
      </c>
      <c r="Q430" s="6">
        <f>HYPERLINK("https://map.naver.com/p/search/조치원읍 서창리 66-34", "지도Link")</f>
        <v/>
      </c>
      <c r="R430" s="6">
        <f>HYPERLINK("http://www.eum.go.kr/web/ar/lu/luLandDet.jsp?pnu=3611025034100660034&amp;isNoScr=script&amp;mode=search", "토지이음")</f>
        <v/>
      </c>
      <c r="S430" s="3" t="inlineStr">
        <is>
          <t>고래</t>
        </is>
      </c>
      <c r="T430" s="4" t="n">
        <v>1</v>
      </c>
      <c r="U430" s="5" t="n">
        <v>259</v>
      </c>
      <c r="V430" s="4" t="n">
        <v>192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세로장방</t>
        </is>
      </c>
      <c r="AA430" s="3" t="inlineStr">
        <is>
          <t>세로한면(가)</t>
        </is>
      </c>
    </row>
    <row r="431">
      <c r="A431" s="3" t="inlineStr">
        <is>
          <t>조치원읍 서창리 66-35</t>
        </is>
      </c>
      <c r="B431" s="3" t="inlineStr">
        <is>
          <t>제1종일반주거지역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상가주택</t>
        </is>
      </c>
      <c r="F431" s="3" t="inlineStr">
        <is>
          <t>매매</t>
        </is>
      </c>
      <c r="G431" s="4" t="n">
        <v>76000</v>
      </c>
      <c r="H431" s="4" t="n">
        <v>0</v>
      </c>
      <c r="I431" s="4" t="n">
        <v>189</v>
      </c>
      <c r="J431" s="4" t="n">
        <v>57</v>
      </c>
      <c r="K431" s="5" t="n">
        <v>1333.3</v>
      </c>
      <c r="L431" s="4" t="n">
        <v>259</v>
      </c>
      <c r="M431" s="4" t="n">
        <v>78</v>
      </c>
      <c r="N431" s="5" t="n">
        <v>974.4</v>
      </c>
      <c r="O431" s="3" t="inlineStr">
        <is>
          <t>대학가 2억7천 투자 수익률7.5</t>
        </is>
      </c>
      <c r="P431" s="6">
        <f>HYPERLINK("https://fin.land.naver.com/articles/2653931569", "매물Link")</f>
        <v/>
      </c>
      <c r="Q431" s="6">
        <f>HYPERLINK("https://map.naver.com/p/search/조치원읍 서창리 66-35", "지도Link")</f>
        <v/>
      </c>
      <c r="R431" s="6">
        <f>HYPERLINK("http://www.eum.go.kr/web/ar/lu/luLandDet.jsp?pnu=3611025034100660035&amp;isNoScr=script&amp;mode=search", "토지이음")</f>
        <v/>
      </c>
      <c r="S431" s="3" t="inlineStr">
        <is>
          <t>고래</t>
        </is>
      </c>
      <c r="T431" s="4" t="n">
        <v>1</v>
      </c>
      <c r="U431" s="5" t="n">
        <v>401.7</v>
      </c>
      <c r="V431" s="4" t="n">
        <v>189</v>
      </c>
      <c r="W431" s="3" t="inlineStr">
        <is>
          <t>지정되지않음</t>
        </is>
      </c>
      <c r="X431" s="3" t="inlineStr">
        <is>
          <t>주상용</t>
        </is>
      </c>
      <c r="Y431" s="3" t="inlineStr">
        <is>
          <t>평지</t>
        </is>
      </c>
      <c r="Z431" s="3" t="inlineStr">
        <is>
          <t>가로장방</t>
        </is>
      </c>
      <c r="AA431" s="3" t="inlineStr">
        <is>
          <t>소로한면</t>
        </is>
      </c>
    </row>
    <row r="432">
      <c r="A432" s="3" t="inlineStr">
        <is>
          <t>조치원읍 신안리 146-2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단독</t>
        </is>
      </c>
      <c r="F432" s="3" t="inlineStr">
        <is>
          <t>매매</t>
        </is>
      </c>
      <c r="G432" s="4" t="n">
        <v>48000</v>
      </c>
      <c r="H432" s="4" t="n">
        <v>0</v>
      </c>
      <c r="I432" s="4" t="n">
        <v>283</v>
      </c>
      <c r="J432" s="4" t="n">
        <v>86</v>
      </c>
      <c r="K432" s="5" t="n">
        <v>558.1</v>
      </c>
      <c r="L432" s="4" t="n">
        <v>95</v>
      </c>
      <c r="M432" s="4" t="n">
        <v>29</v>
      </c>
      <c r="N432" s="5" t="n">
        <v>1655.2</v>
      </c>
      <c r="O432" s="3" t="inlineStr">
        <is>
          <t>편의성과 안락함을 다 갖춘 단독주택</t>
        </is>
      </c>
      <c r="P432" s="6">
        <f>HYPERLINK("https://fin.land.naver.com/articles/2653789650", "매물Link")</f>
        <v/>
      </c>
      <c r="Q432" s="6">
        <f>HYPERLINK("https://map.naver.com/p/search/조치원읍 신안리 146-2", "지도Link")</f>
        <v/>
      </c>
      <c r="R432" s="6">
        <f>HYPERLINK("http://www.eum.go.kr/web/ar/lu/luLandDet.jsp?pnu=3611025032101460002&amp;isNoScr=script&amp;mode=search", "토지이음")</f>
        <v/>
      </c>
      <c r="S432" s="3" t="inlineStr">
        <is>
          <t>무지개</t>
        </is>
      </c>
      <c r="T432" s="4" t="n">
        <v>1</v>
      </c>
      <c r="U432" s="5" t="n">
        <v>188.1</v>
      </c>
      <c r="V432" s="4" t="n">
        <v>247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168-2</t>
        </is>
      </c>
      <c r="B433" s="3" t="inlineStr">
        <is>
          <t>자연녹지지역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50</v>
      </c>
      <c r="H433" s="4" t="n">
        <v>23</v>
      </c>
      <c r="I433" s="4" t="n">
        <v>20</v>
      </c>
      <c r="J433" s="4" t="n">
        <v>6</v>
      </c>
      <c r="K433" s="5" t="n">
        <v>3.8</v>
      </c>
      <c r="L433" s="4" t="n">
        <v>20</v>
      </c>
      <c r="M433" s="4" t="n">
        <v>6</v>
      </c>
      <c r="N433" s="5" t="n">
        <v>3.8</v>
      </c>
      <c r="O433" s="3" t="inlineStr">
        <is>
          <t>홍익대,직장인 1번국도 인접</t>
        </is>
      </c>
      <c r="P433" s="6">
        <f>HYPERLINK("https://fin.land.naver.com/articles/2652327692", "매물Link")</f>
        <v/>
      </c>
      <c r="Q433" s="6">
        <f>HYPERLINK("https://map.naver.com/p/search/조치원읍 신안리 168-2", "지도Link")</f>
        <v/>
      </c>
      <c r="R433" s="6">
        <f>HYPERLINK("http://www.eum.go.kr/web/ar/lu/luLandDet.jsp?pnu=3611025032101680002&amp;isNoScr=script&amp;mode=search", "토지이음")</f>
        <v/>
      </c>
      <c r="S433" s="3" t="inlineStr">
        <is>
          <t>OK수</t>
        </is>
      </c>
      <c r="T433" s="4" t="n">
        <v>1</v>
      </c>
      <c r="U433" s="5" t="n">
        <v>171.6</v>
      </c>
      <c r="V433" s="4" t="n">
        <v>190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168-4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일반원룸</t>
        </is>
      </c>
      <c r="F434" s="3" t="inlineStr">
        <is>
          <t>월세</t>
        </is>
      </c>
      <c r="G434" s="4" t="n">
        <v>30</v>
      </c>
      <c r="H434" s="4" t="n">
        <v>23</v>
      </c>
      <c r="I434" s="4" t="n">
        <v>20</v>
      </c>
      <c r="J434" s="4" t="n">
        <v>6</v>
      </c>
      <c r="K434" s="5" t="n">
        <v>3.8</v>
      </c>
      <c r="L434" s="4" t="n">
        <v>20</v>
      </c>
      <c r="M434" s="4" t="n">
        <v>6</v>
      </c>
      <c r="N434" s="5" t="n">
        <v>3.8</v>
      </c>
      <c r="O434" s="3" t="inlineStr">
        <is>
          <t>신안리 홍대국제연수원인근 저렴한원룸 즉시 입주가능합니다</t>
        </is>
      </c>
      <c r="P434" s="6">
        <f>HYPERLINK("https://fin.land.naver.com/articles/2649980274", "매물Link")</f>
        <v/>
      </c>
      <c r="Q434" s="6">
        <f>HYPERLINK("https://map.naver.com/p/search/조치원읍 신안리 168-4", "지도Link")</f>
        <v/>
      </c>
      <c r="R434" s="6">
        <f>HYPERLINK("http://www.eum.go.kr/web/ar/lu/luLandDet.jsp?pnu=3611025032101680004&amp;isNoScr=script&amp;mode=search", "토지이음")</f>
        <v/>
      </c>
      <c r="S434" s="3" t="inlineStr">
        <is>
          <t>OK수</t>
        </is>
      </c>
      <c r="T434" s="4" t="n">
        <v>1</v>
      </c>
      <c r="U434" s="5" t="n">
        <v>171.6</v>
      </c>
      <c r="V434" s="4" t="n">
        <v>217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179-17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4</t>
        </is>
      </c>
      <c r="E435" s="3" t="inlineStr">
        <is>
          <t>빌라</t>
        </is>
      </c>
      <c r="F435" s="3" t="inlineStr">
        <is>
          <t>매매</t>
        </is>
      </c>
      <c r="G435" s="4" t="n">
        <v>16500</v>
      </c>
      <c r="H435" s="4" t="n">
        <v>0</v>
      </c>
      <c r="I435" s="4" t="n">
        <v>93</v>
      </c>
      <c r="J435" s="4" t="n">
        <v>28</v>
      </c>
      <c r="K435" s="5" t="n">
        <v>589.3</v>
      </c>
      <c r="L435" s="4" t="n">
        <v>80</v>
      </c>
      <c r="M435" s="4" t="n">
        <v>24</v>
      </c>
      <c r="N435" s="5" t="n">
        <v>687.5</v>
      </c>
      <c r="O435" s="3" t="inlineStr">
        <is>
          <t>nan</t>
        </is>
      </c>
      <c r="P435" s="6">
        <f>HYPERLINK("https://fin.land.naver.com/articles/2650337382", "매물Link")</f>
        <v/>
      </c>
      <c r="Q435" s="6">
        <f>HYPERLINK("https://map.naver.com/p/search/조치원읍 신안리 179-17", "지도Link")</f>
        <v/>
      </c>
      <c r="R435" s="6">
        <f>HYPERLINK("http://www.eum.go.kr/web/ar/lu/luLandDet.jsp?pnu=3611025032101790017&amp;isNoScr=script&amp;mode=search", "토지이음")</f>
        <v/>
      </c>
      <c r="S435" s="3" t="inlineStr">
        <is>
          <t>웰스플랜</t>
        </is>
      </c>
      <c r="T435" s="4" t="n">
        <v>1</v>
      </c>
      <c r="U435" s="5" t="n">
        <v>171.6</v>
      </c>
      <c r="V435" s="4" t="n">
        <v>336</v>
      </c>
      <c r="W435" s="3" t="inlineStr">
        <is>
          <t>지정되지않음</t>
        </is>
      </c>
      <c r="X435" s="3" t="inlineStr">
        <is>
          <t>다세대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179-17</t>
        </is>
      </c>
      <c r="B436" s="3" t="inlineStr">
        <is>
          <t>자연녹지지역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빌라</t>
        </is>
      </c>
      <c r="F436" s="3" t="inlineStr">
        <is>
          <t>매매</t>
        </is>
      </c>
      <c r="G436" s="4" t="n">
        <v>16500</v>
      </c>
      <c r="H436" s="4" t="n">
        <v>0</v>
      </c>
      <c r="I436" s="4" t="n">
        <v>93</v>
      </c>
      <c r="J436" s="4" t="n">
        <v>28</v>
      </c>
      <c r="K436" s="5" t="n">
        <v>589.3</v>
      </c>
      <c r="L436" s="4" t="n">
        <v>80</v>
      </c>
      <c r="M436" s="4" t="n">
        <v>24</v>
      </c>
      <c r="N436" s="5" t="n">
        <v>687.5</v>
      </c>
      <c r="O436" s="3" t="inlineStr">
        <is>
          <t>전원형 주거지신축빌라, 올리모델링, 급매 1억6500만원, 역세권예정</t>
        </is>
      </c>
      <c r="P436" s="6">
        <f>HYPERLINK("https://fin.land.naver.com/articles/2651743361", "매물Link")</f>
        <v/>
      </c>
      <c r="Q436" s="6">
        <f>HYPERLINK("https://map.naver.com/p/search/조치원읍 신안리 179-17", "지도Link")</f>
        <v/>
      </c>
      <c r="R436" s="6">
        <f>HYPERLINK("http://www.eum.go.kr/web/ar/lu/luLandDet.jsp?pnu=3611025032101790017&amp;isNoScr=script&amp;mode=search", "토지이음")</f>
        <v/>
      </c>
      <c r="S436" s="3" t="inlineStr">
        <is>
          <t>대한</t>
        </is>
      </c>
      <c r="T436" s="4" t="n">
        <v>1</v>
      </c>
      <c r="U436" s="5" t="n">
        <v>171.6</v>
      </c>
      <c r="V436" s="4" t="n">
        <v>336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179-17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빌라</t>
        </is>
      </c>
      <c r="F437" s="3" t="inlineStr">
        <is>
          <t>매매</t>
        </is>
      </c>
      <c r="G437" s="4" t="n">
        <v>16500</v>
      </c>
      <c r="H437" s="4" t="n">
        <v>0</v>
      </c>
      <c r="I437" s="4" t="n">
        <v>99</v>
      </c>
      <c r="J437" s="4" t="n">
        <v>30</v>
      </c>
      <c r="K437" s="5" t="n">
        <v>550</v>
      </c>
      <c r="L437" s="4" t="n">
        <v>88</v>
      </c>
      <c r="M437" s="4" t="n">
        <v>27</v>
      </c>
      <c r="N437" s="5" t="n">
        <v>611.1</v>
      </c>
      <c r="O437" s="3" t="inlineStr">
        <is>
          <t>신축빌라,즉시입주가능,주차장 여유로움,올리모델링엘리베이터있음,</t>
        </is>
      </c>
      <c r="P437" s="6">
        <f>HYPERLINK("https://fin.land.naver.com/articles/2652138880", "매물Link")</f>
        <v/>
      </c>
      <c r="Q437" s="6">
        <f>HYPERLINK("https://map.naver.com/p/search/조치원읍 신안리 179-17", "지도Link")</f>
        <v/>
      </c>
      <c r="R437" s="6">
        <f>HYPERLINK("http://www.eum.go.kr/web/ar/lu/luLandDet.jsp?pnu=3611025032101790017&amp;isNoScr=script&amp;mode=search", "토지이음")</f>
        <v/>
      </c>
      <c r="S437" s="3" t="inlineStr">
        <is>
          <t>담뜰</t>
        </is>
      </c>
      <c r="T437" s="4" t="n">
        <v>3</v>
      </c>
      <c r="U437" s="5" t="n">
        <v>171.6</v>
      </c>
      <c r="V437" s="4" t="n">
        <v>336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179-17</t>
        </is>
      </c>
      <c r="B438" s="3" t="inlineStr">
        <is>
          <t>자연녹지지역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빌라</t>
        </is>
      </c>
      <c r="F438" s="3" t="inlineStr">
        <is>
          <t>매매</t>
        </is>
      </c>
      <c r="G438" s="4" t="n">
        <v>16500</v>
      </c>
      <c r="H438" s="4" t="n">
        <v>0</v>
      </c>
      <c r="I438" s="4" t="n">
        <v>93</v>
      </c>
      <c r="J438" s="4" t="n">
        <v>28</v>
      </c>
      <c r="K438" s="5" t="n">
        <v>589.3</v>
      </c>
      <c r="L438" s="4" t="n">
        <v>80</v>
      </c>
      <c r="M438" s="4" t="n">
        <v>24</v>
      </c>
      <c r="N438" s="5" t="n">
        <v>687.5</v>
      </c>
      <c r="O438" s="3" t="inlineStr">
        <is>
          <t>신축,즉시입주가능, 홍대근접,엘리베이터 있음 주차장 여유, 조용한 환경</t>
        </is>
      </c>
      <c r="P438" s="6">
        <f>HYPERLINK("https://fin.land.naver.com/articles/2651286294", "매물Link")</f>
        <v/>
      </c>
      <c r="Q438" s="6">
        <f>HYPERLINK("https://map.naver.com/p/search/조치원읍 신안리 179-17", "지도Link")</f>
        <v/>
      </c>
      <c r="R438" s="6">
        <f>HYPERLINK("http://www.eum.go.kr/web/ar/lu/luLandDet.jsp?pnu=3611025032101790017&amp;isNoScr=script&amp;mode=search", "토지이음")</f>
        <v/>
      </c>
      <c r="S438" s="3" t="inlineStr">
        <is>
          <t>담뜰</t>
        </is>
      </c>
      <c r="T438" s="4" t="n">
        <v>1</v>
      </c>
      <c r="U438" s="5" t="n">
        <v>171.6</v>
      </c>
      <c r="V438" s="4" t="n">
        <v>336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179-17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다가구</t>
        </is>
      </c>
      <c r="F439" s="3" t="inlineStr">
        <is>
          <t>매매</t>
        </is>
      </c>
      <c r="G439" s="4" t="n">
        <v>16500</v>
      </c>
      <c r="H439" s="4" t="n">
        <v>0</v>
      </c>
      <c r="I439" s="4" t="n">
        <v>383</v>
      </c>
      <c r="J439" s="4" t="n">
        <v>116</v>
      </c>
      <c r="K439" s="5" t="n">
        <v>142.2</v>
      </c>
      <c r="L439" s="4" t="n">
        <v>374</v>
      </c>
      <c r="M439" s="4" t="n">
        <v>113</v>
      </c>
      <c r="N439" s="5" t="n">
        <v>146</v>
      </c>
      <c r="O439" s="3" t="inlineStr">
        <is>
          <t>자연과 어우러진 전원형 빌라주거지 세종시와 청주. 오송방면 이동이편리함</t>
        </is>
      </c>
      <c r="P439" s="6">
        <f>HYPERLINK("https://fin.land.naver.com/articles/2653251981", "매물Link")</f>
        <v/>
      </c>
      <c r="Q439" s="6">
        <f>HYPERLINK("https://map.naver.com/p/search/조치원읍 신안리 179-17", "지도Link")</f>
        <v/>
      </c>
      <c r="R439" s="6">
        <f>HYPERLINK("http://www.eum.go.kr/web/ar/lu/luLandDet.jsp?pnu=3611025032101790017&amp;isNoScr=script&amp;mode=search", "토지이음")</f>
        <v/>
      </c>
      <c r="S439" s="3" t="inlineStr">
        <is>
          <t>재원</t>
        </is>
      </c>
      <c r="T439" s="4" t="n">
        <v>1</v>
      </c>
      <c r="U439" s="5" t="n">
        <v>171.6</v>
      </c>
      <c r="V439" s="4" t="n">
        <v>336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179-2</t>
        </is>
      </c>
      <c r="B440" s="3" t="inlineStr">
        <is>
          <t>자연녹지지역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전원주택</t>
        </is>
      </c>
      <c r="F440" s="3" t="inlineStr">
        <is>
          <t>매매</t>
        </is>
      </c>
      <c r="G440" s="4" t="n">
        <v>28000</v>
      </c>
      <c r="H440" s="4" t="n">
        <v>0</v>
      </c>
      <c r="I440" s="4" t="n">
        <v>360</v>
      </c>
      <c r="J440" s="4" t="n">
        <v>109</v>
      </c>
      <c r="K440" s="5" t="n">
        <v>256.9</v>
      </c>
      <c r="L440" s="4" t="n">
        <v>61</v>
      </c>
      <c r="M440" s="4" t="n">
        <v>18</v>
      </c>
      <c r="N440" s="5" t="n">
        <v>1555.6</v>
      </c>
      <c r="O440" s="3" t="inlineStr">
        <is>
          <t>세종시 홍익대 주변 농가주택 급매</t>
        </is>
      </c>
      <c r="P440" s="6">
        <f>HYPERLINK("https://fin.land.naver.com/articles/2652407093", "매물Link")</f>
        <v/>
      </c>
      <c r="Q440" s="6">
        <f>HYPERLINK("https://map.naver.com/p/search/조치원읍 신안리 179-2", "지도Link")</f>
        <v/>
      </c>
      <c r="R440" s="6">
        <f>HYPERLINK("http://www.eum.go.kr/web/ar/lu/luLandDet.jsp?pnu=3611025032101790002&amp;isNoScr=script&amp;mode=search", "토지이음")</f>
        <v/>
      </c>
      <c r="S440" s="3" t="inlineStr">
        <is>
          <t>강우림</t>
        </is>
      </c>
      <c r="T440" s="4" t="n">
        <v>1</v>
      </c>
      <c r="U440" s="5" t="n">
        <v>175</v>
      </c>
      <c r="V440" s="4" t="n">
        <v>360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정방형</t>
        </is>
      </c>
      <c r="AA440" s="3" t="inlineStr">
        <is>
          <t>세로한면(가)</t>
        </is>
      </c>
    </row>
    <row r="441">
      <c r="A441" s="3" t="inlineStr">
        <is>
          <t>조치원읍 신안리 191-6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월세</t>
        </is>
      </c>
      <c r="G441" s="4" t="n">
        <v>50</v>
      </c>
      <c r="H441" s="4" t="n">
        <v>27</v>
      </c>
      <c r="I441" s="4" t="n">
        <v>23</v>
      </c>
      <c r="J441" s="4" t="n">
        <v>7</v>
      </c>
      <c r="K441" s="5" t="n">
        <v>3.9</v>
      </c>
      <c r="L441" s="4" t="n">
        <v>23</v>
      </c>
      <c r="M441" s="4" t="n">
        <v>7</v>
      </c>
      <c r="N441" s="5" t="n">
        <v>3.9</v>
      </c>
      <c r="O441" s="3" t="inlineStr">
        <is>
          <t>조치원읍 신안리의 홍익대부근의 저렴한 원룸월세</t>
        </is>
      </c>
      <c r="P441" s="6">
        <f>HYPERLINK("https://fin.land.naver.com/articles/2655220145", "매물Link")</f>
        <v/>
      </c>
      <c r="Q441" s="6">
        <f>HYPERLINK("https://map.naver.com/p/search/조치원읍 신안리 191-6", "지도Link")</f>
        <v/>
      </c>
      <c r="R441" s="6">
        <f>HYPERLINK("http://www.eum.go.kr/web/ar/lu/luLandDet.jsp?pnu=3611025032101910006&amp;isNoScr=script&amp;mode=search", "토지이음")</f>
        <v/>
      </c>
      <c r="S441" s="3" t="inlineStr">
        <is>
          <t>세종베스트</t>
        </is>
      </c>
      <c r="T441" s="4" t="n">
        <v>1</v>
      </c>
      <c r="U441" s="5" t="n">
        <v>164.7</v>
      </c>
      <c r="V441" s="4" t="n">
        <v>374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자루형</t>
        </is>
      </c>
      <c r="AA441" s="3" t="inlineStr">
        <is>
          <t>세로한면(가)</t>
        </is>
      </c>
    </row>
    <row r="442">
      <c r="A442" s="3" t="inlineStr">
        <is>
          <t>조치원읍 신안리 193-10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다가구</t>
        </is>
      </c>
      <c r="F442" s="3" t="inlineStr">
        <is>
          <t>월세</t>
        </is>
      </c>
      <c r="G442" s="4" t="n">
        <v>100</v>
      </c>
      <c r="H442" s="4" t="n">
        <v>25</v>
      </c>
      <c r="I442" s="4" t="n">
        <v>23</v>
      </c>
      <c r="J442" s="4" t="n">
        <v>7</v>
      </c>
      <c r="K442" s="5" t="n">
        <v>3.6</v>
      </c>
      <c r="L442" s="4" t="n">
        <v>23</v>
      </c>
      <c r="M442" s="4" t="n">
        <v>7</v>
      </c>
      <c r="N442" s="5" t="n">
        <v>3.6</v>
      </c>
      <c r="O442" s="3" t="inlineStr">
        <is>
          <t>깔끔한 원룸, 홍익대캠퍼스에서 도보 15분거리,</t>
        </is>
      </c>
      <c r="P442" s="6">
        <f>HYPERLINK("https://fin.land.naver.com/articles/2655200221", "매물Link")</f>
        <v/>
      </c>
      <c r="Q442" s="6">
        <f>HYPERLINK("https://map.naver.com/p/search/조치원읍 신안리 193-10", "지도Link")</f>
        <v/>
      </c>
      <c r="R442" s="6">
        <f>HYPERLINK("http://www.eum.go.kr/web/ar/lu/luLandDet.jsp?pnu=3611025032101930010&amp;isNoScr=script&amp;mode=search",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167.4</v>
      </c>
      <c r="V442" s="4" t="n">
        <v>195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소로한면</t>
        </is>
      </c>
    </row>
    <row r="443">
      <c r="A443" s="3" t="inlineStr">
        <is>
          <t>조치원읍 신안리 197-3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2</t>
        </is>
      </c>
      <c r="E443" s="3" t="inlineStr">
        <is>
          <t>다가구</t>
        </is>
      </c>
      <c r="F443" s="3" t="inlineStr">
        <is>
          <t>매매</t>
        </is>
      </c>
      <c r="G443" s="4" t="n">
        <v>70000</v>
      </c>
      <c r="H443" s="4" t="n">
        <v>0</v>
      </c>
      <c r="I443" s="4" t="n">
        <v>595</v>
      </c>
      <c r="J443" s="4" t="n">
        <v>180</v>
      </c>
      <c r="K443" s="5" t="n">
        <v>388.9</v>
      </c>
      <c r="L443" s="4" t="n">
        <v>346</v>
      </c>
      <c r="M443" s="4" t="n">
        <v>105</v>
      </c>
      <c r="N443" s="5" t="n">
        <v>666.7</v>
      </c>
      <c r="O443" s="3" t="inlineStr">
        <is>
          <t>서창역인근,주인세대전세끼고,수익형다가구매매,인근대학교,연수원</t>
        </is>
      </c>
      <c r="P443" s="6">
        <f>HYPERLINK("https://fin.land.naver.com/articles/2652964849", "매물Link")</f>
        <v/>
      </c>
      <c r="Q443" s="6">
        <f>HYPERLINK("https://map.naver.com/p/search/조치원읍 신안리 197-3", "지도Link")</f>
        <v/>
      </c>
      <c r="R443" s="6">
        <f>HYPERLINK("http://www.eum.go.kr/web/ar/lu/luLandDet.jsp?pnu=3611025032101970003&amp;isNoScr=script&amp;mode=search", "토지이음")</f>
        <v/>
      </c>
      <c r="S443" s="3" t="inlineStr">
        <is>
          <t>에이팩시티지정</t>
        </is>
      </c>
      <c r="T443" s="4" t="n">
        <v>1</v>
      </c>
      <c r="U443" s="5" t="n">
        <v>171.6</v>
      </c>
      <c r="V443" s="4" t="n">
        <v>595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조치원읍 신안리 321-61</t>
        </is>
      </c>
      <c r="B444" s="3" t="inlineStr">
        <is>
          <t>제1종일반주거지역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115000</v>
      </c>
      <c r="H444" s="4" t="n">
        <v>0</v>
      </c>
      <c r="I444" s="4" t="n">
        <v>190</v>
      </c>
      <c r="J444" s="4" t="n">
        <v>57</v>
      </c>
      <c r="K444" s="5" t="n">
        <v>2017.5</v>
      </c>
      <c r="L444" s="4" t="n">
        <v>285</v>
      </c>
      <c r="M444" s="4" t="n">
        <v>86</v>
      </c>
      <c r="N444" s="5" t="n">
        <v>1337.2</v>
      </c>
      <c r="O444" s="3" t="inlineStr">
        <is>
          <t>홍익대학교 인근 연세 9천만원 나오는 수익률 좋은 신축 다중주택 입니다</t>
        </is>
      </c>
      <c r="P444" s="6">
        <f>HYPERLINK("https://fin.land.naver.com/articles/2653247118", "매물Link")</f>
        <v/>
      </c>
      <c r="Q444" s="6">
        <f>HYPERLINK("https://map.naver.com/p/search/조치원읍 신안리 321-61", "지도Link")</f>
        <v/>
      </c>
      <c r="R444" s="6">
        <f>HYPERLINK("http://www.eum.go.kr/web/ar/lu/luLandDet.jsp?pnu=3611025032103210061&amp;isNoScr=script&amp;mode=search", "토지이음")</f>
        <v/>
      </c>
      <c r="S444" s="3" t="inlineStr">
        <is>
          <t>스마일세종</t>
        </is>
      </c>
      <c r="T444" s="4" t="n">
        <v>1</v>
      </c>
      <c r="U444" s="5" t="n">
        <v>197.5</v>
      </c>
      <c r="V444" s="4" t="n">
        <v>190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완경사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321-63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115000</v>
      </c>
      <c r="H445" s="4" t="n">
        <v>0</v>
      </c>
      <c r="I445" s="4" t="n">
        <v>173</v>
      </c>
      <c r="J445" s="4" t="n">
        <v>52</v>
      </c>
      <c r="K445" s="5" t="n">
        <v>2211.5</v>
      </c>
      <c r="L445" s="4" t="n">
        <v>282</v>
      </c>
      <c r="M445" s="4" t="n">
        <v>85</v>
      </c>
      <c r="N445" s="5" t="n">
        <v>1352.9</v>
      </c>
      <c r="O445" s="3" t="inlineStr">
        <is>
          <t>절충가 홍익대학교 인근 연세 9천만원 나오는 풀옵션 신축 다중주택 입니다</t>
        </is>
      </c>
      <c r="P445" s="6">
        <f>HYPERLINK("https://fin.land.naver.com/articles/2650958724", "매물Link")</f>
        <v/>
      </c>
      <c r="Q445" s="6">
        <f>HYPERLINK("https://map.naver.com/p/search/조치원읍 신안리 321-63", "지도Link")</f>
        <v/>
      </c>
      <c r="R445" s="6">
        <f>HYPERLINK("http://www.eum.go.kr/web/ar/lu/luLandDet.jsp?pnu=3611025032103210063&amp;isNoScr=script&amp;mode=search", "토지이음")</f>
        <v/>
      </c>
      <c r="S445" s="3" t="inlineStr">
        <is>
          <t>스마일세종</t>
        </is>
      </c>
      <c r="T445" s="4" t="n">
        <v>1</v>
      </c>
      <c r="U445" s="5" t="n">
        <v>199.5</v>
      </c>
      <c r="V445" s="4" t="n">
        <v>173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완경사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조치원읍 신안리 321-64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35000</v>
      </c>
      <c r="H446" s="4" t="n">
        <v>0</v>
      </c>
      <c r="I446" s="4" t="n">
        <v>166</v>
      </c>
      <c r="J446" s="4" t="n">
        <v>50</v>
      </c>
      <c r="K446" s="5" t="n">
        <v>700</v>
      </c>
      <c r="L446" s="4" t="n">
        <v>187</v>
      </c>
      <c r="M446" s="4" t="n">
        <v>57</v>
      </c>
      <c r="N446" s="5" t="n">
        <v>614</v>
      </c>
      <c r="O446" s="3" t="inlineStr">
        <is>
          <t>신축 단독 2층 주택 초급매, 현재 1층은 임대중</t>
        </is>
      </c>
      <c r="P446" s="6">
        <f>HYPERLINK("https://fin.land.naver.com/articles/2650466023", "매물Link")</f>
        <v/>
      </c>
      <c r="Q446" s="6">
        <f>HYPERLINK("https://map.naver.com/p/search/조치원읍 신안리 321-64", "지도Link")</f>
        <v/>
      </c>
      <c r="R446" s="6">
        <f>HYPERLINK("http://www.eum.go.kr/web/ar/lu/luLandDet.jsp?pnu=3611025032103210064&amp;isNoScr=script&amp;mode=search",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199.5</v>
      </c>
      <c r="V446" s="4" t="n">
        <v>166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완경사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341-1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271</v>
      </c>
      <c r="J447" s="4" t="n">
        <v>82</v>
      </c>
      <c r="K447" s="5" t="n">
        <v>731.7</v>
      </c>
      <c r="L447" s="4" t="n">
        <v>428</v>
      </c>
      <c r="M447" s="4" t="n">
        <v>129</v>
      </c>
      <c r="N447" s="5" t="n">
        <v>465.1</v>
      </c>
      <c r="O447" s="3" t="inlineStr">
        <is>
          <t>홍익대학생들의  입소문으로만 임대계약완료, 공실걱정 없음</t>
        </is>
      </c>
      <c r="P447" s="6">
        <f>HYPERLINK("https://fin.land.naver.com/articles/2653284306", "매물Link")</f>
        <v/>
      </c>
      <c r="Q447" s="6">
        <f>HYPERLINK("https://map.naver.com/p/search/조치원읍 신안리 341-1", "지도Link")</f>
        <v/>
      </c>
      <c r="R447" s="6">
        <f>HYPERLINK("http://www.eum.go.kr/web/ar/lu/luLandDet.jsp?pnu=3611025032103410001&amp;isNoScr=script&amp;mode=search", "토지이음")</f>
        <v/>
      </c>
      <c r="S447" s="3" t="inlineStr">
        <is>
          <t>세종공감</t>
        </is>
      </c>
      <c r="T447" s="4" t="n">
        <v>1</v>
      </c>
      <c r="U447" s="5" t="n">
        <v>227</v>
      </c>
      <c r="V447" s="4" t="n">
        <v>271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세로한면(가)</t>
        </is>
      </c>
    </row>
    <row r="448">
      <c r="A448" s="3" t="inlineStr">
        <is>
          <t>조치원읍 신안리 343-5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4</t>
        </is>
      </c>
      <c r="E448" s="3" t="inlineStr">
        <is>
          <t>단독</t>
        </is>
      </c>
      <c r="F448" s="3" t="inlineStr">
        <is>
          <t>매매</t>
        </is>
      </c>
      <c r="G448" s="4" t="n">
        <v>230000</v>
      </c>
      <c r="H448" s="4" t="n">
        <v>0</v>
      </c>
      <c r="I448" s="4" t="n">
        <v>304</v>
      </c>
      <c r="J448" s="4" t="n">
        <v>92</v>
      </c>
      <c r="K448" s="5" t="n">
        <v>2500</v>
      </c>
      <c r="L448" s="4" t="n">
        <v>331</v>
      </c>
      <c r="M448" s="4" t="n">
        <v>100</v>
      </c>
      <c r="N448" s="5" t="n">
        <v>2300</v>
      </c>
      <c r="O448" s="3" t="inlineStr">
        <is>
          <t>고객만족1위, 앞상가 동시매매,세종시 홍익대, 고려대  인근, 투자 최상</t>
        </is>
      </c>
      <c r="P448" s="6">
        <f>HYPERLINK("https://fin.land.naver.com/articles/2651986134", "매물Link")</f>
        <v/>
      </c>
      <c r="Q448" s="6">
        <f>HYPERLINK("https://map.naver.com/p/search/조치원읍 신안리 343-5", "지도Link")</f>
        <v/>
      </c>
      <c r="R448" s="6">
        <f>HYPERLINK("http://www.eum.go.kr/web/ar/lu/luLandDet.jsp?pnu=3611025032103430005&amp;isNoScr=script&amp;mode=search", "토지이음")</f>
        <v/>
      </c>
      <c r="S448" s="3" t="inlineStr">
        <is>
          <t>생생</t>
        </is>
      </c>
      <c r="T448" s="4" t="n">
        <v>1</v>
      </c>
      <c r="U448" s="5" t="n">
        <v>299.6</v>
      </c>
      <c r="V448" s="4" t="n">
        <v>304</v>
      </c>
      <c r="W448" s="3" t="inlineStr">
        <is>
          <t>지정되지않음</t>
        </is>
      </c>
      <c r="X448" s="3" t="inlineStr">
        <is>
          <t>주상용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세로한면(가)</t>
        </is>
      </c>
    </row>
    <row r="449">
      <c r="A449" s="3" t="inlineStr">
        <is>
          <t>조치원읍 신안리 346-18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4</t>
        </is>
      </c>
      <c r="E449" s="3" t="inlineStr">
        <is>
          <t>다가구</t>
        </is>
      </c>
      <c r="F449" s="3" t="inlineStr">
        <is>
          <t>매매</t>
        </is>
      </c>
      <c r="G449" s="4" t="n">
        <v>95000</v>
      </c>
      <c r="H449" s="4" t="n">
        <v>0</v>
      </c>
      <c r="I449" s="4" t="n">
        <v>311</v>
      </c>
      <c r="J449" s="4" t="n">
        <v>94</v>
      </c>
      <c r="K449" s="5" t="n">
        <v>1010.6</v>
      </c>
      <c r="L449" s="4" t="n">
        <v>455</v>
      </c>
      <c r="M449" s="4" t="n">
        <v>138</v>
      </c>
      <c r="N449" s="5" t="n">
        <v>688.4</v>
      </c>
      <c r="O449" s="3" t="inlineStr">
        <is>
          <t>nan</t>
        </is>
      </c>
      <c r="P449" s="6">
        <f>HYPERLINK("https://fin.land.naver.com/articles/2654389716", "매물Link")</f>
        <v/>
      </c>
      <c r="Q449" s="6">
        <f>HYPERLINK("https://map.naver.com/p/search/조치원읍 신안리 346-18", "지도Link")</f>
        <v/>
      </c>
      <c r="R449" s="6">
        <f>HYPERLINK("http://www.eum.go.kr/web/ar/lu/luLandDet.jsp?pnu=3611025032103460018&amp;isNoScr=script&amp;mode=search",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204</v>
      </c>
      <c r="V449" s="4" t="n">
        <v>311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353-19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62000</v>
      </c>
      <c r="H450" s="4" t="n">
        <v>0</v>
      </c>
      <c r="I450" s="4" t="n">
        <v>158</v>
      </c>
      <c r="J450" s="4" t="n">
        <v>48</v>
      </c>
      <c r="K450" s="5" t="n">
        <v>1291.7</v>
      </c>
      <c r="L450" s="4" t="n">
        <v>264</v>
      </c>
      <c r="M450" s="4" t="n">
        <v>80</v>
      </c>
      <c r="N450" s="5" t="n">
        <v>775</v>
      </c>
      <c r="O450" s="3" t="inlineStr">
        <is>
          <t>nan</t>
        </is>
      </c>
      <c r="P450" s="6">
        <f>HYPERLINK("https://fin.land.naver.com/articles/2650552332", "매물Link")</f>
        <v/>
      </c>
      <c r="Q450" s="6">
        <f>HYPERLINK("https://map.naver.com/p/search/조치원읍 신안리 353-19", "지도Link")</f>
        <v/>
      </c>
      <c r="R450" s="6">
        <f>HYPERLINK("http://www.eum.go.kr/web/ar/lu/luLandDet.jsp?pnu=3611025032103530019&amp;isNoScr=script&amp;mode=search", "토지이음")</f>
        <v/>
      </c>
      <c r="S450" s="3" t="inlineStr">
        <is>
          <t>바다</t>
        </is>
      </c>
      <c r="T450" s="4" t="n">
        <v>1</v>
      </c>
      <c r="U450" s="5" t="n">
        <v>210.3</v>
      </c>
      <c r="V450" s="4" t="n">
        <v>156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353-19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다가구</t>
        </is>
      </c>
      <c r="F451" s="3" t="inlineStr">
        <is>
          <t>매매</t>
        </is>
      </c>
      <c r="G451" s="4" t="n">
        <v>72500</v>
      </c>
      <c r="H451" s="4" t="n">
        <v>0</v>
      </c>
      <c r="I451" s="4" t="n">
        <v>156</v>
      </c>
      <c r="J451" s="4" t="n">
        <v>47</v>
      </c>
      <c r="K451" s="5" t="n">
        <v>1542.6</v>
      </c>
      <c r="L451" s="4" t="n">
        <v>264</v>
      </c>
      <c r="M451" s="4" t="n">
        <v>80</v>
      </c>
      <c r="N451" s="5" t="n">
        <v>906.2</v>
      </c>
      <c r="O451" s="3" t="inlineStr">
        <is>
          <t>고객만족1위, 홍익대부근세종캠, 고려대근방세종캠, 조치원역 부근</t>
        </is>
      </c>
      <c r="P451" s="6">
        <f>HYPERLINK("https://fin.land.naver.com/articles/2651992800", "매물Link")</f>
        <v/>
      </c>
      <c r="Q451" s="6">
        <f>HYPERLINK("https://map.naver.com/p/search/조치원읍 신안리 353-19", "지도Link")</f>
        <v/>
      </c>
      <c r="R451" s="6">
        <f>HYPERLINK("http://www.eum.go.kr/web/ar/lu/luLandDet.jsp?pnu=3611025032103530019&amp;isNoScr=script&amp;mode=search", "토지이음")</f>
        <v/>
      </c>
      <c r="S451" s="3" t="inlineStr">
        <is>
          <t>생생</t>
        </is>
      </c>
      <c r="T451" s="4" t="n">
        <v>1</v>
      </c>
      <c r="U451" s="5" t="n">
        <v>210.3</v>
      </c>
      <c r="V451" s="4" t="n">
        <v>156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354-40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90000</v>
      </c>
      <c r="H452" s="4" t="n">
        <v>0</v>
      </c>
      <c r="I452" s="4" t="n">
        <v>347</v>
      </c>
      <c r="J452" s="4" t="n">
        <v>105</v>
      </c>
      <c r="K452" s="5" t="n">
        <v>857.1</v>
      </c>
      <c r="L452" s="4" t="n">
        <v>615</v>
      </c>
      <c r="M452" s="4" t="n">
        <v>186</v>
      </c>
      <c r="N452" s="5" t="n">
        <v>483.9</v>
      </c>
      <c r="O452" s="3" t="inlineStr">
        <is>
          <t>대학생들에게 인기 있고 관리가 잘된 원룸입니다.</t>
        </is>
      </c>
      <c r="P452" s="6">
        <f>HYPERLINK("https://fin.land.naver.com/articles/2653291133", "매물Link")</f>
        <v/>
      </c>
      <c r="Q452" s="6">
        <f>HYPERLINK("https://map.naver.com/p/search/조치원읍 신안리 354-40", "지도Link")</f>
        <v/>
      </c>
      <c r="R452" s="6">
        <f>HYPERLINK("http://www.eum.go.kr/web/ar/lu/luLandDet.jsp?pnu=3611025032103540040&amp;isNoScr=script&amp;mode=search",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204</v>
      </c>
      <c r="V452" s="4" t="n">
        <v>273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부정형</t>
        </is>
      </c>
      <c r="AA452" s="3" t="inlineStr">
        <is>
          <t>세로한면(가)</t>
        </is>
      </c>
    </row>
    <row r="453">
      <c r="A453" s="3" t="inlineStr">
        <is>
          <t>조치원읍 신안리 355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전세</t>
        </is>
      </c>
      <c r="G453" s="4" t="n">
        <v>15000</v>
      </c>
      <c r="H453" s="4" t="n">
        <v>0</v>
      </c>
      <c r="I453" s="4" t="n">
        <v>0</v>
      </c>
      <c r="J453" s="4" t="n">
        <v>0</v>
      </c>
      <c r="K453" s="5" t="n">
        <v>0</v>
      </c>
      <c r="L453" s="4" t="n">
        <v>120</v>
      </c>
      <c r="M453" s="4" t="n">
        <v>36</v>
      </c>
      <c r="N453" s="5" t="n">
        <v>416.7</v>
      </c>
      <c r="O453" s="3" t="inlineStr">
        <is>
          <t>엘리베이터 있고 화장실2개 주인세대 남향, 태양광설치</t>
        </is>
      </c>
      <c r="P453" s="6">
        <f>HYPERLINK("https://fin.land.naver.com/articles/2654594543", "매물Link")</f>
        <v/>
      </c>
      <c r="Q453" s="6">
        <f>HYPERLINK("https://map.naver.com/p/search/조치원읍 신안리 355", "지도Link")</f>
        <v/>
      </c>
      <c r="R453" s="6">
        <f>HYPERLINK("http://www.eum.go.kr/web/ar/lu/luLandDet.jsp?pnu=3611025032103550000&amp;isNoScr=script&amp;mode=search", "토지이음")</f>
        <v/>
      </c>
      <c r="S453" s="3" t="inlineStr">
        <is>
          <t>부자터</t>
        </is>
      </c>
      <c r="T453" s="4" t="n">
        <v>1</v>
      </c>
      <c r="U453" s="5" t="n">
        <v>351.4</v>
      </c>
      <c r="V453" s="4" t="n">
        <v>359</v>
      </c>
      <c r="W453" s="3" t="inlineStr">
        <is>
          <t>지정되지않음</t>
        </is>
      </c>
      <c r="X453" s="3" t="inlineStr">
        <is>
          <t>주상기타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조치원읍 신안리 355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단독</t>
        </is>
      </c>
      <c r="F454" s="3" t="inlineStr">
        <is>
          <t>전세</t>
        </is>
      </c>
      <c r="G454" s="4" t="n">
        <v>15000</v>
      </c>
      <c r="H454" s="4" t="n">
        <v>0</v>
      </c>
      <c r="I454" s="4" t="n">
        <v>120</v>
      </c>
      <c r="J454" s="4" t="n">
        <v>36</v>
      </c>
      <c r="K454" s="5" t="n">
        <v>416.7</v>
      </c>
      <c r="L454" s="4" t="n">
        <v>120</v>
      </c>
      <c r="M454" s="4" t="n">
        <v>36</v>
      </c>
      <c r="N454" s="5" t="n">
        <v>416.7</v>
      </c>
      <c r="O454" s="3" t="inlineStr">
        <is>
          <t>주인세대, 태양광 설치로 인한 저렴한 전기세</t>
        </is>
      </c>
      <c r="P454" s="6">
        <f>HYPERLINK("https://fin.land.naver.com/articles/2654012470", "매물Link")</f>
        <v/>
      </c>
      <c r="Q454" s="6">
        <f>HYPERLINK("https://map.naver.com/p/search/조치원읍 신안리 355", "지도Link")</f>
        <v/>
      </c>
      <c r="R454" s="6">
        <f>HYPERLINK("http://www.eum.go.kr/web/ar/lu/luLandDet.jsp?pnu=3611025032103550000&amp;isNoScr=script&amp;mode=search",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351.4</v>
      </c>
      <c r="V454" s="4" t="n">
        <v>359</v>
      </c>
      <c r="W454" s="3" t="inlineStr">
        <is>
          <t>지정되지않음</t>
        </is>
      </c>
      <c r="X454" s="3" t="inlineStr">
        <is>
          <t>주상기타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373-1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다가구</t>
        </is>
      </c>
      <c r="F455" s="3" t="inlineStr">
        <is>
          <t>매매</t>
        </is>
      </c>
      <c r="G455" s="4" t="n">
        <v>80000</v>
      </c>
      <c r="H455" s="4" t="n">
        <v>0</v>
      </c>
      <c r="I455" s="4" t="n">
        <v>537</v>
      </c>
      <c r="J455" s="4" t="n">
        <v>162</v>
      </c>
      <c r="K455" s="5" t="n">
        <v>493.8</v>
      </c>
      <c r="L455" s="4" t="n">
        <v>521</v>
      </c>
      <c r="M455" s="4" t="n">
        <v>158</v>
      </c>
      <c r="N455" s="5" t="n">
        <v>506.3</v>
      </c>
      <c r="O455" s="3" t="inlineStr">
        <is>
          <t>nan</t>
        </is>
      </c>
      <c r="P455" s="6">
        <f>HYPERLINK("https://fin.land.naver.com/articles/2654390057", "매물Link")</f>
        <v/>
      </c>
      <c r="Q455" s="6">
        <f>HYPERLINK("https://map.naver.com/p/search/조치원읍 신안리 373-1", "지도Link")</f>
        <v/>
      </c>
      <c r="R455" s="6">
        <f>HYPERLINK("http://www.eum.go.kr/web/ar/lu/luLandDet.jsp?pnu=3611025032103730001&amp;isNoScr=script&amp;mode=search", "토지이음")</f>
        <v/>
      </c>
      <c r="S455" s="3" t="inlineStr">
        <is>
          <t>척척</t>
        </is>
      </c>
      <c r="T455" s="4" t="n">
        <v>1</v>
      </c>
      <c r="U455" s="5" t="n">
        <v>197.1</v>
      </c>
      <c r="V455" s="4" t="n">
        <v>588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자루형</t>
        </is>
      </c>
      <c r="AA455" s="3" t="inlineStr">
        <is>
          <t>세로한면(불)</t>
        </is>
      </c>
    </row>
    <row r="456">
      <c r="A456" s="3" t="inlineStr">
        <is>
          <t>조치원읍 신안리 375-1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3</t>
        </is>
      </c>
      <c r="E456" s="3" t="inlineStr">
        <is>
          <t>다가구</t>
        </is>
      </c>
      <c r="F456" s="3" t="inlineStr">
        <is>
          <t>매매</t>
        </is>
      </c>
      <c r="G456" s="4" t="n">
        <v>160000</v>
      </c>
      <c r="H456" s="4" t="n">
        <v>0</v>
      </c>
      <c r="I456" s="4" t="n">
        <v>832</v>
      </c>
      <c r="J456" s="4" t="n">
        <v>252</v>
      </c>
      <c r="K456" s="5" t="n">
        <v>634.9</v>
      </c>
      <c r="L456" s="4" t="n">
        <v>1266</v>
      </c>
      <c r="M456" s="4" t="n">
        <v>383</v>
      </c>
      <c r="N456" s="5" t="n">
        <v>417.8</v>
      </c>
      <c r="O456" s="3" t="inlineStr">
        <is>
          <t>L홍익대 5분 O수익률 9이상</t>
        </is>
      </c>
      <c r="P456" s="6">
        <f>HYPERLINK("https://fin.land.naver.com/articles/2650552311", "매물Link")</f>
        <v/>
      </c>
      <c r="Q456" s="6">
        <f>HYPERLINK("https://map.naver.com/p/search/조치원읍 신안리 375-1", "지도Link")</f>
        <v/>
      </c>
      <c r="R456" s="6">
        <f>HYPERLINK("http://www.eum.go.kr/web/ar/lu/luLandDet.jsp?pnu=3611025032103750001&amp;isNoScr=script&amp;mode=search", "토지이음")</f>
        <v/>
      </c>
      <c r="S456" s="3" t="inlineStr">
        <is>
          <t>바다</t>
        </is>
      </c>
      <c r="T456" s="4" t="n">
        <v>1</v>
      </c>
      <c r="U456" s="5" t="n">
        <v>291.6</v>
      </c>
      <c r="V456" s="4" t="n">
        <v>368</v>
      </c>
      <c r="W456" s="3" t="inlineStr">
        <is>
          <t>지정되지않음</t>
        </is>
      </c>
      <c r="X456" s="3" t="inlineStr">
        <is>
          <t>주상용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세로한면(가)</t>
        </is>
      </c>
    </row>
    <row r="457">
      <c r="A457" s="3" t="inlineStr">
        <is>
          <t>조치원읍 신안리 383-13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다가구</t>
        </is>
      </c>
      <c r="F457" s="3" t="inlineStr">
        <is>
          <t>매매</t>
        </is>
      </c>
      <c r="G457" s="4" t="n">
        <v>45000</v>
      </c>
      <c r="H457" s="4" t="n">
        <v>0</v>
      </c>
      <c r="I457" s="4" t="n">
        <v>188</v>
      </c>
      <c r="J457" s="4" t="n">
        <v>57</v>
      </c>
      <c r="K457" s="5" t="n">
        <v>789.5</v>
      </c>
      <c r="L457" s="4" t="n">
        <v>326</v>
      </c>
      <c r="M457" s="4" t="n">
        <v>99</v>
      </c>
      <c r="N457" s="5" t="n">
        <v>454.5</v>
      </c>
      <c r="O457" s="3" t="inlineStr">
        <is>
          <t>리모델링 원룸 매매</t>
        </is>
      </c>
      <c r="P457" s="6">
        <f>HYPERLINK("https://fin.land.naver.com/articles/2654217692", "매물Link")</f>
        <v/>
      </c>
      <c r="Q457" s="6">
        <f>HYPERLINK("https://map.naver.com/p/search/조치원읍 신안리 383-13", "지도Link")</f>
        <v/>
      </c>
      <c r="R457" s="6">
        <f>HYPERLINK("http://www.eum.go.kr/web/ar/lu/luLandDet.jsp?pnu=3611025032103830013&amp;isNoScr=script&amp;mode=search", "토지이음")</f>
        <v/>
      </c>
      <c r="S457" s="3" t="inlineStr">
        <is>
          <t>고래</t>
        </is>
      </c>
      <c r="T457" s="4" t="n">
        <v>1</v>
      </c>
      <c r="U457" s="5" t="n">
        <v>208.6</v>
      </c>
      <c r="V457" s="4" t="n">
        <v>188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세로각지(가)</t>
        </is>
      </c>
    </row>
    <row r="458">
      <c r="A458" s="3" t="inlineStr">
        <is>
          <t>조치원읍 신안리 383-8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단독</t>
        </is>
      </c>
      <c r="F458" s="3" t="inlineStr">
        <is>
          <t>매매</t>
        </is>
      </c>
      <c r="G458" s="4" t="n">
        <v>45000</v>
      </c>
      <c r="H458" s="4" t="n">
        <v>0</v>
      </c>
      <c r="I458" s="4" t="n">
        <v>314</v>
      </c>
      <c r="J458" s="4" t="n">
        <v>95</v>
      </c>
      <c r="K458" s="5" t="n">
        <v>473.7</v>
      </c>
      <c r="L458" s="4" t="n">
        <v>224</v>
      </c>
      <c r="M458" s="4" t="n">
        <v>68</v>
      </c>
      <c r="N458" s="5" t="n">
        <v>661.8</v>
      </c>
      <c r="O458" s="3" t="inlineStr">
        <is>
          <t>남향, 고려대홍익대 인근 대지 넓은 2층 단독주택</t>
        </is>
      </c>
      <c r="P458" s="6">
        <f>HYPERLINK("https://fin.land.naver.com/articles/2653295743", "매물Link")</f>
        <v/>
      </c>
      <c r="Q458" s="6">
        <f>HYPERLINK("https://map.naver.com/p/search/조치원읍 신안리 383-8", "지도Link")</f>
        <v/>
      </c>
      <c r="R458" s="6">
        <f>HYPERLINK("http://www.eum.go.kr/web/ar/lu/luLandDet.jsp?pnu=3611025032103830008&amp;isNoScr=script&amp;mode=search", "토지이음")</f>
        <v/>
      </c>
      <c r="S458" s="3" t="inlineStr">
        <is>
          <t>세종공감</t>
        </is>
      </c>
      <c r="T458" s="4" t="n">
        <v>1</v>
      </c>
      <c r="U458" s="5" t="n">
        <v>200.1</v>
      </c>
      <c r="V458" s="4" t="n">
        <v>302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세로한면(가)</t>
        </is>
      </c>
    </row>
    <row r="459">
      <c r="A459" s="3" t="inlineStr">
        <is>
          <t>조치원읍 신안리 385-12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다가구</t>
        </is>
      </c>
      <c r="F459" s="3" t="inlineStr">
        <is>
          <t>매매</t>
        </is>
      </c>
      <c r="G459" s="4" t="n">
        <v>60000</v>
      </c>
      <c r="H459" s="4" t="n">
        <v>0</v>
      </c>
      <c r="I459" s="4" t="n">
        <v>322</v>
      </c>
      <c r="J459" s="4" t="n">
        <v>97</v>
      </c>
      <c r="K459" s="5" t="n">
        <v>618.6</v>
      </c>
      <c r="L459" s="4" t="n">
        <v>493</v>
      </c>
      <c r="M459" s="4" t="n">
        <v>149</v>
      </c>
      <c r="N459" s="5" t="n">
        <v>402.7</v>
      </c>
      <c r="O459" s="3" t="inlineStr">
        <is>
          <t>홍익대학교 원룸 다가구매매.수익률잘나옴.</t>
        </is>
      </c>
      <c r="P459" s="6">
        <f>HYPERLINK("https://fin.land.naver.com/articles/2650552276", "매물Link")</f>
        <v/>
      </c>
      <c r="Q459" s="6">
        <f>HYPERLINK("https://map.naver.com/p/search/조치원읍 신안리 385-12", "지도Link")</f>
        <v/>
      </c>
      <c r="R459" s="6">
        <f>HYPERLINK("http://www.eum.go.kr/web/ar/lu/luLandDet.jsp?pnu=3611025032103850012&amp;isNoScr=script&amp;mode=search", "토지이음")</f>
        <v/>
      </c>
      <c r="S459" s="3" t="inlineStr">
        <is>
          <t>바다</t>
        </is>
      </c>
      <c r="T459" s="4" t="n">
        <v>1</v>
      </c>
      <c r="U459" s="5" t="n">
        <v>192.9</v>
      </c>
      <c r="V459" s="4" t="n">
        <v>322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세로한면(가)</t>
        </is>
      </c>
    </row>
    <row r="460">
      <c r="A460" s="3" t="inlineStr">
        <is>
          <t>조치원읍 신안리 385-12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다가구</t>
        </is>
      </c>
      <c r="F460" s="3" t="inlineStr">
        <is>
          <t>매매</t>
        </is>
      </c>
      <c r="G460" s="4" t="n">
        <v>60000</v>
      </c>
      <c r="H460" s="4" t="n">
        <v>0</v>
      </c>
      <c r="I460" s="4" t="n">
        <v>322</v>
      </c>
      <c r="J460" s="4" t="n">
        <v>97</v>
      </c>
      <c r="K460" s="5" t="n">
        <v>618.6</v>
      </c>
      <c r="L460" s="4" t="n">
        <v>493</v>
      </c>
      <c r="M460" s="4" t="n">
        <v>149</v>
      </c>
      <c r="N460" s="5" t="n">
        <v>402.7</v>
      </c>
      <c r="O460" s="3" t="inlineStr">
        <is>
          <t>홍익대학교, 고려대학교 후문쪽 위치, 공실없음</t>
        </is>
      </c>
      <c r="P460" s="6">
        <f>HYPERLINK("https://fin.land.naver.com/articles/2653295120", "매물Link")</f>
        <v/>
      </c>
      <c r="Q460" s="6">
        <f>HYPERLINK("https://map.naver.com/p/search/조치원읍 신안리 385-12", "지도Link")</f>
        <v/>
      </c>
      <c r="R460" s="6">
        <f>HYPERLINK("http://www.eum.go.kr/web/ar/lu/luLandDet.jsp?pnu=3611025032103850012&amp;isNoScr=script&amp;mode=search", "토지이음")</f>
        <v/>
      </c>
      <c r="S460" s="3" t="inlineStr">
        <is>
          <t>세종공감</t>
        </is>
      </c>
      <c r="T460" s="4" t="n">
        <v>1</v>
      </c>
      <c r="U460" s="5" t="n">
        <v>192.9</v>
      </c>
      <c r="V460" s="4" t="n">
        <v>322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조치원읍 신안리 385-12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60000</v>
      </c>
      <c r="H461" s="4" t="n">
        <v>0</v>
      </c>
      <c r="I461" s="4" t="n">
        <v>322</v>
      </c>
      <c r="J461" s="4" t="n">
        <v>97</v>
      </c>
      <c r="K461" s="5" t="n">
        <v>618.6</v>
      </c>
      <c r="L461" s="4" t="n">
        <v>493</v>
      </c>
      <c r="M461" s="4" t="n">
        <v>149</v>
      </c>
      <c r="N461" s="5" t="n">
        <v>402.7</v>
      </c>
      <c r="O461" s="3" t="inlineStr">
        <is>
          <t>nan</t>
        </is>
      </c>
      <c r="P461" s="6">
        <f>HYPERLINK("https://fin.land.naver.com/articles/2654390565", "매물Link")</f>
        <v/>
      </c>
      <c r="Q461" s="6">
        <f>HYPERLINK("https://map.naver.com/p/search/조치원읍 신안리 385-12", "지도Link")</f>
        <v/>
      </c>
      <c r="R461" s="6">
        <f>HYPERLINK("http://www.eum.go.kr/web/ar/lu/luLandDet.jsp?pnu=3611025032103850012&amp;isNoScr=script&amp;mode=search", "토지이음")</f>
        <v/>
      </c>
      <c r="S461" s="3" t="inlineStr">
        <is>
          <t>척척</t>
        </is>
      </c>
      <c r="T461" s="4" t="n">
        <v>1</v>
      </c>
      <c r="U461" s="5" t="n">
        <v>192.9</v>
      </c>
      <c r="V461" s="4" t="n">
        <v>322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부정형</t>
        </is>
      </c>
      <c r="AA461" s="3" t="inlineStr">
        <is>
          <t>세로한면(가)</t>
        </is>
      </c>
    </row>
    <row r="462">
      <c r="A462" s="3" t="inlineStr">
        <is>
          <t>조치원읍 신안리 386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다가구</t>
        </is>
      </c>
      <c r="F462" s="3" t="inlineStr">
        <is>
          <t>월세</t>
        </is>
      </c>
      <c r="G462" s="4" t="n">
        <v>100</v>
      </c>
      <c r="H462" s="4" t="n">
        <v>26</v>
      </c>
      <c r="I462" s="4" t="n">
        <v>26</v>
      </c>
      <c r="J462" s="4" t="n">
        <v>8</v>
      </c>
      <c r="K462" s="5" t="n">
        <v>3.2</v>
      </c>
      <c r="L462" s="4" t="n">
        <v>26</v>
      </c>
      <c r="M462" s="4" t="n">
        <v>8</v>
      </c>
      <c r="N462" s="5" t="n">
        <v>3.2</v>
      </c>
      <c r="O462" s="3" t="inlineStr">
        <is>
          <t>보증금과 월세가 저렴하고 넓은 방, 고려대, 홍익대 인근임</t>
        </is>
      </c>
      <c r="P462" s="6">
        <f>HYPERLINK("https://fin.land.naver.com/articles/2653990138", "매물Link")</f>
        <v/>
      </c>
      <c r="Q462" s="6">
        <f>HYPERLINK("https://map.naver.com/p/search/조치원읍 신안리 386", "지도Link")</f>
        <v/>
      </c>
      <c r="R462" s="6">
        <f>HYPERLINK("http://www.eum.go.kr/web/ar/lu/luLandDet.jsp?pnu=3611025032103860000&amp;isNoScr=script&amp;mode=search", "토지이음")</f>
        <v/>
      </c>
      <c r="S462" s="3" t="inlineStr">
        <is>
          <t>세종베스트</t>
        </is>
      </c>
      <c r="T462" s="4" t="n">
        <v>1</v>
      </c>
      <c r="U462" s="5" t="n">
        <v>192.9</v>
      </c>
      <c r="V462" s="4" t="n">
        <v>295</v>
      </c>
      <c r="W462" s="3" t="inlineStr">
        <is>
          <t>지정되지않음</t>
        </is>
      </c>
      <c r="X462" s="3" t="inlineStr">
        <is>
          <t>다세대</t>
        </is>
      </c>
      <c r="Y462" s="3" t="inlineStr">
        <is>
          <t>평지</t>
        </is>
      </c>
      <c r="Z462" s="3" t="inlineStr">
        <is>
          <t>부정형</t>
        </is>
      </c>
      <c r="AA462" s="3" t="inlineStr">
        <is>
          <t>세로한면(가)</t>
        </is>
      </c>
    </row>
    <row r="463">
      <c r="A463" s="3" t="inlineStr">
        <is>
          <t>조치원읍 신안리 387-10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다가구</t>
        </is>
      </c>
      <c r="F463" s="3" t="inlineStr">
        <is>
          <t>월세</t>
        </is>
      </c>
      <c r="G463" s="4" t="n">
        <v>200</v>
      </c>
      <c r="H463" s="4" t="n">
        <v>30</v>
      </c>
      <c r="I463" s="4" t="n">
        <v>33</v>
      </c>
      <c r="J463" s="4" t="n">
        <v>10</v>
      </c>
      <c r="K463" s="5" t="n">
        <v>3</v>
      </c>
      <c r="L463" s="4" t="n">
        <v>33</v>
      </c>
      <c r="M463" s="4" t="n">
        <v>10</v>
      </c>
      <c r="N463" s="5" t="n">
        <v>3</v>
      </c>
      <c r="O463" s="3" t="inlineStr">
        <is>
          <t>nan</t>
        </is>
      </c>
      <c r="P463" s="6">
        <f>HYPERLINK("https://fin.land.naver.com/articles/2651720837", "매물Link")</f>
        <v/>
      </c>
      <c r="Q463" s="6">
        <f>HYPERLINK("https://map.naver.com/p/search/조치원읍 신안리 387-10", "지도Link")</f>
        <v/>
      </c>
      <c r="R463" s="6">
        <f>HYPERLINK("http://www.eum.go.kr/web/ar/lu/luLandDet.jsp?pnu=3611025032103870010&amp;isNoScr=script&amp;mode=search", "토지이음")</f>
        <v/>
      </c>
      <c r="S463" s="3" t="inlineStr">
        <is>
          <t>-</t>
        </is>
      </c>
      <c r="T463" s="4" t="n">
        <v>1</v>
      </c>
      <c r="U463" s="5" t="n">
        <v>198.8</v>
      </c>
      <c r="V463" s="4" t="n">
        <v>294</v>
      </c>
      <c r="W463" s="3" t="inlineStr">
        <is>
          <t>지정되지않음</t>
        </is>
      </c>
      <c r="X463" s="3" t="inlineStr">
        <is>
          <t>다세대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387-5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다가구</t>
        </is>
      </c>
      <c r="F464" s="3" t="inlineStr">
        <is>
          <t>매매</t>
        </is>
      </c>
      <c r="G464" s="4" t="n">
        <v>110000</v>
      </c>
      <c r="H464" s="4" t="n">
        <v>0</v>
      </c>
      <c r="I464" s="4" t="n">
        <v>351</v>
      </c>
      <c r="J464" s="4" t="n">
        <v>106</v>
      </c>
      <c r="K464" s="5" t="n">
        <v>1037.7</v>
      </c>
      <c r="L464" s="4" t="n">
        <v>594</v>
      </c>
      <c r="M464" s="4" t="n">
        <v>180</v>
      </c>
      <c r="N464" s="5" t="n">
        <v>611.1</v>
      </c>
      <c r="O464" s="3" t="inlineStr">
        <is>
          <t>고대와 홍대사이의 인기있는 원룸으로 공실없음</t>
        </is>
      </c>
      <c r="P464" s="6">
        <f>HYPERLINK("https://fin.land.naver.com/articles/2653294943", "매물Link")</f>
        <v/>
      </c>
      <c r="Q464" s="6">
        <f>HYPERLINK("https://map.naver.com/p/search/조치원읍 신안리 387-5", "지도Link")</f>
        <v/>
      </c>
      <c r="R464" s="6">
        <f>HYPERLINK("http://www.eum.go.kr/web/ar/lu/luLandDet.jsp?pnu=3611025032103870005&amp;isNoScr=script&amp;mode=search", "토지이음")</f>
        <v/>
      </c>
      <c r="S464" s="3" t="inlineStr">
        <is>
          <t>세종공감</t>
        </is>
      </c>
      <c r="T464" s="4" t="n">
        <v>1</v>
      </c>
      <c r="U464" s="5" t="n">
        <v>182.9</v>
      </c>
      <c r="V464" s="4" t="n">
        <v>351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세로한면(불)</t>
        </is>
      </c>
    </row>
    <row r="465">
      <c r="A465" s="3" t="inlineStr">
        <is>
          <t>조치원읍 신안리 387-5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4</t>
        </is>
      </c>
      <c r="E465" s="3" t="inlineStr">
        <is>
          <t>단독</t>
        </is>
      </c>
      <c r="F465" s="3" t="inlineStr">
        <is>
          <t>매매</t>
        </is>
      </c>
      <c r="G465" s="4" t="n">
        <v>107000</v>
      </c>
      <c r="H465" s="4" t="n">
        <v>0</v>
      </c>
      <c r="I465" s="4" t="n">
        <v>351</v>
      </c>
      <c r="J465" s="4" t="n">
        <v>106</v>
      </c>
      <c r="K465" s="5" t="n">
        <v>1009.4</v>
      </c>
      <c r="L465" s="4" t="n">
        <v>594</v>
      </c>
      <c r="M465" s="4" t="n">
        <v>180</v>
      </c>
      <c r="N465" s="5" t="n">
        <v>594.4</v>
      </c>
      <c r="O465" s="3" t="inlineStr">
        <is>
          <t>고대홍대 매년 공실X 수익율 좋은 다가구</t>
        </is>
      </c>
      <c r="P465" s="6">
        <f>HYPERLINK("https://fin.land.naver.com/articles/2653790098", "매물Link")</f>
        <v/>
      </c>
      <c r="Q465" s="6">
        <f>HYPERLINK("https://map.naver.com/p/search/조치원읍 신안리 387-5", "지도Link")</f>
        <v/>
      </c>
      <c r="R465" s="6">
        <f>HYPERLINK("http://www.eum.go.kr/web/ar/lu/luLandDet.jsp?pnu=3611025032103870005&amp;isNoScr=script&amp;mode=search", "토지이음")</f>
        <v/>
      </c>
      <c r="S465" s="3" t="inlineStr">
        <is>
          <t>무지개</t>
        </is>
      </c>
      <c r="T465" s="4" t="n">
        <v>1</v>
      </c>
      <c r="U465" s="5" t="n">
        <v>182.9</v>
      </c>
      <c r="V465" s="4" t="n">
        <v>351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세로한면(불)</t>
        </is>
      </c>
    </row>
    <row r="466">
      <c r="A466" s="3" t="inlineStr">
        <is>
          <t>조치원읍 신안리 389-8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일반원룸</t>
        </is>
      </c>
      <c r="F466" s="3" t="inlineStr">
        <is>
          <t>전세</t>
        </is>
      </c>
      <c r="G466" s="4" t="n">
        <v>4500</v>
      </c>
      <c r="H466" s="4" t="n">
        <v>0</v>
      </c>
      <c r="I466" s="4" t="n">
        <v>25</v>
      </c>
      <c r="J466" s="4" t="n">
        <v>8</v>
      </c>
      <c r="K466" s="5" t="n">
        <v>562.5</v>
      </c>
      <c r="L466" s="4" t="n">
        <v>25</v>
      </c>
      <c r="M466" s="4" t="n">
        <v>8</v>
      </c>
      <c r="N466" s="5" t="n">
        <v>562.5</v>
      </c>
      <c r="O466" s="3" t="inlineStr">
        <is>
          <t>공과금 모두 포함하여 1달 15만원 추가비용없음</t>
        </is>
      </c>
      <c r="P466" s="6">
        <f>HYPERLINK("https://fin.land.naver.com/articles/2653252633", "매물Link")</f>
        <v/>
      </c>
      <c r="Q466" s="6">
        <f>HYPERLINK("https://map.naver.com/p/search/조치원읍 신안리 389-8", "지도Link")</f>
        <v/>
      </c>
      <c r="R466" s="6">
        <f>HYPERLINK("http://www.eum.go.kr/web/ar/lu/luLandDet.jsp?pnu=3611025032103890008&amp;isNoScr=script&amp;mode=search", "토지이음")</f>
        <v/>
      </c>
      <c r="S466" s="3" t="inlineStr">
        <is>
          <t>부자터</t>
        </is>
      </c>
      <c r="T466" s="4" t="n">
        <v>1</v>
      </c>
      <c r="U466" s="5" t="n">
        <v>363.6</v>
      </c>
      <c r="V466" s="4" t="n">
        <v>294</v>
      </c>
      <c r="W466" s="3" t="inlineStr">
        <is>
          <t>지정되지않음</t>
        </is>
      </c>
      <c r="X466" s="3" t="inlineStr">
        <is>
          <t>주상용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조치원읍 신안리 391-1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다가구</t>
        </is>
      </c>
      <c r="F467" s="3" t="inlineStr">
        <is>
          <t>월세</t>
        </is>
      </c>
      <c r="G467" s="4" t="n">
        <v>50</v>
      </c>
      <c r="H467" s="4" t="n">
        <v>27</v>
      </c>
      <c r="I467" s="4" t="n">
        <v>28</v>
      </c>
      <c r="J467" s="4" t="n">
        <v>8</v>
      </c>
      <c r="K467" s="5" t="n">
        <v>3.4</v>
      </c>
      <c r="L467" s="4" t="n">
        <v>28</v>
      </c>
      <c r="M467" s="4" t="n">
        <v>8</v>
      </c>
      <c r="N467" s="5" t="n">
        <v>3.4</v>
      </c>
      <c r="O467" s="3" t="inlineStr">
        <is>
          <t>넒은 원룸이며, 고려대학교, 홍익대학교 옆에 위치하여 교통 편리</t>
        </is>
      </c>
      <c r="P467" s="6">
        <f>HYPERLINK("https://fin.land.naver.com/articles/2651502820", "매물Link")</f>
        <v/>
      </c>
      <c r="Q467" s="6">
        <f>HYPERLINK("https://map.naver.com/p/search/조치원읍 신안리 391-1", "지도Link")</f>
        <v/>
      </c>
      <c r="R467" s="6">
        <f>HYPERLINK("http://www.eum.go.kr/web/ar/lu/luLandDet.jsp?pnu=3611025032103910001&amp;isNoScr=script&amp;mode=search", "토지이음")</f>
        <v/>
      </c>
      <c r="S467" s="3" t="inlineStr">
        <is>
          <t>세종베스트</t>
        </is>
      </c>
      <c r="T467" s="4" t="n">
        <v>1</v>
      </c>
      <c r="U467" s="5" t="n">
        <v>271.1</v>
      </c>
      <c r="V467" s="4" t="n">
        <v>315</v>
      </c>
      <c r="W467" s="3" t="inlineStr">
        <is>
          <t>지정되지않음</t>
        </is>
      </c>
      <c r="X467" s="3" t="inlineStr">
        <is>
          <t>주상용</t>
        </is>
      </c>
      <c r="Y467" s="3" t="inlineStr">
        <is>
          <t>평지</t>
        </is>
      </c>
      <c r="Z467" s="3" t="inlineStr">
        <is>
          <t>부정형</t>
        </is>
      </c>
      <c r="AA467" s="3" t="inlineStr">
        <is>
          <t>세로각지(가)</t>
        </is>
      </c>
    </row>
    <row r="468">
      <c r="A468" s="3" t="inlineStr">
        <is>
          <t>조치원읍 신안리 393-12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일반원룸</t>
        </is>
      </c>
      <c r="F468" s="3" t="inlineStr">
        <is>
          <t>월세</t>
        </is>
      </c>
      <c r="G468" s="4" t="n">
        <v>30</v>
      </c>
      <c r="H468" s="4" t="n">
        <v>38</v>
      </c>
      <c r="I468" s="4" t="n">
        <v>0</v>
      </c>
      <c r="J468" s="4" t="n">
        <v>0</v>
      </c>
      <c r="K468" s="5" t="n">
        <v>0</v>
      </c>
      <c r="L468" s="4" t="n">
        <v>13</v>
      </c>
      <c r="M468" s="4" t="n">
        <v>4</v>
      </c>
      <c r="N468" s="5" t="n">
        <v>9.5</v>
      </c>
      <c r="O468" s="3" t="inlineStr">
        <is>
          <t>출퇴근용으로 거주하기 좋은 저렴한 원룸단기가능모든공과금포함</t>
        </is>
      </c>
      <c r="P468" s="6">
        <f>HYPERLINK("https://fin.land.naver.com/articles/2653790476", "매물Link")</f>
        <v/>
      </c>
      <c r="Q468" s="6">
        <f>HYPERLINK("https://map.naver.com/p/search/조치원읍 신안리 393-12", "지도Link")</f>
        <v/>
      </c>
      <c r="R468" s="6">
        <f>HYPERLINK("http://www.eum.go.kr/web/ar/lu/luLandDet.jsp?pnu=3611025032103930012&amp;isNoScr=script&amp;mode=search", "토지이음")</f>
        <v/>
      </c>
      <c r="S468" s="3" t="inlineStr">
        <is>
          <t>무지개</t>
        </is>
      </c>
      <c r="T468" s="4" t="n">
        <v>1</v>
      </c>
      <c r="U468" s="5" t="n">
        <v>202.2</v>
      </c>
      <c r="V468" s="4" t="n">
        <v>319</v>
      </c>
      <c r="W468" s="3" t="inlineStr">
        <is>
          <t>지정되지않음</t>
        </is>
      </c>
      <c r="X468" s="3" t="inlineStr">
        <is>
          <t>다세대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세로한면(가)</t>
        </is>
      </c>
    </row>
    <row r="469">
      <c r="A469" s="3" t="inlineStr">
        <is>
          <t>조치원읍 신안리 393-19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단독</t>
        </is>
      </c>
      <c r="F469" s="3" t="inlineStr">
        <is>
          <t>월세</t>
        </is>
      </c>
      <c r="G469" s="4" t="n">
        <v>7000</v>
      </c>
      <c r="H469" s="4" t="n">
        <v>30</v>
      </c>
      <c r="I469" s="4" t="n">
        <v>0</v>
      </c>
      <c r="J469" s="4" t="n">
        <v>0</v>
      </c>
      <c r="K469" s="5" t="n">
        <v>0</v>
      </c>
      <c r="L469" s="4" t="n">
        <v>60</v>
      </c>
      <c r="M469" s="4" t="n">
        <v>18</v>
      </c>
      <c r="N469" s="5" t="n">
        <v>1.7</v>
      </c>
      <c r="O469" s="3" t="inlineStr">
        <is>
          <t>LH 대출 가능 합니다. 투룸</t>
        </is>
      </c>
      <c r="P469" s="6">
        <f>HYPERLINK("https://fin.land.naver.com/articles/2652808262", "매물Link")</f>
        <v/>
      </c>
      <c r="Q469" s="6">
        <f>HYPERLINK("https://map.naver.com/p/search/조치원읍 신안리 393-19", "지도Link")</f>
        <v/>
      </c>
      <c r="R469" s="6">
        <f>HYPERLINK("http://www.eum.go.kr/web/ar/lu/luLandDet.jsp?pnu=3611025032103930019&amp;isNoScr=script&amp;mode=search", "토지이음")</f>
        <v/>
      </c>
      <c r="S469" s="3" t="inlineStr">
        <is>
          <t>지성</t>
        </is>
      </c>
      <c r="T469" s="4" t="n">
        <v>1</v>
      </c>
      <c r="U469" s="5" t="n">
        <v>200.1</v>
      </c>
      <c r="V469" s="4" t="n">
        <v>166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조치원읍 신안리 394-12</t>
        </is>
      </c>
      <c r="B470" s="3" t="inlineStr">
        <is>
          <t>제1종일반주거지역</t>
        </is>
      </c>
      <c r="C470" s="3" t="inlineStr">
        <is>
          <t>대</t>
        </is>
      </c>
      <c r="D470" s="3" t="inlineStr">
        <is>
          <t>0</t>
        </is>
      </c>
      <c r="E470" s="3" t="inlineStr">
        <is>
          <t>일반원룸</t>
        </is>
      </c>
      <c r="F470" s="3" t="inlineStr">
        <is>
          <t>월세</t>
        </is>
      </c>
      <c r="G470" s="4" t="n">
        <v>300</v>
      </c>
      <c r="H470" s="4" t="n">
        <v>30</v>
      </c>
      <c r="I470" s="4" t="n">
        <v>25</v>
      </c>
      <c r="J470" s="4" t="n">
        <v>8</v>
      </c>
      <c r="K470" s="5" t="n">
        <v>3.8</v>
      </c>
      <c r="L470" s="4" t="n">
        <v>25</v>
      </c>
      <c r="M470" s="4" t="n">
        <v>8</v>
      </c>
      <c r="N470" s="5" t="n">
        <v>3.8</v>
      </c>
      <c r="O470" s="3" t="inlineStr">
        <is>
          <t>음식점, 편의점, 버스정류장도 가까운 곳에 있는 집</t>
        </is>
      </c>
      <c r="P470" s="6">
        <f>HYPERLINK("https://fin.land.naver.com/articles/2649956802", "매물Link")</f>
        <v/>
      </c>
      <c r="Q470" s="6">
        <f>HYPERLINK("https://map.naver.com/p/search/조치원읍 신안리 394-12", "지도Link")</f>
        <v/>
      </c>
      <c r="R470" s="6">
        <f>HYPERLINK("http://www.eum.go.kr/web/ar/lu/luLandDet.jsp?pnu=3611025032103940012&amp;isNoScr=script&amp;mode=search", "토지이음")</f>
        <v/>
      </c>
      <c r="S470" s="3" t="inlineStr">
        <is>
          <t>부자터</t>
        </is>
      </c>
      <c r="T470" s="4" t="n">
        <v>1</v>
      </c>
      <c r="U470" s="5" t="n">
        <v>302.3</v>
      </c>
      <c r="V470" s="4" t="n">
        <v>222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중로한면</t>
        </is>
      </c>
    </row>
    <row r="471">
      <c r="A471" s="3" t="inlineStr">
        <is>
          <t>조치원읍 신안리 394-32</t>
        </is>
      </c>
      <c r="B471" s="3" t="inlineStr">
        <is>
          <t>제1종일반주거지역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일반원룸</t>
        </is>
      </c>
      <c r="F471" s="3" t="inlineStr">
        <is>
          <t>월세</t>
        </is>
      </c>
      <c r="G471" s="4" t="n">
        <v>300</v>
      </c>
      <c r="H471" s="4" t="n">
        <v>30</v>
      </c>
      <c r="I471" s="4" t="n">
        <v>39</v>
      </c>
      <c r="J471" s="4" t="n">
        <v>12</v>
      </c>
      <c r="K471" s="5" t="n">
        <v>2.5</v>
      </c>
      <c r="L471" s="4" t="n">
        <v>23</v>
      </c>
      <c r="M471" s="4" t="n">
        <v>7</v>
      </c>
      <c r="N471" s="5" t="n">
        <v>4.3</v>
      </c>
      <c r="O471" s="3" t="inlineStr">
        <is>
          <t>반짝O신축급 귀한원룸O고홍대추천O올풀옵션완비</t>
        </is>
      </c>
      <c r="P471" s="6">
        <f>HYPERLINK("https://fin.land.naver.com/articles/2654030656", "매물Link")</f>
        <v/>
      </c>
      <c r="Q471" s="6">
        <f>HYPERLINK("https://map.naver.com/p/search/조치원읍 신안리 394-32", "지도Link")</f>
        <v/>
      </c>
      <c r="R471" s="6">
        <f>HYPERLINK("http://www.eum.go.kr/web/ar/lu/luLandDet.jsp?pnu=3611025032103940032&amp;isNoScr=script&amp;mode=search", "토지이음")</f>
        <v/>
      </c>
      <c r="S471" s="3" t="inlineStr">
        <is>
          <t>척척</t>
        </is>
      </c>
      <c r="T471" s="4" t="n">
        <v>1</v>
      </c>
      <c r="U471" s="5" t="n">
        <v>227.9</v>
      </c>
      <c r="V471" s="4" t="n">
        <v>208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부정형</t>
        </is>
      </c>
      <c r="AA471" s="3" t="inlineStr">
        <is>
          <t>세로한면(불)</t>
        </is>
      </c>
    </row>
    <row r="472">
      <c r="A472" s="3" t="inlineStr">
        <is>
          <t>조치원읍 신안리 394-35</t>
        </is>
      </c>
      <c r="B472" s="3" t="inlineStr">
        <is>
          <t>제1종일반주거지역</t>
        </is>
      </c>
      <c r="C472" s="3" t="inlineStr">
        <is>
          <t>대</t>
        </is>
      </c>
      <c r="D472" s="3" t="inlineStr">
        <is>
          <t>3</t>
        </is>
      </c>
      <c r="E472" s="3" t="inlineStr">
        <is>
          <t>단독</t>
        </is>
      </c>
      <c r="F472" s="3" t="inlineStr">
        <is>
          <t>매매</t>
        </is>
      </c>
      <c r="G472" s="4" t="n">
        <v>90000</v>
      </c>
      <c r="H472" s="4" t="n">
        <v>0</v>
      </c>
      <c r="I472" s="4" t="n">
        <v>311</v>
      </c>
      <c r="J472" s="4" t="n">
        <v>94</v>
      </c>
      <c r="K472" s="5" t="n">
        <v>957.4</v>
      </c>
      <c r="L472" s="4" t="n">
        <v>328</v>
      </c>
      <c r="M472" s="4" t="n">
        <v>99</v>
      </c>
      <c r="N472" s="5" t="n">
        <v>909.1</v>
      </c>
      <c r="O472" s="3" t="inlineStr">
        <is>
          <t>수익률 10 년수익 5,145만원 원룸 통매매</t>
        </is>
      </c>
      <c r="P472" s="6">
        <f>HYPERLINK("https://fin.land.naver.com/articles/2653931632", "매물Link")</f>
        <v/>
      </c>
      <c r="Q472" s="6">
        <f>HYPERLINK("https://map.naver.com/p/search/조치원읍 신안리 394-35", "지도Link")</f>
        <v/>
      </c>
      <c r="R472" s="6">
        <f>HYPERLINK("http://www.eum.go.kr/web/ar/lu/luLandDet.jsp?pnu=3611025032103940035&amp;isNoScr=script&amp;mode=search", "토지이음")</f>
        <v/>
      </c>
      <c r="S472" s="3" t="inlineStr">
        <is>
          <t>고래</t>
        </is>
      </c>
      <c r="T472" s="4" t="n">
        <v>1</v>
      </c>
      <c r="U472" s="5" t="n">
        <v>235.1</v>
      </c>
      <c r="V472" s="4" t="n">
        <v>311</v>
      </c>
      <c r="W472" s="3" t="inlineStr">
        <is>
          <t>지정되지않음</t>
        </is>
      </c>
      <c r="X472" s="3" t="inlineStr">
        <is>
          <t>다세대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세로한면(불)</t>
        </is>
      </c>
    </row>
    <row r="473">
      <c r="A473" s="3" t="inlineStr">
        <is>
          <t>조치원읍 신안리 394-38</t>
        </is>
      </c>
      <c r="B473" s="3" t="inlineStr">
        <is>
          <t>제1종일반주거지역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다가구</t>
        </is>
      </c>
      <c r="F473" s="3" t="inlineStr">
        <is>
          <t>매매</t>
        </is>
      </c>
      <c r="G473" s="4" t="n">
        <v>100000</v>
      </c>
      <c r="H473" s="4" t="n">
        <v>0</v>
      </c>
      <c r="I473" s="4" t="n">
        <v>289</v>
      </c>
      <c r="J473" s="4" t="n">
        <v>87</v>
      </c>
      <c r="K473" s="5" t="n">
        <v>1149.4</v>
      </c>
      <c r="L473" s="4" t="n">
        <v>329</v>
      </c>
      <c r="M473" s="4" t="n">
        <v>100</v>
      </c>
      <c r="N473" s="5" t="n">
        <v>1000</v>
      </c>
      <c r="O473" s="3" t="inlineStr">
        <is>
          <t>인근 홍익대 위치로 공실없이 연세로 운영되며 수익률10프로 이상</t>
        </is>
      </c>
      <c r="P473" s="6">
        <f>HYPERLINK("https://fin.land.naver.com/articles/2651069625", "매물Link")</f>
        <v/>
      </c>
      <c r="Q473" s="6">
        <f>HYPERLINK("https://map.naver.com/p/search/조치원읍 신안리 394-38", "지도Link")</f>
        <v/>
      </c>
      <c r="R473" s="6">
        <f>HYPERLINK("http://www.eum.go.kr/web/ar/lu/luLandDet.jsp?pnu=3611025032103940038&amp;isNoScr=script&amp;mode=search", "토지이음")</f>
        <v/>
      </c>
      <c r="S473" s="3" t="inlineStr">
        <is>
          <t>한림신화</t>
        </is>
      </c>
      <c r="T473" s="4" t="n">
        <v>2</v>
      </c>
      <c r="U473" s="5" t="n">
        <v>227.9</v>
      </c>
      <c r="V473" s="4" t="n">
        <v>289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자루형</t>
        </is>
      </c>
      <c r="AA473" s="3" t="inlineStr">
        <is>
          <t>세로한면(불)</t>
        </is>
      </c>
    </row>
    <row r="474">
      <c r="A474" s="3" t="inlineStr">
        <is>
          <t>조치원읍 신안리 394-38</t>
        </is>
      </c>
      <c r="B474" s="3" t="inlineStr">
        <is>
          <t>제1종일반주거지역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일반원룸</t>
        </is>
      </c>
      <c r="F474" s="3" t="inlineStr">
        <is>
          <t>전세</t>
        </is>
      </c>
      <c r="G474" s="4" t="n">
        <v>5000</v>
      </c>
      <c r="H474" s="4" t="n">
        <v>0</v>
      </c>
      <c r="I474" s="4" t="n">
        <v>20</v>
      </c>
      <c r="J474" s="4" t="n">
        <v>6</v>
      </c>
      <c r="K474" s="5" t="n">
        <v>833.3</v>
      </c>
      <c r="L474" s="4" t="n">
        <v>20</v>
      </c>
      <c r="M474" s="4" t="n">
        <v>6</v>
      </c>
      <c r="N474" s="5" t="n">
        <v>833.3</v>
      </c>
      <c r="O474" s="3" t="inlineStr">
        <is>
          <t>귀한 원룸 전세매물</t>
        </is>
      </c>
      <c r="P474" s="6">
        <f>HYPERLINK("https://fin.land.naver.com/articles/2649956631", "매물Link")</f>
        <v/>
      </c>
      <c r="Q474" s="6">
        <f>HYPERLINK("https://map.naver.com/p/search/조치원읍 신안리 394-38", "지도Link")</f>
        <v/>
      </c>
      <c r="R474" s="6">
        <f>HYPERLINK("http://www.eum.go.kr/web/ar/lu/luLandDet.jsp?pnu=3611025032103940038&amp;isNoScr=script&amp;mode=search", "토지이음")</f>
        <v/>
      </c>
      <c r="S474" s="3" t="inlineStr">
        <is>
          <t>부자터</t>
        </is>
      </c>
      <c r="T474" s="4" t="n">
        <v>1</v>
      </c>
      <c r="U474" s="5" t="n">
        <v>227.9</v>
      </c>
      <c r="V474" s="4" t="n">
        <v>289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자루형</t>
        </is>
      </c>
      <c r="AA474" s="3" t="inlineStr">
        <is>
          <t>세로한면(불)</t>
        </is>
      </c>
    </row>
    <row r="475">
      <c r="A475" s="3" t="inlineStr">
        <is>
          <t>조치원읍 신안리 394-8</t>
        </is>
      </c>
      <c r="B475" s="3" t="inlineStr">
        <is>
          <t>제1종일반주거지역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다가구</t>
        </is>
      </c>
      <c r="F475" s="3" t="inlineStr">
        <is>
          <t>매매</t>
        </is>
      </c>
      <c r="G475" s="4" t="n">
        <v>97000</v>
      </c>
      <c r="H475" s="4" t="n">
        <v>0</v>
      </c>
      <c r="I475" s="4" t="n">
        <v>251</v>
      </c>
      <c r="J475" s="4" t="n">
        <v>76</v>
      </c>
      <c r="K475" s="5" t="n">
        <v>1276.3</v>
      </c>
      <c r="L475" s="4" t="n">
        <v>329</v>
      </c>
      <c r="M475" s="4" t="n">
        <v>100</v>
      </c>
      <c r="N475" s="5" t="n">
        <v>970</v>
      </c>
      <c r="O475" s="3" t="inlineStr">
        <is>
          <t>수익율 최고 18세대, 연 9.5 프로 수익율,  관리상태 최상급</t>
        </is>
      </c>
      <c r="P475" s="6">
        <f>HYPERLINK("https://fin.land.naver.com/articles/2649567909", "매물Link")</f>
        <v/>
      </c>
      <c r="Q475" s="6">
        <f>HYPERLINK("https://map.naver.com/p/search/조치원읍 신안리 394-8", "지도Link")</f>
        <v/>
      </c>
      <c r="R475" s="6">
        <f>HYPERLINK("http://www.eum.go.kr/web/ar/lu/luLandDet.jsp?pnu=3611025032103940008&amp;isNoScr=script&amp;mode=search", "토지이음")</f>
        <v/>
      </c>
      <c r="S475" s="3" t="inlineStr">
        <is>
          <t>기흥역미래</t>
        </is>
      </c>
      <c r="T475" s="4" t="n">
        <v>1</v>
      </c>
      <c r="U475" s="5" t="n">
        <v>255.5</v>
      </c>
      <c r="V475" s="4" t="n">
        <v>251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세로한면(가)</t>
        </is>
      </c>
    </row>
    <row r="476">
      <c r="A476" s="3" t="inlineStr">
        <is>
          <t>조치원읍 신안리 432-15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0</t>
        </is>
      </c>
      <c r="E476" s="3" t="inlineStr">
        <is>
          <t>일반원룸</t>
        </is>
      </c>
      <c r="F476" s="3" t="inlineStr">
        <is>
          <t>전세</t>
        </is>
      </c>
      <c r="G476" s="4" t="n">
        <v>4000</v>
      </c>
      <c r="H476" s="4" t="n">
        <v>0</v>
      </c>
      <c r="I476" s="4" t="n">
        <v>20</v>
      </c>
      <c r="J476" s="4" t="n">
        <v>6</v>
      </c>
      <c r="K476" s="5" t="n">
        <v>666.7</v>
      </c>
      <c r="L476" s="4" t="n">
        <v>20</v>
      </c>
      <c r="M476" s="4" t="n">
        <v>6</v>
      </c>
      <c r="N476" s="5" t="n">
        <v>666.7</v>
      </c>
      <c r="O476" s="3" t="inlineStr">
        <is>
          <t>즉시입주</t>
        </is>
      </c>
      <c r="P476" s="6">
        <f>HYPERLINK("https://fin.land.naver.com/articles/2649956345", "매물Link")</f>
        <v/>
      </c>
      <c r="Q476" s="6">
        <f>HYPERLINK("https://map.naver.com/p/search/조치원읍 신안리 432-15", "지도Link")</f>
        <v/>
      </c>
      <c r="R476" s="6">
        <f>HYPERLINK("http://www.eum.go.kr/web/ar/lu/luLandDet.jsp?pnu=3611025032104320015&amp;isNoScr=script&amp;mode=search", "토지이음")</f>
        <v/>
      </c>
      <c r="S476" s="3" t="inlineStr">
        <is>
          <t>부자터</t>
        </is>
      </c>
      <c r="T476" s="4" t="n">
        <v>1</v>
      </c>
      <c r="U476" s="5" t="n">
        <v>231.7</v>
      </c>
      <c r="V476" s="4" t="n">
        <v>222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세로한면(가)</t>
        </is>
      </c>
    </row>
    <row r="477">
      <c r="A477" s="3" t="inlineStr">
        <is>
          <t>조치원읍 신안리 432-17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95000</v>
      </c>
      <c r="H477" s="4" t="n">
        <v>0</v>
      </c>
      <c r="I477" s="4" t="n">
        <v>222</v>
      </c>
      <c r="J477" s="4" t="n">
        <v>67</v>
      </c>
      <c r="K477" s="5" t="n">
        <v>1417.9</v>
      </c>
      <c r="L477" s="4" t="n">
        <v>283</v>
      </c>
      <c r="M477" s="4" t="n">
        <v>86</v>
      </c>
      <c r="N477" s="5" t="n">
        <v>1104.7</v>
      </c>
      <c r="O477" s="3" t="inlineStr">
        <is>
          <t>L 홍익대5분 O학생선호도1위 O깨끗한건물</t>
        </is>
      </c>
      <c r="P477" s="6">
        <f>HYPERLINK("https://fin.land.naver.com/articles/2650552292", "매물Link")</f>
        <v/>
      </c>
      <c r="Q477" s="6">
        <f>HYPERLINK("https://map.naver.com/p/search/조치원읍 신안리 432-17", "지도Link")</f>
        <v/>
      </c>
      <c r="R477" s="6">
        <f>HYPERLINK("http://www.eum.go.kr/web/ar/lu/luLandDet.jsp?pnu=3611025032104320017&amp;isNoScr=script&amp;mode=search", "토지이음")</f>
        <v/>
      </c>
      <c r="S477" s="3" t="inlineStr">
        <is>
          <t>바다</t>
        </is>
      </c>
      <c r="T477" s="4" t="n">
        <v>1</v>
      </c>
      <c r="U477" s="5" t="n">
        <v>195.5</v>
      </c>
      <c r="V477" s="4" t="n">
        <v>222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완경사</t>
        </is>
      </c>
      <c r="Z477" s="3" t="inlineStr">
        <is>
          <t>부정형</t>
        </is>
      </c>
      <c r="AA477" s="3" t="inlineStr">
        <is>
          <t>세로한면(가)</t>
        </is>
      </c>
    </row>
    <row r="478">
      <c r="A478" s="3" t="inlineStr">
        <is>
          <t>조치원읍 신안리 445-9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3</t>
        </is>
      </c>
      <c r="E478" s="3" t="inlineStr">
        <is>
          <t>다가구</t>
        </is>
      </c>
      <c r="F478" s="3" t="inlineStr">
        <is>
          <t>매매</t>
        </is>
      </c>
      <c r="G478" s="4" t="n">
        <v>49000</v>
      </c>
      <c r="H478" s="4" t="n">
        <v>0</v>
      </c>
      <c r="I478" s="4" t="n">
        <v>268</v>
      </c>
      <c r="J478" s="4" t="n">
        <v>81</v>
      </c>
      <c r="K478" s="5" t="n">
        <v>604.9</v>
      </c>
      <c r="L478" s="4" t="n">
        <v>397</v>
      </c>
      <c r="M478" s="4" t="n">
        <v>120</v>
      </c>
      <c r="N478" s="5" t="n">
        <v>408.3</v>
      </c>
      <c r="O478" s="3" t="inlineStr">
        <is>
          <t>후문앞. 공실없는 원룸건물. 관리잘됨</t>
        </is>
      </c>
      <c r="P478" s="6">
        <f>HYPERLINK("https://fin.land.naver.com/articles/2650538930", "매물Link")</f>
        <v/>
      </c>
      <c r="Q478" s="6">
        <f>HYPERLINK("https://map.naver.com/p/search/조치원읍 신안리 445-9", "지도Link")</f>
        <v/>
      </c>
      <c r="R478" s="6">
        <f>HYPERLINK("http://www.eum.go.kr/web/ar/lu/luLandDet.jsp?pnu=3611025032104450009&amp;isNoScr=script&amp;mode=search", "토지이음")</f>
        <v/>
      </c>
      <c r="S478" s="3" t="inlineStr">
        <is>
          <t>바다</t>
        </is>
      </c>
      <c r="T478" s="4" t="n">
        <v>1</v>
      </c>
      <c r="U478" s="5" t="n">
        <v>217</v>
      </c>
      <c r="V478" s="4" t="n">
        <v>268</v>
      </c>
      <c r="W478" s="3" t="inlineStr">
        <is>
          <t>지정되지않음</t>
        </is>
      </c>
      <c r="X478" s="3" t="inlineStr">
        <is>
          <t>다세대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신안리 445-9</t>
        </is>
      </c>
      <c r="B479" s="3" t="inlineStr">
        <is>
          <t>제1종일반주거지역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다가구</t>
        </is>
      </c>
      <c r="F479" s="3" t="inlineStr">
        <is>
          <t>매매</t>
        </is>
      </c>
      <c r="G479" s="4" t="n">
        <v>49000</v>
      </c>
      <c r="H479" s="4" t="n">
        <v>0</v>
      </c>
      <c r="I479" s="4" t="n">
        <v>268</v>
      </c>
      <c r="J479" s="4" t="n">
        <v>81</v>
      </c>
      <c r="K479" s="5" t="n">
        <v>604.9</v>
      </c>
      <c r="L479" s="4" t="n">
        <v>397</v>
      </c>
      <c r="M479" s="4" t="n">
        <v>120</v>
      </c>
      <c r="N479" s="5" t="n">
        <v>408.3</v>
      </c>
      <c r="O479" s="3" t="inlineStr">
        <is>
          <t>홍익대학교 도보 2분거리, 임대놓기 좋은 위치, 공실없음</t>
        </is>
      </c>
      <c r="P479" s="6">
        <f>HYPERLINK("https://fin.land.naver.com/articles/2650312958", "매물Link")</f>
        <v/>
      </c>
      <c r="Q479" s="6">
        <f>HYPERLINK("https://map.naver.com/p/search/조치원읍 신안리 445-9", "지도Link")</f>
        <v/>
      </c>
      <c r="R479" s="6">
        <f>HYPERLINK("http://www.eum.go.kr/web/ar/lu/luLandDet.jsp?pnu=3611025032104450009&amp;isNoScr=script&amp;mode=search", "토지이음")</f>
        <v/>
      </c>
      <c r="S479" s="3" t="inlineStr">
        <is>
          <t>세종공감</t>
        </is>
      </c>
      <c r="T479" s="4" t="n">
        <v>1</v>
      </c>
      <c r="U479" s="5" t="n">
        <v>217</v>
      </c>
      <c r="V479" s="4" t="n">
        <v>268</v>
      </c>
      <c r="W479" s="3" t="inlineStr">
        <is>
          <t>지정되지않음</t>
        </is>
      </c>
      <c r="X479" s="3" t="inlineStr">
        <is>
          <t>다세대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조치원읍 신흥리 106</t>
        </is>
      </c>
      <c r="B480" s="3" t="inlineStr">
        <is>
          <t>제3종일반주거지역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주공신흥</t>
        </is>
      </c>
      <c r="F480" s="3" t="inlineStr">
        <is>
          <t>매매</t>
        </is>
      </c>
      <c r="G480" s="4" t="n">
        <v>30000</v>
      </c>
      <c r="H480" s="4" t="n">
        <v>0</v>
      </c>
      <c r="I480" s="4" t="n">
        <v>73</v>
      </c>
      <c r="J480" s="4" t="n">
        <v>22</v>
      </c>
      <c r="K480" s="5" t="n">
        <v>1363.6</v>
      </c>
      <c r="L480" s="4" t="n">
        <v>67</v>
      </c>
      <c r="M480" s="4" t="n">
        <v>20</v>
      </c>
      <c r="N480" s="5" t="n">
        <v>1500</v>
      </c>
      <c r="O480" s="3" t="inlineStr">
        <is>
          <t>급매,실입주가능</t>
        </is>
      </c>
      <c r="P480" s="6">
        <f>HYPERLINK("https://fin.land.naver.com/articles/2655081755", "매물Link")</f>
        <v/>
      </c>
      <c r="Q480" s="6">
        <f>HYPERLINK("https://map.naver.com/p/search/조치원읍 신흥리 106", "지도Link")</f>
        <v/>
      </c>
      <c r="R480" s="6">
        <f>HYPERLINK("http://www.eum.go.kr/web/ar/lu/luLandDet.jsp?pnu=3611025029101060000&amp;isNoScr=script&amp;mode=search", "토지이음")</f>
        <v/>
      </c>
      <c r="S480" s="3" t="inlineStr">
        <is>
          <t>다산</t>
        </is>
      </c>
      <c r="T480" s="4" t="n">
        <v>1</v>
      </c>
      <c r="U480" s="5" t="n">
        <v>287</v>
      </c>
      <c r="V480" s="4" t="n">
        <v>15250</v>
      </c>
      <c r="W480" s="3" t="inlineStr">
        <is>
          <t>제2종일반주거지역</t>
        </is>
      </c>
      <c r="X480" s="3" t="inlineStr">
        <is>
          <t>아파트</t>
        </is>
      </c>
      <c r="Y480" s="3" t="inlineStr">
        <is>
          <t>평지</t>
        </is>
      </c>
      <c r="Z480" s="3" t="inlineStr">
        <is>
          <t>세로장방</t>
        </is>
      </c>
      <c r="AA480" s="3" t="inlineStr">
        <is>
          <t>광대소각</t>
        </is>
      </c>
    </row>
    <row r="481">
      <c r="A481" s="3" t="inlineStr">
        <is>
          <t>조치원읍 신흥리 106</t>
        </is>
      </c>
      <c r="B481" s="3" t="inlineStr">
        <is>
          <t>제3종일반주거지역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주공신흥</t>
        </is>
      </c>
      <c r="F481" s="3" t="inlineStr">
        <is>
          <t>월세</t>
        </is>
      </c>
      <c r="G481" s="4" t="n">
        <v>3000</v>
      </c>
      <c r="H481" s="4" t="n">
        <v>25</v>
      </c>
      <c r="I481" s="4" t="n">
        <v>62</v>
      </c>
      <c r="J481" s="4" t="n">
        <v>19</v>
      </c>
      <c r="K481" s="5" t="n">
        <v>1.3</v>
      </c>
      <c r="L481" s="4" t="n">
        <v>57</v>
      </c>
      <c r="M481" s="4" t="n">
        <v>17</v>
      </c>
      <c r="N481" s="5" t="n">
        <v>1.5</v>
      </c>
      <c r="O481" s="3" t="inlineStr">
        <is>
          <t>대동초 바로 앞 신흥주공 월세 보일러.도배.장판.에어컨 옵션 즉시입주</t>
        </is>
      </c>
      <c r="P481" s="6">
        <f>HYPERLINK("https://fin.land.naver.com/articles/2649534710", "매물Link")</f>
        <v/>
      </c>
      <c r="Q481" s="6">
        <f>HYPERLINK("https://map.naver.com/p/search/조치원읍 신흥리 106", "지도Link")</f>
        <v/>
      </c>
      <c r="R481" s="6">
        <f>HYPERLINK("http://www.eum.go.kr/web/ar/lu/luLandDet.jsp?pnu=3611025029101060000&amp;isNoScr=script&amp;mode=search", "토지이음")</f>
        <v/>
      </c>
      <c r="S481" s="3" t="inlineStr">
        <is>
          <t>하늘</t>
        </is>
      </c>
      <c r="T481" s="4" t="n">
        <v>1</v>
      </c>
      <c r="U481" s="5" t="n">
        <v>287</v>
      </c>
      <c r="V481" s="4" t="n">
        <v>15250</v>
      </c>
      <c r="W481" s="3" t="inlineStr">
        <is>
          <t>제2종일반주거지역</t>
        </is>
      </c>
      <c r="X481" s="3" t="inlineStr">
        <is>
          <t>아파트</t>
        </is>
      </c>
      <c r="Y481" s="3" t="inlineStr">
        <is>
          <t>평지</t>
        </is>
      </c>
      <c r="Z481" s="3" t="inlineStr">
        <is>
          <t>세로장방</t>
        </is>
      </c>
      <c r="AA481" s="3" t="inlineStr">
        <is>
          <t>광대소각</t>
        </is>
      </c>
    </row>
    <row r="482">
      <c r="A482" s="3" t="inlineStr">
        <is>
          <t>조치원읍 신흥리 106</t>
        </is>
      </c>
      <c r="B482" s="3" t="inlineStr">
        <is>
          <t>제3종일반주거지역</t>
        </is>
      </c>
      <c r="C482" s="3" t="inlineStr">
        <is>
          <t>대</t>
        </is>
      </c>
      <c r="D482" s="3" t="inlineStr">
        <is>
          <t>3</t>
        </is>
      </c>
      <c r="E482" s="3" t="inlineStr">
        <is>
          <t>주공신흥</t>
        </is>
      </c>
      <c r="F482" s="3" t="inlineStr">
        <is>
          <t>매매</t>
        </is>
      </c>
      <c r="G482" s="4" t="n">
        <v>30000</v>
      </c>
      <c r="H482" s="4" t="n">
        <v>0</v>
      </c>
      <c r="I482" s="4" t="n">
        <v>62</v>
      </c>
      <c r="J482" s="4" t="n">
        <v>19</v>
      </c>
      <c r="K482" s="5" t="n">
        <v>1578.9</v>
      </c>
      <c r="L482" s="4" t="n">
        <v>57</v>
      </c>
      <c r="M482" s="4" t="n">
        <v>17</v>
      </c>
      <c r="N482" s="5" t="n">
        <v>1764.7</v>
      </c>
      <c r="O482" s="3" t="inlineStr">
        <is>
          <t>재건축단지,공실,입주가능</t>
        </is>
      </c>
      <c r="P482" s="6">
        <f>HYPERLINK("https://fin.land.naver.com/articles/2652978926", "매물Link")</f>
        <v/>
      </c>
      <c r="Q482" s="6">
        <f>HYPERLINK("https://map.naver.com/p/search/조치원읍 신흥리 106", "지도Link")</f>
        <v/>
      </c>
      <c r="R482" s="6">
        <f>HYPERLINK("http://www.eum.go.kr/web/ar/lu/luLandDet.jsp?pnu=3611025029101060000&amp;isNoScr=script&amp;mode=search", "토지이음")</f>
        <v/>
      </c>
      <c r="S482" s="3" t="inlineStr">
        <is>
          <t>다산</t>
        </is>
      </c>
      <c r="T482" s="4" t="n">
        <v>1</v>
      </c>
      <c r="U482" s="5" t="n">
        <v>287</v>
      </c>
      <c r="V482" s="4" t="n">
        <v>15250</v>
      </c>
      <c r="W482" s="3" t="inlineStr">
        <is>
          <t>제2종일반주거지역</t>
        </is>
      </c>
      <c r="X482" s="3" t="inlineStr">
        <is>
          <t>아파트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광대소각</t>
        </is>
      </c>
    </row>
    <row r="483">
      <c r="A483" s="3" t="inlineStr">
        <is>
          <t>조치원읍 신흥리 106</t>
        </is>
      </c>
      <c r="B483" s="3" t="inlineStr">
        <is>
          <t>제3종일반주거지역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주공신흥</t>
        </is>
      </c>
      <c r="F483" s="3" t="inlineStr">
        <is>
          <t>매매</t>
        </is>
      </c>
      <c r="G483" s="4" t="n">
        <v>37000</v>
      </c>
      <c r="H483" s="4" t="n">
        <v>0</v>
      </c>
      <c r="I483" s="4" t="n">
        <v>73</v>
      </c>
      <c r="J483" s="4" t="n">
        <v>22</v>
      </c>
      <c r="K483" s="5" t="n">
        <v>1681.8</v>
      </c>
      <c r="L483" s="4" t="n">
        <v>67</v>
      </c>
      <c r="M483" s="4" t="n">
        <v>20</v>
      </c>
      <c r="N483" s="5" t="n">
        <v>1850</v>
      </c>
      <c r="O483" s="3" t="inlineStr">
        <is>
          <t>전세3500거주중,재건축단지</t>
        </is>
      </c>
      <c r="P483" s="6">
        <f>HYPERLINK("https://fin.land.naver.com/articles/2653381041", "매물Link")</f>
        <v/>
      </c>
      <c r="Q483" s="6">
        <f>HYPERLINK("https://map.naver.com/p/search/조치원읍 신흥리 106", "지도Link")</f>
        <v/>
      </c>
      <c r="R483" s="6">
        <f>HYPERLINK("http://www.eum.go.kr/web/ar/lu/luLandDet.jsp?pnu=3611025029101060000&amp;isNoScr=script&amp;mode=search", "토지이음")</f>
        <v/>
      </c>
      <c r="S483" s="3" t="inlineStr">
        <is>
          <t>다산</t>
        </is>
      </c>
      <c r="T483" s="4" t="n">
        <v>1</v>
      </c>
      <c r="U483" s="5" t="n">
        <v>287</v>
      </c>
      <c r="V483" s="4" t="n">
        <v>15250</v>
      </c>
      <c r="W483" s="3" t="inlineStr">
        <is>
          <t>제2종일반주거지역</t>
        </is>
      </c>
      <c r="X483" s="3" t="inlineStr">
        <is>
          <t>아파트</t>
        </is>
      </c>
      <c r="Y483" s="3" t="inlineStr">
        <is>
          <t>평지</t>
        </is>
      </c>
      <c r="Z483" s="3" t="inlineStr">
        <is>
          <t>세로장방</t>
        </is>
      </c>
      <c r="AA483" s="3" t="inlineStr">
        <is>
          <t>광대소각</t>
        </is>
      </c>
    </row>
    <row r="484">
      <c r="A484" s="3" t="inlineStr">
        <is>
          <t>조치원읍 신흥리 106</t>
        </is>
      </c>
      <c r="B484" s="3" t="inlineStr">
        <is>
          <t>제3종일반주거지역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주공신흥</t>
        </is>
      </c>
      <c r="F484" s="3" t="inlineStr">
        <is>
          <t>매매</t>
        </is>
      </c>
      <c r="G484" s="4" t="n">
        <v>17000</v>
      </c>
      <c r="H484" s="4" t="n">
        <v>0</v>
      </c>
      <c r="I484" s="4" t="n">
        <v>59</v>
      </c>
      <c r="J484" s="4" t="n">
        <v>18</v>
      </c>
      <c r="K484" s="5" t="n">
        <v>944.4</v>
      </c>
      <c r="L484" s="4" t="n">
        <v>55</v>
      </c>
      <c r="M484" s="4" t="n">
        <v>17</v>
      </c>
      <c r="N484" s="5" t="n">
        <v>1000</v>
      </c>
      <c r="O484" s="3" t="inlineStr">
        <is>
          <t>급매, 실입주 가능</t>
        </is>
      </c>
      <c r="P484" s="6">
        <f>HYPERLINK("https://fin.land.naver.com/articles/2654897368", "매물Link")</f>
        <v/>
      </c>
      <c r="Q484" s="6">
        <f>HYPERLINK("https://map.naver.com/p/search/조치원읍 신흥리 106", "지도Link")</f>
        <v/>
      </c>
      <c r="R484" s="6">
        <f>HYPERLINK("http://www.eum.go.kr/web/ar/lu/luLandDet.jsp?pnu=3611025029101060000&amp;isNoScr=script&amp;mode=search", "토지이음")</f>
        <v/>
      </c>
      <c r="S484" s="3" t="inlineStr">
        <is>
          <t>KB세종</t>
        </is>
      </c>
      <c r="T484" s="4" t="n">
        <v>1</v>
      </c>
      <c r="U484" s="5" t="n">
        <v>287</v>
      </c>
      <c r="V484" s="4" t="n">
        <v>15250</v>
      </c>
      <c r="W484" s="3" t="inlineStr">
        <is>
          <t>제2종일반주거지역</t>
        </is>
      </c>
      <c r="X484" s="3" t="inlineStr">
        <is>
          <t>아파트</t>
        </is>
      </c>
      <c r="Y484" s="3" t="inlineStr">
        <is>
          <t>평지</t>
        </is>
      </c>
      <c r="Z484" s="3" t="inlineStr">
        <is>
          <t>세로장방</t>
        </is>
      </c>
      <c r="AA484" s="3" t="inlineStr">
        <is>
          <t>광대소각</t>
        </is>
      </c>
    </row>
    <row r="485">
      <c r="A485" s="3" t="inlineStr">
        <is>
          <t>조치원읍 신흥리 106</t>
        </is>
      </c>
      <c r="B485" s="3" t="inlineStr">
        <is>
          <t>제3종일반주거지역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주공신흥</t>
        </is>
      </c>
      <c r="F485" s="3" t="inlineStr">
        <is>
          <t>매매</t>
        </is>
      </c>
      <c r="G485" s="4" t="n">
        <v>23000</v>
      </c>
      <c r="H485" s="4" t="n">
        <v>0</v>
      </c>
      <c r="I485" s="4" t="n">
        <v>62</v>
      </c>
      <c r="J485" s="4" t="n">
        <v>19</v>
      </c>
      <c r="K485" s="5" t="n">
        <v>1210.5</v>
      </c>
      <c r="L485" s="4" t="n">
        <v>57</v>
      </c>
      <c r="M485" s="4" t="n">
        <v>17</v>
      </c>
      <c r="N485" s="5" t="n">
        <v>1352.9</v>
      </c>
      <c r="O485" s="3" t="inlineStr">
        <is>
          <t>재건축 진행중에 있는 곳입니다.</t>
        </is>
      </c>
      <c r="P485" s="6">
        <f>HYPERLINK("https://fin.land.naver.com/articles/2649704179", "매물Link")</f>
        <v/>
      </c>
      <c r="Q485" s="6">
        <f>HYPERLINK("https://map.naver.com/p/search/조치원읍 신흥리 106", "지도Link")</f>
        <v/>
      </c>
      <c r="R485" s="6">
        <f>HYPERLINK("http://www.eum.go.kr/web/ar/lu/luLandDet.jsp?pnu=3611025029101060000&amp;isNoScr=script&amp;mode=search", "토지이음")</f>
        <v/>
      </c>
      <c r="S485" s="3" t="inlineStr">
        <is>
          <t>이순이</t>
        </is>
      </c>
      <c r="T485" s="4" t="n">
        <v>1</v>
      </c>
      <c r="U485" s="5" t="n">
        <v>287</v>
      </c>
      <c r="V485" s="4" t="n">
        <v>15250</v>
      </c>
      <c r="W485" s="3" t="inlineStr">
        <is>
          <t>제2종일반주거지역</t>
        </is>
      </c>
      <c r="X485" s="3" t="inlineStr">
        <is>
          <t>아파트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광대소각</t>
        </is>
      </c>
    </row>
    <row r="486">
      <c r="A486" s="3" t="inlineStr">
        <is>
          <t>조치원읍 신흥리 106</t>
        </is>
      </c>
      <c r="B486" s="3" t="inlineStr">
        <is>
          <t>제3종일반주거지역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주공신흥</t>
        </is>
      </c>
      <c r="F486" s="3" t="inlineStr">
        <is>
          <t>월세</t>
        </is>
      </c>
      <c r="G486" s="4" t="n">
        <v>1000</v>
      </c>
      <c r="H486" s="4" t="n">
        <v>40</v>
      </c>
      <c r="I486" s="4" t="n">
        <v>73</v>
      </c>
      <c r="J486" s="4" t="n">
        <v>22</v>
      </c>
      <c r="K486" s="5" t="n">
        <v>1.8</v>
      </c>
      <c r="L486" s="4" t="n">
        <v>67</v>
      </c>
      <c r="M486" s="4" t="n">
        <v>20</v>
      </c>
      <c r="N486" s="5" t="n">
        <v>2</v>
      </c>
      <c r="O486" s="3" t="inlineStr">
        <is>
          <t>상태양호,즉시입주,보증금 조절가능합니다.</t>
        </is>
      </c>
      <c r="P486" s="6">
        <f>HYPERLINK("https://fin.land.naver.com/articles/2654454354", "매물Link")</f>
        <v/>
      </c>
      <c r="Q486" s="6">
        <f>HYPERLINK("https://map.naver.com/p/search/조치원읍 신흥리 106", "지도Link")</f>
        <v/>
      </c>
      <c r="R486" s="6">
        <f>HYPERLINK("http://www.eum.go.kr/web/ar/lu/luLandDet.jsp?pnu=3611025029101060000&amp;isNoScr=script&amp;mode=search", "토지이음")</f>
        <v/>
      </c>
      <c r="S486" s="3" t="inlineStr">
        <is>
          <t>신안무소</t>
        </is>
      </c>
      <c r="T486" s="4" t="n">
        <v>3</v>
      </c>
      <c r="U486" s="5" t="n">
        <v>287</v>
      </c>
      <c r="V486" s="4" t="n">
        <v>15250</v>
      </c>
      <c r="W486" s="3" t="inlineStr">
        <is>
          <t>제2종일반주거지역</t>
        </is>
      </c>
      <c r="X486" s="3" t="inlineStr">
        <is>
          <t>아파트</t>
        </is>
      </c>
      <c r="Y486" s="3" t="inlineStr">
        <is>
          <t>평지</t>
        </is>
      </c>
      <c r="Z486" s="3" t="inlineStr">
        <is>
          <t>세로장방</t>
        </is>
      </c>
      <c r="AA486" s="3" t="inlineStr">
        <is>
          <t>광대소각</t>
        </is>
      </c>
    </row>
    <row r="487">
      <c r="A487" s="3" t="inlineStr">
        <is>
          <t>조치원읍 신흥리 106</t>
        </is>
      </c>
      <c r="B487" s="3" t="inlineStr">
        <is>
          <t>제3종일반주거지역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주공신흥</t>
        </is>
      </c>
      <c r="F487" s="3" t="inlineStr">
        <is>
          <t>매매</t>
        </is>
      </c>
      <c r="G487" s="4" t="n">
        <v>25000</v>
      </c>
      <c r="H487" s="4" t="n">
        <v>0</v>
      </c>
      <c r="I487" s="4" t="n">
        <v>73</v>
      </c>
      <c r="J487" s="4" t="n">
        <v>22</v>
      </c>
      <c r="K487" s="5" t="n">
        <v>1136.4</v>
      </c>
      <c r="L487" s="4" t="n">
        <v>67</v>
      </c>
      <c r="M487" s="4" t="n">
        <v>20</v>
      </c>
      <c r="N487" s="5" t="n">
        <v>1250</v>
      </c>
      <c r="O487" s="3" t="inlineStr">
        <is>
          <t>재건축 진행 중,등급 상향으로 용적률 높아짐,미래 가치에 투자하세요</t>
        </is>
      </c>
      <c r="P487" s="6">
        <f>HYPERLINK("https://fin.land.naver.com/articles/2655148914", "매물Link")</f>
        <v/>
      </c>
      <c r="Q487" s="6">
        <f>HYPERLINK("https://map.naver.com/p/search/조치원읍 신흥리 106", "지도Link")</f>
        <v/>
      </c>
      <c r="R487" s="6">
        <f>HYPERLINK("http://www.eum.go.kr/web/ar/lu/luLandDet.jsp?pnu=3611025029101060000&amp;isNoScr=script&amp;mode=search", "토지이음")</f>
        <v/>
      </c>
      <c r="S487" s="3" t="inlineStr">
        <is>
          <t>유정희</t>
        </is>
      </c>
      <c r="T487" s="4" t="n">
        <v>2</v>
      </c>
      <c r="U487" s="5" t="n">
        <v>287</v>
      </c>
      <c r="V487" s="4" t="n">
        <v>15250</v>
      </c>
      <c r="W487" s="3" t="inlineStr">
        <is>
          <t>제2종일반주거지역</t>
        </is>
      </c>
      <c r="X487" s="3" t="inlineStr">
        <is>
          <t>아파트</t>
        </is>
      </c>
      <c r="Y487" s="3" t="inlineStr">
        <is>
          <t>평지</t>
        </is>
      </c>
      <c r="Z487" s="3" t="inlineStr">
        <is>
          <t>세로장방</t>
        </is>
      </c>
      <c r="AA487" s="3" t="inlineStr">
        <is>
          <t>광대소각</t>
        </is>
      </c>
    </row>
    <row r="488">
      <c r="A488" s="3" t="inlineStr">
        <is>
          <t>조치원읍 신흥리 11-10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매매</t>
        </is>
      </c>
      <c r="G488" s="4" t="n">
        <v>24000</v>
      </c>
      <c r="H488" s="4" t="n">
        <v>0</v>
      </c>
      <c r="I488" s="4" t="n">
        <v>160</v>
      </c>
      <c r="J488" s="4" t="n">
        <v>48</v>
      </c>
      <c r="K488" s="5" t="n">
        <v>500</v>
      </c>
      <c r="L488" s="4" t="n">
        <v>62</v>
      </c>
      <c r="M488" s="4" t="n">
        <v>19</v>
      </c>
      <c r="N488" s="5" t="n">
        <v>1263.2</v>
      </c>
      <c r="O488" s="3" t="inlineStr">
        <is>
          <t>남향. 도시가스. 신흥사랑주택 앞 최근 리모델링 완료한 단독주택 매매.</t>
        </is>
      </c>
      <c r="P488" s="6">
        <f>HYPERLINK("https://fin.land.naver.com/articles/2652914628", "매물Link")</f>
        <v/>
      </c>
      <c r="Q488" s="6">
        <f>HYPERLINK("https://map.naver.com/p/search/조치원읍 신흥리 11-10", "지도Link")</f>
        <v/>
      </c>
      <c r="R488" s="6">
        <f>HYPERLINK("http://www.eum.go.kr/web/ar/lu/luLandDet.jsp?pnu=3611025029100110010&amp;isNoScr=script&amp;mode=search", "토지이음")</f>
        <v/>
      </c>
      <c r="S488" s="3" t="inlineStr">
        <is>
          <t>세종대장</t>
        </is>
      </c>
      <c r="T488" s="4" t="n">
        <v>1</v>
      </c>
      <c r="U488" s="5" t="n">
        <v>182.9</v>
      </c>
      <c r="V488" s="4" t="n">
        <v>160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소로각지</t>
        </is>
      </c>
    </row>
    <row r="489">
      <c r="A489" s="3" t="inlineStr">
        <is>
          <t>조치원읍 신흥리 11-7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1</t>
        </is>
      </c>
      <c r="E489" s="3" t="inlineStr">
        <is>
          <t>단독</t>
        </is>
      </c>
      <c r="F489" s="3" t="inlineStr">
        <is>
          <t>매매</t>
        </is>
      </c>
      <c r="G489" s="4" t="n">
        <v>24000</v>
      </c>
      <c r="H489" s="4" t="n">
        <v>0</v>
      </c>
      <c r="I489" s="4" t="n">
        <v>122</v>
      </c>
      <c r="J489" s="4" t="n">
        <v>37</v>
      </c>
      <c r="K489" s="5" t="n">
        <v>648.6</v>
      </c>
      <c r="L489" s="4" t="n">
        <v>63</v>
      </c>
      <c r="M489" s="4" t="n">
        <v>19</v>
      </c>
      <c r="N489" s="5" t="n">
        <v>1263.2</v>
      </c>
      <c r="O489" s="3" t="inlineStr">
        <is>
          <t>신흥 단독, 협의입주, 시세저렴,각종수리 깔끔</t>
        </is>
      </c>
      <c r="P489" s="6">
        <f>HYPERLINK("https://fin.land.naver.com/articles/2653678072", "매물Link")</f>
        <v/>
      </c>
      <c r="Q489" s="6">
        <f>HYPERLINK("https://map.naver.com/p/search/조치원읍 신흥리 11-7", "지도Link")</f>
        <v/>
      </c>
      <c r="R489" s="6">
        <f>HYPERLINK("http://www.eum.go.kr/web/ar/lu/luLandDet.jsp?pnu=3611025029100110007&amp;isNoScr=script&amp;mode=search", "토지이음")</f>
        <v/>
      </c>
      <c r="S489" s="3" t="inlineStr">
        <is>
          <t>다옴</t>
        </is>
      </c>
      <c r="T489" s="4" t="n">
        <v>1</v>
      </c>
      <c r="U489" s="5" t="n">
        <v>182.9</v>
      </c>
      <c r="V489" s="4" t="n">
        <v>122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소로각지</t>
        </is>
      </c>
    </row>
    <row r="490">
      <c r="A490" s="3" t="inlineStr">
        <is>
          <t>조치원읍 신흥리 20-6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24000</v>
      </c>
      <c r="H490" s="4" t="n">
        <v>0</v>
      </c>
      <c r="I490" s="4" t="n">
        <v>179</v>
      </c>
      <c r="J490" s="4" t="n">
        <v>54</v>
      </c>
      <c r="K490" s="5" t="n">
        <v>444.4</v>
      </c>
      <c r="L490" s="4" t="n">
        <v>63</v>
      </c>
      <c r="M490" s="4" t="n">
        <v>19</v>
      </c>
      <c r="N490" s="5" t="n">
        <v>1263.2</v>
      </c>
      <c r="O490" s="3" t="inlineStr">
        <is>
          <t>신흥단독주택,협의입주,각종수리,금액협의</t>
        </is>
      </c>
      <c r="P490" s="6">
        <f>HYPERLINK("https://fin.land.naver.com/articles/2653762166", "매물Link")</f>
        <v/>
      </c>
      <c r="Q490" s="6">
        <f>HYPERLINK("https://map.naver.com/p/search/조치원읍 신흥리 20-6", "지도Link")</f>
        <v/>
      </c>
      <c r="R490" s="6">
        <f>HYPERLINK("http://www.eum.go.kr/web/ar/lu/luLandDet.jsp?pnu=3611025029100200006&amp;isNoScr=script&amp;mode=search", "토지이음")</f>
        <v/>
      </c>
      <c r="S490" s="3" t="inlineStr">
        <is>
          <t>다옴</t>
        </is>
      </c>
      <c r="T490" s="4" t="n">
        <v>1</v>
      </c>
      <c r="U490" s="5" t="n">
        <v>185.1</v>
      </c>
      <c r="V490" s="4" t="n">
        <v>179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완경사</t>
        </is>
      </c>
      <c r="Z490" s="3" t="inlineStr">
        <is>
          <t>정방형</t>
        </is>
      </c>
      <c r="AA490" s="3" t="inlineStr">
        <is>
          <t>세로한면(불)</t>
        </is>
      </c>
    </row>
    <row r="491">
      <c r="A491" s="3" t="inlineStr">
        <is>
          <t>조치원읍 신흥리 26-1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36000</v>
      </c>
      <c r="H491" s="4" t="n">
        <v>0</v>
      </c>
      <c r="I491" s="4" t="n">
        <v>284</v>
      </c>
      <c r="J491" s="4" t="n">
        <v>86</v>
      </c>
      <c r="K491" s="5" t="n">
        <v>418.6</v>
      </c>
      <c r="L491" s="4" t="n">
        <v>73</v>
      </c>
      <c r="M491" s="4" t="n">
        <v>22</v>
      </c>
      <c r="N491" s="5" t="n">
        <v>1636.4</v>
      </c>
      <c r="O491" s="3" t="inlineStr">
        <is>
          <t>신흥리 위치 좋은 곳 단독주택</t>
        </is>
      </c>
      <c r="P491" s="6">
        <f>HYPERLINK("https://fin.land.naver.com/articles/2653950163", "매물Link")</f>
        <v/>
      </c>
      <c r="Q491" s="6">
        <f>HYPERLINK("https://map.naver.com/p/search/조치원읍 신흥리 26-1", "지도Link")</f>
        <v/>
      </c>
      <c r="R491" s="6">
        <f>HYPERLINK("http://www.eum.go.kr/web/ar/lu/luLandDet.jsp?pnu=3611025029100260001&amp;isNoScr=script&amp;mode=search", "토지이음")</f>
        <v/>
      </c>
      <c r="S491" s="3" t="inlineStr">
        <is>
          <t>KB세종</t>
        </is>
      </c>
      <c r="T491" s="4" t="n">
        <v>1</v>
      </c>
      <c r="U491" s="5" t="n">
        <v>185.6</v>
      </c>
      <c r="V491" s="4" t="n">
        <v>284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소로각지</t>
        </is>
      </c>
    </row>
    <row r="492">
      <c r="A492" s="3" t="inlineStr">
        <is>
          <t>조치원읍 신흥리 49-10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33000</v>
      </c>
      <c r="H492" s="4" t="n">
        <v>0</v>
      </c>
      <c r="I492" s="4" t="n">
        <v>197</v>
      </c>
      <c r="J492" s="4" t="n">
        <v>60</v>
      </c>
      <c r="K492" s="5" t="n">
        <v>550</v>
      </c>
      <c r="L492" s="4" t="n">
        <v>144</v>
      </c>
      <c r="M492" s="4" t="n">
        <v>44</v>
      </c>
      <c r="N492" s="5" t="n">
        <v>750</v>
      </c>
      <c r="O492" s="3" t="inlineStr">
        <is>
          <t>급매,2층집으로 살기 좋은 단독주택입니다.</t>
        </is>
      </c>
      <c r="P492" s="6">
        <f>HYPERLINK("https://fin.land.naver.com/articles/2649736306", "매물Link")</f>
        <v/>
      </c>
      <c r="Q492" s="6">
        <f>HYPERLINK("https://map.naver.com/p/search/조치원읍 신흥리 49-10", "지도Link")</f>
        <v/>
      </c>
      <c r="R492" s="6">
        <f>HYPERLINK("http://www.eum.go.kr/web/ar/lu/luLandDet.jsp?pnu=3611025029100490010&amp;isNoScr=script&amp;mode=search", "토지이음")</f>
        <v/>
      </c>
      <c r="S492" s="3" t="inlineStr">
        <is>
          <t>마마</t>
        </is>
      </c>
      <c r="T492" s="4" t="n">
        <v>1</v>
      </c>
      <c r="U492" s="5" t="n">
        <v>225.9</v>
      </c>
      <c r="V492" s="4" t="n">
        <v>197</v>
      </c>
      <c r="W492" s="3" t="inlineStr">
        <is>
          <t>지정되지않음</t>
        </is>
      </c>
      <c r="X492" s="3" t="inlineStr">
        <is>
          <t>주상기타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세로한면(가)</t>
        </is>
      </c>
    </row>
    <row r="493">
      <c r="A493" s="3" t="inlineStr">
        <is>
          <t>조치원읍 신흥리 49-7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월세</t>
        </is>
      </c>
      <c r="G493" s="4" t="n">
        <v>1000</v>
      </c>
      <c r="H493" s="4" t="n">
        <v>40</v>
      </c>
      <c r="I493" s="4" t="n">
        <v>141</v>
      </c>
      <c r="J493" s="4" t="n">
        <v>43</v>
      </c>
      <c r="K493" s="5" t="n">
        <v>0.9</v>
      </c>
      <c r="L493" s="4" t="n">
        <v>65</v>
      </c>
      <c r="M493" s="4" t="n">
        <v>20</v>
      </c>
      <c r="N493" s="5" t="n">
        <v>2</v>
      </c>
      <c r="O493" s="3" t="inlineStr">
        <is>
          <t>단독주택 월세</t>
        </is>
      </c>
      <c r="P493" s="6">
        <f>HYPERLINK("https://fin.land.naver.com/articles/2649738571", "매물Link")</f>
        <v/>
      </c>
      <c r="Q493" s="6">
        <f>HYPERLINK("https://map.naver.com/p/search/조치원읍 신흥리 49-7", "지도Link")</f>
        <v/>
      </c>
      <c r="R493" s="6">
        <f>HYPERLINK("http://www.eum.go.kr/web/ar/lu/luLandDet.jsp?pnu=3611025029100490007&amp;isNoScr=script&amp;mode=search",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153.5</v>
      </c>
      <c r="V493" s="4" t="n">
        <v>141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세로한면(불)</t>
        </is>
      </c>
    </row>
    <row r="494">
      <c r="A494" s="3" t="inlineStr">
        <is>
          <t>조치원읍 신흥리 49-7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월세</t>
        </is>
      </c>
      <c r="G494" s="4" t="n">
        <v>1000</v>
      </c>
      <c r="H494" s="4" t="n">
        <v>40</v>
      </c>
      <c r="I494" s="4" t="n">
        <v>65</v>
      </c>
      <c r="J494" s="4" t="n">
        <v>20</v>
      </c>
      <c r="K494" s="5" t="n">
        <v>2</v>
      </c>
      <c r="L494" s="4" t="n">
        <v>65</v>
      </c>
      <c r="M494" s="4" t="n">
        <v>20</v>
      </c>
      <c r="N494" s="5" t="n">
        <v>2</v>
      </c>
      <c r="O494" s="3" t="inlineStr">
        <is>
          <t>신흥리 대동초등학교 인근 1층 주택 수리됨</t>
        </is>
      </c>
      <c r="P494" s="6">
        <f>HYPERLINK("https://fin.land.naver.com/articles/2652419295", "매물Link")</f>
        <v/>
      </c>
      <c r="Q494" s="6">
        <f>HYPERLINK("https://map.naver.com/p/search/조치원읍 신흥리 49-7", "지도Link")</f>
        <v/>
      </c>
      <c r="R494" s="6">
        <f>HYPERLINK("http://www.eum.go.kr/web/ar/lu/luLandDet.jsp?pnu=3611025029100490007&amp;isNoScr=script&amp;mode=search", "토지이음")</f>
        <v/>
      </c>
      <c r="S494" s="3" t="inlineStr">
        <is>
          <t>OK수</t>
        </is>
      </c>
      <c r="T494" s="4" t="n">
        <v>1</v>
      </c>
      <c r="U494" s="5" t="n">
        <v>153.5</v>
      </c>
      <c r="V494" s="4" t="n">
        <v>141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세로한면(불)</t>
        </is>
      </c>
    </row>
    <row r="495">
      <c r="A495" s="3" t="inlineStr">
        <is>
          <t>조치원읍 신흥리 5-3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41000</v>
      </c>
      <c r="H495" s="4" t="n">
        <v>0</v>
      </c>
      <c r="I495" s="4" t="n">
        <v>183</v>
      </c>
      <c r="J495" s="4" t="n">
        <v>55</v>
      </c>
      <c r="K495" s="5" t="n">
        <v>745.5</v>
      </c>
      <c r="L495" s="4" t="n">
        <v>66</v>
      </c>
      <c r="M495" s="4" t="n">
        <v>20</v>
      </c>
      <c r="N495" s="5" t="n">
        <v>2050</v>
      </c>
      <c r="O495" s="3" t="inlineStr">
        <is>
          <t>협의입주. 공원이 가깝고 교통이 편리한 주택</t>
        </is>
      </c>
      <c r="P495" s="6">
        <f>HYPERLINK("https://fin.land.naver.com/articles/2653462110", "매물Link")</f>
        <v/>
      </c>
      <c r="Q495" s="6">
        <f>HYPERLINK("https://map.naver.com/p/search/조치원읍 신흥리 5-3", "지도Link")</f>
        <v/>
      </c>
      <c r="R495" s="6">
        <f>HYPERLINK("http://www.eum.go.kr/web/ar/lu/luLandDet.jsp?pnu=3611025029100050003&amp;isNoScr=script&amp;mode=search", "토지이음")</f>
        <v/>
      </c>
      <c r="S495" s="3" t="inlineStr">
        <is>
          <t>정인</t>
        </is>
      </c>
      <c r="T495" s="4" t="n">
        <v>2</v>
      </c>
      <c r="U495" s="5" t="n">
        <v>182.9</v>
      </c>
      <c r="V495" s="4" t="n">
        <v>183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소로각지</t>
        </is>
      </c>
    </row>
    <row r="496">
      <c r="A496" s="3" t="inlineStr">
        <is>
          <t>조치원읍 신흥리 5-7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1</t>
        </is>
      </c>
      <c r="E496" s="3" t="inlineStr">
        <is>
          <t>단독</t>
        </is>
      </c>
      <c r="F496" s="3" t="inlineStr">
        <is>
          <t>매매</t>
        </is>
      </c>
      <c r="G496" s="4" t="n">
        <v>18000</v>
      </c>
      <c r="H496" s="4" t="n">
        <v>0</v>
      </c>
      <c r="I496" s="4" t="n">
        <v>160</v>
      </c>
      <c r="J496" s="4" t="n">
        <v>48</v>
      </c>
      <c r="K496" s="5" t="n">
        <v>375</v>
      </c>
      <c r="L496" s="4" t="n">
        <v>50</v>
      </c>
      <c r="M496" s="4" t="n">
        <v>15</v>
      </c>
      <c r="N496" s="5" t="n">
        <v>1200</v>
      </c>
      <c r="O496" s="3" t="inlineStr">
        <is>
          <t>2차선 도로에 접한 주택, 전원생활 가능</t>
        </is>
      </c>
      <c r="P496" s="6">
        <f>HYPERLINK("https://fin.land.naver.com/articles/2655220568", "매물Link")</f>
        <v/>
      </c>
      <c r="Q496" s="6">
        <f>HYPERLINK("https://map.naver.com/p/search/조치원읍 신흥리 5-7", "지도Link")</f>
        <v/>
      </c>
      <c r="R496" s="6">
        <f>HYPERLINK("http://www.eum.go.kr/web/ar/lu/luLandDet.jsp?pnu=3611025029100050007&amp;isNoScr=script&amp;mode=search",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179.4</v>
      </c>
      <c r="V496" s="4" t="n">
        <v>161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소로한면</t>
        </is>
      </c>
    </row>
    <row r="497">
      <c r="A497" s="3" t="inlineStr">
        <is>
          <t>조치원읍 신흥리 78-4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1</t>
        </is>
      </c>
      <c r="E497" s="3" t="inlineStr">
        <is>
          <t>단독</t>
        </is>
      </c>
      <c r="F497" s="3" t="inlineStr">
        <is>
          <t>매매</t>
        </is>
      </c>
      <c r="G497" s="4" t="n">
        <v>32000</v>
      </c>
      <c r="H497" s="4" t="n">
        <v>0</v>
      </c>
      <c r="I497" s="4" t="n">
        <v>180</v>
      </c>
      <c r="J497" s="4" t="n">
        <v>54</v>
      </c>
      <c r="K497" s="5" t="n">
        <v>592.6</v>
      </c>
      <c r="L497" s="4" t="n">
        <v>74</v>
      </c>
      <c r="M497" s="4" t="n">
        <v>22</v>
      </c>
      <c r="N497" s="5" t="n">
        <v>1454.5</v>
      </c>
      <c r="O497" s="3" t="inlineStr">
        <is>
          <t>마당있는 단독주택</t>
        </is>
      </c>
      <c r="P497" s="6">
        <f>HYPERLINK("https://fin.land.naver.com/articles/2650859599", "매물Link")</f>
        <v/>
      </c>
      <c r="Q497" s="6">
        <f>HYPERLINK("https://map.naver.com/p/search/조치원읍 신흥리 78-4", "지도Link")</f>
        <v/>
      </c>
      <c r="R497" s="6">
        <f>HYPERLINK("http://www.eum.go.kr/web/ar/lu/luLandDet.jsp?pnu=3611025029100780004&amp;isNoScr=script&amp;mode=search", "토지이음")</f>
        <v/>
      </c>
      <c r="S497" s="3" t="inlineStr">
        <is>
          <t>세종대박</t>
        </is>
      </c>
      <c r="T497" s="4" t="n">
        <v>1</v>
      </c>
      <c r="U497" s="5" t="n">
        <v>230</v>
      </c>
      <c r="V497" s="4" t="n">
        <v>180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소로한면</t>
        </is>
      </c>
    </row>
    <row r="498">
      <c r="A498" s="3" t="inlineStr">
        <is>
          <t>조치원읍 신흥리 8-7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빌라</t>
        </is>
      </c>
      <c r="F498" s="3" t="inlineStr">
        <is>
          <t>매매</t>
        </is>
      </c>
      <c r="G498" s="4" t="n">
        <v>9000</v>
      </c>
      <c r="H498" s="4" t="n">
        <v>0</v>
      </c>
      <c r="I498" s="4" t="n">
        <v>54</v>
      </c>
      <c r="J498" s="4" t="n">
        <v>16</v>
      </c>
      <c r="K498" s="5" t="n">
        <v>562.5</v>
      </c>
      <c r="L498" s="4" t="n">
        <v>48</v>
      </c>
      <c r="M498" s="4" t="n">
        <v>15</v>
      </c>
      <c r="N498" s="5" t="n">
        <v>600</v>
      </c>
      <c r="O498" s="3" t="inlineStr">
        <is>
          <t>올수리된 깨끗한 집, 협의입주</t>
        </is>
      </c>
      <c r="P498" s="6">
        <f>HYPERLINK("https://fin.land.naver.com/articles/2652084894", "매물Link")</f>
        <v/>
      </c>
      <c r="Q498" s="6">
        <f>HYPERLINK("https://map.naver.com/p/search/조치원읍 신흥리 8-7", "지도Link")</f>
        <v/>
      </c>
      <c r="R498" s="6">
        <f>HYPERLINK("http://www.eum.go.kr/web/ar/lu/luLandDet.jsp?pnu=3611025029100080007&amp;isNoScr=script&amp;mode=search", "토지이음")</f>
        <v/>
      </c>
      <c r="S498" s="3" t="inlineStr">
        <is>
          <t>KB세종</t>
        </is>
      </c>
      <c r="T498" s="4" t="n">
        <v>1</v>
      </c>
      <c r="U498" s="5" t="n">
        <v>192</v>
      </c>
      <c r="V498" s="4" t="n">
        <v>246</v>
      </c>
      <c r="W498" s="3" t="inlineStr">
        <is>
          <t>지정되지않음</t>
        </is>
      </c>
      <c r="X498" s="3" t="inlineStr">
        <is>
          <t>다세대</t>
        </is>
      </c>
      <c r="Y498" s="3" t="inlineStr">
        <is>
          <t>평지</t>
        </is>
      </c>
      <c r="Z498" s="3" t="inlineStr">
        <is>
          <t>세로장방</t>
        </is>
      </c>
      <c r="AA498" s="3" t="inlineStr">
        <is>
          <t>소로각지</t>
        </is>
      </c>
    </row>
    <row r="499">
      <c r="A499" s="3" t="inlineStr">
        <is>
          <t>조치원읍 신흥리 80-8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1</t>
        </is>
      </c>
      <c r="E499" s="3" t="inlineStr">
        <is>
          <t>단독</t>
        </is>
      </c>
      <c r="F499" s="3" t="inlineStr">
        <is>
          <t>전세</t>
        </is>
      </c>
      <c r="G499" s="4" t="n">
        <v>10000</v>
      </c>
      <c r="H499" s="4" t="n">
        <v>0</v>
      </c>
      <c r="I499" s="4" t="n">
        <v>186</v>
      </c>
      <c r="J499" s="4" t="n">
        <v>56</v>
      </c>
      <c r="K499" s="5" t="n">
        <v>178.6</v>
      </c>
      <c r="L499" s="4" t="n">
        <v>82</v>
      </c>
      <c r="M499" s="4" t="n">
        <v>25</v>
      </c>
      <c r="N499" s="5" t="n">
        <v>400</v>
      </c>
      <c r="O499" s="3" t="inlineStr">
        <is>
          <t>nan</t>
        </is>
      </c>
      <c r="P499" s="6">
        <f>HYPERLINK("https://fin.land.naver.com/articles/2655235182", "매물Link")</f>
        <v/>
      </c>
      <c r="Q499" s="6">
        <f>HYPERLINK("https://map.naver.com/p/search/조치원읍 신흥리 80-8", "지도Link")</f>
        <v/>
      </c>
      <c r="R499" s="6">
        <f>HYPERLINK("http://www.eum.go.kr/web/ar/lu/luLandDet.jsp?pnu=3611025029100800008&amp;isNoScr=script&amp;mode=search", "토지이음")</f>
        <v/>
      </c>
      <c r="S499" s="3" t="inlineStr">
        <is>
          <t>뉴하늘채</t>
        </is>
      </c>
      <c r="T499" s="4" t="n">
        <v>1</v>
      </c>
      <c r="U499" s="5" t="n">
        <v>190.9</v>
      </c>
      <c r="V499" s="4" t="n">
        <v>186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세로한면(불)</t>
        </is>
      </c>
    </row>
    <row r="500">
      <c r="A500" s="3" t="inlineStr">
        <is>
          <t>조치원읍 신흥리 98-4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15000</v>
      </c>
      <c r="H500" s="4" t="n">
        <v>0</v>
      </c>
      <c r="I500" s="4" t="n">
        <v>126</v>
      </c>
      <c r="J500" s="4" t="n">
        <v>38</v>
      </c>
      <c r="K500" s="5" t="n">
        <v>394.7</v>
      </c>
      <c r="L500" s="4" t="n">
        <v>50</v>
      </c>
      <c r="M500" s="4" t="n">
        <v>15</v>
      </c>
      <c r="N500" s="5" t="n">
        <v>1000</v>
      </c>
      <c r="O500" s="3" t="inlineStr">
        <is>
          <t>신흥리 대동초교 인근 올수리 주택, 가격 조율, 도시가스 즉시입주 가능</t>
        </is>
      </c>
      <c r="P500" s="6">
        <f>HYPERLINK("https://fin.land.naver.com/articles/2650905899", "매물Link")</f>
        <v/>
      </c>
      <c r="Q500" s="6">
        <f>HYPERLINK("https://map.naver.com/p/search/조치원읍 신흥리 98-4", "지도Link")</f>
        <v/>
      </c>
      <c r="R500" s="6">
        <f>HYPERLINK("http://www.eum.go.kr/web/ar/lu/luLandDet.jsp?pnu=3611025029100980004&amp;isNoScr=script&amp;mode=search", "토지이음")</f>
        <v/>
      </c>
      <c r="S500" s="3" t="inlineStr">
        <is>
          <t>하늘</t>
        </is>
      </c>
      <c r="T500" s="4" t="n">
        <v>1</v>
      </c>
      <c r="U500" s="5" t="n">
        <v>185</v>
      </c>
      <c r="V500" s="4" t="n">
        <v>126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부정형</t>
        </is>
      </c>
      <c r="AA500" s="3" t="inlineStr">
        <is>
          <t>세로한면(불)</t>
        </is>
      </c>
    </row>
    <row r="501">
      <c r="A501" s="3" t="inlineStr">
        <is>
          <t>조치원읍 원리 15-9</t>
        </is>
      </c>
      <c r="B501" s="3" t="inlineStr">
        <is>
          <t>일반상업지역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상가주택</t>
        </is>
      </c>
      <c r="F501" s="3" t="inlineStr">
        <is>
          <t>매매</t>
        </is>
      </c>
      <c r="G501" s="4" t="n">
        <v>26000</v>
      </c>
      <c r="H501" s="4" t="n">
        <v>0</v>
      </c>
      <c r="I501" s="4" t="n">
        <v>67</v>
      </c>
      <c r="J501" s="4" t="n">
        <v>20</v>
      </c>
      <c r="K501" s="5" t="n">
        <v>1300</v>
      </c>
      <c r="L501" s="4" t="n">
        <v>139</v>
      </c>
      <c r="M501" s="4" t="n">
        <v>42</v>
      </c>
      <c r="N501" s="5" t="n">
        <v>619</v>
      </c>
      <c r="O501" s="3" t="inlineStr">
        <is>
          <t>원리 서독안경원 골목 먹자골목내 자기상가하면서 거주하실분 추천</t>
        </is>
      </c>
      <c r="P501" s="6">
        <f>HYPERLINK("https://fin.land.naver.com/articles/2652877281", "매물Link")</f>
        <v/>
      </c>
      <c r="Q501" s="6">
        <f>HYPERLINK("https://map.naver.com/p/search/조치원읍 원리 15-9", "지도Link")</f>
        <v/>
      </c>
      <c r="R501" s="6">
        <f>HYPERLINK("http://www.eum.go.kr/web/ar/lu/luLandDet.jsp?pnu=3611025021100150009&amp;isNoScr=script&amp;mode=search", "토지이음")</f>
        <v/>
      </c>
      <c r="S501" s="3" t="inlineStr">
        <is>
          <t>OK수</t>
        </is>
      </c>
      <c r="T501" s="4" t="n">
        <v>1</v>
      </c>
      <c r="U501" s="5" t="n">
        <v>641.3</v>
      </c>
      <c r="V501" s="4" t="n">
        <v>67.8</v>
      </c>
      <c r="W501" s="3" t="inlineStr">
        <is>
          <t>지정되지않음</t>
        </is>
      </c>
      <c r="X501" s="3" t="inlineStr">
        <is>
          <t>상업용</t>
        </is>
      </c>
      <c r="Y501" s="3" t="inlineStr">
        <is>
          <t>평지</t>
        </is>
      </c>
      <c r="Z501" s="3" t="inlineStr">
        <is>
          <t>정방형</t>
        </is>
      </c>
      <c r="AA501" s="3" t="inlineStr">
        <is>
          <t>소로한면</t>
        </is>
      </c>
    </row>
    <row r="502">
      <c r="A502" s="3" t="inlineStr">
        <is>
          <t>조치원읍 원리 2-11</t>
        </is>
      </c>
      <c r="B502" s="3" t="inlineStr">
        <is>
          <t>일반상업지역</t>
        </is>
      </c>
      <c r="C502" s="3" t="inlineStr">
        <is>
          <t>대</t>
        </is>
      </c>
      <c r="D502" s="3" t="inlineStr">
        <is>
          <t>0</t>
        </is>
      </c>
      <c r="E502" s="3" t="inlineStr">
        <is>
          <t>도시형생활주택</t>
        </is>
      </c>
      <c r="F502" s="3" t="inlineStr">
        <is>
          <t>전세</t>
        </is>
      </c>
      <c r="G502" s="4" t="n">
        <v>4000</v>
      </c>
      <c r="H502" s="4" t="n">
        <v>0</v>
      </c>
      <c r="I502" s="4" t="n">
        <v>27</v>
      </c>
      <c r="J502" s="4" t="n">
        <v>8</v>
      </c>
      <c r="K502" s="5" t="n">
        <v>500</v>
      </c>
      <c r="L502" s="4" t="n">
        <v>15</v>
      </c>
      <c r="M502" s="4" t="n">
        <v>5</v>
      </c>
      <c r="N502" s="5" t="n">
        <v>800</v>
      </c>
      <c r="O502" s="3" t="inlineStr">
        <is>
          <t>원리 국민은행 뒷편 조치원역 도보3분</t>
        </is>
      </c>
      <c r="P502" s="6">
        <f>HYPERLINK("https://fin.land.naver.com/articles/2652087907", "매물Link")</f>
        <v/>
      </c>
      <c r="Q502" s="6">
        <f>HYPERLINK("https://map.naver.com/p/search/조치원읍 원리 2-11", "지도Link")</f>
        <v/>
      </c>
      <c r="R502" s="6">
        <f>HYPERLINK("http://www.eum.go.kr/web/ar/lu/luLandDet.jsp?pnu=3611025021100020011&amp;isNoScr=script&amp;mode=search", "토지이음")</f>
        <v/>
      </c>
      <c r="S502" s="3" t="inlineStr">
        <is>
          <t>OK수</t>
        </is>
      </c>
      <c r="T502" s="4" t="n">
        <v>1</v>
      </c>
      <c r="U502" s="5" t="n">
        <v>488.9</v>
      </c>
      <c r="V502" s="4" t="n">
        <v>491.3</v>
      </c>
      <c r="W502" s="3" t="inlineStr">
        <is>
          <t>지정되지않음</t>
        </is>
      </c>
      <c r="X502" s="3" t="inlineStr">
        <is>
          <t>상업용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세로한면(가)</t>
        </is>
      </c>
    </row>
    <row r="503">
      <c r="A503" s="3" t="inlineStr">
        <is>
          <t>조치원읍 원리 4-4</t>
        </is>
      </c>
      <c r="B503" s="3" t="inlineStr">
        <is>
          <t>일반상업지역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30800</v>
      </c>
      <c r="H503" s="4" t="n">
        <v>0</v>
      </c>
      <c r="I503" s="4" t="n">
        <v>232</v>
      </c>
      <c r="J503" s="4" t="n">
        <v>70</v>
      </c>
      <c r="K503" s="5" t="n">
        <v>440</v>
      </c>
      <c r="L503" s="4" t="n">
        <v>127</v>
      </c>
      <c r="M503" s="4" t="n">
        <v>38</v>
      </c>
      <c r="N503" s="5" t="n">
        <v>810.5</v>
      </c>
      <c r="O503" s="3" t="inlineStr">
        <is>
          <t>롯데리아 뒷편 감성있는 단독주택입니다.</t>
        </is>
      </c>
      <c r="P503" s="6">
        <f>HYPERLINK("https://fin.land.naver.com/articles/2654551165", "매물Link")</f>
        <v/>
      </c>
      <c r="Q503" s="6">
        <f>HYPERLINK("https://map.naver.com/p/search/조치원읍 원리 4-4", "지도Link")</f>
        <v/>
      </c>
      <c r="R503" s="6">
        <f>HYPERLINK("http://www.eum.go.kr/web/ar/lu/luLandDet.jsp?pnu=3611025021100040004&amp;isNoScr=script&amp;mode=search", "토지이음")</f>
        <v/>
      </c>
      <c r="S503" s="3" t="inlineStr">
        <is>
          <t>이음 사무소</t>
        </is>
      </c>
      <c r="T503" s="4" t="n">
        <v>1</v>
      </c>
      <c r="U503" s="5" t="n">
        <v>438.3</v>
      </c>
      <c r="V503" s="4" t="n">
        <v>201.7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자루형</t>
        </is>
      </c>
      <c r="AA503" s="3" t="inlineStr">
        <is>
          <t>중로한면</t>
        </is>
      </c>
    </row>
    <row r="504">
      <c r="A504" s="3" t="inlineStr">
        <is>
          <t>조치원읍 원리 9-29</t>
        </is>
      </c>
      <c r="B504" s="3" t="inlineStr">
        <is>
          <t>일반상업지역</t>
        </is>
      </c>
      <c r="C504" s="3" t="inlineStr">
        <is>
          <t>대</t>
        </is>
      </c>
      <c r="D504" s="3" t="inlineStr">
        <is>
          <t>3</t>
        </is>
      </c>
      <c r="E504" s="3" t="inlineStr">
        <is>
          <t>상가주택</t>
        </is>
      </c>
      <c r="F504" s="3" t="inlineStr">
        <is>
          <t>매매</t>
        </is>
      </c>
      <c r="G504" s="4" t="n">
        <v>120000</v>
      </c>
      <c r="H504" s="4" t="n">
        <v>0</v>
      </c>
      <c r="I504" s="4" t="n">
        <v>149</v>
      </c>
      <c r="J504" s="4" t="n">
        <v>45</v>
      </c>
      <c r="K504" s="5" t="n">
        <v>2666.7</v>
      </c>
      <c r="L504" s="4" t="n">
        <v>360</v>
      </c>
      <c r="M504" s="4" t="n">
        <v>109</v>
      </c>
      <c r="N504" s="5" t="n">
        <v>1100.9</v>
      </c>
      <c r="O504" s="3" t="inlineStr">
        <is>
          <t>조치원역 회전교차로 인근 최상위치</t>
        </is>
      </c>
      <c r="P504" s="6">
        <f>HYPERLINK("https://fin.land.naver.com/articles/2651708568", "매물Link")</f>
        <v/>
      </c>
      <c r="Q504" s="6">
        <f>HYPERLINK("https://map.naver.com/p/search/조치원읍 원리 9-29", "지도Link")</f>
        <v/>
      </c>
      <c r="R504" s="6">
        <f>HYPERLINK("http://www.eum.go.kr/web/ar/lu/luLandDet.jsp?pnu=3611025021100090029&amp;isNoScr=script&amp;mode=search", "토지이음")</f>
        <v/>
      </c>
      <c r="S504" s="3" t="inlineStr">
        <is>
          <t>OK수</t>
        </is>
      </c>
      <c r="T504" s="4" t="n">
        <v>1</v>
      </c>
      <c r="U504" s="5" t="n">
        <v>1102.1</v>
      </c>
      <c r="V504" s="4" t="n">
        <v>134.9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세로장방</t>
        </is>
      </c>
      <c r="AA504" s="3" t="inlineStr">
        <is>
          <t>중로한면</t>
        </is>
      </c>
    </row>
    <row r="505">
      <c r="A505" s="3" t="inlineStr">
        <is>
          <t>조치원읍 정리 112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도시형생활주택</t>
        </is>
      </c>
      <c r="F505" s="3" t="inlineStr">
        <is>
          <t>월세</t>
        </is>
      </c>
      <c r="G505" s="4" t="n">
        <v>200</v>
      </c>
      <c r="H505" s="4" t="n">
        <v>33</v>
      </c>
      <c r="I505" s="4" t="n">
        <v>38</v>
      </c>
      <c r="J505" s="4" t="n">
        <v>11</v>
      </c>
      <c r="K505" s="5" t="n">
        <v>3</v>
      </c>
      <c r="L505" s="4" t="n">
        <v>22</v>
      </c>
      <c r="M505" s="4" t="n">
        <v>7</v>
      </c>
      <c r="N505" s="5" t="n">
        <v>4.7</v>
      </c>
      <c r="O505" s="3" t="inlineStr">
        <is>
          <t>조치원역인근,남향,풀옵션 입니다.</t>
        </is>
      </c>
      <c r="P505" s="6">
        <f>HYPERLINK("https://fin.land.naver.com/articles/2654019821", "매물Link")</f>
        <v/>
      </c>
      <c r="Q505" s="6">
        <f>HYPERLINK("https://map.naver.com/p/search/조치원읍 정리 112", "지도Link")</f>
        <v/>
      </c>
      <c r="R505" s="6">
        <f>HYPERLINK("http://www.eum.go.kr/web/ar/lu/luLandDet.jsp?pnu=3611025025101120000&amp;isNoScr=script&amp;mode=search", "토지이음")</f>
        <v/>
      </c>
      <c r="S505" s="3" t="inlineStr">
        <is>
          <t>이음</t>
        </is>
      </c>
      <c r="T505" s="4" t="n">
        <v>1</v>
      </c>
      <c r="U505" s="5" t="n">
        <v>184.1</v>
      </c>
      <c r="V505" s="4" t="n">
        <v>1013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소로각지</t>
        </is>
      </c>
    </row>
    <row r="506">
      <c r="A506" s="3" t="inlineStr">
        <is>
          <t>조치원읍 정리 50-7</t>
        </is>
      </c>
      <c r="B506" s="3" t="inlineStr">
        <is>
          <t>준주거지역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30</v>
      </c>
      <c r="I506" s="4" t="n">
        <v>28</v>
      </c>
      <c r="J506" s="4" t="n">
        <v>8</v>
      </c>
      <c r="K506" s="5" t="n">
        <v>3.8</v>
      </c>
      <c r="L506" s="4" t="n">
        <v>25</v>
      </c>
      <c r="M506" s="4" t="n">
        <v>8</v>
      </c>
      <c r="N506" s="5" t="n">
        <v>3.8</v>
      </c>
      <c r="O506" s="3" t="inlineStr">
        <is>
          <t>엘베0.분리형.전통시장 1분거리 원룸.즉시입주가능합니다.</t>
        </is>
      </c>
      <c r="P506" s="6">
        <f>HYPERLINK("https://fin.land.naver.com/articles/2650081892", "매물Link")</f>
        <v/>
      </c>
      <c r="Q506" s="6">
        <f>HYPERLINK("https://map.naver.com/p/search/조치원읍 정리 50-7", "지도Link")</f>
        <v/>
      </c>
      <c r="R506" s="6">
        <f>HYPERLINK("http://www.eum.go.kr/web/ar/lu/luLandDet.jsp?pnu=3611025025100500007&amp;isNoScr=script&amp;mode=search", "토지이음")</f>
        <v/>
      </c>
      <c r="S506" s="3" t="inlineStr">
        <is>
          <t>이음 사무소</t>
        </is>
      </c>
      <c r="T506" s="4" t="n">
        <v>1</v>
      </c>
      <c r="U506" s="5" t="n">
        <v>259.4</v>
      </c>
      <c r="V506" s="4" t="n">
        <v>307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세로한면(가)</t>
        </is>
      </c>
    </row>
    <row r="507">
      <c r="A507" s="3" t="inlineStr">
        <is>
          <t>조치원읍 죽림리 30-4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26000</v>
      </c>
      <c r="H507" s="4" t="n">
        <v>0</v>
      </c>
      <c r="I507" s="4" t="n">
        <v>126</v>
      </c>
      <c r="J507" s="4" t="n">
        <v>38</v>
      </c>
      <c r="K507" s="5" t="n">
        <v>684.2</v>
      </c>
      <c r="L507" s="4" t="n">
        <v>123</v>
      </c>
      <c r="M507" s="4" t="n">
        <v>37</v>
      </c>
      <c r="N507" s="5" t="n">
        <v>702.7</v>
      </c>
      <c r="O507" s="3" t="inlineStr">
        <is>
          <t>nan</t>
        </is>
      </c>
      <c r="P507" s="6">
        <f>HYPERLINK("https://fin.land.naver.com/articles/2654598906", "매물Link")</f>
        <v/>
      </c>
      <c r="Q507" s="6">
        <f>HYPERLINK("https://map.naver.com/p/search/조치원읍 죽림리 30-4", "지도Link")</f>
        <v/>
      </c>
      <c r="R507" s="6">
        <f>HYPERLINK("http://www.eum.go.kr/web/ar/lu/luLandDet.jsp?pnu=3611025030100300004&amp;isNoScr=script&amp;mode=search", "토지이음")</f>
        <v/>
      </c>
      <c r="S507" s="3" t="inlineStr">
        <is>
          <t>덕천</t>
        </is>
      </c>
      <c r="T507" s="4" t="n">
        <v>2</v>
      </c>
      <c r="U507" s="5" t="n">
        <v>177.9</v>
      </c>
      <c r="V507" s="4" t="n">
        <v>118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소로각지</t>
        </is>
      </c>
    </row>
    <row r="508">
      <c r="A508" s="3" t="inlineStr">
        <is>
          <t>조치원읍 죽림리 338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다가구</t>
        </is>
      </c>
      <c r="F508" s="3" t="inlineStr">
        <is>
          <t>매매</t>
        </is>
      </c>
      <c r="G508" s="4" t="n">
        <v>130000</v>
      </c>
      <c r="H508" s="4" t="n">
        <v>0</v>
      </c>
      <c r="I508" s="4" t="n">
        <v>420</v>
      </c>
      <c r="J508" s="4" t="n">
        <v>127</v>
      </c>
      <c r="K508" s="5" t="n">
        <v>1023.6</v>
      </c>
      <c r="L508" s="4" t="n">
        <v>649</v>
      </c>
      <c r="M508" s="4" t="n">
        <v>196</v>
      </c>
      <c r="N508" s="5" t="n">
        <v>663.3</v>
      </c>
      <c r="O508" s="3" t="inlineStr">
        <is>
          <t>nan</t>
        </is>
      </c>
      <c r="P508" s="6">
        <f>HYPERLINK("https://fin.land.naver.com/articles/2654389078", "매물Link")</f>
        <v/>
      </c>
      <c r="Q508" s="6">
        <f>HYPERLINK("https://map.naver.com/p/search/조치원읍 죽림리 338", "지도Link")</f>
        <v/>
      </c>
      <c r="R508" s="6">
        <f>HYPERLINK("http://www.eum.go.kr/web/ar/lu/luLandDet.jsp?pnu=3611025030103380000&amp;isNoScr=script&amp;mode=search", "토지이음")</f>
        <v/>
      </c>
      <c r="S508" s="3" t="inlineStr">
        <is>
          <t>척척</t>
        </is>
      </c>
      <c r="T508" s="4" t="n">
        <v>1</v>
      </c>
      <c r="U508" s="5" t="n">
        <v>270.6</v>
      </c>
      <c r="V508" s="4" t="n">
        <v>420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소로한면</t>
        </is>
      </c>
    </row>
    <row r="509">
      <c r="A509" s="3" t="inlineStr">
        <is>
          <t>조치원읍 죽림리 338-2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다가구</t>
        </is>
      </c>
      <c r="F509" s="3" t="inlineStr">
        <is>
          <t>매매</t>
        </is>
      </c>
      <c r="G509" s="4" t="n">
        <v>130000</v>
      </c>
      <c r="H509" s="4" t="n">
        <v>0</v>
      </c>
      <c r="I509" s="4" t="n">
        <v>502</v>
      </c>
      <c r="J509" s="4" t="n">
        <v>152</v>
      </c>
      <c r="K509" s="5" t="n">
        <v>855.3</v>
      </c>
      <c r="L509" s="4" t="n">
        <v>693</v>
      </c>
      <c r="M509" s="4" t="n">
        <v>210</v>
      </c>
      <c r="N509" s="5" t="n">
        <v>619</v>
      </c>
      <c r="O509" s="3" t="inlineStr">
        <is>
          <t>nan</t>
        </is>
      </c>
      <c r="P509" s="6">
        <f>HYPERLINK("https://fin.land.naver.com/articles/2654389415", "매물Link")</f>
        <v/>
      </c>
      <c r="Q509" s="6">
        <f>HYPERLINK("https://map.naver.com/p/search/조치원읍 죽림리 338-2", "지도Link")</f>
        <v/>
      </c>
      <c r="R509" s="6">
        <f>HYPERLINK("http://www.eum.go.kr/web/ar/lu/luLandDet.jsp?pnu=3611025030103380002&amp;isNoScr=script&amp;mode=search", "토지이음")</f>
        <v/>
      </c>
      <c r="S509" s="3" t="inlineStr">
        <is>
          <t>척척</t>
        </is>
      </c>
      <c r="T509" s="4" t="n">
        <v>1</v>
      </c>
      <c r="U509" s="5" t="n">
        <v>273.3</v>
      </c>
      <c r="V509" s="4" t="n">
        <v>502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소로한면</t>
        </is>
      </c>
    </row>
    <row r="510">
      <c r="A510" s="3" t="inlineStr">
        <is>
          <t>조치원읍 죽림리 37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100</v>
      </c>
      <c r="H510" s="4" t="n">
        <v>30</v>
      </c>
      <c r="I510" s="4" t="n">
        <v>39</v>
      </c>
      <c r="J510" s="4" t="n">
        <v>12</v>
      </c>
      <c r="K510" s="5" t="n">
        <v>2.5</v>
      </c>
      <c r="L510" s="4" t="n">
        <v>26</v>
      </c>
      <c r="M510" s="4" t="n">
        <v>8</v>
      </c>
      <c r="N510" s="5" t="n">
        <v>3.8</v>
      </c>
      <c r="O510" s="3" t="inlineStr">
        <is>
          <t>죽림O우리마트1분O완전풀옵션O엘리베이터O</t>
        </is>
      </c>
      <c r="P510" s="6">
        <f>HYPERLINK("https://fin.land.naver.com/articles/2651040064", "매물Link")</f>
        <v/>
      </c>
      <c r="Q510" s="6">
        <f>HYPERLINK("https://map.naver.com/p/search/조치원읍 죽림리 37", "지도Link")</f>
        <v/>
      </c>
      <c r="R510" s="6">
        <f>HYPERLINK("http://www.eum.go.kr/web/ar/lu/luLandDet.jsp?pnu=3611025030100370000&amp;isNoScr=script&amp;mode=search", "토지이음")</f>
        <v/>
      </c>
      <c r="S510" s="3" t="inlineStr">
        <is>
          <t>척척</t>
        </is>
      </c>
      <c r="T510" s="4" t="n">
        <v>1</v>
      </c>
      <c r="U510" s="5" t="n">
        <v>267.7</v>
      </c>
      <c r="V510" s="4" t="n">
        <v>382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소로각지</t>
        </is>
      </c>
    </row>
    <row r="511">
      <c r="A511" s="3" t="inlineStr">
        <is>
          <t>조치원읍 죽림리 37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다가구</t>
        </is>
      </c>
      <c r="F511" s="3" t="inlineStr">
        <is>
          <t>월세</t>
        </is>
      </c>
      <c r="G511" s="4" t="n">
        <v>100</v>
      </c>
      <c r="H511" s="4" t="n">
        <v>31</v>
      </c>
      <c r="I511" s="4" t="n">
        <v>46</v>
      </c>
      <c r="J511" s="4" t="n">
        <v>14</v>
      </c>
      <c r="K511" s="5" t="n">
        <v>2.2</v>
      </c>
      <c r="L511" s="4" t="n">
        <v>46</v>
      </c>
      <c r="M511" s="4" t="n">
        <v>14</v>
      </c>
      <c r="N511" s="5" t="n">
        <v>2.2</v>
      </c>
      <c r="O511" s="3" t="inlineStr">
        <is>
          <t>깔끔하고 넓은 원 룸으로 주변에 대형마트있으며, 대중교통편함</t>
        </is>
      </c>
      <c r="P511" s="6">
        <f>HYPERLINK("https://fin.land.naver.com/articles/2653997485", "매물Link")</f>
        <v/>
      </c>
      <c r="Q511" s="6">
        <f>HYPERLINK("https://map.naver.com/p/search/조치원읍 죽림리 37", "지도Link")</f>
        <v/>
      </c>
      <c r="R511" s="6">
        <f>HYPERLINK("http://www.eum.go.kr/web/ar/lu/luLandDet.jsp?pnu=3611025030100370000&amp;isNoScr=script&amp;mode=search", "토지이음")</f>
        <v/>
      </c>
      <c r="S511" s="3" t="inlineStr">
        <is>
          <t>세종베스트</t>
        </is>
      </c>
      <c r="T511" s="4" t="n">
        <v>1</v>
      </c>
      <c r="U511" s="5" t="n">
        <v>267.7</v>
      </c>
      <c r="V511" s="4" t="n">
        <v>382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소로각지</t>
        </is>
      </c>
    </row>
    <row r="512">
      <c r="A512" s="3" t="inlineStr">
        <is>
          <t>조치원읍 죽림리 4-17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상가주택</t>
        </is>
      </c>
      <c r="F512" s="3" t="inlineStr">
        <is>
          <t>매매</t>
        </is>
      </c>
      <c r="G512" s="4" t="n">
        <v>50000</v>
      </c>
      <c r="H512" s="4" t="n">
        <v>0</v>
      </c>
      <c r="I512" s="4" t="n">
        <v>249</v>
      </c>
      <c r="J512" s="4" t="n">
        <v>75</v>
      </c>
      <c r="K512" s="5" t="n">
        <v>666.7</v>
      </c>
      <c r="L512" s="4" t="n">
        <v>156</v>
      </c>
      <c r="M512" s="4" t="n">
        <v>47</v>
      </c>
      <c r="N512" s="5" t="n">
        <v>1063.8</v>
      </c>
      <c r="O512" s="3" t="inlineStr">
        <is>
          <t>1층상가 2층 주택으로 사용하고 있는 로터리 바로앞 상가주택</t>
        </is>
      </c>
      <c r="P512" s="6">
        <f>HYPERLINK("https://fin.land.naver.com/articles/2652510722", "매물Link")</f>
        <v/>
      </c>
      <c r="Q512" s="6">
        <f>HYPERLINK("https://map.naver.com/p/search/조치원읍 죽림리 4-17", "지도Link")</f>
        <v/>
      </c>
      <c r="R512" s="6">
        <f>HYPERLINK("http://www.eum.go.kr/web/ar/lu/luLandDet.jsp?pnu=3611025030100040017&amp;isNoScr=script&amp;mode=search", "토지이음")</f>
        <v/>
      </c>
      <c r="S512" s="3" t="inlineStr">
        <is>
          <t>365</t>
        </is>
      </c>
      <c r="T512" s="4" t="n">
        <v>1</v>
      </c>
      <c r="U512" s="5" t="n">
        <v>280.7</v>
      </c>
      <c r="V512" s="4" t="n">
        <v>173</v>
      </c>
      <c r="W512" s="3" t="inlineStr">
        <is>
          <t>지정되지않음</t>
        </is>
      </c>
      <c r="X512" s="3" t="inlineStr">
        <is>
          <t>상업용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세로한면(가)</t>
        </is>
      </c>
    </row>
    <row r="513">
      <c r="A513" s="3" t="inlineStr">
        <is>
          <t>조치원읍 죽림리 47-7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1</t>
        </is>
      </c>
      <c r="E513" s="3" t="inlineStr">
        <is>
          <t>단독</t>
        </is>
      </c>
      <c r="F513" s="3" t="inlineStr">
        <is>
          <t>매매</t>
        </is>
      </c>
      <c r="G513" s="4" t="n">
        <v>38000</v>
      </c>
      <c r="H513" s="4" t="n">
        <v>0</v>
      </c>
      <c r="I513" s="4" t="n">
        <v>88</v>
      </c>
      <c r="J513" s="4" t="n">
        <v>27</v>
      </c>
      <c r="K513" s="5" t="n">
        <v>1407.4</v>
      </c>
      <c r="L513" s="4" t="n">
        <v>88</v>
      </c>
      <c r="M513" s="4" t="n">
        <v>27</v>
      </c>
      <c r="N513" s="5" t="n">
        <v>1407.4</v>
      </c>
      <c r="O513" s="3" t="inlineStr">
        <is>
          <t>죽림리 수리된 1,2층 남향주택 위치 좋습니다</t>
        </is>
      </c>
      <c r="P513" s="6">
        <f>HYPERLINK("https://fin.land.naver.com/articles/2651708550", "매물Link")</f>
        <v/>
      </c>
      <c r="Q513" s="6">
        <f>HYPERLINK("https://map.naver.com/p/search/조치원읍 죽림리 47-7", "지도Link")</f>
        <v/>
      </c>
      <c r="R513" s="6">
        <f>HYPERLINK("http://www.eum.go.kr/web/ar/lu/luLandDet.jsp?pnu=3611025030100470007&amp;isNoScr=script&amp;mode=search", "토지이음")</f>
        <v/>
      </c>
      <c r="S513" s="3" t="inlineStr">
        <is>
          <t>OK수</t>
        </is>
      </c>
      <c r="T513" s="4" t="n">
        <v>1</v>
      </c>
      <c r="U513" s="5" t="n">
        <v>262.5</v>
      </c>
      <c r="V513" s="4" t="n">
        <v>159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사다리형</t>
        </is>
      </c>
      <c r="AA513" s="3" t="inlineStr">
        <is>
          <t>소로한면</t>
        </is>
      </c>
    </row>
    <row r="514">
      <c r="A514" s="3" t="inlineStr">
        <is>
          <t>조치원읍 죽림리 48-2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단독</t>
        </is>
      </c>
      <c r="F514" s="3" t="inlineStr">
        <is>
          <t>매매</t>
        </is>
      </c>
      <c r="G514" s="4" t="n">
        <v>21000</v>
      </c>
      <c r="H514" s="4" t="n">
        <v>0</v>
      </c>
      <c r="I514" s="4" t="n">
        <v>210</v>
      </c>
      <c r="J514" s="4" t="n">
        <v>64</v>
      </c>
      <c r="K514" s="5" t="n">
        <v>328.1</v>
      </c>
      <c r="L514" s="4" t="n">
        <v>80</v>
      </c>
      <c r="M514" s="4" t="n">
        <v>24</v>
      </c>
      <c r="N514" s="5" t="n">
        <v>875</v>
      </c>
      <c r="O514" s="3" t="inlineStr">
        <is>
          <t>죽림리 위치 좋은곳 단독주택</t>
        </is>
      </c>
      <c r="P514" s="6">
        <f>HYPERLINK("https://fin.land.naver.com/articles/2653156364", "매물Link")</f>
        <v/>
      </c>
      <c r="Q514" s="6">
        <f>HYPERLINK("https://map.naver.com/p/search/조치원읍 죽림리 48-2", "지도Link")</f>
        <v/>
      </c>
      <c r="R514" s="6">
        <f>HYPERLINK("http://www.eum.go.kr/web/ar/lu/luLandDet.jsp?pnu=3611025030100480002&amp;isNoScr=script&amp;mode=search", "토지이음")</f>
        <v/>
      </c>
      <c r="S514" s="3" t="inlineStr">
        <is>
          <t>KB세종</t>
        </is>
      </c>
      <c r="T514" s="4" t="n">
        <v>1</v>
      </c>
      <c r="U514" s="5" t="n">
        <v>262.5</v>
      </c>
      <c r="V514" s="4" t="n">
        <v>210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소로한면</t>
        </is>
      </c>
    </row>
    <row r="515">
      <c r="A515" s="3" t="inlineStr">
        <is>
          <t>조치원읍 죽림리 50-1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1</t>
        </is>
      </c>
      <c r="E515" s="3" t="inlineStr">
        <is>
          <t>단독</t>
        </is>
      </c>
      <c r="F515" s="3" t="inlineStr">
        <is>
          <t>매매</t>
        </is>
      </c>
      <c r="G515" s="4" t="n">
        <v>18000</v>
      </c>
      <c r="H515" s="4" t="n">
        <v>0</v>
      </c>
      <c r="I515" s="4" t="n">
        <v>117</v>
      </c>
      <c r="J515" s="4" t="n">
        <v>35</v>
      </c>
      <c r="K515" s="5" t="n">
        <v>514.3</v>
      </c>
      <c r="L515" s="4" t="n">
        <v>61</v>
      </c>
      <c r="M515" s="4" t="n">
        <v>18</v>
      </c>
      <c r="N515" s="5" t="n">
        <v>1000</v>
      </c>
      <c r="O515" s="3" t="inlineStr">
        <is>
          <t>급매 공가</t>
        </is>
      </c>
      <c r="P515" s="6">
        <f>HYPERLINK("https://fin.land.naver.com/articles/2652059240", "매물Link")</f>
        <v/>
      </c>
      <c r="Q515" s="6">
        <f>HYPERLINK("https://map.naver.com/p/search/조치원읍 죽림리 50-1", "지도Link")</f>
        <v/>
      </c>
      <c r="R515" s="6">
        <f>HYPERLINK("http://www.eum.go.kr/web/ar/lu/luLandDet.jsp?pnu=3611025030100500001&amp;isNoScr=script&amp;mode=search", "토지이음")</f>
        <v/>
      </c>
      <c r="S515" s="3" t="inlineStr">
        <is>
          <t>제일</t>
        </is>
      </c>
      <c r="T515" s="4" t="n">
        <v>1</v>
      </c>
      <c r="U515" s="5" t="n">
        <v>262.5</v>
      </c>
      <c r="V515" s="4" t="n">
        <v>117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소로한면</t>
        </is>
      </c>
    </row>
    <row r="516">
      <c r="A516" s="3" t="inlineStr">
        <is>
          <t>조치원읍 죽림리 50-16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1</t>
        </is>
      </c>
      <c r="E516" s="3" t="inlineStr">
        <is>
          <t>단독</t>
        </is>
      </c>
      <c r="F516" s="3" t="inlineStr">
        <is>
          <t>매매</t>
        </is>
      </c>
      <c r="G516" s="4" t="n">
        <v>13000</v>
      </c>
      <c r="H516" s="4" t="n">
        <v>0</v>
      </c>
      <c r="I516" s="4" t="n">
        <v>121</v>
      </c>
      <c r="J516" s="4" t="n">
        <v>37</v>
      </c>
      <c r="K516" s="5" t="n">
        <v>351.4</v>
      </c>
      <c r="L516" s="4" t="n">
        <v>60</v>
      </c>
      <c r="M516" s="4" t="n">
        <v>18</v>
      </c>
      <c r="N516" s="5" t="n">
        <v>722.2</v>
      </c>
      <c r="O516" s="3" t="inlineStr">
        <is>
          <t>죽림리 위치 좋은 주택</t>
        </is>
      </c>
      <c r="P516" s="6">
        <f>HYPERLINK("https://fin.land.naver.com/articles/2649728501", "매물Link")</f>
        <v/>
      </c>
      <c r="Q516" s="6">
        <f>HYPERLINK("https://map.naver.com/p/search/조치원읍 죽림리 50-16", "지도Link")</f>
        <v/>
      </c>
      <c r="R516" s="6">
        <f>HYPERLINK("http://www.eum.go.kr/web/ar/lu/luLandDet.jsp?pnu=3611025030100500016&amp;isNoScr=script&amp;mode=search", "토지이음")</f>
        <v/>
      </c>
      <c r="S516" s="3" t="inlineStr">
        <is>
          <t>KB세종</t>
        </is>
      </c>
      <c r="T516" s="4" t="n">
        <v>1</v>
      </c>
      <c r="U516" s="5" t="n">
        <v>196.1</v>
      </c>
      <c r="V516" s="4" t="n">
        <v>121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세로한면(가)</t>
        </is>
      </c>
    </row>
    <row r="517">
      <c r="A517" s="3" t="inlineStr">
        <is>
          <t>조치원읍 죽림리 67-9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1</t>
        </is>
      </c>
      <c r="E517" s="3" t="inlineStr">
        <is>
          <t>단독</t>
        </is>
      </c>
      <c r="F517" s="3" t="inlineStr">
        <is>
          <t>매매</t>
        </is>
      </c>
      <c r="G517" s="4" t="n">
        <v>15000</v>
      </c>
      <c r="H517" s="4" t="n">
        <v>0</v>
      </c>
      <c r="I517" s="4" t="n">
        <v>156</v>
      </c>
      <c r="J517" s="4" t="n">
        <v>47</v>
      </c>
      <c r="K517" s="5" t="n">
        <v>319.1</v>
      </c>
      <c r="L517" s="4" t="n">
        <v>71</v>
      </c>
      <c r="M517" s="4" t="n">
        <v>21</v>
      </c>
      <c r="N517" s="5" t="n">
        <v>714.3</v>
      </c>
      <c r="O517" s="3" t="inlineStr">
        <is>
          <t>세종시 조치원읍 단독주택 급매</t>
        </is>
      </c>
      <c r="P517" s="6">
        <f>HYPERLINK("https://fin.land.naver.com/articles/2653739086", "매물Link")</f>
        <v/>
      </c>
      <c r="Q517" s="6">
        <f>HYPERLINK("https://map.naver.com/p/search/조치원읍 죽림리 67-9", "지도Link")</f>
        <v/>
      </c>
      <c r="R517" s="6">
        <f>HYPERLINK("http://www.eum.go.kr/web/ar/lu/luLandDet.jsp?pnu=3611025030100670009&amp;isNoScr=script&amp;mode=search", "토지이음")</f>
        <v/>
      </c>
      <c r="S517" s="3" t="inlineStr">
        <is>
          <t>신도시</t>
        </is>
      </c>
      <c r="T517" s="4" t="n">
        <v>7</v>
      </c>
      <c r="U517" s="5" t="n">
        <v>150.5</v>
      </c>
      <c r="V517" s="4" t="n">
        <v>156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세로한면(불)</t>
        </is>
      </c>
    </row>
    <row r="518">
      <c r="A518" s="3" t="inlineStr">
        <is>
          <t>조치원읍 침산리 110-6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1</t>
        </is>
      </c>
      <c r="E518" s="3" t="inlineStr">
        <is>
          <t>단독</t>
        </is>
      </c>
      <c r="F518" s="3" t="inlineStr">
        <is>
          <t>매매</t>
        </is>
      </c>
      <c r="G518" s="4" t="n">
        <v>25000</v>
      </c>
      <c r="H518" s="4" t="n">
        <v>0</v>
      </c>
      <c r="I518" s="4" t="n">
        <v>301</v>
      </c>
      <c r="J518" s="4" t="n">
        <v>91</v>
      </c>
      <c r="K518" s="5" t="n">
        <v>274.7</v>
      </c>
      <c r="L518" s="4" t="n">
        <v>114</v>
      </c>
      <c r="M518" s="4" t="n">
        <v>34</v>
      </c>
      <c r="N518" s="5" t="n">
        <v>735.3</v>
      </c>
      <c r="O518" s="3" t="inlineStr">
        <is>
          <t>단독 주택 매매</t>
        </is>
      </c>
      <c r="P518" s="6">
        <f>HYPERLINK("https://fin.land.naver.com/articles/2650475545", "매물Link")</f>
        <v/>
      </c>
      <c r="Q518" s="6">
        <f>HYPERLINK("https://map.naver.com/p/search/조치원읍 침산리 110-6", "지도Link")</f>
        <v/>
      </c>
      <c r="R518" s="6">
        <f>HYPERLINK("http://www.eum.go.kr/web/ar/lu/luLandDet.jsp?pnu=3611025028101100006&amp;isNoScr=script&amp;mode=search", "토지이음")</f>
        <v/>
      </c>
      <c r="S518" s="3" t="inlineStr">
        <is>
          <t>세종공감</t>
        </is>
      </c>
      <c r="T518" s="4" t="n">
        <v>1</v>
      </c>
      <c r="U518" s="5" t="n">
        <v>167.8</v>
      </c>
      <c r="V518" s="4" t="n">
        <v>301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사다리형</t>
        </is>
      </c>
      <c r="AA518" s="3" t="inlineStr">
        <is>
          <t>세로한면(불)</t>
        </is>
      </c>
    </row>
    <row r="519">
      <c r="A519" s="3" t="inlineStr">
        <is>
          <t>조치원읍 침산리 144-9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상가주택</t>
        </is>
      </c>
      <c r="F519" s="3" t="inlineStr">
        <is>
          <t>매매</t>
        </is>
      </c>
      <c r="G519" s="4" t="n">
        <v>52000</v>
      </c>
      <c r="H519" s="4" t="n">
        <v>0</v>
      </c>
      <c r="I519" s="4" t="n">
        <v>129</v>
      </c>
      <c r="J519" s="4" t="n">
        <v>39</v>
      </c>
      <c r="K519" s="5" t="n">
        <v>1333.3</v>
      </c>
      <c r="L519" s="4" t="n">
        <v>144</v>
      </c>
      <c r="M519" s="4" t="n">
        <v>44</v>
      </c>
      <c r="N519" s="5" t="n">
        <v>1181.8</v>
      </c>
      <c r="O519" s="3" t="inlineStr">
        <is>
          <t>조치원역 서쪽 4차선 도로접함 1층 상가 2층 주택이용하실분 추천</t>
        </is>
      </c>
      <c r="P519" s="6">
        <f>HYPERLINK("https://fin.land.naver.com/articles/2652881315", "매물Link")</f>
        <v/>
      </c>
      <c r="Q519" s="6">
        <f>HYPERLINK("https://map.naver.com/p/search/조치원읍 침산리 144-9", "지도Link")</f>
        <v/>
      </c>
      <c r="R519" s="6">
        <f>HYPERLINK("http://www.eum.go.kr/web/ar/lu/luLandDet.jsp?pnu=3611025028101440009&amp;isNoScr=script&amp;mode=search", "토지이음")</f>
        <v/>
      </c>
      <c r="S519" s="3" t="inlineStr">
        <is>
          <t>OK수</t>
        </is>
      </c>
      <c r="T519" s="4" t="n">
        <v>1</v>
      </c>
      <c r="U519" s="5" t="n">
        <v>404.6</v>
      </c>
      <c r="V519" s="4" t="n">
        <v>129</v>
      </c>
      <c r="W519" s="3" t="inlineStr">
        <is>
          <t>지정되지않음</t>
        </is>
      </c>
      <c r="X519" s="3" t="inlineStr">
        <is>
          <t>주상용</t>
        </is>
      </c>
      <c r="Y519" s="3" t="inlineStr">
        <is>
          <t>평지</t>
        </is>
      </c>
      <c r="Z519" s="3" t="inlineStr">
        <is>
          <t>부정형</t>
        </is>
      </c>
      <c r="AA519" s="3" t="inlineStr">
        <is>
          <t>중로한면</t>
        </is>
      </c>
    </row>
    <row r="520">
      <c r="A520" s="3" t="inlineStr">
        <is>
          <t>조치원읍 침산리 145-3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35</v>
      </c>
      <c r="I520" s="4" t="n">
        <v>49</v>
      </c>
      <c r="J520" s="4" t="n">
        <v>15</v>
      </c>
      <c r="K520" s="5" t="n">
        <v>2.3</v>
      </c>
      <c r="L520" s="4" t="n">
        <v>49</v>
      </c>
      <c r="M520" s="4" t="n">
        <v>15</v>
      </c>
      <c r="N520" s="5" t="n">
        <v>2.3</v>
      </c>
      <c r="O520" s="3" t="inlineStr">
        <is>
          <t>조치원역 후문 올리모델링 되어 있는 투베이 입니다.</t>
        </is>
      </c>
      <c r="P520" s="6">
        <f>HYPERLINK("https://fin.land.naver.com/articles/2652695801", "매물Link")</f>
        <v/>
      </c>
      <c r="Q520" s="6">
        <f>HYPERLINK("https://map.naver.com/p/search/조치원읍 침산리 145-3", "지도Link")</f>
        <v/>
      </c>
      <c r="R520" s="6">
        <f>HYPERLINK("http://www.eum.go.kr/web/ar/lu/luLandDet.jsp?pnu=3611025028101450003&amp;isNoScr=script&amp;mode=search", "토지이음")</f>
        <v/>
      </c>
      <c r="S520" s="3" t="inlineStr">
        <is>
          <t>행복을만드는</t>
        </is>
      </c>
      <c r="T520" s="4" t="n">
        <v>1</v>
      </c>
      <c r="U520" s="5" t="n">
        <v>404.6</v>
      </c>
      <c r="V520" s="4" t="n">
        <v>358</v>
      </c>
      <c r="W520" s="3" t="inlineStr">
        <is>
          <t>지정되지않음</t>
        </is>
      </c>
      <c r="X520" s="3" t="inlineStr">
        <is>
          <t>주상용</t>
        </is>
      </c>
      <c r="Y520" s="3" t="inlineStr">
        <is>
          <t>평지</t>
        </is>
      </c>
      <c r="Z520" s="3" t="inlineStr">
        <is>
          <t>부정형</t>
        </is>
      </c>
      <c r="AA520" s="3" t="inlineStr">
        <is>
          <t>중로한면</t>
        </is>
      </c>
    </row>
    <row r="521">
      <c r="A521" s="3" t="inlineStr">
        <is>
          <t>조치원읍 침산리 145-3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300</v>
      </c>
      <c r="H521" s="4" t="n">
        <v>38</v>
      </c>
      <c r="I521" s="4" t="n">
        <v>49</v>
      </c>
      <c r="J521" s="4" t="n">
        <v>15</v>
      </c>
      <c r="K521" s="5" t="n">
        <v>2.5</v>
      </c>
      <c r="L521" s="4" t="n">
        <v>49</v>
      </c>
      <c r="M521" s="4" t="n">
        <v>15</v>
      </c>
      <c r="N521" s="5" t="n">
        <v>2.5</v>
      </c>
      <c r="O521" s="3" t="inlineStr">
        <is>
          <t>조치원역 후문 올리모델링 되어 있는 투베이 입니다.</t>
        </is>
      </c>
      <c r="P521" s="6">
        <f>HYPERLINK("https://fin.land.naver.com/articles/2652696838", "매물Link")</f>
        <v/>
      </c>
      <c r="Q521" s="6">
        <f>HYPERLINK("https://map.naver.com/p/search/조치원읍 침산리 145-3", "지도Link")</f>
        <v/>
      </c>
      <c r="R521" s="6">
        <f>HYPERLINK("http://www.eum.go.kr/web/ar/lu/luLandDet.jsp?pnu=3611025028101450003&amp;isNoScr=script&amp;mode=search", "토지이음")</f>
        <v/>
      </c>
      <c r="S521" s="3" t="inlineStr">
        <is>
          <t>행복을만드는</t>
        </is>
      </c>
      <c r="T521" s="4" t="n">
        <v>1</v>
      </c>
      <c r="U521" s="5" t="n">
        <v>404.6</v>
      </c>
      <c r="V521" s="4" t="n">
        <v>358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부정형</t>
        </is>
      </c>
      <c r="AA521" s="3" t="inlineStr">
        <is>
          <t>중로한면</t>
        </is>
      </c>
    </row>
    <row r="522">
      <c r="A522" s="3" t="inlineStr">
        <is>
          <t>조치원읍 침산리 145-3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400</v>
      </c>
      <c r="H522" s="4" t="n">
        <v>40</v>
      </c>
      <c r="I522" s="4" t="n">
        <v>49</v>
      </c>
      <c r="J522" s="4" t="n">
        <v>15</v>
      </c>
      <c r="K522" s="5" t="n">
        <v>2.7</v>
      </c>
      <c r="L522" s="4" t="n">
        <v>49</v>
      </c>
      <c r="M522" s="4" t="n">
        <v>15</v>
      </c>
      <c r="N522" s="5" t="n">
        <v>2.7</v>
      </c>
      <c r="O522" s="3" t="inlineStr">
        <is>
          <t>조치원역 후문 올리모델링 되어 있는 룸 입니다.</t>
        </is>
      </c>
      <c r="P522" s="6">
        <f>HYPERLINK("https://fin.land.naver.com/articles/2652694071", "매물Link")</f>
        <v/>
      </c>
      <c r="Q522" s="6">
        <f>HYPERLINK("https://map.naver.com/p/search/조치원읍 침산리 145-3", "지도Link")</f>
        <v/>
      </c>
      <c r="R522" s="6">
        <f>HYPERLINK("http://www.eum.go.kr/web/ar/lu/luLandDet.jsp?pnu=3611025028101450003&amp;isNoScr=script&amp;mode=search", "토지이음")</f>
        <v/>
      </c>
      <c r="S522" s="3" t="inlineStr">
        <is>
          <t>행복을만드는</t>
        </is>
      </c>
      <c r="T522" s="4" t="n">
        <v>1</v>
      </c>
      <c r="U522" s="5" t="n">
        <v>404.6</v>
      </c>
      <c r="V522" s="4" t="n">
        <v>358</v>
      </c>
      <c r="W522" s="3" t="inlineStr">
        <is>
          <t>지정되지않음</t>
        </is>
      </c>
      <c r="X522" s="3" t="inlineStr">
        <is>
          <t>주상용</t>
        </is>
      </c>
      <c r="Y522" s="3" t="inlineStr">
        <is>
          <t>평지</t>
        </is>
      </c>
      <c r="Z522" s="3" t="inlineStr">
        <is>
          <t>부정형</t>
        </is>
      </c>
      <c r="AA522" s="3" t="inlineStr">
        <is>
          <t>중로한면</t>
        </is>
      </c>
    </row>
    <row r="523">
      <c r="A523" s="3" t="inlineStr">
        <is>
          <t>조치원읍 침산리 153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35</v>
      </c>
      <c r="I523" s="4" t="n">
        <v>30</v>
      </c>
      <c r="J523" s="4" t="n">
        <v>9</v>
      </c>
      <c r="K523" s="5" t="n">
        <v>3.9</v>
      </c>
      <c r="L523" s="4" t="n">
        <v>25</v>
      </c>
      <c r="M523" s="4" t="n">
        <v>8</v>
      </c>
      <c r="N523" s="5" t="n">
        <v>4.4</v>
      </c>
      <c r="O523" s="3" t="inlineStr">
        <is>
          <t>조치원역 인근 미니투룸 월세</t>
        </is>
      </c>
      <c r="P523" s="6">
        <f>HYPERLINK("https://fin.land.naver.com/articles/2652540224", "매물Link")</f>
        <v/>
      </c>
      <c r="Q523" s="6">
        <f>HYPERLINK("https://map.naver.com/p/search/조치원읍 침산리 153", "지도Link")</f>
        <v/>
      </c>
      <c r="R523" s="6">
        <f>HYPERLINK("http://www.eum.go.kr/web/ar/lu/luLandDet.jsp?pnu=3611025028101530000&amp;isNoScr=script&amp;mode=search", "토지이음")</f>
        <v/>
      </c>
      <c r="S523" s="3" t="inlineStr">
        <is>
          <t>무지개</t>
        </is>
      </c>
      <c r="T523" s="4" t="n">
        <v>1</v>
      </c>
      <c r="U523" s="5" t="n">
        <v>155.1</v>
      </c>
      <c r="V523" s="4" t="n">
        <v>220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완경사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조치원읍 침산리 166-57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120000</v>
      </c>
      <c r="H524" s="4" t="n">
        <v>0</v>
      </c>
      <c r="I524" s="4" t="n">
        <v>383</v>
      </c>
      <c r="J524" s="4" t="n">
        <v>116</v>
      </c>
      <c r="K524" s="5" t="n">
        <v>1034.5</v>
      </c>
      <c r="L524" s="4" t="n">
        <v>198</v>
      </c>
      <c r="M524" s="4" t="n">
        <v>60</v>
      </c>
      <c r="N524" s="5" t="n">
        <v>2000</v>
      </c>
      <c r="O524" s="3" t="inlineStr">
        <is>
          <t>nan</t>
        </is>
      </c>
      <c r="P524" s="6">
        <f>HYPERLINK("https://fin.land.naver.com/articles/2651570688", "매물Link")</f>
        <v/>
      </c>
      <c r="Q524" s="6">
        <f>HYPERLINK("https://map.naver.com/p/search/조치원읍 침산리 166-57", "지도Link")</f>
        <v/>
      </c>
      <c r="R524" s="6">
        <f>HYPERLINK("http://www.eum.go.kr/web/ar/lu/luLandDet.jsp?pnu=3611025028101660057&amp;isNoScr=script&amp;mode=search", "토지이음")</f>
        <v/>
      </c>
      <c r="S524" s="3" t="inlineStr">
        <is>
          <t>여기로</t>
        </is>
      </c>
      <c r="T524" s="4" t="n">
        <v>1</v>
      </c>
      <c r="U524" s="5" t="n">
        <v>233.7</v>
      </c>
      <c r="V524" s="4" t="n">
        <v>383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세로한면(가)</t>
        </is>
      </c>
    </row>
    <row r="525">
      <c r="A525" s="3" t="inlineStr">
        <is>
          <t>조치원읍 침산리 219-5</t>
        </is>
      </c>
      <c r="B525" s="3" t="inlineStr">
        <is>
          <t>제1종일반주거지역</t>
        </is>
      </c>
      <c r="C525" s="3" t="inlineStr">
        <is>
          <t>답</t>
        </is>
      </c>
      <c r="D525" s="3" t="inlineStr">
        <is>
          <t>3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500</v>
      </c>
      <c r="H525" s="4" t="n">
        <v>58</v>
      </c>
      <c r="I525" s="4" t="n">
        <v>36</v>
      </c>
      <c r="J525" s="4" t="n">
        <v>11</v>
      </c>
      <c r="K525" s="5" t="n">
        <v>5.3</v>
      </c>
      <c r="L525" s="4" t="n">
        <v>36</v>
      </c>
      <c r="M525" s="4" t="n">
        <v>11</v>
      </c>
      <c r="N525" s="5" t="n">
        <v>5.3</v>
      </c>
      <c r="O525" s="3" t="inlineStr">
        <is>
          <t>투룸 침산리 하이마트근처 편의시설 많음</t>
        </is>
      </c>
      <c r="P525" s="6">
        <f>HYPERLINK("https://fin.land.naver.com/articles/2650357638", "매물Link")</f>
        <v/>
      </c>
      <c r="Q525" s="6">
        <f>HYPERLINK("https://map.naver.com/p/search/조치원읍 침산리 219-5", "지도Link")</f>
        <v/>
      </c>
      <c r="R525" s="6">
        <f>HYPERLINK("http://www.eum.go.kr/web/ar/lu/luLandDet.jsp?pnu=3611025028102190005&amp;isNoScr=script&amp;mode=search", "토지이음")</f>
        <v/>
      </c>
      <c r="S525" s="3" t="inlineStr">
        <is>
          <t>OK수</t>
        </is>
      </c>
      <c r="T525" s="4" t="n">
        <v>1</v>
      </c>
      <c r="U525" s="5" t="n">
        <v>210.2</v>
      </c>
      <c r="V525" s="4" t="n">
        <v>380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자루형</t>
        </is>
      </c>
      <c r="AA525" s="3" t="inlineStr">
        <is>
          <t>세로한면(가)</t>
        </is>
      </c>
    </row>
    <row r="526">
      <c r="A526" s="3" t="inlineStr">
        <is>
          <t>조치원읍 침산리 251-2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32</v>
      </c>
      <c r="I526" s="4" t="n">
        <v>39</v>
      </c>
      <c r="J526" s="4" t="n">
        <v>12</v>
      </c>
      <c r="K526" s="5" t="n">
        <v>2.7</v>
      </c>
      <c r="L526" s="4" t="n">
        <v>26</v>
      </c>
      <c r="M526" s="4" t="n">
        <v>8</v>
      </c>
      <c r="N526" s="5" t="n">
        <v>4</v>
      </c>
      <c r="O526" s="3" t="inlineStr">
        <is>
          <t>위치좋은.엘베있는.깨끗한 원룸입니다.</t>
        </is>
      </c>
      <c r="P526" s="6">
        <f>HYPERLINK("https://fin.land.naver.com/articles/2654179966", "매물Link")</f>
        <v/>
      </c>
      <c r="Q526" s="6">
        <f>HYPERLINK("https://map.naver.com/p/search/조치원읍 침산리 251-2", "지도Link")</f>
        <v/>
      </c>
      <c r="R526" s="6">
        <f>HYPERLINK("http://www.eum.go.kr/web/ar/lu/luLandDet.jsp?pnu=3611025028102510002&amp;isNoScr=script&amp;mode=search",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526</v>
      </c>
      <c r="V526" s="4" t="n">
        <v>271.1</v>
      </c>
      <c r="W526" s="3" t="inlineStr">
        <is>
          <t>지정되지않음</t>
        </is>
      </c>
      <c r="X526" s="3" t="inlineStr">
        <is>
          <t>주상기타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중로한면</t>
        </is>
      </c>
    </row>
    <row r="527">
      <c r="A527" s="3" t="inlineStr">
        <is>
          <t>조치원읍 침산리 251-2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32</v>
      </c>
      <c r="I527" s="4" t="n">
        <v>28</v>
      </c>
      <c r="J527" s="4" t="n">
        <v>8</v>
      </c>
      <c r="K527" s="5" t="n">
        <v>4</v>
      </c>
      <c r="L527" s="4" t="n">
        <v>25</v>
      </c>
      <c r="M527" s="4" t="n">
        <v>8</v>
      </c>
      <c r="N527" s="5" t="n">
        <v>4</v>
      </c>
      <c r="O527" s="3" t="inlineStr">
        <is>
          <t>분리형 원룸. 관리잘되는 원룸 입주하세요. 10월12일이후가능</t>
        </is>
      </c>
      <c r="P527" s="6">
        <f>HYPERLINK("https://fin.land.naver.com/articles/2650462032", "매물Link")</f>
        <v/>
      </c>
      <c r="Q527" s="6">
        <f>HYPERLINK("https://map.naver.com/p/search/조치원읍 침산리 251-2", "지도Link")</f>
        <v/>
      </c>
      <c r="R527" s="6">
        <f>HYPERLINK("http://www.eum.go.kr/web/ar/lu/luLandDet.jsp?pnu=3611025028102510002&amp;isNoScr=script&amp;mode=search", "토지이음")</f>
        <v/>
      </c>
      <c r="S527" s="3" t="inlineStr">
        <is>
          <t>이음</t>
        </is>
      </c>
      <c r="T527" s="4" t="n">
        <v>1</v>
      </c>
      <c r="U527" s="5" t="n">
        <v>526</v>
      </c>
      <c r="V527" s="4" t="n">
        <v>271.1</v>
      </c>
      <c r="W527" s="3" t="inlineStr">
        <is>
          <t>지정되지않음</t>
        </is>
      </c>
      <c r="X527" s="3" t="inlineStr">
        <is>
          <t>주상기타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중로한면</t>
        </is>
      </c>
    </row>
    <row r="528">
      <c r="A528" s="3" t="inlineStr">
        <is>
          <t>조치원읍 침산리 251-4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30</v>
      </c>
      <c r="I528" s="4" t="n">
        <v>19</v>
      </c>
      <c r="J528" s="4" t="n">
        <v>6</v>
      </c>
      <c r="K528" s="5" t="n">
        <v>5</v>
      </c>
      <c r="L528" s="4" t="n">
        <v>13</v>
      </c>
      <c r="M528" s="4" t="n">
        <v>4</v>
      </c>
      <c r="N528" s="5" t="n">
        <v>7.5</v>
      </c>
      <c r="O528" s="3" t="inlineStr">
        <is>
          <t>침산리 원룸 월세</t>
        </is>
      </c>
      <c r="P528" s="6">
        <f>HYPERLINK("https://fin.land.naver.com/articles/2653989696", "매물Link")</f>
        <v/>
      </c>
      <c r="Q528" s="6">
        <f>HYPERLINK("https://map.naver.com/p/search/조치원읍 침산리 251-4", "지도Link")</f>
        <v/>
      </c>
      <c r="R528" s="6">
        <f>HYPERLINK("http://www.eum.go.kr/web/ar/lu/luLandDet.jsp?pnu=3611025028102510004&amp;isNoScr=script&amp;mode=search", "토지이음")</f>
        <v/>
      </c>
      <c r="S528" s="3" t="inlineStr">
        <is>
          <t>김준희</t>
        </is>
      </c>
      <c r="T528" s="4" t="n">
        <v>2</v>
      </c>
      <c r="U528" s="5" t="n">
        <v>526</v>
      </c>
      <c r="V528" s="4" t="n">
        <v>277.6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가로장방</t>
        </is>
      </c>
      <c r="AA528" s="3" t="inlineStr">
        <is>
          <t>중로한면</t>
        </is>
      </c>
    </row>
    <row r="529">
      <c r="A529" s="3" t="inlineStr">
        <is>
          <t>조치원읍 침산리 251-5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6</t>
        </is>
      </c>
      <c r="E529" s="3" t="inlineStr">
        <is>
          <t>다가구</t>
        </is>
      </c>
      <c r="F529" s="3" t="inlineStr">
        <is>
          <t>매매</t>
        </is>
      </c>
      <c r="G529" s="4" t="n">
        <v>92000</v>
      </c>
      <c r="H529" s="4" t="n">
        <v>0</v>
      </c>
      <c r="I529" s="4" t="n">
        <v>167</v>
      </c>
      <c r="J529" s="4" t="n">
        <v>51</v>
      </c>
      <c r="K529" s="5" t="n">
        <v>1803.9</v>
      </c>
      <c r="L529" s="4" t="n">
        <v>415</v>
      </c>
      <c r="M529" s="4" t="n">
        <v>126</v>
      </c>
      <c r="N529" s="5" t="n">
        <v>730.2</v>
      </c>
      <c r="O529" s="3" t="inlineStr">
        <is>
          <t>nan</t>
        </is>
      </c>
      <c r="P529" s="6">
        <f>HYPERLINK("https://fin.land.naver.com/articles/2654387726", "매물Link")</f>
        <v/>
      </c>
      <c r="Q529" s="6">
        <f>HYPERLINK("https://map.naver.com/p/search/조치원읍 침산리 251-5", "지도Link")</f>
        <v/>
      </c>
      <c r="R529" s="6">
        <f>HYPERLINK("http://www.eum.go.kr/web/ar/lu/luLandDet.jsp?pnu=3611025028102510005&amp;isNoScr=script&amp;mode=search",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515.7</v>
      </c>
      <c r="V529" s="4" t="n">
        <v>167.1</v>
      </c>
      <c r="W529" s="3" t="inlineStr">
        <is>
          <t>지정되지않음</t>
        </is>
      </c>
      <c r="X529" s="3" t="inlineStr">
        <is>
          <t>주상기타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중로한면</t>
        </is>
      </c>
    </row>
    <row r="530">
      <c r="A530" s="3" t="inlineStr">
        <is>
          <t>조치원읍 침산리 252-8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2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29</v>
      </c>
      <c r="I530" s="4" t="n">
        <v>20</v>
      </c>
      <c r="J530" s="4" t="n">
        <v>6</v>
      </c>
      <c r="K530" s="5" t="n">
        <v>4.8</v>
      </c>
      <c r="L530" s="4" t="n">
        <v>20</v>
      </c>
      <c r="M530" s="4" t="n">
        <v>6</v>
      </c>
      <c r="N530" s="5" t="n">
        <v>4.8</v>
      </c>
      <c r="O530" s="3" t="inlineStr">
        <is>
          <t>원룸  일반인 학생추천 조치원역 도보가능합니다</t>
        </is>
      </c>
      <c r="P530" s="6">
        <f>HYPERLINK("https://fin.land.naver.com/articles/2649982954", "매물Link")</f>
        <v/>
      </c>
      <c r="Q530" s="6">
        <f>HYPERLINK("https://map.naver.com/p/search/조치원읍 침산리 252-8", "지도Link")</f>
        <v/>
      </c>
      <c r="R530" s="6">
        <f>HYPERLINK("http://www.eum.go.kr/web/ar/lu/luLandDet.jsp?pnu=3611025028102520008&amp;isNoScr=script&amp;mode=search", "토지이음")</f>
        <v/>
      </c>
      <c r="S530" s="3" t="inlineStr">
        <is>
          <t>OK수</t>
        </is>
      </c>
      <c r="T530" s="4" t="n">
        <v>1</v>
      </c>
      <c r="U530" s="5" t="n">
        <v>286.8</v>
      </c>
      <c r="V530" s="4" t="n">
        <v>348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세로한면(가)</t>
        </is>
      </c>
    </row>
    <row r="531">
      <c r="A531" s="3" t="inlineStr">
        <is>
          <t>조치원읍 침산리 252-8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27</v>
      </c>
      <c r="I531" s="4" t="n">
        <v>26</v>
      </c>
      <c r="J531" s="4" t="n">
        <v>8</v>
      </c>
      <c r="K531" s="5" t="n">
        <v>3.4</v>
      </c>
      <c r="L531" s="4" t="n">
        <v>26</v>
      </c>
      <c r="M531" s="4" t="n">
        <v>8</v>
      </c>
      <c r="N531" s="5" t="n">
        <v>3.4</v>
      </c>
      <c r="O531" s="3" t="inlineStr">
        <is>
          <t>넒은 원룸이며, 조치원시장, 조치원역 옆에 위치하여 교통 편리</t>
        </is>
      </c>
      <c r="P531" s="6">
        <f>HYPERLINK("https://fin.land.naver.com/articles/2655186237", "매물Link")</f>
        <v/>
      </c>
      <c r="Q531" s="6">
        <f>HYPERLINK("https://map.naver.com/p/search/조치원읍 침산리 252-8", "지도Link")</f>
        <v/>
      </c>
      <c r="R531" s="6">
        <f>HYPERLINK("http://www.eum.go.kr/web/ar/lu/luLandDet.jsp?pnu=3611025028102520008&amp;isNoScr=script&amp;mode=search", "토지이음")</f>
        <v/>
      </c>
      <c r="S531" s="3" t="inlineStr">
        <is>
          <t>세종베스트</t>
        </is>
      </c>
      <c r="T531" s="4" t="n">
        <v>1</v>
      </c>
      <c r="U531" s="5" t="n">
        <v>286.8</v>
      </c>
      <c r="V531" s="4" t="n">
        <v>348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252-8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다가구</t>
        </is>
      </c>
      <c r="F532" s="3" t="inlineStr">
        <is>
          <t>매매</t>
        </is>
      </c>
      <c r="G532" s="4" t="n">
        <v>95000</v>
      </c>
      <c r="H532" s="4" t="n">
        <v>0</v>
      </c>
      <c r="I532" s="4" t="n">
        <v>348</v>
      </c>
      <c r="J532" s="4" t="n">
        <v>105</v>
      </c>
      <c r="K532" s="5" t="n">
        <v>904.8</v>
      </c>
      <c r="L532" s="4" t="n">
        <v>489</v>
      </c>
      <c r="M532" s="4" t="n">
        <v>148</v>
      </c>
      <c r="N532" s="5" t="n">
        <v>641.9</v>
      </c>
      <c r="O532" s="3" t="inlineStr">
        <is>
          <t>nan</t>
        </is>
      </c>
      <c r="P532" s="6">
        <f>HYPERLINK("https://fin.land.naver.com/articles/2654393866", "매물Link")</f>
        <v/>
      </c>
      <c r="Q532" s="6">
        <f>HYPERLINK("https://map.naver.com/p/search/조치원읍 침산리 252-8", "지도Link")</f>
        <v/>
      </c>
      <c r="R532" s="6">
        <f>HYPERLINK("http://www.eum.go.kr/web/ar/lu/luLandDet.jsp?pnu=3611025028102520008&amp;isNoScr=script&amp;mode=search",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286.8</v>
      </c>
      <c r="V532" s="4" t="n">
        <v>348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254-1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다가구</t>
        </is>
      </c>
      <c r="F533" s="3" t="inlineStr">
        <is>
          <t>월세</t>
        </is>
      </c>
      <c r="G533" s="4" t="n">
        <v>500</v>
      </c>
      <c r="H533" s="4" t="n">
        <v>42</v>
      </c>
      <c r="I533" s="4" t="n">
        <v>0</v>
      </c>
      <c r="J533" s="4" t="n">
        <v>0</v>
      </c>
      <c r="K533" s="5" t="n">
        <v>0</v>
      </c>
      <c r="L533" s="4" t="n">
        <v>26</v>
      </c>
      <c r="M533" s="4" t="n">
        <v>8</v>
      </c>
      <c r="N533" s="5" t="n">
        <v>5.2</v>
      </c>
      <c r="O533" s="3" t="inlineStr">
        <is>
          <t>L조용한 위치 O투베이O 역3분</t>
        </is>
      </c>
      <c r="P533" s="6">
        <f>HYPERLINK("https://fin.land.naver.com/articles/2651114575", "매물Link")</f>
        <v/>
      </c>
      <c r="Q533" s="6">
        <f>HYPERLINK("https://map.naver.com/p/search/조치원읍 침산리 254-1", "지도Link")</f>
        <v/>
      </c>
      <c r="R533" s="6">
        <f>HYPERLINK("http://www.eum.go.kr/web/ar/lu/luLandDet.jsp?pnu=3611025028102540001&amp;isNoScr=script&amp;mode=search", "토지이음")</f>
        <v/>
      </c>
      <c r="S533" s="3" t="inlineStr">
        <is>
          <t>바다</t>
        </is>
      </c>
      <c r="T533" s="4" t="n">
        <v>1</v>
      </c>
      <c r="U533" s="5" t="n">
        <v>526.6</v>
      </c>
      <c r="V533" s="4" t="n">
        <v>419.3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중로각지</t>
        </is>
      </c>
    </row>
    <row r="534">
      <c r="A534" s="3" t="inlineStr">
        <is>
          <t>조치원읍 침산리 255-10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300</v>
      </c>
      <c r="H534" s="4" t="n">
        <v>30</v>
      </c>
      <c r="I534" s="4" t="n">
        <v>25</v>
      </c>
      <c r="J534" s="4" t="n">
        <v>8</v>
      </c>
      <c r="K534" s="5" t="n">
        <v>3.8</v>
      </c>
      <c r="L534" s="4" t="n">
        <v>22</v>
      </c>
      <c r="M534" s="4" t="n">
        <v>7</v>
      </c>
      <c r="N534" s="5" t="n">
        <v>4.3</v>
      </c>
      <c r="O534" s="3" t="inlineStr">
        <is>
          <t>nan</t>
        </is>
      </c>
      <c r="P534" s="6">
        <f>HYPERLINK("https://fin.land.naver.com/articles/2652783653", "매물Link")</f>
        <v/>
      </c>
      <c r="Q534" s="6">
        <f>HYPERLINK("https://map.naver.com/p/search/조치원읍 침산리 255-10", "지도Link")</f>
        <v/>
      </c>
      <c r="R534" s="6">
        <f>HYPERLINK("http://www.eum.go.kr/web/ar/lu/luLandDet.jsp?pnu=3611025028102550010&amp;isNoScr=script&amp;mode=search", "토지이음")</f>
        <v/>
      </c>
      <c r="S534" s="3" t="inlineStr">
        <is>
          <t>효자</t>
        </is>
      </c>
      <c r="T534" s="4" t="n">
        <v>1</v>
      </c>
      <c r="U534" s="5" t="n">
        <v>292.7</v>
      </c>
      <c r="V534" s="4" t="n">
        <v>251.7</v>
      </c>
      <c r="W534" s="3" t="inlineStr">
        <is>
          <t>지정되지않음</t>
        </is>
      </c>
      <c r="X534" s="3" t="inlineStr">
        <is>
          <t>주거기타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세로한면(가)</t>
        </is>
      </c>
    </row>
    <row r="535">
      <c r="A535" s="3" t="inlineStr">
        <is>
          <t>조치원읍 침산리 255-12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1</t>
        </is>
      </c>
      <c r="E535" s="3" t="inlineStr">
        <is>
          <t>상가주택</t>
        </is>
      </c>
      <c r="F535" s="3" t="inlineStr">
        <is>
          <t>매매</t>
        </is>
      </c>
      <c r="G535" s="4" t="n">
        <v>36000</v>
      </c>
      <c r="H535" s="4" t="n">
        <v>0</v>
      </c>
      <c r="I535" s="4" t="n">
        <v>217</v>
      </c>
      <c r="J535" s="4" t="n">
        <v>66</v>
      </c>
      <c r="K535" s="5" t="n">
        <v>545.5</v>
      </c>
      <c r="L535" s="4" t="n">
        <v>124</v>
      </c>
      <c r="M535" s="4" t="n">
        <v>38</v>
      </c>
      <c r="N535" s="5" t="n">
        <v>947.4</v>
      </c>
      <c r="O535" s="3" t="inlineStr">
        <is>
          <t>단층 건물 매매</t>
        </is>
      </c>
      <c r="P535" s="6">
        <f>HYPERLINK("https://fin.land.naver.com/articles/2653348337", "매물Link")</f>
        <v/>
      </c>
      <c r="Q535" s="6">
        <f>HYPERLINK("https://map.naver.com/p/search/조치원읍 침산리 255-12", "지도Link")</f>
        <v/>
      </c>
      <c r="R535" s="6">
        <f>HYPERLINK("http://www.eum.go.kr/web/ar/lu/luLandDet.jsp?pnu=3611025028102550012&amp;isNoScr=script&amp;mode=search", "토지이음")</f>
        <v/>
      </c>
      <c r="S535" s="3" t="inlineStr">
        <is>
          <t>김준희</t>
        </is>
      </c>
      <c r="T535" s="4" t="n">
        <v>1</v>
      </c>
      <c r="U535" s="5" t="n">
        <v>292.7</v>
      </c>
      <c r="V535" s="4" t="n">
        <v>217</v>
      </c>
      <c r="W535" s="3" t="inlineStr">
        <is>
          <t>지정되지않음</t>
        </is>
      </c>
      <c r="X535" s="3" t="inlineStr">
        <is>
          <t>주거기타</t>
        </is>
      </c>
      <c r="Y535" s="3" t="inlineStr">
        <is>
          <t>평지</t>
        </is>
      </c>
      <c r="Z535" s="3" t="inlineStr">
        <is>
          <t>정방형</t>
        </is>
      </c>
      <c r="AA535" s="3" t="inlineStr">
        <is>
          <t>세로한면(가)</t>
        </is>
      </c>
    </row>
    <row r="536">
      <c r="A536" s="3" t="inlineStr">
        <is>
          <t>조치원읍 침산리 255-4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45</v>
      </c>
      <c r="I536" s="4" t="n">
        <v>0</v>
      </c>
      <c r="J536" s="4" t="n">
        <v>0</v>
      </c>
      <c r="K536" s="5" t="n">
        <v>0</v>
      </c>
      <c r="L536" s="4" t="n">
        <v>33</v>
      </c>
      <c r="M536" s="4" t="n">
        <v>10</v>
      </c>
      <c r="N536" s="5" t="n">
        <v>4.5</v>
      </c>
      <c r="O536" s="3" t="inlineStr">
        <is>
          <t>화장실2개 에어컨 2개    2룸</t>
        </is>
      </c>
      <c r="P536" s="6">
        <f>HYPERLINK("https://fin.land.naver.com/articles/2654835006", "매물Link")</f>
        <v/>
      </c>
      <c r="Q536" s="6">
        <f>HYPERLINK("https://map.naver.com/p/search/조치원읍 침산리 255-4", "지도Link")</f>
        <v/>
      </c>
      <c r="R536" s="6">
        <f>HYPERLINK("http://www.eum.go.kr/web/ar/lu/luLandDet.jsp?pnu=3611025028102550004&amp;isNoScr=script&amp;mode=search", "토지이음")</f>
        <v/>
      </c>
      <c r="S536" s="3" t="inlineStr">
        <is>
          <t>척척</t>
        </is>
      </c>
      <c r="T536" s="4" t="n">
        <v>1</v>
      </c>
      <c r="U536" s="5" t="n">
        <v>289.8</v>
      </c>
      <c r="V536" s="4" t="n">
        <v>216.9</v>
      </c>
      <c r="W536" s="3" t="inlineStr">
        <is>
          <t>지정되지않음</t>
        </is>
      </c>
      <c r="X536" s="3" t="inlineStr">
        <is>
          <t>주거기타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세로한면(가)</t>
        </is>
      </c>
    </row>
    <row r="537">
      <c r="A537" s="3" t="inlineStr">
        <is>
          <t>조치원읍 침산리 255-4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단기임대</t>
        </is>
      </c>
      <c r="G537" s="4" t="n">
        <v>200</v>
      </c>
      <c r="H537" s="4" t="n">
        <v>55</v>
      </c>
      <c r="I537" s="4" t="n">
        <v>46</v>
      </c>
      <c r="J537" s="4" t="n">
        <v>14</v>
      </c>
      <c r="K537" s="5" t="n">
        <v>14.3</v>
      </c>
      <c r="L537" s="4" t="n">
        <v>39</v>
      </c>
      <c r="M537" s="4" t="n">
        <v>12</v>
      </c>
      <c r="N537" s="5" t="n">
        <v>16.7</v>
      </c>
      <c r="O537" s="3" t="inlineStr">
        <is>
          <t>2인숙소.6개월 단기계약가능.에어컨2개.화장실2개</t>
        </is>
      </c>
      <c r="P537" s="6">
        <f>HYPERLINK("https://fin.land.naver.com/articles/2652556288", "매물Link")</f>
        <v/>
      </c>
      <c r="Q537" s="6">
        <f>HYPERLINK("https://map.naver.com/p/search/조치원읍 침산리 255-4", "지도Link")</f>
        <v/>
      </c>
      <c r="R537" s="6">
        <f>HYPERLINK("http://www.eum.go.kr/web/ar/lu/luLandDet.jsp?pnu=3611025028102550004&amp;isNoScr=script&amp;mode=search", "토지이음")</f>
        <v/>
      </c>
      <c r="S537" s="3" t="inlineStr">
        <is>
          <t>척척</t>
        </is>
      </c>
      <c r="T537" s="4" t="n">
        <v>1</v>
      </c>
      <c r="U537" s="5" t="n">
        <v>289.8</v>
      </c>
      <c r="V537" s="4" t="n">
        <v>216.9</v>
      </c>
      <c r="W537" s="3" t="inlineStr">
        <is>
          <t>지정되지않음</t>
        </is>
      </c>
      <c r="X537" s="3" t="inlineStr">
        <is>
          <t>주거기타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세로한면(가)</t>
        </is>
      </c>
    </row>
    <row r="538">
      <c r="A538" s="3" t="inlineStr">
        <is>
          <t>조치원읍 침산리 255-4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월세</t>
        </is>
      </c>
      <c r="G538" s="4" t="n">
        <v>200</v>
      </c>
      <c r="H538" s="4" t="n">
        <v>45</v>
      </c>
      <c r="I538" s="4" t="n">
        <v>40</v>
      </c>
      <c r="J538" s="4" t="n">
        <v>12</v>
      </c>
      <c r="K538" s="5" t="n">
        <v>3.8</v>
      </c>
      <c r="L538" s="4" t="n">
        <v>40</v>
      </c>
      <c r="M538" s="4" t="n">
        <v>12</v>
      </c>
      <c r="N538" s="5" t="n">
        <v>3.8</v>
      </c>
      <c r="O538" s="3" t="inlineStr">
        <is>
          <t>에어컨2, 방2, 화장실2 즉시입주</t>
        </is>
      </c>
      <c r="P538" s="6">
        <f>HYPERLINK("https://fin.land.naver.com/articles/2654860872", "매물Link")</f>
        <v/>
      </c>
      <c r="Q538" s="6">
        <f>HYPERLINK("https://map.naver.com/p/search/조치원읍 침산리 255-4", "지도Link")</f>
        <v/>
      </c>
      <c r="R538" s="6">
        <f>HYPERLINK("http://www.eum.go.kr/web/ar/lu/luLandDet.jsp?pnu=3611025028102550004&amp;isNoScr=script&amp;mode=search",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289.8</v>
      </c>
      <c r="V538" s="4" t="n">
        <v>216.9</v>
      </c>
      <c r="W538" s="3" t="inlineStr">
        <is>
          <t>지정되지않음</t>
        </is>
      </c>
      <c r="X538" s="3" t="inlineStr">
        <is>
          <t>주거기타</t>
        </is>
      </c>
      <c r="Y538" s="3" t="inlineStr">
        <is>
          <t>평지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조치원읍 침산리 256-11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30</v>
      </c>
      <c r="I539" s="4" t="n">
        <v>20</v>
      </c>
      <c r="J539" s="4" t="n">
        <v>6</v>
      </c>
      <c r="K539" s="5" t="n">
        <v>5</v>
      </c>
      <c r="L539" s="4" t="n">
        <v>20</v>
      </c>
      <c r="M539" s="4" t="n">
        <v>6</v>
      </c>
      <c r="N539" s="5" t="n">
        <v>5</v>
      </c>
      <c r="O539" s="3" t="inlineStr">
        <is>
          <t>단기가능 깨끗한 풀옵션 원룸 남향</t>
        </is>
      </c>
      <c r="P539" s="6">
        <f>HYPERLINK("https://fin.land.naver.com/articles/2653345126", "매물Link")</f>
        <v/>
      </c>
      <c r="Q539" s="6">
        <f>HYPERLINK("https://map.naver.com/p/search/조치원읍 침산리 256-11", "지도Link")</f>
        <v/>
      </c>
      <c r="R539" s="6">
        <f>HYPERLINK("http://www.eum.go.kr/web/ar/lu/luLandDet.jsp?pnu=3611025028102560011&amp;isNoScr=script&amp;mode=search", "토지이음")</f>
        <v/>
      </c>
      <c r="S539" s="3" t="inlineStr">
        <is>
          <t>김준희</t>
        </is>
      </c>
      <c r="T539" s="4" t="n">
        <v>1</v>
      </c>
      <c r="U539" s="5" t="n">
        <v>633.1</v>
      </c>
      <c r="V539" s="4" t="n">
        <v>215.4</v>
      </c>
      <c r="W539" s="3" t="inlineStr">
        <is>
          <t>지정되지않음</t>
        </is>
      </c>
      <c r="X539" s="3" t="inlineStr">
        <is>
          <t>상업용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중로각지</t>
        </is>
      </c>
    </row>
    <row r="540">
      <c r="A540" s="3" t="inlineStr">
        <is>
          <t>조치원읍 침산리 256-11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전세</t>
        </is>
      </c>
      <c r="G540" s="4" t="n">
        <v>5000</v>
      </c>
      <c r="H540" s="4" t="n">
        <v>0</v>
      </c>
      <c r="I540" s="4" t="n">
        <v>20</v>
      </c>
      <c r="J540" s="4" t="n">
        <v>6</v>
      </c>
      <c r="K540" s="5" t="n">
        <v>833.3</v>
      </c>
      <c r="L540" s="4" t="n">
        <v>20</v>
      </c>
      <c r="M540" s="4" t="n">
        <v>6</v>
      </c>
      <c r="N540" s="5" t="n">
        <v>833.3</v>
      </c>
      <c r="O540" s="3" t="inlineStr">
        <is>
          <t>침산리 원룸 전세 깨끗한 원룸</t>
        </is>
      </c>
      <c r="P540" s="6">
        <f>HYPERLINK("https://fin.land.naver.com/articles/2653345415", "매물Link")</f>
        <v/>
      </c>
      <c r="Q540" s="6">
        <f>HYPERLINK("https://map.naver.com/p/search/조치원읍 침산리 256-11", "지도Link")</f>
        <v/>
      </c>
      <c r="R540" s="6">
        <f>HYPERLINK("http://www.eum.go.kr/web/ar/lu/luLandDet.jsp?pnu=3611025028102560011&amp;isNoScr=script&amp;mode=search", "토지이음")</f>
        <v/>
      </c>
      <c r="S540" s="3" t="inlineStr">
        <is>
          <t>김준희</t>
        </is>
      </c>
      <c r="T540" s="4" t="n">
        <v>1</v>
      </c>
      <c r="U540" s="5" t="n">
        <v>633.1</v>
      </c>
      <c r="V540" s="4" t="n">
        <v>215.4</v>
      </c>
      <c r="W540" s="3" t="inlineStr">
        <is>
          <t>지정되지않음</t>
        </is>
      </c>
      <c r="X540" s="3" t="inlineStr">
        <is>
          <t>상업용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중로각지</t>
        </is>
      </c>
    </row>
    <row r="541">
      <c r="A541" s="3" t="inlineStr">
        <is>
          <t>조치원읍 침산리 256-11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30</v>
      </c>
      <c r="I541" s="4" t="n">
        <v>26</v>
      </c>
      <c r="J541" s="4" t="n">
        <v>8</v>
      </c>
      <c r="K541" s="5" t="n">
        <v>3.8</v>
      </c>
      <c r="L541" s="4" t="n">
        <v>26</v>
      </c>
      <c r="M541" s="4" t="n">
        <v>8</v>
      </c>
      <c r="N541" s="5" t="n">
        <v>3.8</v>
      </c>
      <c r="O541" s="3" t="inlineStr">
        <is>
          <t>침산리 월세 풀옵션</t>
        </is>
      </c>
      <c r="P541" s="6">
        <f>HYPERLINK("https://fin.land.naver.com/articles/2652539762", "매물Link")</f>
        <v/>
      </c>
      <c r="Q541" s="6">
        <f>HYPERLINK("https://map.naver.com/p/search/조치원읍 침산리 256-11", "지도Link")</f>
        <v/>
      </c>
      <c r="R541" s="6">
        <f>HYPERLINK("http://www.eum.go.kr/web/ar/lu/luLandDet.jsp?pnu=3611025028102560011&amp;isNoScr=script&amp;mode=search", "토지이음")</f>
        <v/>
      </c>
      <c r="S541" s="3" t="inlineStr">
        <is>
          <t>김준희</t>
        </is>
      </c>
      <c r="T541" s="4" t="n">
        <v>1</v>
      </c>
      <c r="U541" s="5" t="n">
        <v>633.1</v>
      </c>
      <c r="V541" s="4" t="n">
        <v>215.4</v>
      </c>
      <c r="W541" s="3" t="inlineStr">
        <is>
          <t>지정되지않음</t>
        </is>
      </c>
      <c r="X541" s="3" t="inlineStr">
        <is>
          <t>상업용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중로각지</t>
        </is>
      </c>
    </row>
    <row r="542">
      <c r="A542" s="3" t="inlineStr">
        <is>
          <t>조치원읍 침산리 257-10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153000</v>
      </c>
      <c r="H542" s="4" t="n">
        <v>0</v>
      </c>
      <c r="I542" s="4" t="n">
        <v>336</v>
      </c>
      <c r="J542" s="4" t="n">
        <v>102</v>
      </c>
      <c r="K542" s="5" t="n">
        <v>1500</v>
      </c>
      <c r="L542" s="4" t="n">
        <v>567</v>
      </c>
      <c r="M542" s="4" t="n">
        <v>172</v>
      </c>
      <c r="N542" s="5" t="n">
        <v>889.5</v>
      </c>
      <c r="O542" s="3" t="inlineStr">
        <is>
          <t>nan</t>
        </is>
      </c>
      <c r="P542" s="6">
        <f>HYPERLINK("https://fin.land.naver.com/articles/2654386653", "매물Link")</f>
        <v/>
      </c>
      <c r="Q542" s="6">
        <f>HYPERLINK("https://map.naver.com/p/search/조치원읍 침산리 257-10", "지도Link")</f>
        <v/>
      </c>
      <c r="R542" s="6">
        <f>HYPERLINK("http://www.eum.go.kr/web/ar/lu/luLandDet.jsp?pnu=3611025028102570010&amp;isNoScr=script&amp;mode=search",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339.8</v>
      </c>
      <c r="V542" s="4" t="n">
        <v>336.7</v>
      </c>
      <c r="W542" s="3" t="inlineStr">
        <is>
          <t>지정되지않음</t>
        </is>
      </c>
      <c r="X542" s="3" t="inlineStr">
        <is>
          <t>주상용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257-15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5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200</v>
      </c>
      <c r="H543" s="4" t="n">
        <v>35</v>
      </c>
      <c r="I543" s="4" t="n">
        <v>0</v>
      </c>
      <c r="J543" s="4" t="n">
        <v>0</v>
      </c>
      <c r="K543" s="5" t="n">
        <v>0</v>
      </c>
      <c r="L543" s="4" t="n">
        <v>26</v>
      </c>
      <c r="M543" s="4" t="n">
        <v>8</v>
      </c>
      <c r="N543" s="5" t="n">
        <v>4.4</v>
      </c>
      <c r="O543" s="3" t="inlineStr">
        <is>
          <t>L 엘베. 역3분. 넓은룸. 위치최고</t>
        </is>
      </c>
      <c r="P543" s="6">
        <f>HYPERLINK("https://fin.land.naver.com/articles/2651114560", "매물Link")</f>
        <v/>
      </c>
      <c r="Q543" s="6">
        <f>HYPERLINK("https://map.naver.com/p/search/조치원읍 침산리 257-15", "지도Link")</f>
        <v/>
      </c>
      <c r="R543" s="6">
        <f>HYPERLINK("http://www.eum.go.kr/web/ar/lu/luLandDet.jsp?pnu=3611025028102570015&amp;isNoScr=script&amp;mode=search", "토지이음")</f>
        <v/>
      </c>
      <c r="S543" s="3" t="inlineStr">
        <is>
          <t>바다</t>
        </is>
      </c>
      <c r="T543" s="4" t="n">
        <v>1</v>
      </c>
      <c r="U543" s="5" t="n">
        <v>336.2</v>
      </c>
      <c r="V543" s="4" t="n">
        <v>226.4</v>
      </c>
      <c r="W543" s="3" t="inlineStr">
        <is>
          <t>지정되지않음</t>
        </is>
      </c>
      <c r="X543" s="3" t="inlineStr">
        <is>
          <t>주상용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소로한면</t>
        </is>
      </c>
    </row>
    <row r="544">
      <c r="A544" s="3" t="inlineStr">
        <is>
          <t>조치원읍 침산리 257-8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30</v>
      </c>
      <c r="I544" s="4" t="n">
        <v>23</v>
      </c>
      <c r="J544" s="4" t="n">
        <v>7</v>
      </c>
      <c r="K544" s="5" t="n">
        <v>4.3</v>
      </c>
      <c r="L544" s="4" t="n">
        <v>23</v>
      </c>
      <c r="M544" s="4" t="n">
        <v>7</v>
      </c>
      <c r="N544" s="5" t="n">
        <v>4.3</v>
      </c>
      <c r="O544" s="3" t="inlineStr">
        <is>
          <t>침산리 원룸 월세 즉시입주 단기가능</t>
        </is>
      </c>
      <c r="P544" s="6">
        <f>HYPERLINK("https://fin.land.naver.com/articles/2652373282", "매물Link")</f>
        <v/>
      </c>
      <c r="Q544" s="6">
        <f>HYPERLINK("https://map.naver.com/p/search/조치원읍 침산리 257-8", "지도Link")</f>
        <v/>
      </c>
      <c r="R544" s="6">
        <f>HYPERLINK("http://www.eum.go.kr/web/ar/lu/luLandDet.jsp?pnu=3611025028102570008&amp;isNoScr=script&amp;mode=search", "토지이음")</f>
        <v/>
      </c>
      <c r="S544" s="3" t="inlineStr">
        <is>
          <t>김준희</t>
        </is>
      </c>
      <c r="T544" s="4" t="n">
        <v>1</v>
      </c>
      <c r="U544" s="5" t="n">
        <v>412.6</v>
      </c>
      <c r="V544" s="4" t="n">
        <v>292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세로각지(가)</t>
        </is>
      </c>
    </row>
    <row r="545">
      <c r="A545" s="3" t="inlineStr">
        <is>
          <t>조치원읍 침산리 258-1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100</v>
      </c>
      <c r="H545" s="4" t="n">
        <v>27</v>
      </c>
      <c r="I545" s="4" t="n">
        <v>19</v>
      </c>
      <c r="J545" s="4" t="n">
        <v>6</v>
      </c>
      <c r="K545" s="5" t="n">
        <v>4.5</v>
      </c>
      <c r="L545" s="4" t="n">
        <v>19</v>
      </c>
      <c r="M545" s="4" t="n">
        <v>6</v>
      </c>
      <c r="N545" s="5" t="n">
        <v>4.5</v>
      </c>
      <c r="O545" s="3" t="inlineStr">
        <is>
          <t>분리형 원룸</t>
        </is>
      </c>
      <c r="P545" s="6">
        <f>HYPERLINK("https://fin.land.naver.com/articles/2653260357", "매물Link")</f>
        <v/>
      </c>
      <c r="Q545" s="6">
        <f>HYPERLINK("https://map.naver.com/p/search/조치원읍 침산리 258-1", "지도Link")</f>
        <v/>
      </c>
      <c r="R545" s="6">
        <f>HYPERLINK("http://www.eum.go.kr/web/ar/lu/luLandDet.jsp?pnu=3611025028102580001&amp;isNoScr=script&amp;mode=search", "토지이음")</f>
        <v/>
      </c>
      <c r="S545" s="3" t="inlineStr">
        <is>
          <t>골드</t>
        </is>
      </c>
      <c r="T545" s="4" t="n">
        <v>1</v>
      </c>
      <c r="U545" s="5" t="n">
        <v>346.8</v>
      </c>
      <c r="V545" s="4" t="n">
        <v>237.5</v>
      </c>
      <c r="W545" s="3" t="inlineStr">
        <is>
          <t>지정되지않음</t>
        </is>
      </c>
      <c r="X545" s="3" t="inlineStr">
        <is>
          <t>주상기타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소로각지</t>
        </is>
      </c>
    </row>
    <row r="546">
      <c r="A546" s="3" t="inlineStr">
        <is>
          <t>조치원읍 침산리 258-7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다가구</t>
        </is>
      </c>
      <c r="F546" s="3" t="inlineStr">
        <is>
          <t>월세</t>
        </is>
      </c>
      <c r="G546" s="4" t="n">
        <v>200</v>
      </c>
      <c r="H546" s="4" t="n">
        <v>31</v>
      </c>
      <c r="I546" s="4" t="n">
        <v>23</v>
      </c>
      <c r="J546" s="4" t="n">
        <v>7</v>
      </c>
      <c r="K546" s="5" t="n">
        <v>4.4</v>
      </c>
      <c r="L546" s="4" t="n">
        <v>23</v>
      </c>
      <c r="M546" s="4" t="n">
        <v>7</v>
      </c>
      <c r="N546" s="5" t="n">
        <v>4.4</v>
      </c>
      <c r="O546" s="3" t="inlineStr">
        <is>
          <t>분리형 원룸이며, 조치원시장, 조치원역 옆에 위치하여 교통 편리</t>
        </is>
      </c>
      <c r="P546" s="6">
        <f>HYPERLINK("https://fin.land.naver.com/articles/2653988879", "매물Link")</f>
        <v/>
      </c>
      <c r="Q546" s="6">
        <f>HYPERLINK("https://map.naver.com/p/search/조치원읍 침산리 258-7", "지도Link")</f>
        <v/>
      </c>
      <c r="R546" s="6">
        <f>HYPERLINK("http://www.eum.go.kr/web/ar/lu/luLandDet.jsp?pnu=3611025028102580007&amp;isNoScr=script&amp;mode=search", "토지이음")</f>
        <v/>
      </c>
      <c r="S546" s="3" t="inlineStr">
        <is>
          <t>세종베스트</t>
        </is>
      </c>
      <c r="T546" s="4" t="n">
        <v>1</v>
      </c>
      <c r="U546" s="5" t="n">
        <v>286.5</v>
      </c>
      <c r="V546" s="4" t="n">
        <v>328.6</v>
      </c>
      <c r="W546" s="3" t="inlineStr">
        <is>
          <t>지정되지않음</t>
        </is>
      </c>
      <c r="X546" s="3" t="inlineStr">
        <is>
          <t>주상기타</t>
        </is>
      </c>
      <c r="Y546" s="3" t="inlineStr">
        <is>
          <t>평지</t>
        </is>
      </c>
      <c r="Z546" s="3" t="inlineStr">
        <is>
          <t>가로장방</t>
        </is>
      </c>
      <c r="AA546" s="3" t="inlineStr">
        <is>
          <t>세로한면(가)</t>
        </is>
      </c>
    </row>
    <row r="547">
      <c r="A547" s="3" t="inlineStr">
        <is>
          <t>조치원읍 침산리 258-7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32</v>
      </c>
      <c r="I547" s="4" t="n">
        <v>0</v>
      </c>
      <c r="J547" s="4" t="n">
        <v>0</v>
      </c>
      <c r="K547" s="5" t="n">
        <v>0</v>
      </c>
      <c r="L547" s="4" t="n">
        <v>21</v>
      </c>
      <c r="M547" s="4" t="n">
        <v>6</v>
      </c>
      <c r="N547" s="5" t="n">
        <v>5.3</v>
      </c>
      <c r="O547" s="3" t="inlineStr">
        <is>
          <t>인기좋은  풀옵션완비방   엘베설치   바로입주  주차편함 조치원역5분</t>
        </is>
      </c>
      <c r="P547" s="6">
        <f>HYPERLINK("https://fin.land.naver.com/articles/2655128295", "매물Link")</f>
        <v/>
      </c>
      <c r="Q547" s="6">
        <f>HYPERLINK("https://map.naver.com/p/search/조치원읍 침산리 258-7", "지도Link")</f>
        <v/>
      </c>
      <c r="R547" s="6">
        <f>HYPERLINK("http://www.eum.go.kr/web/ar/lu/luLandDet.jsp?pnu=3611025028102580007&amp;isNoScr=script&amp;mode=search", "토지이음")</f>
        <v/>
      </c>
      <c r="S547" s="3" t="inlineStr">
        <is>
          <t>연서으뜸</t>
        </is>
      </c>
      <c r="T547" s="4" t="n">
        <v>1</v>
      </c>
      <c r="U547" s="5" t="n">
        <v>286.5</v>
      </c>
      <c r="V547" s="4" t="n">
        <v>328.6</v>
      </c>
      <c r="W547" s="3" t="inlineStr">
        <is>
          <t>지정되지않음</t>
        </is>
      </c>
      <c r="X547" s="3" t="inlineStr">
        <is>
          <t>주상기타</t>
        </is>
      </c>
      <c r="Y547" s="3" t="inlineStr">
        <is>
          <t>평지</t>
        </is>
      </c>
      <c r="Z547" s="3" t="inlineStr">
        <is>
          <t>가로장방</t>
        </is>
      </c>
      <c r="AA547" s="3" t="inlineStr">
        <is>
          <t>세로한면(가)</t>
        </is>
      </c>
    </row>
    <row r="548">
      <c r="A548" s="3" t="inlineStr">
        <is>
          <t>조치원읍 침산리 264-3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3</t>
        </is>
      </c>
      <c r="E548" s="3" t="inlineStr">
        <is>
          <t>단독</t>
        </is>
      </c>
      <c r="F548" s="3" t="inlineStr">
        <is>
          <t>월세</t>
        </is>
      </c>
      <c r="G548" s="4" t="n">
        <v>1000</v>
      </c>
      <c r="H548" s="4" t="n">
        <v>70</v>
      </c>
      <c r="I548" s="4" t="n">
        <v>115</v>
      </c>
      <c r="J548" s="4" t="n">
        <v>35</v>
      </c>
      <c r="K548" s="5" t="n">
        <v>2</v>
      </c>
      <c r="L548" s="4" t="n">
        <v>115</v>
      </c>
      <c r="M548" s="4" t="n">
        <v>35</v>
      </c>
      <c r="N548" s="5" t="n">
        <v>2</v>
      </c>
      <c r="O548" s="3" t="inlineStr">
        <is>
          <t>nan</t>
        </is>
      </c>
      <c r="P548" s="6">
        <f>HYPERLINK("https://fin.land.naver.com/articles/2655166694", "매물Link")</f>
        <v/>
      </c>
      <c r="Q548" s="6">
        <f>HYPERLINK("https://map.naver.com/p/search/조치원읍 침산리 264-3", "지도Link")</f>
        <v/>
      </c>
      <c r="R548" s="6">
        <f>HYPERLINK("http://www.eum.go.kr/web/ar/lu/luLandDet.jsp?pnu=3611025028102640003&amp;isNoScr=script&amp;mode=search", "토지이음")</f>
        <v/>
      </c>
      <c r="S548" s="3" t="inlineStr">
        <is>
          <t>상희</t>
        </is>
      </c>
      <c r="T548" s="4" t="n">
        <v>1</v>
      </c>
      <c r="U548" s="5" t="n">
        <v>376.9</v>
      </c>
      <c r="V548" s="4" t="n">
        <v>260.7</v>
      </c>
      <c r="W548" s="3" t="inlineStr">
        <is>
          <t>지정되지않음</t>
        </is>
      </c>
      <c r="X548" s="3" t="inlineStr">
        <is>
          <t>주상기타</t>
        </is>
      </c>
      <c r="Y548" s="3" t="inlineStr">
        <is>
          <t>평지</t>
        </is>
      </c>
      <c r="Z548" s="3" t="inlineStr">
        <is>
          <t>정방형</t>
        </is>
      </c>
      <c r="AA548" s="3" t="inlineStr">
        <is>
          <t>세로한면(가)</t>
        </is>
      </c>
    </row>
    <row r="549">
      <c r="A549" s="3" t="inlineStr">
        <is>
          <t>조치원읍 침산리 265-11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28</v>
      </c>
      <c r="I549" s="4" t="n">
        <v>0</v>
      </c>
      <c r="J549" s="4" t="n">
        <v>0</v>
      </c>
      <c r="K549" s="5" t="n">
        <v>0</v>
      </c>
      <c r="L549" s="4" t="n">
        <v>23</v>
      </c>
      <c r="M549" s="4" t="n">
        <v>7</v>
      </c>
      <c r="N549" s="5" t="n">
        <v>4</v>
      </c>
      <c r="O549" s="3" t="inlineStr">
        <is>
          <t>nan</t>
        </is>
      </c>
      <c r="P549" s="6">
        <f>HYPERLINK("https://fin.land.naver.com/articles/2654006401", "매물Link")</f>
        <v/>
      </c>
      <c r="Q549" s="6">
        <f>HYPERLINK("https://map.naver.com/p/search/조치원읍 침산리 265-11", "지도Link")</f>
        <v/>
      </c>
      <c r="R549" s="6">
        <f>HYPERLINK("http://www.eum.go.kr/web/ar/lu/luLandDet.jsp?pnu=3611025028102650011&amp;isNoScr=script&amp;mode=search",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415.5</v>
      </c>
      <c r="V549" s="4" t="n">
        <v>190.7</v>
      </c>
      <c r="W549" s="3" t="inlineStr">
        <is>
          <t>지정되지않음</t>
        </is>
      </c>
      <c r="X549" s="3" t="inlineStr">
        <is>
          <t>주상기타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소로한면</t>
        </is>
      </c>
    </row>
    <row r="550">
      <c r="A550" s="3" t="inlineStr">
        <is>
          <t>조치원읍 침산리 265-11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1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150</v>
      </c>
      <c r="H550" s="4" t="n">
        <v>25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3.6</v>
      </c>
      <c r="O550" s="3" t="inlineStr">
        <is>
          <t>nan</t>
        </is>
      </c>
      <c r="P550" s="6">
        <f>HYPERLINK("https://fin.land.naver.com/articles/2649877584", "매물Link")</f>
        <v/>
      </c>
      <c r="Q550" s="6">
        <f>HYPERLINK("https://map.naver.com/p/search/조치원읍 침산리 265-11", "지도Link")</f>
        <v/>
      </c>
      <c r="R550" s="6">
        <f>HYPERLINK("http://www.eum.go.kr/web/ar/lu/luLandDet.jsp?pnu=3611025028102650011&amp;isNoScr=script&amp;mode=search",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415.5</v>
      </c>
      <c r="V550" s="4" t="n">
        <v>190.7</v>
      </c>
      <c r="W550" s="3" t="inlineStr">
        <is>
          <t>지정되지않음</t>
        </is>
      </c>
      <c r="X550" s="3" t="inlineStr">
        <is>
          <t>주상기타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소로한면</t>
        </is>
      </c>
    </row>
    <row r="551">
      <c r="A551" s="3" t="inlineStr">
        <is>
          <t>조치원읍 침산리 265-9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300</v>
      </c>
      <c r="H551" s="4" t="n">
        <v>40</v>
      </c>
      <c r="I551" s="4" t="n">
        <v>40</v>
      </c>
      <c r="J551" s="4" t="n">
        <v>12</v>
      </c>
      <c r="K551" s="5" t="n">
        <v>3.3</v>
      </c>
      <c r="L551" s="4" t="n">
        <v>40</v>
      </c>
      <c r="M551" s="4" t="n">
        <v>12</v>
      </c>
      <c r="N551" s="5" t="n">
        <v>3.3</v>
      </c>
      <c r="O551" s="3" t="inlineStr">
        <is>
          <t>nan</t>
        </is>
      </c>
      <c r="P551" s="6">
        <f>HYPERLINK("https://fin.land.naver.com/articles/2653782511", "매물Link")</f>
        <v/>
      </c>
      <c r="Q551" s="6">
        <f>HYPERLINK("https://map.naver.com/p/search/조치원읍 침산리 265-9", "지도Link")</f>
        <v/>
      </c>
      <c r="R551" s="6">
        <f>HYPERLINK("http://www.eum.go.kr/web/ar/lu/luLandDet.jsp?pnu=3611025028102650009&amp;isNoScr=script&amp;mode=search", "토지이음")</f>
        <v/>
      </c>
      <c r="S551" s="3" t="inlineStr">
        <is>
          <t>상희</t>
        </is>
      </c>
      <c r="T551" s="4" t="n">
        <v>1</v>
      </c>
      <c r="U551" s="5" t="n">
        <v>419.8</v>
      </c>
      <c r="V551" s="4" t="n">
        <v>274.8</v>
      </c>
      <c r="W551" s="3" t="inlineStr">
        <is>
          <t>지정되지않음</t>
        </is>
      </c>
      <c r="X551" s="3" t="inlineStr">
        <is>
          <t>주상기타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소로한면</t>
        </is>
      </c>
    </row>
    <row r="552">
      <c r="A552" s="3" t="inlineStr">
        <is>
          <t>조치원읍 침산리 266-13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일반원룸</t>
        </is>
      </c>
      <c r="F552" s="3" t="inlineStr">
        <is>
          <t>전세</t>
        </is>
      </c>
      <c r="G552" s="4" t="n">
        <v>4500</v>
      </c>
      <c r="H552" s="4" t="n">
        <v>0</v>
      </c>
      <c r="I552" s="4" t="n">
        <v>19</v>
      </c>
      <c r="J552" s="4" t="n">
        <v>6</v>
      </c>
      <c r="K552" s="5" t="n">
        <v>750</v>
      </c>
      <c r="L552" s="4" t="n">
        <v>19</v>
      </c>
      <c r="M552" s="4" t="n">
        <v>6</v>
      </c>
      <c r="N552" s="5" t="n">
        <v>750</v>
      </c>
      <c r="O552" s="3" t="inlineStr">
        <is>
          <t>원룸 전세,  LH도 가능</t>
        </is>
      </c>
      <c r="P552" s="6">
        <f>HYPERLINK("https://fin.land.naver.com/articles/2653258812", "매물Link")</f>
        <v/>
      </c>
      <c r="Q552" s="6">
        <f>HYPERLINK("https://map.naver.com/p/search/조치원읍 침산리 266-13", "지도Link")</f>
        <v/>
      </c>
      <c r="R552" s="6">
        <f>HYPERLINK("http://www.eum.go.kr/web/ar/lu/luLandDet.jsp?pnu=3611025028102660013&amp;isNoScr=script&amp;mode=search", "토지이음")</f>
        <v/>
      </c>
      <c r="S552" s="3" t="inlineStr">
        <is>
          <t>골드</t>
        </is>
      </c>
      <c r="T552" s="4" t="n">
        <v>1</v>
      </c>
      <c r="U552" s="5" t="n">
        <v>320.1</v>
      </c>
      <c r="V552" s="4" t="n">
        <v>284.8</v>
      </c>
      <c r="W552" s="3" t="inlineStr">
        <is>
          <t>지정되지않음</t>
        </is>
      </c>
      <c r="X552" s="3" t="inlineStr">
        <is>
          <t>주상용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소로한면</t>
        </is>
      </c>
    </row>
    <row r="553">
      <c r="A553" s="3" t="inlineStr">
        <is>
          <t>조치원읍 침산리 266-14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100</v>
      </c>
      <c r="H553" s="4" t="n">
        <v>30</v>
      </c>
      <c r="I553" s="4" t="n">
        <v>23</v>
      </c>
      <c r="J553" s="4" t="n">
        <v>7</v>
      </c>
      <c r="K553" s="5" t="n">
        <v>4.3</v>
      </c>
      <c r="L553" s="4" t="n">
        <v>23</v>
      </c>
      <c r="M553" s="4" t="n">
        <v>7</v>
      </c>
      <c r="N553" s="5" t="n">
        <v>4.3</v>
      </c>
      <c r="O553" s="3" t="inlineStr">
        <is>
          <t>침산리 넓은 방 깨끗합니다 주방 분리형</t>
        </is>
      </c>
      <c r="P553" s="6">
        <f>HYPERLINK("https://fin.land.naver.com/articles/2654862822", "매물Link")</f>
        <v/>
      </c>
      <c r="Q553" s="6">
        <f>HYPERLINK("https://map.naver.com/p/search/조치원읍 침산리 266-14", "지도Link")</f>
        <v/>
      </c>
      <c r="R553" s="6">
        <f>HYPERLINK("http://www.eum.go.kr/web/ar/lu/luLandDet.jsp?pnu=3611025028102660014&amp;isNoScr=script&amp;mode=search", "토지이음")</f>
        <v/>
      </c>
      <c r="S553" s="3" t="inlineStr">
        <is>
          <t>상희</t>
        </is>
      </c>
      <c r="T553" s="4" t="n">
        <v>2</v>
      </c>
      <c r="U553" s="5" t="n">
        <v>323.4</v>
      </c>
      <c r="V553" s="4" t="n">
        <v>162</v>
      </c>
      <c r="W553" s="3" t="inlineStr">
        <is>
          <t>지정되지않음</t>
        </is>
      </c>
      <c r="X553" s="3" t="inlineStr">
        <is>
          <t>주상기타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소로한면</t>
        </is>
      </c>
    </row>
    <row r="554">
      <c r="A554" s="3" t="inlineStr">
        <is>
          <t>조치원읍 침산리 266-4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150</v>
      </c>
      <c r="H554" s="4" t="n">
        <v>27</v>
      </c>
      <c r="I554" s="4" t="n">
        <v>126</v>
      </c>
      <c r="J554" s="4" t="n">
        <v>38</v>
      </c>
      <c r="K554" s="5" t="n">
        <v>0.7</v>
      </c>
      <c r="L554" s="4" t="n">
        <v>23</v>
      </c>
      <c r="M554" s="4" t="n">
        <v>7</v>
      </c>
      <c r="N554" s="5" t="n">
        <v>3.9</v>
      </c>
      <c r="O554" s="3" t="inlineStr">
        <is>
          <t>nan</t>
        </is>
      </c>
      <c r="P554" s="6">
        <f>HYPERLINK("https://fin.land.naver.com/articles/2652272439", "매물Link")</f>
        <v/>
      </c>
      <c r="Q554" s="6">
        <f>HYPERLINK("https://map.naver.com/p/search/조치원읍 침산리 266-4", "지도Link")</f>
        <v/>
      </c>
      <c r="R554" s="6">
        <f>HYPERLINK("http://www.eum.go.kr/web/ar/lu/luLandDet.jsp?pnu=3611025028102660004&amp;isNoScr=script&amp;mode=search", "토지이음")</f>
        <v/>
      </c>
      <c r="S554" s="3" t="inlineStr">
        <is>
          <t>상희</t>
        </is>
      </c>
      <c r="T554" s="4" t="n">
        <v>1</v>
      </c>
      <c r="U554" s="5" t="n">
        <v>286.8</v>
      </c>
      <c r="V554" s="4" t="n">
        <v>214.1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266-4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150</v>
      </c>
      <c r="H555" s="4" t="n">
        <v>27</v>
      </c>
      <c r="I555" s="4" t="n">
        <v>0</v>
      </c>
      <c r="J555" s="4" t="n">
        <v>0</v>
      </c>
      <c r="K555" s="5" t="n">
        <v>0</v>
      </c>
      <c r="L555" s="4" t="n">
        <v>26</v>
      </c>
      <c r="M555" s="4" t="n">
        <v>8</v>
      </c>
      <c r="N555" s="5" t="n">
        <v>3.4</v>
      </c>
      <c r="O555" s="3" t="inlineStr">
        <is>
          <t>넓은1룸 O생활권굳 O역3분 O즉시입주가능</t>
        </is>
      </c>
      <c r="P555" s="6">
        <f>HYPERLINK("https://fin.land.naver.com/articles/2649915483", "매물Link")</f>
        <v/>
      </c>
      <c r="Q555" s="6">
        <f>HYPERLINK("https://map.naver.com/p/search/조치원읍 침산리 266-4", "지도Link")</f>
        <v/>
      </c>
      <c r="R555" s="6">
        <f>HYPERLINK("http://www.eum.go.kr/web/ar/lu/luLandDet.jsp?pnu=3611025028102660004&amp;isNoScr=script&amp;mode=search", "토지이음")</f>
        <v/>
      </c>
      <c r="S555" s="3" t="inlineStr">
        <is>
          <t>바다</t>
        </is>
      </c>
      <c r="T555" s="4" t="n">
        <v>1</v>
      </c>
      <c r="U555" s="5" t="n">
        <v>286.8</v>
      </c>
      <c r="V555" s="4" t="n">
        <v>214.1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266-4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150</v>
      </c>
      <c r="H556" s="4" t="n">
        <v>27</v>
      </c>
      <c r="I556" s="4" t="n">
        <v>126</v>
      </c>
      <c r="J556" s="4" t="n">
        <v>38</v>
      </c>
      <c r="K556" s="5" t="n">
        <v>0.7</v>
      </c>
      <c r="L556" s="4" t="n">
        <v>23</v>
      </c>
      <c r="M556" s="4" t="n">
        <v>7</v>
      </c>
      <c r="N556" s="5" t="n">
        <v>3.9</v>
      </c>
      <c r="O556" s="3" t="inlineStr">
        <is>
          <t>nan</t>
        </is>
      </c>
      <c r="P556" s="6">
        <f>HYPERLINK("https://fin.land.naver.com/articles/2651344572", "매물Link")</f>
        <v/>
      </c>
      <c r="Q556" s="6">
        <f>HYPERLINK("https://map.naver.com/p/search/조치원읍 침산리 266-4", "지도Link")</f>
        <v/>
      </c>
      <c r="R556" s="6">
        <f>HYPERLINK("http://www.eum.go.kr/web/ar/lu/luLandDet.jsp?pnu=3611025028102660004&amp;isNoScr=script&amp;mode=search", "토지이음")</f>
        <v/>
      </c>
      <c r="S556" s="3" t="inlineStr">
        <is>
          <t>상희</t>
        </is>
      </c>
      <c r="T556" s="4" t="n">
        <v>1</v>
      </c>
      <c r="U556" s="5" t="n">
        <v>286.8</v>
      </c>
      <c r="V556" s="4" t="n">
        <v>214.1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266-6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월세</t>
        </is>
      </c>
      <c r="G557" s="4" t="n">
        <v>200</v>
      </c>
      <c r="H557" s="4" t="n">
        <v>30</v>
      </c>
      <c r="I557" s="4" t="n">
        <v>35</v>
      </c>
      <c r="J557" s="4" t="n">
        <v>11</v>
      </c>
      <c r="K557" s="5" t="n">
        <v>2.7</v>
      </c>
      <c r="L557" s="4" t="n">
        <v>35</v>
      </c>
      <c r="M557" s="4" t="n">
        <v>11</v>
      </c>
      <c r="N557" s="5" t="n">
        <v>2.7</v>
      </c>
      <c r="O557" s="3" t="inlineStr">
        <is>
          <t>공용주차장이 바로 앞에 있어 주차편리. 깨끗한 원룸 공실로 즉시입주</t>
        </is>
      </c>
      <c r="P557" s="6">
        <f>HYPERLINK("https://fin.land.naver.com/articles/2654844655", "매물Link")</f>
        <v/>
      </c>
      <c r="Q557" s="6">
        <f>HYPERLINK("https://map.naver.com/p/search/조치원읍 침산리 266-6", "지도Link")</f>
        <v/>
      </c>
      <c r="R557" s="6">
        <f>HYPERLINK("http://www.eum.go.kr/web/ar/lu/luLandDet.jsp?pnu=3611025028102660006&amp;isNoScr=script&amp;mode=search", "토지이음")</f>
        <v/>
      </c>
      <c r="S557" s="3" t="inlineStr">
        <is>
          <t>세종대장</t>
        </is>
      </c>
      <c r="T557" s="4" t="n">
        <v>1</v>
      </c>
      <c r="U557" s="5" t="n">
        <v>292.7</v>
      </c>
      <c r="V557" s="4" t="n">
        <v>240.4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조치원읍 침산리 267-11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월세</t>
        </is>
      </c>
      <c r="G558" s="4" t="n">
        <v>100</v>
      </c>
      <c r="H558" s="4" t="n">
        <v>30</v>
      </c>
      <c r="I558" s="4" t="n">
        <v>23</v>
      </c>
      <c r="J558" s="4" t="n">
        <v>7</v>
      </c>
      <c r="K558" s="5" t="n">
        <v>4.3</v>
      </c>
      <c r="L558" s="4" t="n">
        <v>23</v>
      </c>
      <c r="M558" s="4" t="n">
        <v>7</v>
      </c>
      <c r="N558" s="5" t="n">
        <v>4.3</v>
      </c>
      <c r="O558" s="3" t="inlineStr">
        <is>
          <t>침산리 원룸 월세</t>
        </is>
      </c>
      <c r="P558" s="6">
        <f>HYPERLINK("https://fin.land.naver.com/articles/2654213553", "매물Link")</f>
        <v/>
      </c>
      <c r="Q558" s="6">
        <f>HYPERLINK("https://map.naver.com/p/search/조치원읍 침산리 267-11", "지도Link")</f>
        <v/>
      </c>
      <c r="R558" s="6">
        <f>HYPERLINK("http://www.eum.go.kr/web/ar/lu/luLandDet.jsp?pnu=3611025028102670011&amp;isNoScr=script&amp;mode=search", "토지이음")</f>
        <v/>
      </c>
      <c r="S558" s="3" t="inlineStr">
        <is>
          <t>김준희</t>
        </is>
      </c>
      <c r="T558" s="4" t="n">
        <v>1</v>
      </c>
      <c r="U558" s="5" t="n">
        <v>286.8</v>
      </c>
      <c r="V558" s="4" t="n">
        <v>254.5</v>
      </c>
      <c r="W558" s="3" t="inlineStr">
        <is>
          <t>지정되지않음</t>
        </is>
      </c>
      <c r="X558" s="3" t="inlineStr">
        <is>
          <t>다세대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267-7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32</v>
      </c>
      <c r="I559" s="4" t="n">
        <v>0</v>
      </c>
      <c r="J559" s="4" t="n">
        <v>0</v>
      </c>
      <c r="K559" s="5" t="n">
        <v>0</v>
      </c>
      <c r="L559" s="4" t="n">
        <v>25</v>
      </c>
      <c r="M559" s="4" t="n">
        <v>8</v>
      </c>
      <c r="N559" s="5" t="n">
        <v>4</v>
      </c>
      <c r="O559" s="3" t="inlineStr">
        <is>
          <t>넓고 깔끔한  풀옵션 완비방  엘베는기본   주방분리  조치원역 근접</t>
        </is>
      </c>
      <c r="P559" s="6">
        <f>HYPERLINK("https://fin.land.naver.com/articles/2654736584", "매물Link")</f>
        <v/>
      </c>
      <c r="Q559" s="6">
        <f>HYPERLINK("https://map.naver.com/p/search/조치원읍 침산리 267-7", "지도Link")</f>
        <v/>
      </c>
      <c r="R559" s="6">
        <f>HYPERLINK("http://www.eum.go.kr/web/ar/lu/luLandDet.jsp?pnu=3611025028102670007&amp;isNoScr=script&amp;mode=search", "토지이음")</f>
        <v/>
      </c>
      <c r="S559" s="3" t="inlineStr">
        <is>
          <t>연서으뜸</t>
        </is>
      </c>
      <c r="T559" s="4" t="n">
        <v>1</v>
      </c>
      <c r="U559" s="5" t="n">
        <v>428.4</v>
      </c>
      <c r="V559" s="4" t="n">
        <v>337.6</v>
      </c>
      <c r="W559" s="3" t="inlineStr">
        <is>
          <t>지정되지않음</t>
        </is>
      </c>
      <c r="X559" s="3" t="inlineStr">
        <is>
          <t>주상기타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소로각지</t>
        </is>
      </c>
    </row>
    <row r="560">
      <c r="A560" s="3" t="inlineStr">
        <is>
          <t>조치원읍 침산리 267-9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40</v>
      </c>
      <c r="I560" s="4" t="n">
        <v>23</v>
      </c>
      <c r="J560" s="4" t="n">
        <v>7</v>
      </c>
      <c r="K560" s="5" t="n">
        <v>5.7</v>
      </c>
      <c r="L560" s="4" t="n">
        <v>23</v>
      </c>
      <c r="M560" s="4" t="n">
        <v>7</v>
      </c>
      <c r="N560" s="5" t="n">
        <v>5.7</v>
      </c>
      <c r="O560" s="3" t="inlineStr">
        <is>
          <t>침산리 원룸 월세</t>
        </is>
      </c>
      <c r="P560" s="6">
        <f>HYPERLINK("https://fin.land.naver.com/articles/2653728164", "매물Link")</f>
        <v/>
      </c>
      <c r="Q560" s="6">
        <f>HYPERLINK("https://map.naver.com/p/search/조치원읍 침산리 267-9", "지도Link")</f>
        <v/>
      </c>
      <c r="R560" s="6">
        <f>HYPERLINK("http://www.eum.go.kr/web/ar/lu/luLandDet.jsp?pnu=3611025028102670009&amp;isNoScr=script&amp;mode=search", "토지이음")</f>
        <v/>
      </c>
      <c r="S560" s="3" t="inlineStr">
        <is>
          <t>김준희</t>
        </is>
      </c>
      <c r="T560" s="4" t="n">
        <v>1</v>
      </c>
      <c r="U560" s="5" t="n">
        <v>286.8</v>
      </c>
      <c r="V560" s="4" t="n">
        <v>220.1</v>
      </c>
      <c r="W560" s="3" t="inlineStr">
        <is>
          <t>지정되지않음</t>
        </is>
      </c>
      <c r="X560" s="3" t="inlineStr">
        <is>
          <t>다세대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267-9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30</v>
      </c>
      <c r="I561" s="4" t="n">
        <v>112</v>
      </c>
      <c r="J561" s="4" t="n">
        <v>34</v>
      </c>
      <c r="K561" s="5" t="n">
        <v>0.9</v>
      </c>
      <c r="L561" s="4" t="n">
        <v>22</v>
      </c>
      <c r="M561" s="4" t="n">
        <v>7</v>
      </c>
      <c r="N561" s="5" t="n">
        <v>4.3</v>
      </c>
      <c r="O561" s="3" t="inlineStr">
        <is>
          <t>계약 후 즉시 입주 가능 원룸</t>
        </is>
      </c>
      <c r="P561" s="6">
        <f>HYPERLINK("https://fin.land.naver.com/articles/2651069877", "매물Link")</f>
        <v/>
      </c>
      <c r="Q561" s="6">
        <f>HYPERLINK("https://map.naver.com/p/search/조치원읍 침산리 267-9", "지도Link")</f>
        <v/>
      </c>
      <c r="R561" s="6">
        <f>HYPERLINK("http://www.eum.go.kr/web/ar/lu/luLandDet.jsp?pnu=3611025028102670009&amp;isNoScr=script&amp;mode=search", "토지이음")</f>
        <v/>
      </c>
      <c r="S561" s="3" t="inlineStr">
        <is>
          <t>김준희</t>
        </is>
      </c>
      <c r="T561" s="4" t="n">
        <v>1</v>
      </c>
      <c r="U561" s="5" t="n">
        <v>286.8</v>
      </c>
      <c r="V561" s="4" t="n">
        <v>220.1</v>
      </c>
      <c r="W561" s="3" t="inlineStr">
        <is>
          <t>지정되지않음</t>
        </is>
      </c>
      <c r="X561" s="3" t="inlineStr">
        <is>
          <t>다세대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277-1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105000</v>
      </c>
      <c r="H562" s="4" t="n">
        <v>0</v>
      </c>
      <c r="I562" s="4" t="n">
        <v>234</v>
      </c>
      <c r="J562" s="4" t="n">
        <v>71</v>
      </c>
      <c r="K562" s="5" t="n">
        <v>1478.9</v>
      </c>
      <c r="L562" s="4" t="n">
        <v>380</v>
      </c>
      <c r="M562" s="4" t="n">
        <v>115</v>
      </c>
      <c r="N562" s="5" t="n">
        <v>913</v>
      </c>
      <c r="O562" s="3" t="inlineStr">
        <is>
          <t>nan</t>
        </is>
      </c>
      <c r="P562" s="6">
        <f>HYPERLINK("https://fin.land.naver.com/articles/2654387062", "매물Link")</f>
        <v/>
      </c>
      <c r="Q562" s="6">
        <f>HYPERLINK("https://map.naver.com/p/search/조치원읍 침산리 277-1", "지도Link")</f>
        <v/>
      </c>
      <c r="R562" s="6">
        <f>HYPERLINK("http://www.eum.go.kr/web/ar/lu/luLandDet.jsp?pnu=3611025028102770001&amp;isNoScr=script&amp;mode=search",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280.3</v>
      </c>
      <c r="V562" s="4" t="n">
        <v>234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세로한면(가)</t>
        </is>
      </c>
    </row>
    <row r="563">
      <c r="A563" s="3" t="inlineStr">
        <is>
          <t>조치원읍 침산리 277-15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매매</t>
        </is>
      </c>
      <c r="G563" s="4" t="n">
        <v>93000</v>
      </c>
      <c r="H563" s="4" t="n">
        <v>0</v>
      </c>
      <c r="I563" s="4" t="n">
        <v>227</v>
      </c>
      <c r="J563" s="4" t="n">
        <v>69</v>
      </c>
      <c r="K563" s="5" t="n">
        <v>1347.8</v>
      </c>
      <c r="L563" s="4" t="n">
        <v>370</v>
      </c>
      <c r="M563" s="4" t="n">
        <v>112</v>
      </c>
      <c r="N563" s="5" t="n">
        <v>830.4</v>
      </c>
      <c r="O563" s="3" t="inlineStr">
        <is>
          <t>관리잘됨. 공실 걱정 없는 곳. 역5분</t>
        </is>
      </c>
      <c r="P563" s="6">
        <f>HYPERLINK("https://fin.land.naver.com/articles/2650553807", "매물Link")</f>
        <v/>
      </c>
      <c r="Q563" s="6">
        <f>HYPERLINK("https://map.naver.com/p/search/조치원읍 침산리 277-15", "지도Link")</f>
        <v/>
      </c>
      <c r="R563" s="6">
        <f>HYPERLINK("http://www.eum.go.kr/web/ar/lu/luLandDet.jsp?pnu=3611025028102770015&amp;isNoScr=script&amp;mode=search", "토지이음")</f>
        <v/>
      </c>
      <c r="S563" s="3" t="inlineStr">
        <is>
          <t>바다</t>
        </is>
      </c>
      <c r="T563" s="4" t="n">
        <v>1</v>
      </c>
      <c r="U563" s="5" t="n">
        <v>283.1</v>
      </c>
      <c r="V563" s="4" t="n">
        <v>227.9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278-10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300</v>
      </c>
      <c r="H564" s="4" t="n">
        <v>34</v>
      </c>
      <c r="I564" s="4" t="n">
        <v>42</v>
      </c>
      <c r="J564" s="4" t="n">
        <v>13</v>
      </c>
      <c r="K564" s="5" t="n">
        <v>2.6</v>
      </c>
      <c r="L564" s="4" t="n">
        <v>36</v>
      </c>
      <c r="M564" s="4" t="n">
        <v>11</v>
      </c>
      <c r="N564" s="5" t="n">
        <v>3.1</v>
      </c>
      <c r="O564" s="3" t="inlineStr">
        <is>
          <t>귀한 1.5룸 월세.거주 안전한 집.협의입주 가능.</t>
        </is>
      </c>
      <c r="P564" s="6">
        <f>HYPERLINK("https://fin.land.naver.com/articles/2654585167", "매물Link")</f>
        <v/>
      </c>
      <c r="Q564" s="6">
        <f>HYPERLINK("https://map.naver.com/p/search/조치원읍 침산리 278-10", "지도Link")</f>
        <v/>
      </c>
      <c r="R564" s="6">
        <f>HYPERLINK("http://www.eum.go.kr/web/ar/lu/luLandDet.jsp?pnu=3611025028102780010&amp;isNoScr=script&amp;mode=search",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302.3</v>
      </c>
      <c r="V564" s="4" t="n">
        <v>281.4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소로각지</t>
        </is>
      </c>
    </row>
    <row r="565">
      <c r="A565" s="3" t="inlineStr">
        <is>
          <t>조치원읍 침산리 278-11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110000</v>
      </c>
      <c r="H565" s="4" t="n">
        <v>0</v>
      </c>
      <c r="I565" s="4" t="n">
        <v>257</v>
      </c>
      <c r="J565" s="4" t="n">
        <v>78</v>
      </c>
      <c r="K565" s="5" t="n">
        <v>1410.3</v>
      </c>
      <c r="L565" s="4" t="n">
        <v>459</v>
      </c>
      <c r="M565" s="4" t="n">
        <v>139</v>
      </c>
      <c r="N565" s="5" t="n">
        <v>791.4</v>
      </c>
      <c r="O565" s="3" t="inlineStr">
        <is>
          <t>nan</t>
        </is>
      </c>
      <c r="P565" s="6">
        <f>HYPERLINK("https://fin.land.naver.com/articles/2654388700", "매물Link")</f>
        <v/>
      </c>
      <c r="Q565" s="6">
        <f>HYPERLINK("https://map.naver.com/p/search/조치원읍 침산리 278-11", "지도Link")</f>
        <v/>
      </c>
      <c r="R565" s="6">
        <f>HYPERLINK("http://www.eum.go.kr/web/ar/lu/luLandDet.jsp?pnu=3611025028102780011&amp;isNoScr=script&amp;mode=search",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296.4</v>
      </c>
      <c r="V565" s="4" t="n">
        <v>257.9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조치원읍 침산리 279-1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200</v>
      </c>
      <c r="H566" s="4" t="n">
        <v>29</v>
      </c>
      <c r="I566" s="4" t="n">
        <v>0</v>
      </c>
      <c r="J566" s="4" t="n">
        <v>0</v>
      </c>
      <c r="K566" s="5" t="n">
        <v>0</v>
      </c>
      <c r="L566" s="4" t="n">
        <v>20</v>
      </c>
      <c r="M566" s="4" t="n">
        <v>6</v>
      </c>
      <c r="N566" s="5" t="n">
        <v>4.8</v>
      </c>
      <c r="O566" s="3" t="inlineStr">
        <is>
          <t>L 역5분. 분리형원룸. 풀옵션. 즉시입주가능</t>
        </is>
      </c>
      <c r="P566" s="6">
        <f>HYPERLINK("https://fin.land.naver.com/articles/2650104336", "매물Link")</f>
        <v/>
      </c>
      <c r="Q566" s="6">
        <f>HYPERLINK("https://map.naver.com/p/search/조치원읍 침산리 279-1", "지도Link")</f>
        <v/>
      </c>
      <c r="R566" s="6">
        <f>HYPERLINK("http://www.eum.go.kr/web/ar/lu/luLandDet.jsp?pnu=3611025028102790001&amp;isNoScr=script&amp;mode=search", "토지이음")</f>
        <v/>
      </c>
      <c r="S566" s="3" t="inlineStr">
        <is>
          <t>바다</t>
        </is>
      </c>
      <c r="T566" s="4" t="n">
        <v>1</v>
      </c>
      <c r="U566" s="5" t="n">
        <v>290.8</v>
      </c>
      <c r="V566" s="4" t="n">
        <v>328.1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소로한면</t>
        </is>
      </c>
    </row>
    <row r="567">
      <c r="A567" s="3" t="inlineStr">
        <is>
          <t>조치원읍 침산리 279-1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다가구</t>
        </is>
      </c>
      <c r="F567" s="3" t="inlineStr">
        <is>
          <t>월세</t>
        </is>
      </c>
      <c r="G567" s="4" t="n">
        <v>200</v>
      </c>
      <c r="H567" s="4" t="n">
        <v>29</v>
      </c>
      <c r="I567" s="4" t="n">
        <v>26</v>
      </c>
      <c r="J567" s="4" t="n">
        <v>8</v>
      </c>
      <c r="K567" s="5" t="n">
        <v>3.6</v>
      </c>
      <c r="L567" s="4" t="n">
        <v>26</v>
      </c>
      <c r="M567" s="4" t="n">
        <v>8</v>
      </c>
      <c r="N567" s="5" t="n">
        <v>3.6</v>
      </c>
      <c r="O567" s="3" t="inlineStr">
        <is>
          <t>깨끗한 원룸이며, 냉장고, 세탁기 등 옵션 있음</t>
        </is>
      </c>
      <c r="P567" s="6">
        <f>HYPERLINK("https://fin.land.naver.com/articles/2653985960", "매물Link")</f>
        <v/>
      </c>
      <c r="Q567" s="6">
        <f>HYPERLINK("https://map.naver.com/p/search/조치원읍 침산리 279-1", "지도Link")</f>
        <v/>
      </c>
      <c r="R567" s="6">
        <f>HYPERLINK("http://www.eum.go.kr/web/ar/lu/luLandDet.jsp?pnu=3611025028102790001&amp;isNoScr=script&amp;mode=search", "토지이음")</f>
        <v/>
      </c>
      <c r="S567" s="3" t="inlineStr">
        <is>
          <t>세종베스트</t>
        </is>
      </c>
      <c r="T567" s="4" t="n">
        <v>1</v>
      </c>
      <c r="U567" s="5" t="n">
        <v>290.8</v>
      </c>
      <c r="V567" s="4" t="n">
        <v>328.1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소로한면</t>
        </is>
      </c>
    </row>
    <row r="568">
      <c r="A568" s="3" t="inlineStr">
        <is>
          <t>조치원읍 침산리 279-15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다가구</t>
        </is>
      </c>
      <c r="F568" s="3" t="inlineStr">
        <is>
          <t>매매</t>
        </is>
      </c>
      <c r="G568" s="4" t="n">
        <v>110000</v>
      </c>
      <c r="H568" s="4" t="n">
        <v>0</v>
      </c>
      <c r="I568" s="4" t="n">
        <v>315</v>
      </c>
      <c r="J568" s="4" t="n">
        <v>95</v>
      </c>
      <c r="K568" s="5" t="n">
        <v>1157.9</v>
      </c>
      <c r="L568" s="4" t="n">
        <v>545</v>
      </c>
      <c r="M568" s="4" t="n">
        <v>165</v>
      </c>
      <c r="N568" s="5" t="n">
        <v>666.7</v>
      </c>
      <c r="O568" s="3" t="inlineStr">
        <is>
          <t>다가주주택 연수익률 8%</t>
        </is>
      </c>
      <c r="P568" s="6">
        <f>HYPERLINK("https://fin.land.naver.com/articles/2649673971", "매물Link")</f>
        <v/>
      </c>
      <c r="Q568" s="6">
        <f>HYPERLINK("https://map.naver.com/p/search/조치원읍 침산리 279-15", "지도Link")</f>
        <v/>
      </c>
      <c r="R568" s="6">
        <f>HYPERLINK("http://www.eum.go.kr/web/ar/lu/luLandDet.jsp?pnu=3611025028102790015&amp;isNoScr=script&amp;mode=search", "토지이음")</f>
        <v/>
      </c>
      <c r="S568" s="3" t="inlineStr">
        <is>
          <t>세종베스트</t>
        </is>
      </c>
      <c r="T568" s="4" t="n">
        <v>1</v>
      </c>
      <c r="U568" s="5" t="n">
        <v>299.6</v>
      </c>
      <c r="V568" s="4" t="n">
        <v>315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정방형</t>
        </is>
      </c>
      <c r="AA568" s="3" t="inlineStr">
        <is>
          <t>소로한면</t>
        </is>
      </c>
    </row>
    <row r="569">
      <c r="A569" s="3" t="inlineStr">
        <is>
          <t>조치원읍 침산리 279-15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4</t>
        </is>
      </c>
      <c r="E569" s="3" t="inlineStr">
        <is>
          <t>일반원룸</t>
        </is>
      </c>
      <c r="F569" s="3" t="inlineStr">
        <is>
          <t>전세</t>
        </is>
      </c>
      <c r="G569" s="4" t="n">
        <v>3000</v>
      </c>
      <c r="H569" s="4" t="n">
        <v>0</v>
      </c>
      <c r="I569" s="4" t="n">
        <v>0</v>
      </c>
      <c r="J569" s="4" t="n">
        <v>0</v>
      </c>
      <c r="K569" s="5" t="n">
        <v>0</v>
      </c>
      <c r="L569" s="4" t="n">
        <v>19</v>
      </c>
      <c r="M569" s="4" t="n">
        <v>6</v>
      </c>
      <c r="N569" s="5" t="n">
        <v>500</v>
      </c>
      <c r="O569" s="3" t="inlineStr">
        <is>
          <t>안전한 전세</t>
        </is>
      </c>
      <c r="P569" s="6">
        <f>HYPERLINK("https://fin.land.naver.com/articles/2652857402", "매물Link")</f>
        <v/>
      </c>
      <c r="Q569" s="6">
        <f>HYPERLINK("https://map.naver.com/p/search/조치원읍 침산리 279-15", "지도Link")</f>
        <v/>
      </c>
      <c r="R569" s="6">
        <f>HYPERLINK("http://www.eum.go.kr/web/ar/lu/luLandDet.jsp?pnu=3611025028102790015&amp;isNoScr=script&amp;mode=search",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299.6</v>
      </c>
      <c r="V569" s="4" t="n">
        <v>315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소로한면</t>
        </is>
      </c>
    </row>
    <row r="570">
      <c r="A570" s="3" t="inlineStr">
        <is>
          <t>조치원읍 침산리 279-15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단독</t>
        </is>
      </c>
      <c r="F570" s="3" t="inlineStr">
        <is>
          <t>월세</t>
        </is>
      </c>
      <c r="G570" s="4" t="n">
        <v>2000</v>
      </c>
      <c r="H570" s="4" t="n">
        <v>10</v>
      </c>
      <c r="I570" s="4" t="n">
        <v>0</v>
      </c>
      <c r="J570" s="4" t="n">
        <v>0</v>
      </c>
      <c r="K570" s="5" t="n">
        <v>0</v>
      </c>
      <c r="L570" s="4" t="n">
        <v>23</v>
      </c>
      <c r="M570" s="4" t="n">
        <v>7</v>
      </c>
      <c r="N570" s="5" t="n">
        <v>1.4</v>
      </c>
      <c r="O570" s="3" t="inlineStr">
        <is>
          <t>전세,반전세 가능 도배예정</t>
        </is>
      </c>
      <c r="P570" s="6">
        <f>HYPERLINK("https://fin.land.naver.com/articles/2652860593", "매물Link")</f>
        <v/>
      </c>
      <c r="Q570" s="6">
        <f>HYPERLINK("https://map.naver.com/p/search/조치원읍 침산리 279-15", "지도Link")</f>
        <v/>
      </c>
      <c r="R570" s="6">
        <f>HYPERLINK("http://www.eum.go.kr/web/ar/lu/luLandDet.jsp?pnu=3611025028102790015&amp;isNoScr=script&amp;mode=search",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299.6</v>
      </c>
      <c r="V570" s="4" t="n">
        <v>315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소로한면</t>
        </is>
      </c>
    </row>
    <row r="571">
      <c r="A571" s="3" t="inlineStr">
        <is>
          <t>조치원읍 침산리 279-20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31</v>
      </c>
      <c r="I571" s="4" t="n">
        <v>0</v>
      </c>
      <c r="J571" s="4" t="n">
        <v>0</v>
      </c>
      <c r="K571" s="5" t="n">
        <v>0</v>
      </c>
      <c r="L571" s="4" t="n">
        <v>20</v>
      </c>
      <c r="M571" s="4" t="n">
        <v>6</v>
      </c>
      <c r="N571" s="5" t="n">
        <v>5.2</v>
      </c>
      <c r="O571" s="3" t="inlineStr">
        <is>
          <t>L 엘베. 깔끔. 열5분. 즉시입주가능</t>
        </is>
      </c>
      <c r="P571" s="6">
        <f>HYPERLINK("https://fin.land.naver.com/articles/2652039172", "매물Link")</f>
        <v/>
      </c>
      <c r="Q571" s="6">
        <f>HYPERLINK("https://map.naver.com/p/search/조치원읍 침산리 279-20", "지도Link")</f>
        <v/>
      </c>
      <c r="R571" s="6">
        <f>HYPERLINK("http://www.eum.go.kr/web/ar/lu/luLandDet.jsp?pnu=3611025028102790020&amp;isNoScr=script&amp;mode=search", "토지이음")</f>
        <v/>
      </c>
      <c r="S571" s="3" t="inlineStr">
        <is>
          <t>바다</t>
        </is>
      </c>
      <c r="T571" s="4" t="n">
        <v>1</v>
      </c>
      <c r="U571" s="5" t="n">
        <v>293.8</v>
      </c>
      <c r="V571" s="4" t="n">
        <v>275.9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소로한면</t>
        </is>
      </c>
    </row>
    <row r="572">
      <c r="A572" s="3" t="inlineStr">
        <is>
          <t>조치원읍 침산리 279-20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31</v>
      </c>
      <c r="I572" s="4" t="n">
        <v>20</v>
      </c>
      <c r="J572" s="4" t="n">
        <v>6</v>
      </c>
      <c r="K572" s="5" t="n">
        <v>5.2</v>
      </c>
      <c r="L572" s="4" t="n">
        <v>20</v>
      </c>
      <c r="M572" s="4" t="n">
        <v>6</v>
      </c>
      <c r="N572" s="5" t="n">
        <v>5.2</v>
      </c>
      <c r="O572" s="3" t="inlineStr">
        <is>
          <t>원룸 주방분리 베란다유  깨끗합니다</t>
        </is>
      </c>
      <c r="P572" s="6">
        <f>HYPERLINK("https://fin.land.naver.com/articles/2652339845", "매물Link")</f>
        <v/>
      </c>
      <c r="Q572" s="6">
        <f>HYPERLINK("https://map.naver.com/p/search/조치원읍 침산리 279-20", "지도Link")</f>
        <v/>
      </c>
      <c r="R572" s="6">
        <f>HYPERLINK("http://www.eum.go.kr/web/ar/lu/luLandDet.jsp?pnu=3611025028102790020&amp;isNoScr=script&amp;mode=search", "토지이음")</f>
        <v/>
      </c>
      <c r="S572" s="3" t="inlineStr">
        <is>
          <t>OK수</t>
        </is>
      </c>
      <c r="T572" s="4" t="n">
        <v>1</v>
      </c>
      <c r="U572" s="5" t="n">
        <v>293.8</v>
      </c>
      <c r="V572" s="4" t="n">
        <v>275.9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소로한면</t>
        </is>
      </c>
    </row>
    <row r="573">
      <c r="A573" s="3" t="inlineStr">
        <is>
          <t>조치원읍 침산리 280-5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98000</v>
      </c>
      <c r="H573" s="4" t="n">
        <v>0</v>
      </c>
      <c r="I573" s="4" t="n">
        <v>309</v>
      </c>
      <c r="J573" s="4" t="n">
        <v>93</v>
      </c>
      <c r="K573" s="5" t="n">
        <v>1053.8</v>
      </c>
      <c r="L573" s="4" t="n">
        <v>504</v>
      </c>
      <c r="M573" s="4" t="n">
        <v>152</v>
      </c>
      <c r="N573" s="5" t="n">
        <v>644.7</v>
      </c>
      <c r="O573" s="3" t="inlineStr">
        <is>
          <t>nan</t>
        </is>
      </c>
      <c r="P573" s="6">
        <f>HYPERLINK("https://fin.land.naver.com/articles/2654388079", "매물Link")</f>
        <v/>
      </c>
      <c r="Q573" s="6">
        <f>HYPERLINK("https://map.naver.com/p/search/조치원읍 침산리 280-5", "지도Link")</f>
        <v/>
      </c>
      <c r="R573" s="6">
        <f>HYPERLINK("http://www.eum.go.kr/web/ar/lu/luLandDet.jsp?pnu=3611025028102800005&amp;isNoScr=script&amp;mode=search", "토지이음")</f>
        <v/>
      </c>
      <c r="S573" s="3" t="inlineStr">
        <is>
          <t>척척</t>
        </is>
      </c>
      <c r="T573" s="4" t="n">
        <v>1</v>
      </c>
      <c r="U573" s="5" t="n">
        <v>288.8</v>
      </c>
      <c r="V573" s="4" t="n">
        <v>309.4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세로한면(가)</t>
        </is>
      </c>
    </row>
    <row r="574">
      <c r="A574" s="3" t="inlineStr">
        <is>
          <t>조치원읍 침산리 281-3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다가구</t>
        </is>
      </c>
      <c r="F574" s="3" t="inlineStr">
        <is>
          <t>월세</t>
        </is>
      </c>
      <c r="G574" s="4" t="n">
        <v>200</v>
      </c>
      <c r="H574" s="4" t="n">
        <v>31</v>
      </c>
      <c r="I574" s="4" t="n">
        <v>26</v>
      </c>
      <c r="J574" s="4" t="n">
        <v>8</v>
      </c>
      <c r="K574" s="5" t="n">
        <v>3.9</v>
      </c>
      <c r="L574" s="4" t="n">
        <v>24</v>
      </c>
      <c r="M574" s="4" t="n">
        <v>7</v>
      </c>
      <c r="N574" s="5" t="n">
        <v>4.4</v>
      </c>
      <c r="O574" s="3" t="inlineStr">
        <is>
          <t>깔끔하고 넓은 원룸으로 주변에 생활편의 시설있으며, 대중교통 편합</t>
        </is>
      </c>
      <c r="P574" s="6">
        <f>HYPERLINK("https://fin.land.naver.com/articles/2655173930", "매물Link")</f>
        <v/>
      </c>
      <c r="Q574" s="6">
        <f>HYPERLINK("https://map.naver.com/p/search/조치원읍 침산리 281-3", "지도Link")</f>
        <v/>
      </c>
      <c r="R574" s="6">
        <f>HYPERLINK("http://www.eum.go.kr/web/ar/lu/luLandDet.jsp?pnu=3611025028102810003&amp;isNoScr=script&amp;mode=search", "토지이음")</f>
        <v/>
      </c>
      <c r="S574" s="3" t="inlineStr">
        <is>
          <t>세종베스트</t>
        </is>
      </c>
      <c r="T574" s="4" t="n">
        <v>1</v>
      </c>
      <c r="U574" s="5" t="n">
        <v>305.5</v>
      </c>
      <c r="V574" s="4" t="n">
        <v>323.1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소로각지</t>
        </is>
      </c>
    </row>
    <row r="575">
      <c r="A575" s="3" t="inlineStr">
        <is>
          <t>조치원읍 침산리 282-11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1000</v>
      </c>
      <c r="H575" s="4" t="n">
        <v>45</v>
      </c>
      <c r="I575" s="4" t="n">
        <v>49</v>
      </c>
      <c r="J575" s="4" t="n">
        <v>15</v>
      </c>
      <c r="K575" s="5" t="n">
        <v>3</v>
      </c>
      <c r="L575" s="4" t="n">
        <v>39</v>
      </c>
      <c r="M575" s="4" t="n">
        <v>12</v>
      </c>
      <c r="N575" s="5" t="n">
        <v>3.8</v>
      </c>
      <c r="O575" s="3" t="inlineStr">
        <is>
          <t>귀한 2룸 11월초 입주가능</t>
        </is>
      </c>
      <c r="P575" s="6">
        <f>HYPERLINK("https://fin.land.naver.com/articles/2653498155", "매물Link")</f>
        <v/>
      </c>
      <c r="Q575" s="6">
        <f>HYPERLINK("https://map.naver.com/p/search/조치원읍 침산리 282-11", "지도Link")</f>
        <v/>
      </c>
      <c r="R575" s="6">
        <f>HYPERLINK("http://www.eum.go.kr/web/ar/lu/luLandDet.jsp?pnu=3611025028102820011&amp;isNoScr=script&amp;mode=search", "토지이음")</f>
        <v/>
      </c>
      <c r="S575" s="3" t="inlineStr">
        <is>
          <t>척척</t>
        </is>
      </c>
      <c r="T575" s="4" t="n">
        <v>1</v>
      </c>
      <c r="U575" s="5" t="n">
        <v>288.8</v>
      </c>
      <c r="V575" s="4" t="n">
        <v>279.5</v>
      </c>
      <c r="W575" s="3" t="inlineStr">
        <is>
          <t>지정되지않음</t>
        </is>
      </c>
      <c r="X575" s="3" t="inlineStr">
        <is>
          <t>주거기타</t>
        </is>
      </c>
      <c r="Y575" s="3" t="inlineStr">
        <is>
          <t>평지</t>
        </is>
      </c>
      <c r="Z575" s="3" t="inlineStr">
        <is>
          <t>정방형</t>
        </is>
      </c>
      <c r="AA575" s="3" t="inlineStr">
        <is>
          <t>세로한면(가)</t>
        </is>
      </c>
    </row>
    <row r="576">
      <c r="A576" s="3" t="inlineStr">
        <is>
          <t>조치원읍 침산리 282-13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5000</v>
      </c>
      <c r="H576" s="4" t="n">
        <v>0</v>
      </c>
      <c r="I576" s="4" t="n">
        <v>47</v>
      </c>
      <c r="J576" s="4" t="n">
        <v>14</v>
      </c>
      <c r="K576" s="5" t="n">
        <v>357.1</v>
      </c>
      <c r="L576" s="4" t="n">
        <v>47</v>
      </c>
      <c r="M576" s="4" t="n">
        <v>14</v>
      </c>
      <c r="N576" s="5" t="n">
        <v>357.1</v>
      </c>
      <c r="O576" s="3" t="inlineStr">
        <is>
          <t>깨끗하고 넒은 원룸이며,  주저지역에 위치하여 교통 편리</t>
        </is>
      </c>
      <c r="P576" s="6">
        <f>HYPERLINK("https://fin.land.naver.com/articles/2651486371", "매물Link")</f>
        <v/>
      </c>
      <c r="Q576" s="6">
        <f>HYPERLINK("https://map.naver.com/p/search/조치원읍 침산리 282-13", "지도Link")</f>
        <v/>
      </c>
      <c r="R576" s="6">
        <f>HYPERLINK("http://www.eum.go.kr/web/ar/lu/luLandDet.jsp?pnu=3611025028102820013&amp;isNoScr=script&amp;mode=search", "토지이음")</f>
        <v/>
      </c>
      <c r="S576" s="3" t="inlineStr">
        <is>
          <t>세종베스트</t>
        </is>
      </c>
      <c r="T576" s="4" t="n">
        <v>1</v>
      </c>
      <c r="U576" s="5" t="n">
        <v>314.3</v>
      </c>
      <c r="V576" s="4" t="n">
        <v>252.9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세로장방</t>
        </is>
      </c>
      <c r="AA576" s="3" t="inlineStr">
        <is>
          <t>소로한면</t>
        </is>
      </c>
    </row>
    <row r="577">
      <c r="A577" s="3" t="inlineStr">
        <is>
          <t>조치원읍 침산리 282-6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다가구</t>
        </is>
      </c>
      <c r="F577" s="3" t="inlineStr">
        <is>
          <t>월세</t>
        </is>
      </c>
      <c r="G577" s="4" t="n">
        <v>200</v>
      </c>
      <c r="H577" s="4" t="n">
        <v>31</v>
      </c>
      <c r="I577" s="4" t="n">
        <v>26</v>
      </c>
      <c r="J577" s="4" t="n">
        <v>8</v>
      </c>
      <c r="K577" s="5" t="n">
        <v>3.9</v>
      </c>
      <c r="L577" s="4" t="n">
        <v>26</v>
      </c>
      <c r="M577" s="4" t="n">
        <v>8</v>
      </c>
      <c r="N577" s="5" t="n">
        <v>3.9</v>
      </c>
      <c r="O577" s="3" t="inlineStr">
        <is>
          <t>깨끗하게 내부수리되었으며, 냉장고, 세탁기등 옵션 있음</t>
        </is>
      </c>
      <c r="P577" s="6">
        <f>HYPERLINK("https://fin.land.naver.com/articles/2655178233", "매물Link")</f>
        <v/>
      </c>
      <c r="Q577" s="6">
        <f>HYPERLINK("https://map.naver.com/p/search/조치원읍 침산리 282-6", "지도Link")</f>
        <v/>
      </c>
      <c r="R577" s="6">
        <f>HYPERLINK("http://www.eum.go.kr/web/ar/lu/luLandDet.jsp?pnu=3611025028102820006&amp;isNoScr=script&amp;mode=search", "토지이음")</f>
        <v/>
      </c>
      <c r="S577" s="3" t="inlineStr">
        <is>
          <t>세종베스트</t>
        </is>
      </c>
      <c r="T577" s="4" t="n">
        <v>1</v>
      </c>
      <c r="U577" s="5" t="n">
        <v>316.4</v>
      </c>
      <c r="V577" s="4" t="n">
        <v>353.8</v>
      </c>
      <c r="W577" s="3" t="inlineStr">
        <is>
          <t>지정되지않음</t>
        </is>
      </c>
      <c r="X577" s="3" t="inlineStr">
        <is>
          <t>주상용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소로각지</t>
        </is>
      </c>
    </row>
    <row r="578">
      <c r="A578" s="3" t="inlineStr">
        <is>
          <t>조치원읍 침산리 283-12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4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32</v>
      </c>
      <c r="I578" s="4" t="n">
        <v>0</v>
      </c>
      <c r="J578" s="4" t="n">
        <v>0</v>
      </c>
      <c r="K578" s="5" t="n">
        <v>0</v>
      </c>
      <c r="L578" s="4" t="n">
        <v>24</v>
      </c>
      <c r="M578" s="4" t="n">
        <v>7</v>
      </c>
      <c r="N578" s="5" t="n">
        <v>4.6</v>
      </c>
      <c r="O578" s="3" t="inlineStr">
        <is>
          <t>인기좋은  풀옵션완비 방  넓고 깔끔한 주거공간  교통편리  주차편함</t>
        </is>
      </c>
      <c r="P578" s="6">
        <f>HYPERLINK("https://fin.land.naver.com/articles/2653857832", "매물Link")</f>
        <v/>
      </c>
      <c r="Q578" s="6">
        <f>HYPERLINK("https://map.naver.com/p/search/조치원읍 침산리 283-12", "지도Link")</f>
        <v/>
      </c>
      <c r="R578" s="6">
        <f>HYPERLINK("http://www.eum.go.kr/web/ar/lu/luLandDet.jsp?pnu=3611025028102830012&amp;isNoScr=script&amp;mode=search", "토지이음")</f>
        <v/>
      </c>
      <c r="S578" s="3" t="inlineStr">
        <is>
          <t>연서으뜸</t>
        </is>
      </c>
      <c r="T578" s="4" t="n">
        <v>1</v>
      </c>
      <c r="U578" s="5" t="n">
        <v>283.1</v>
      </c>
      <c r="V578" s="4" t="n">
        <v>263.5</v>
      </c>
      <c r="W578" s="3" t="inlineStr">
        <is>
          <t>지정되지않음</t>
        </is>
      </c>
      <c r="X578" s="3" t="inlineStr">
        <is>
          <t>주거기타</t>
        </is>
      </c>
      <c r="Y578" s="3" t="inlineStr">
        <is>
          <t>평지</t>
        </is>
      </c>
      <c r="Z578" s="3" t="inlineStr">
        <is>
          <t>세로장방</t>
        </is>
      </c>
      <c r="AA578" s="3" t="inlineStr">
        <is>
          <t>세로한면(가)</t>
        </is>
      </c>
    </row>
    <row r="579">
      <c r="A579" s="3" t="inlineStr">
        <is>
          <t>조치원읍 침산리 283-14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3</t>
        </is>
      </c>
      <c r="E579" s="3" t="inlineStr">
        <is>
          <t>다가구</t>
        </is>
      </c>
      <c r="F579" s="3" t="inlineStr">
        <is>
          <t>매매</t>
        </is>
      </c>
      <c r="G579" s="4" t="n">
        <v>80000</v>
      </c>
      <c r="H579" s="4" t="n">
        <v>0</v>
      </c>
      <c r="I579" s="4" t="n">
        <v>251</v>
      </c>
      <c r="J579" s="4" t="n">
        <v>76</v>
      </c>
      <c r="K579" s="5" t="n">
        <v>1052.6</v>
      </c>
      <c r="L579" s="4" t="n">
        <v>433</v>
      </c>
      <c r="M579" s="4" t="n">
        <v>131</v>
      </c>
      <c r="N579" s="5" t="n">
        <v>610.7</v>
      </c>
      <c r="O579" s="3" t="inlineStr">
        <is>
          <t>조치원읍 다가구주택 단지의 수익율 8.5% 관리샹태 양호</t>
        </is>
      </c>
      <c r="P579" s="6">
        <f>HYPERLINK("https://fin.land.naver.com/articles/2649674944", "매물Link")</f>
        <v/>
      </c>
      <c r="Q579" s="6">
        <f>HYPERLINK("https://map.naver.com/p/search/조치원읍 침산리 283-14", "지도Link")</f>
        <v/>
      </c>
      <c r="R579" s="6">
        <f>HYPERLINK("http://www.eum.go.kr/web/ar/lu/luLandDet.jsp?pnu=3611025028102830014&amp;isNoScr=script&amp;mode=search", "토지이음")</f>
        <v/>
      </c>
      <c r="S579" s="3" t="inlineStr">
        <is>
          <t>세종베스트</t>
        </is>
      </c>
      <c r="T579" s="4" t="n">
        <v>1</v>
      </c>
      <c r="U579" s="5" t="n">
        <v>283.1</v>
      </c>
      <c r="V579" s="4" t="n">
        <v>251.9</v>
      </c>
      <c r="W579" s="3" t="inlineStr">
        <is>
          <t>지정되지않음</t>
        </is>
      </c>
      <c r="X579" s="3" t="inlineStr">
        <is>
          <t>주거기타</t>
        </is>
      </c>
      <c r="Y579" s="3" t="inlineStr">
        <is>
          <t>평지</t>
        </is>
      </c>
      <c r="Z579" s="3" t="inlineStr">
        <is>
          <t>세로장방</t>
        </is>
      </c>
      <c r="AA579" s="3" t="inlineStr">
        <is>
          <t>세로한면(가)</t>
        </is>
      </c>
    </row>
    <row r="580">
      <c r="A580" s="3" t="inlineStr">
        <is>
          <t>조치원읍 침산리 283-14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4</t>
        </is>
      </c>
      <c r="E580" s="3" t="inlineStr">
        <is>
          <t>다가구</t>
        </is>
      </c>
      <c r="F580" s="3" t="inlineStr">
        <is>
          <t>매매</t>
        </is>
      </c>
      <c r="G580" s="4" t="n">
        <v>80000</v>
      </c>
      <c r="H580" s="4" t="n">
        <v>0</v>
      </c>
      <c r="I580" s="4" t="n">
        <v>251</v>
      </c>
      <c r="J580" s="4" t="n">
        <v>76</v>
      </c>
      <c r="K580" s="5" t="n">
        <v>1052.6</v>
      </c>
      <c r="L580" s="4" t="n">
        <v>433</v>
      </c>
      <c r="M580" s="4" t="n">
        <v>131</v>
      </c>
      <c r="N580" s="5" t="n">
        <v>610.7</v>
      </c>
      <c r="O580" s="3" t="inlineStr">
        <is>
          <t>nan</t>
        </is>
      </c>
      <c r="P580" s="6">
        <f>HYPERLINK("https://fin.land.naver.com/articles/2654385865", "매물Link")</f>
        <v/>
      </c>
      <c r="Q580" s="6">
        <f>HYPERLINK("https://map.naver.com/p/search/조치원읍 침산리 283-14", "지도Link")</f>
        <v/>
      </c>
      <c r="R580" s="6">
        <f>HYPERLINK("http://www.eum.go.kr/web/ar/lu/luLandDet.jsp?pnu=3611025028102830014&amp;isNoScr=script&amp;mode=search", "토지이음")</f>
        <v/>
      </c>
      <c r="S580" s="3" t="inlineStr">
        <is>
          <t>척척</t>
        </is>
      </c>
      <c r="T580" s="4" t="n">
        <v>1</v>
      </c>
      <c r="U580" s="5" t="n">
        <v>283.1</v>
      </c>
      <c r="V580" s="4" t="n">
        <v>251.9</v>
      </c>
      <c r="W580" s="3" t="inlineStr">
        <is>
          <t>지정되지않음</t>
        </is>
      </c>
      <c r="X580" s="3" t="inlineStr">
        <is>
          <t>주거기타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세로한면(가)</t>
        </is>
      </c>
    </row>
    <row r="581">
      <c r="A581" s="3" t="inlineStr">
        <is>
          <t>조치원읍 침산리 283-16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다가구</t>
        </is>
      </c>
      <c r="F581" s="3" t="inlineStr">
        <is>
          <t>전세</t>
        </is>
      </c>
      <c r="G581" s="4" t="n">
        <v>5500</v>
      </c>
      <c r="H581" s="4" t="n">
        <v>0</v>
      </c>
      <c r="I581" s="4" t="n">
        <v>30</v>
      </c>
      <c r="J581" s="4" t="n">
        <v>9</v>
      </c>
      <c r="K581" s="5" t="n">
        <v>611.1</v>
      </c>
      <c r="L581" s="4" t="n">
        <v>30</v>
      </c>
      <c r="M581" s="4" t="n">
        <v>9</v>
      </c>
      <c r="N581" s="5" t="n">
        <v>611.1</v>
      </c>
      <c r="O581" s="3" t="inlineStr">
        <is>
          <t>nan</t>
        </is>
      </c>
      <c r="P581" s="6">
        <f>HYPERLINK("https://fin.land.naver.com/articles/2653997133", "매물Link")</f>
        <v/>
      </c>
      <c r="Q581" s="6">
        <f>HYPERLINK("https://map.naver.com/p/search/조치원읍 침산리 283-16", "지도Link")</f>
        <v/>
      </c>
      <c r="R581" s="6">
        <f>HYPERLINK("http://www.eum.go.kr/web/ar/lu/luLandDet.jsp?pnu=3611025028102830016&amp;isNoScr=script&amp;mode=search", "토지이음")</f>
        <v/>
      </c>
      <c r="S581" s="3" t="inlineStr">
        <is>
          <t>세종베스트</t>
        </is>
      </c>
      <c r="T581" s="4" t="n">
        <v>1</v>
      </c>
      <c r="U581" s="5" t="n">
        <v>283.1</v>
      </c>
      <c r="V581" s="4" t="n">
        <v>281</v>
      </c>
      <c r="W581" s="3" t="inlineStr">
        <is>
          <t>지정되지않음</t>
        </is>
      </c>
      <c r="X581" s="3" t="inlineStr">
        <is>
          <t>주거기타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세로한면(가)</t>
        </is>
      </c>
    </row>
    <row r="582">
      <c r="A582" s="3" t="inlineStr">
        <is>
          <t>조치원읍 침산리 283-16</t>
        </is>
      </c>
      <c r="B582" s="3" t="inlineStr">
        <is>
          <t>제2종일반주거지역</t>
        </is>
      </c>
      <c r="C582" s="3" t="inlineStr">
        <is>
          <t>대</t>
        </is>
      </c>
      <c r="D582" s="3" t="inlineStr">
        <is>
          <t>4</t>
        </is>
      </c>
      <c r="E582" s="3" t="inlineStr">
        <is>
          <t>다가구</t>
        </is>
      </c>
      <c r="F582" s="3" t="inlineStr">
        <is>
          <t>매매</t>
        </is>
      </c>
      <c r="G582" s="4" t="n">
        <v>98000</v>
      </c>
      <c r="H582" s="4" t="n">
        <v>0</v>
      </c>
      <c r="I582" s="4" t="n">
        <v>281</v>
      </c>
      <c r="J582" s="4" t="n">
        <v>85</v>
      </c>
      <c r="K582" s="5" t="n">
        <v>1152.9</v>
      </c>
      <c r="L582" s="4" t="n">
        <v>440</v>
      </c>
      <c r="M582" s="4" t="n">
        <v>133</v>
      </c>
      <c r="N582" s="5" t="n">
        <v>736.8</v>
      </c>
      <c r="O582" s="3" t="inlineStr">
        <is>
          <t>nan</t>
        </is>
      </c>
      <c r="P582" s="6">
        <f>HYPERLINK("https://fin.land.naver.com/articles/2654387392", "매물Link")</f>
        <v/>
      </c>
      <c r="Q582" s="6">
        <f>HYPERLINK("https://map.naver.com/p/search/조치원읍 침산리 283-16", "지도Link")</f>
        <v/>
      </c>
      <c r="R582" s="6">
        <f>HYPERLINK("http://www.eum.go.kr/web/ar/lu/luLandDet.jsp?pnu=3611025028102830016&amp;isNoScr=script&amp;mode=search", "토지이음")</f>
        <v/>
      </c>
      <c r="S582" s="3" t="inlineStr">
        <is>
          <t>척척</t>
        </is>
      </c>
      <c r="T582" s="4" t="n">
        <v>1</v>
      </c>
      <c r="U582" s="5" t="n">
        <v>283.1</v>
      </c>
      <c r="V582" s="4" t="n">
        <v>281</v>
      </c>
      <c r="W582" s="3" t="inlineStr">
        <is>
          <t>지정되지않음</t>
        </is>
      </c>
      <c r="X582" s="3" t="inlineStr">
        <is>
          <t>주거기타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세로한면(가)</t>
        </is>
      </c>
    </row>
    <row r="583">
      <c r="A583" s="3" t="inlineStr">
        <is>
          <t>조치원읍 침산리 283-17</t>
        </is>
      </c>
      <c r="B583" s="3" t="inlineStr">
        <is>
          <t>제2종일반주거지역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단독</t>
        </is>
      </c>
      <c r="F583" s="3" t="inlineStr">
        <is>
          <t>매매</t>
        </is>
      </c>
      <c r="G583" s="4" t="n">
        <v>100000</v>
      </c>
      <c r="H583" s="4" t="n">
        <v>0</v>
      </c>
      <c r="I583" s="4" t="n">
        <v>251</v>
      </c>
      <c r="J583" s="4" t="n">
        <v>76</v>
      </c>
      <c r="K583" s="5" t="n">
        <v>1315.8</v>
      </c>
      <c r="L583" s="4" t="n">
        <v>436</v>
      </c>
      <c r="M583" s="4" t="n">
        <v>132</v>
      </c>
      <c r="N583" s="5" t="n">
        <v>757.6</v>
      </c>
      <c r="O583" s="3" t="inlineStr">
        <is>
          <t>실투 3.2억, 떠오르는 서북부 다가구주택 단지내 관리 잘된 4층 주택</t>
        </is>
      </c>
      <c r="P583" s="6">
        <f>HYPERLINK("https://fin.land.naver.com/articles/2650412869", "매물Link")</f>
        <v/>
      </c>
      <c r="Q583" s="6">
        <f>HYPERLINK("https://map.naver.com/p/search/조치원읍 침산리 283-17", "지도Link")</f>
        <v/>
      </c>
      <c r="R583" s="6">
        <f>HYPERLINK("http://www.eum.go.kr/web/ar/lu/luLandDet.jsp?pnu=3611025028102830017&amp;isNoScr=script&amp;mode=search", "토지이음")</f>
        <v/>
      </c>
      <c r="S583" s="3" t="inlineStr">
        <is>
          <t>청주모충사모1/2LH트릴로채명성</t>
        </is>
      </c>
      <c r="T583" s="4" t="n">
        <v>1</v>
      </c>
      <c r="U583" s="5" t="n">
        <v>283.1</v>
      </c>
      <c r="V583" s="4" t="n">
        <v>251.8</v>
      </c>
      <c r="W583" s="3" t="inlineStr">
        <is>
          <t>지정되지않음</t>
        </is>
      </c>
      <c r="X583" s="3" t="inlineStr">
        <is>
          <t>주거기타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세로한면(가)</t>
        </is>
      </c>
    </row>
    <row r="584">
      <c r="A584" s="3" t="inlineStr">
        <is>
          <t>조치원읍 침산리 283-3</t>
        </is>
      </c>
      <c r="B584" s="3" t="inlineStr">
        <is>
          <t>제2종일반주거지역</t>
        </is>
      </c>
      <c r="C584" s="3" t="inlineStr">
        <is>
          <t>대</t>
        </is>
      </c>
      <c r="D584" s="3" t="inlineStr">
        <is>
          <t>3</t>
        </is>
      </c>
      <c r="E584" s="3" t="inlineStr">
        <is>
          <t>도시형생활주택</t>
        </is>
      </c>
      <c r="F584" s="3" t="inlineStr">
        <is>
          <t>월세</t>
        </is>
      </c>
      <c r="G584" s="4" t="n">
        <v>200</v>
      </c>
      <c r="H584" s="4" t="n">
        <v>28</v>
      </c>
      <c r="I584" s="4" t="n">
        <v>0</v>
      </c>
      <c r="J584" s="4" t="n">
        <v>0</v>
      </c>
      <c r="K584" s="5" t="n">
        <v>0</v>
      </c>
      <c r="L584" s="4" t="n">
        <v>19</v>
      </c>
      <c r="M584" s="4" t="n">
        <v>6</v>
      </c>
      <c r="N584" s="5" t="n">
        <v>4.7</v>
      </c>
      <c r="O584" s="3" t="inlineStr">
        <is>
          <t>오픈형 넓은 풀옵션</t>
        </is>
      </c>
      <c r="P584" s="6">
        <f>HYPERLINK("https://fin.land.naver.com/articles/2654004942", "매물Link")</f>
        <v/>
      </c>
      <c r="Q584" s="6">
        <f>HYPERLINK("https://map.naver.com/p/search/조치원읍 침산리 283-3", "지도Link")</f>
        <v/>
      </c>
      <c r="R584" s="6">
        <f>HYPERLINK("http://www.eum.go.kr/web/ar/lu/luLandDet.jsp?pnu=3611025028102830003&amp;isNoScr=script&amp;mode=search", "토지이음")</f>
        <v/>
      </c>
      <c r="S584" s="3" t="inlineStr">
        <is>
          <t>척척</t>
        </is>
      </c>
      <c r="T584" s="4" t="n">
        <v>1</v>
      </c>
      <c r="U584" s="5" t="n">
        <v>283.1</v>
      </c>
      <c r="V584" s="4" t="n">
        <v>272.3</v>
      </c>
      <c r="W584" s="3" t="inlineStr">
        <is>
          <t>지정되지않음</t>
        </is>
      </c>
      <c r="X584" s="3" t="inlineStr">
        <is>
          <t>주거기타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세로한면(가)</t>
        </is>
      </c>
    </row>
    <row r="585">
      <c r="A585" s="3" t="inlineStr">
        <is>
          <t>조치원읍 침산리 283-4</t>
        </is>
      </c>
      <c r="B585" s="3" t="inlineStr">
        <is>
          <t>제2종일반주거지역</t>
        </is>
      </c>
      <c r="C585" s="3" t="inlineStr">
        <is>
          <t>대</t>
        </is>
      </c>
      <c r="D585" s="3" t="inlineStr">
        <is>
          <t>0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200</v>
      </c>
      <c r="H585" s="4" t="n">
        <v>28</v>
      </c>
      <c r="I585" s="4" t="n">
        <v>39</v>
      </c>
      <c r="J585" s="4" t="n">
        <v>12</v>
      </c>
      <c r="K585" s="5" t="n">
        <v>2.3</v>
      </c>
      <c r="L585" s="4" t="n">
        <v>29</v>
      </c>
      <c r="M585" s="4" t="n">
        <v>9</v>
      </c>
      <c r="N585" s="5" t="n">
        <v>3.1</v>
      </c>
      <c r="O585" s="3" t="inlineStr">
        <is>
          <t>넓은방.풀셋팅원룸.몸만들어오세요</t>
        </is>
      </c>
      <c r="P585" s="6">
        <f>HYPERLINK("https://fin.land.naver.com/articles/2651070230", "매물Link")</f>
        <v/>
      </c>
      <c r="Q585" s="6">
        <f>HYPERLINK("https://map.naver.com/p/search/조치원읍 침산리 283-4", "지도Link")</f>
        <v/>
      </c>
      <c r="R585" s="6">
        <f>HYPERLINK("http://www.eum.go.kr/web/ar/lu/luLandDet.jsp?pnu=3611025028102830004&amp;isNoScr=script&amp;mode=search", "토지이음")</f>
        <v/>
      </c>
      <c r="S585" s="3" t="inlineStr">
        <is>
          <t>척척</t>
        </is>
      </c>
      <c r="T585" s="4" t="n">
        <v>1</v>
      </c>
      <c r="U585" s="5" t="n">
        <v>283.1</v>
      </c>
      <c r="V585" s="4" t="n">
        <v>272.3</v>
      </c>
      <c r="W585" s="3" t="inlineStr">
        <is>
          <t>지정되지않음</t>
        </is>
      </c>
      <c r="X585" s="3" t="inlineStr">
        <is>
          <t>주거기타</t>
        </is>
      </c>
      <c r="Y585" s="3" t="inlineStr">
        <is>
          <t>평지</t>
        </is>
      </c>
      <c r="Z585" s="3" t="inlineStr">
        <is>
          <t>세로장방</t>
        </is>
      </c>
      <c r="AA585" s="3" t="inlineStr">
        <is>
          <t>세로한면(가)</t>
        </is>
      </c>
    </row>
    <row r="586">
      <c r="A586" s="3" t="inlineStr">
        <is>
          <t>조치원읍 침산리 284-6</t>
        </is>
      </c>
      <c r="B586" s="3" t="inlineStr">
        <is>
          <t>제2종일반주거지역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다가구</t>
        </is>
      </c>
      <c r="F586" s="3" t="inlineStr">
        <is>
          <t>월세</t>
        </is>
      </c>
      <c r="G586" s="4" t="n">
        <v>200</v>
      </c>
      <c r="H586" s="4" t="n">
        <v>29</v>
      </c>
      <c r="I586" s="4" t="n">
        <v>26</v>
      </c>
      <c r="J586" s="4" t="n">
        <v>8</v>
      </c>
      <c r="K586" s="5" t="n">
        <v>3.6</v>
      </c>
      <c r="L586" s="4" t="n">
        <v>26</v>
      </c>
      <c r="M586" s="4" t="n">
        <v>8</v>
      </c>
      <c r="N586" s="5" t="n">
        <v>3.6</v>
      </c>
      <c r="O586" s="3" t="inlineStr">
        <is>
          <t>분리형 원룸이며, 조치원시장, 조치원역 옆에 위치하여 교통 편리</t>
        </is>
      </c>
      <c r="P586" s="6">
        <f>HYPERLINK("https://fin.land.naver.com/articles/2655176936", "매물Link")</f>
        <v/>
      </c>
      <c r="Q586" s="6">
        <f>HYPERLINK("https://map.naver.com/p/search/조치원읍 침산리 284-6", "지도Link")</f>
        <v/>
      </c>
      <c r="R586" s="6">
        <f>HYPERLINK("http://www.eum.go.kr/web/ar/lu/luLandDet.jsp?pnu=3611025028102840006&amp;isNoScr=script&amp;mode=search", "토지이음")</f>
        <v/>
      </c>
      <c r="S586" s="3" t="inlineStr">
        <is>
          <t>세종베스트</t>
        </is>
      </c>
      <c r="T586" s="4" t="n">
        <v>1</v>
      </c>
      <c r="U586" s="5" t="n">
        <v>446.3</v>
      </c>
      <c r="V586" s="4" t="n">
        <v>333.7</v>
      </c>
      <c r="W586" s="3" t="inlineStr">
        <is>
          <t>지정되지않음</t>
        </is>
      </c>
      <c r="X586" s="3" t="inlineStr">
        <is>
          <t>주상기타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소로각지</t>
        </is>
      </c>
    </row>
    <row r="587">
      <c r="A587" s="3" t="inlineStr">
        <is>
          <t>조치원읍 침산리 285-10</t>
        </is>
      </c>
      <c r="B587" s="3" t="inlineStr">
        <is>
          <t>제2종일반주거지역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28</v>
      </c>
      <c r="I587" s="4" t="n">
        <v>0</v>
      </c>
      <c r="J587" s="4" t="n">
        <v>0</v>
      </c>
      <c r="K587" s="5" t="n">
        <v>0</v>
      </c>
      <c r="L587" s="4" t="n">
        <v>23</v>
      </c>
      <c r="M587" s="4" t="n">
        <v>7</v>
      </c>
      <c r="N587" s="5" t="n">
        <v>4</v>
      </c>
      <c r="O587" s="3" t="inlineStr">
        <is>
          <t>주방 넓은 분리형 채광 통풍 잘되는 집</t>
        </is>
      </c>
      <c r="P587" s="6">
        <f>HYPERLINK("https://fin.land.naver.com/articles/2654004265", "매물Link")</f>
        <v/>
      </c>
      <c r="Q587" s="6">
        <f>HYPERLINK("https://map.naver.com/p/search/조치원읍 침산리 285-10", "지도Link")</f>
        <v/>
      </c>
      <c r="R587" s="6">
        <f>HYPERLINK("http://www.eum.go.kr/web/ar/lu/luLandDet.jsp?pnu=3611025028102850010&amp;isNoScr=script&amp;mode=search", "토지이음")</f>
        <v/>
      </c>
      <c r="S587" s="3" t="inlineStr">
        <is>
          <t>척척</t>
        </is>
      </c>
      <c r="T587" s="4" t="n">
        <v>1</v>
      </c>
      <c r="U587" s="5" t="n">
        <v>307.8</v>
      </c>
      <c r="V587" s="4" t="n">
        <v>266.9</v>
      </c>
      <c r="W587" s="3" t="inlineStr">
        <is>
          <t>지정되지않음</t>
        </is>
      </c>
      <c r="X587" s="3" t="inlineStr">
        <is>
          <t>주상기타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소로각지</t>
        </is>
      </c>
    </row>
    <row r="588">
      <c r="A588" s="3" t="inlineStr">
        <is>
          <t>조치원읍 침산리 285-10</t>
        </is>
      </c>
      <c r="B588" s="3" t="inlineStr">
        <is>
          <t>제2종일반주거지역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월세</t>
        </is>
      </c>
      <c r="G588" s="4" t="n">
        <v>200</v>
      </c>
      <c r="H588" s="4" t="n">
        <v>28</v>
      </c>
      <c r="I588" s="4" t="n">
        <v>0</v>
      </c>
      <c r="J588" s="4" t="n">
        <v>0</v>
      </c>
      <c r="K588" s="5" t="n">
        <v>0</v>
      </c>
      <c r="L588" s="4" t="n">
        <v>23</v>
      </c>
      <c r="M588" s="4" t="n">
        <v>7</v>
      </c>
      <c r="N588" s="5" t="n">
        <v>4</v>
      </c>
      <c r="O588" s="3" t="inlineStr">
        <is>
          <t>주방 넓은 분리형 채광 통풍 잘되는 집</t>
        </is>
      </c>
      <c r="P588" s="6">
        <f>HYPERLINK("https://fin.land.naver.com/articles/2654830780", "매물Link")</f>
        <v/>
      </c>
      <c r="Q588" s="6">
        <f>HYPERLINK("https://map.naver.com/p/search/조치원읍 침산리 285-10", "지도Link")</f>
        <v/>
      </c>
      <c r="R588" s="6">
        <f>HYPERLINK("http://www.eum.go.kr/web/ar/lu/luLandDet.jsp?pnu=3611025028102850010&amp;isNoScr=script&amp;mode=search", "토지이음")</f>
        <v/>
      </c>
      <c r="S588" s="3" t="inlineStr">
        <is>
          <t>척척</t>
        </is>
      </c>
      <c r="T588" s="4" t="n">
        <v>1</v>
      </c>
      <c r="U588" s="5" t="n">
        <v>307.8</v>
      </c>
      <c r="V588" s="4" t="n">
        <v>266.9</v>
      </c>
      <c r="W588" s="3" t="inlineStr">
        <is>
          <t>지정되지않음</t>
        </is>
      </c>
      <c r="X588" s="3" t="inlineStr">
        <is>
          <t>주상기타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소로각지</t>
        </is>
      </c>
    </row>
    <row r="589">
      <c r="A589" s="3" t="inlineStr">
        <is>
          <t>조치원읍 침산리 285-10</t>
        </is>
      </c>
      <c r="B589" s="3" t="inlineStr">
        <is>
          <t>제2종일반주거지역</t>
        </is>
      </c>
      <c r="C589" s="3" t="inlineStr">
        <is>
          <t>대</t>
        </is>
      </c>
      <c r="D589" s="3" t="inlineStr">
        <is>
          <t>4</t>
        </is>
      </c>
      <c r="E589" s="3" t="inlineStr">
        <is>
          <t>다가구</t>
        </is>
      </c>
      <c r="F589" s="3" t="inlineStr">
        <is>
          <t>매매</t>
        </is>
      </c>
      <c r="G589" s="4" t="n">
        <v>110000</v>
      </c>
      <c r="H589" s="4" t="n">
        <v>0</v>
      </c>
      <c r="I589" s="4" t="n">
        <v>266</v>
      </c>
      <c r="J589" s="4" t="n">
        <v>80</v>
      </c>
      <c r="K589" s="5" t="n">
        <v>1375</v>
      </c>
      <c r="L589" s="4" t="n">
        <v>510</v>
      </c>
      <c r="M589" s="4" t="n">
        <v>154</v>
      </c>
      <c r="N589" s="5" t="n">
        <v>714.3</v>
      </c>
      <c r="O589" s="3" t="inlineStr">
        <is>
          <t>nan</t>
        </is>
      </c>
      <c r="P589" s="6">
        <f>HYPERLINK("https://fin.land.naver.com/articles/2654386307", "매물Link")</f>
        <v/>
      </c>
      <c r="Q589" s="6">
        <f>HYPERLINK("https://map.naver.com/p/search/조치원읍 침산리 285-10", "지도Link")</f>
        <v/>
      </c>
      <c r="R589" s="6">
        <f>HYPERLINK("http://www.eum.go.kr/web/ar/lu/luLandDet.jsp?pnu=3611025028102850010&amp;isNoScr=script&amp;mode=search", "토지이음")</f>
        <v/>
      </c>
      <c r="S589" s="3" t="inlineStr">
        <is>
          <t>척척</t>
        </is>
      </c>
      <c r="T589" s="4" t="n">
        <v>1</v>
      </c>
      <c r="U589" s="5" t="n">
        <v>307.8</v>
      </c>
      <c r="V589" s="4" t="n">
        <v>266.9</v>
      </c>
      <c r="W589" s="3" t="inlineStr">
        <is>
          <t>지정되지않음</t>
        </is>
      </c>
      <c r="X589" s="3" t="inlineStr">
        <is>
          <t>주상기타</t>
        </is>
      </c>
      <c r="Y589" s="3" t="inlineStr">
        <is>
          <t>평지</t>
        </is>
      </c>
      <c r="Z589" s="3" t="inlineStr">
        <is>
          <t>정방형</t>
        </is>
      </c>
      <c r="AA589" s="3" t="inlineStr">
        <is>
          <t>소로각지</t>
        </is>
      </c>
    </row>
    <row r="590">
      <c r="A590" s="3" t="inlineStr">
        <is>
          <t>조치원읍 침산리 285-19</t>
        </is>
      </c>
      <c r="B590" s="3" t="inlineStr">
        <is>
          <t>제2종일반주거지역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다가구</t>
        </is>
      </c>
      <c r="F590" s="3" t="inlineStr">
        <is>
          <t>매매</t>
        </is>
      </c>
      <c r="G590" s="4" t="n">
        <v>148000</v>
      </c>
      <c r="H590" s="4" t="n">
        <v>0</v>
      </c>
      <c r="I590" s="4" t="n">
        <v>300</v>
      </c>
      <c r="J590" s="4" t="n">
        <v>91</v>
      </c>
      <c r="K590" s="5" t="n">
        <v>1626.4</v>
      </c>
      <c r="L590" s="4" t="n">
        <v>593</v>
      </c>
      <c r="M590" s="4" t="n">
        <v>179</v>
      </c>
      <c r="N590" s="5" t="n">
        <v>826.8</v>
      </c>
      <c r="O590" s="3" t="inlineStr">
        <is>
          <t>신도시 스타벅스, 하이마트 옆 4층 상가 주택, 실투 5.25억</t>
        </is>
      </c>
      <c r="P590" s="6">
        <f>HYPERLINK("https://fin.land.naver.com/articles/2650412792", "매물Link")</f>
        <v/>
      </c>
      <c r="Q590" s="6">
        <f>HYPERLINK("https://map.naver.com/p/search/조치원읍 침산리 285-19", "지도Link")</f>
        <v/>
      </c>
      <c r="R590" s="6">
        <f>HYPERLINK("http://www.eum.go.kr/web/ar/lu/luLandDet.jsp?pnu=3611025028102850019&amp;isNoScr=script&amp;mode=search", "토지이음")</f>
        <v/>
      </c>
      <c r="S590" s="3" t="inlineStr">
        <is>
          <t>청주모충사모1/2LH트릴로채명성</t>
        </is>
      </c>
      <c r="T590" s="4" t="n">
        <v>1</v>
      </c>
      <c r="U590" s="5" t="n">
        <v>352.7</v>
      </c>
      <c r="V590" s="4" t="n">
        <v>300.3</v>
      </c>
      <c r="W590" s="3" t="inlineStr">
        <is>
          <t>지정되지않음</t>
        </is>
      </c>
      <c r="X590" s="3" t="inlineStr">
        <is>
          <t>상업나지</t>
        </is>
      </c>
      <c r="Y590" s="3" t="inlineStr">
        <is>
          <t>평지</t>
        </is>
      </c>
      <c r="Z590" s="3" t="inlineStr">
        <is>
          <t>정방형</t>
        </is>
      </c>
      <c r="AA590" s="3" t="inlineStr">
        <is>
          <t>소로한면</t>
        </is>
      </c>
    </row>
    <row r="591">
      <c r="A591" s="3" t="inlineStr">
        <is>
          <t>조치원읍 침산리 285-19</t>
        </is>
      </c>
      <c r="B591" s="3" t="inlineStr">
        <is>
          <t>제2종일반주거지역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다가구</t>
        </is>
      </c>
      <c r="F591" s="3" t="inlineStr">
        <is>
          <t>매매</t>
        </is>
      </c>
      <c r="G591" s="4" t="n">
        <v>148000</v>
      </c>
      <c r="H591" s="4" t="n">
        <v>0</v>
      </c>
      <c r="I591" s="4" t="n">
        <v>300</v>
      </c>
      <c r="J591" s="4" t="n">
        <v>91</v>
      </c>
      <c r="K591" s="5" t="n">
        <v>1626.4</v>
      </c>
      <c r="L591" s="4" t="n">
        <v>593</v>
      </c>
      <c r="M591" s="4" t="n">
        <v>179</v>
      </c>
      <c r="N591" s="5" t="n">
        <v>826.8</v>
      </c>
      <c r="O591" s="3" t="inlineStr">
        <is>
          <t>nan</t>
        </is>
      </c>
      <c r="P591" s="6">
        <f>HYPERLINK("https://fin.land.naver.com/articles/2650405364", "매물Link")</f>
        <v/>
      </c>
      <c r="Q591" s="6">
        <f>HYPERLINK("https://map.naver.com/p/search/조치원읍 침산리 285-19", "지도Link")</f>
        <v/>
      </c>
      <c r="R591" s="6">
        <f>HYPERLINK("http://www.eum.go.kr/web/ar/lu/luLandDet.jsp?pnu=3611025028102850019&amp;isNoScr=script&amp;mode=search", "토지이음")</f>
        <v/>
      </c>
      <c r="S591" s="3" t="inlineStr">
        <is>
          <t>굿굿경매</t>
        </is>
      </c>
      <c r="T591" s="4" t="n">
        <v>1</v>
      </c>
      <c r="U591" s="5" t="n">
        <v>352.7</v>
      </c>
      <c r="V591" s="4" t="n">
        <v>300.3</v>
      </c>
      <c r="W591" s="3" t="inlineStr">
        <is>
          <t>지정되지않음</t>
        </is>
      </c>
      <c r="X591" s="3" t="inlineStr">
        <is>
          <t>상업나지</t>
        </is>
      </c>
      <c r="Y591" s="3" t="inlineStr">
        <is>
          <t>평지</t>
        </is>
      </c>
      <c r="Z591" s="3" t="inlineStr">
        <is>
          <t>정방형</t>
        </is>
      </c>
      <c r="AA591" s="3" t="inlineStr">
        <is>
          <t>소로한면</t>
        </is>
      </c>
    </row>
    <row r="592">
      <c r="A592" s="3" t="inlineStr">
        <is>
          <t>조치원읍 침산리 285-20</t>
        </is>
      </c>
      <c r="B592" s="3" t="inlineStr">
        <is>
          <t>제2종일반주거지역</t>
        </is>
      </c>
      <c r="C592" s="3" t="inlineStr">
        <is>
          <t>대</t>
        </is>
      </c>
      <c r="D592" s="3" t="inlineStr">
        <is>
          <t>4</t>
        </is>
      </c>
      <c r="E592" s="3" t="inlineStr">
        <is>
          <t>일반원룸</t>
        </is>
      </c>
      <c r="F592" s="3" t="inlineStr">
        <is>
          <t>월세</t>
        </is>
      </c>
      <c r="G592" s="4" t="n">
        <v>2000</v>
      </c>
      <c r="H592" s="4" t="n">
        <v>10</v>
      </c>
      <c r="I592" s="4" t="n">
        <v>39</v>
      </c>
      <c r="J592" s="4" t="n">
        <v>12</v>
      </c>
      <c r="K592" s="5" t="n">
        <v>0.8</v>
      </c>
      <c r="L592" s="4" t="n">
        <v>26</v>
      </c>
      <c r="M592" s="4" t="n">
        <v>8</v>
      </c>
      <c r="N592" s="5" t="n">
        <v>1.2</v>
      </c>
      <c r="O592" s="3" t="inlineStr">
        <is>
          <t>신축주거단지  채광좋은 분리형 원룸</t>
        </is>
      </c>
      <c r="P592" s="6">
        <f>HYPERLINK("https://fin.land.naver.com/articles/2651595721", "매물Link")</f>
        <v/>
      </c>
      <c r="Q592" s="6">
        <f>HYPERLINK("https://map.naver.com/p/search/조치원읍 침산리 285-20", "지도Link")</f>
        <v/>
      </c>
      <c r="R592" s="6">
        <f>HYPERLINK("http://www.eum.go.kr/web/ar/lu/luLandDet.jsp?pnu=3611025028102850020&amp;isNoScr=script&amp;mode=search", "토지이음")</f>
        <v/>
      </c>
      <c r="S592" s="3" t="inlineStr">
        <is>
          <t>척척</t>
        </is>
      </c>
      <c r="T592" s="4" t="n">
        <v>1</v>
      </c>
      <c r="U592" s="5" t="n">
        <v>363</v>
      </c>
      <c r="V592" s="4" t="n">
        <v>335.7</v>
      </c>
      <c r="W592" s="3" t="inlineStr">
        <is>
          <t>지정되지않음</t>
        </is>
      </c>
      <c r="X592" s="3" t="inlineStr">
        <is>
          <t>상업나지</t>
        </is>
      </c>
      <c r="Y592" s="3" t="inlineStr">
        <is>
          <t>평지</t>
        </is>
      </c>
      <c r="Z592" s="3" t="inlineStr">
        <is>
          <t>가로장방</t>
        </is>
      </c>
      <c r="AA592" s="3" t="inlineStr">
        <is>
          <t>소로각지</t>
        </is>
      </c>
    </row>
    <row r="593">
      <c r="A593" s="3" t="inlineStr">
        <is>
          <t>조치원읍 평리 107-1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1</t>
        </is>
      </c>
      <c r="E593" s="3" t="inlineStr">
        <is>
          <t>단독</t>
        </is>
      </c>
      <c r="F593" s="3" t="inlineStr">
        <is>
          <t>매매</t>
        </is>
      </c>
      <c r="G593" s="4" t="n">
        <v>24500</v>
      </c>
      <c r="H593" s="4" t="n">
        <v>0</v>
      </c>
      <c r="I593" s="4" t="n">
        <v>161</v>
      </c>
      <c r="J593" s="4" t="n">
        <v>49</v>
      </c>
      <c r="K593" s="5" t="n">
        <v>500</v>
      </c>
      <c r="L593" s="4" t="n">
        <v>85</v>
      </c>
      <c r="M593" s="4" t="n">
        <v>26</v>
      </c>
      <c r="N593" s="5" t="n">
        <v>942.3</v>
      </c>
      <c r="O593" s="3" t="inlineStr">
        <is>
          <t>평리 터미널 맞은편 위치좋은 주택가 입니다</t>
        </is>
      </c>
      <c r="P593" s="6">
        <f>HYPERLINK("https://fin.land.naver.com/articles/2649790783", "매물Link")</f>
        <v/>
      </c>
      <c r="Q593" s="6">
        <f>HYPERLINK("https://map.naver.com/p/search/조치원읍 평리 107-1", "지도Link")</f>
        <v/>
      </c>
      <c r="R593" s="6">
        <f>HYPERLINK("http://www.eum.go.kr/web/ar/lu/luLandDet.jsp?pnu=3611025023101070001&amp;isNoScr=script&amp;mode=search", "토지이음")</f>
        <v/>
      </c>
      <c r="S593" s="3" t="inlineStr">
        <is>
          <t>OK수</t>
        </is>
      </c>
      <c r="T593" s="4" t="n">
        <v>1</v>
      </c>
      <c r="U593" s="5" t="n">
        <v>213.1</v>
      </c>
      <c r="V593" s="4" t="n">
        <v>161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조치원읍 평리 23-8</t>
        </is>
      </c>
      <c r="B594" s="3" t="inlineStr">
        <is>
          <t>제2종일반주거지역</t>
        </is>
      </c>
      <c r="C594" s="3" t="inlineStr">
        <is>
          <t>대</t>
        </is>
      </c>
      <c r="D594" s="3" t="inlineStr">
        <is>
          <t>4</t>
        </is>
      </c>
      <c r="E594" s="3" t="inlineStr">
        <is>
          <t>다가구</t>
        </is>
      </c>
      <c r="F594" s="3" t="inlineStr">
        <is>
          <t>전세</t>
        </is>
      </c>
      <c r="G594" s="4" t="n">
        <v>8000</v>
      </c>
      <c r="H594" s="4" t="n">
        <v>0</v>
      </c>
      <c r="I594" s="4" t="n">
        <v>50</v>
      </c>
      <c r="J594" s="4" t="n">
        <v>15</v>
      </c>
      <c r="K594" s="5" t="n">
        <v>533.3</v>
      </c>
      <c r="L594" s="4" t="n">
        <v>43</v>
      </c>
      <c r="M594" s="4" t="n">
        <v>13</v>
      </c>
      <c r="N594" s="5" t="n">
        <v>615.4</v>
      </c>
      <c r="O594" s="3" t="inlineStr">
        <is>
          <t>보증보험소독청결완벽한 풀옵 이방pick</t>
        </is>
      </c>
      <c r="P594" s="6">
        <f>HYPERLINK("https://fin.land.naver.com/articles/2651394456", "매물Link")</f>
        <v/>
      </c>
      <c r="Q594" s="6">
        <f>HYPERLINK("https://map.naver.com/p/search/조치원읍 평리 23-8", "지도Link")</f>
        <v/>
      </c>
      <c r="R594" s="6">
        <f>HYPERLINK("http://www.eum.go.kr/web/ar/lu/luLandDet.jsp?pnu=3611025023100230008&amp;isNoScr=script&amp;mode=search", "토지이음")</f>
        <v/>
      </c>
      <c r="S594" s="3" t="inlineStr">
        <is>
          <t>마이룸</t>
        </is>
      </c>
      <c r="T594" s="4" t="n">
        <v>1</v>
      </c>
      <c r="U594" s="5" t="n">
        <v>219.2</v>
      </c>
      <c r="V594" s="4" t="n">
        <v>115.7</v>
      </c>
      <c r="W594" s="3" t="inlineStr">
        <is>
          <t>지정되지않음</t>
        </is>
      </c>
      <c r="X594" s="3" t="inlineStr">
        <is>
          <t>연립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세로각지(가)</t>
        </is>
      </c>
    </row>
    <row r="595">
      <c r="A595" s="3" t="inlineStr">
        <is>
          <t>조치원읍 평리 54-2</t>
        </is>
      </c>
      <c r="B595" s="3" t="inlineStr">
        <is>
          <t>제2종일반주거지역</t>
        </is>
      </c>
      <c r="C595" s="3" t="inlineStr">
        <is>
          <t>대</t>
        </is>
      </c>
      <c r="D595" s="3" t="inlineStr">
        <is>
          <t>0</t>
        </is>
      </c>
      <c r="E595" s="3" t="inlineStr">
        <is>
          <t>다가구</t>
        </is>
      </c>
      <c r="F595" s="3" t="inlineStr">
        <is>
          <t>월세</t>
        </is>
      </c>
      <c r="G595" s="4" t="n">
        <v>500</v>
      </c>
      <c r="H595" s="4" t="n">
        <v>55</v>
      </c>
      <c r="I595" s="4" t="n">
        <v>0</v>
      </c>
      <c r="J595" s="4" t="n">
        <v>0</v>
      </c>
      <c r="K595" s="5" t="n">
        <v>0</v>
      </c>
      <c r="L595" s="4" t="n">
        <v>38</v>
      </c>
      <c r="M595" s="4" t="n">
        <v>11</v>
      </c>
      <c r="N595" s="5" t="n">
        <v>5</v>
      </c>
      <c r="O595" s="3" t="inlineStr">
        <is>
          <t>투룸, 협의 입주</t>
        </is>
      </c>
      <c r="P595" s="6">
        <f>HYPERLINK("https://fin.land.naver.com/articles/2652579240", "매물Link")</f>
        <v/>
      </c>
      <c r="Q595" s="6">
        <f>HYPERLINK("https://map.naver.com/p/search/조치원읍 평리 54-2", "지도Link")</f>
        <v/>
      </c>
      <c r="R595" s="6">
        <f>HYPERLINK("http://www.eum.go.kr/web/ar/lu/luLandDet.jsp?pnu=3611025023100540002&amp;isNoScr=script&amp;mode=search", "토지이음")</f>
        <v/>
      </c>
      <c r="S595" s="3" t="inlineStr">
        <is>
          <t>골드</t>
        </is>
      </c>
      <c r="T595" s="4" t="n">
        <v>1</v>
      </c>
      <c r="U595" s="5" t="n">
        <v>206.6</v>
      </c>
      <c r="V595" s="4" t="n">
        <v>324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부정형</t>
        </is>
      </c>
      <c r="AA595" s="3" t="inlineStr">
        <is>
          <t>세로한면(가)</t>
        </is>
      </c>
    </row>
    <row r="596">
      <c r="A596" s="3" t="inlineStr">
        <is>
          <t>조치원읍 평리 56-2</t>
        </is>
      </c>
      <c r="B596" s="3" t="inlineStr">
        <is>
          <t>제2종일반주거지역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일반원룸</t>
        </is>
      </c>
      <c r="F596" s="3" t="inlineStr">
        <is>
          <t>월세</t>
        </is>
      </c>
      <c r="G596" s="4" t="n">
        <v>200</v>
      </c>
      <c r="H596" s="4" t="n">
        <v>30</v>
      </c>
      <c r="I596" s="4" t="n">
        <v>39</v>
      </c>
      <c r="J596" s="4" t="n">
        <v>12</v>
      </c>
      <c r="K596" s="5" t="n">
        <v>2.5</v>
      </c>
      <c r="L596" s="4" t="n">
        <v>26</v>
      </c>
      <c r="M596" s="4" t="n">
        <v>8</v>
      </c>
      <c r="N596" s="5" t="n">
        <v>3.8</v>
      </c>
      <c r="O596" s="3" t="inlineStr">
        <is>
          <t>조치원터미널근방.엘리베이터있음.공동주차시설완비</t>
        </is>
      </c>
      <c r="P596" s="6">
        <f>HYPERLINK("https://fin.land.naver.com/articles/2651626263", "매물Link")</f>
        <v/>
      </c>
      <c r="Q596" s="6">
        <f>HYPERLINK("https://map.naver.com/p/search/조치원읍 평리 56-2", "지도Link")</f>
        <v/>
      </c>
      <c r="R596" s="6">
        <f>HYPERLINK("http://www.eum.go.kr/web/ar/lu/luLandDet.jsp?pnu=3611025023100560002&amp;isNoScr=script&amp;mode=search", "토지이음")</f>
        <v/>
      </c>
      <c r="S596" s="3" t="inlineStr">
        <is>
          <t>척척</t>
        </is>
      </c>
      <c r="T596" s="4" t="n">
        <v>1</v>
      </c>
      <c r="U596" s="5" t="n">
        <v>206.6</v>
      </c>
      <c r="V596" s="4" t="n">
        <v>575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부정형</t>
        </is>
      </c>
      <c r="AA596" s="3" t="inlineStr">
        <is>
          <t>세로한면(가)</t>
        </is>
      </c>
    </row>
    <row r="597">
      <c r="A597" s="3" t="inlineStr">
        <is>
          <t>조치원읍 평리 73-1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단독</t>
        </is>
      </c>
      <c r="F597" s="3" t="inlineStr">
        <is>
          <t>매매</t>
        </is>
      </c>
      <c r="G597" s="4" t="n">
        <v>19500</v>
      </c>
      <c r="H597" s="4" t="n">
        <v>0</v>
      </c>
      <c r="I597" s="4" t="n">
        <v>188</v>
      </c>
      <c r="J597" s="4" t="n">
        <v>57</v>
      </c>
      <c r="K597" s="5" t="n">
        <v>342.1</v>
      </c>
      <c r="L597" s="4" t="n">
        <v>49</v>
      </c>
      <c r="M597" s="4" t="n">
        <v>15</v>
      </c>
      <c r="N597" s="5" t="n">
        <v>1300</v>
      </c>
      <c r="O597" s="3" t="inlineStr">
        <is>
          <t>조치원읍 평리 단독주택 저렴하게 나왔어요.</t>
        </is>
      </c>
      <c r="P597" s="6">
        <f>HYPERLINK("https://fin.land.naver.com/articles/2649552536", "매물Link")</f>
        <v/>
      </c>
      <c r="Q597" s="6">
        <f>HYPERLINK("https://map.naver.com/p/search/조치원읍 평리 73-1", "지도Link")</f>
        <v/>
      </c>
      <c r="R597" s="6">
        <f>HYPERLINK("http://www.eum.go.kr/web/ar/lu/luLandDet.jsp?pnu=3611025023100730001&amp;isNoScr=script&amp;mode=search", "토지이음")</f>
        <v/>
      </c>
      <c r="S597" s="3" t="inlineStr">
        <is>
          <t>세종대장</t>
        </is>
      </c>
      <c r="T597" s="4" t="n">
        <v>1</v>
      </c>
      <c r="U597" s="5" t="n">
        <v>120.4</v>
      </c>
      <c r="V597" s="4" t="n">
        <v>188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세로한면(불)</t>
        </is>
      </c>
    </row>
    <row r="598">
      <c r="A598" s="3" t="inlineStr">
        <is>
          <t>한솔동 1069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매매</t>
        </is>
      </c>
      <c r="G598" s="4" t="n">
        <v>155000</v>
      </c>
      <c r="H598" s="4" t="n">
        <v>0</v>
      </c>
      <c r="I598" s="4" t="n">
        <v>324</v>
      </c>
      <c r="J598" s="4" t="n">
        <v>98</v>
      </c>
      <c r="K598" s="5" t="n">
        <v>1581.6</v>
      </c>
      <c r="L598" s="4" t="n">
        <v>249</v>
      </c>
      <c r="M598" s="4" t="n">
        <v>75</v>
      </c>
      <c r="N598" s="5" t="n">
        <v>2066.7</v>
      </c>
      <c r="O598" s="3" t="inlineStr">
        <is>
          <t>해외건축가가 설계한 멋진집, 한솔동,새롬동상권이용편리,보시면 반할집</t>
        </is>
      </c>
      <c r="P598" s="6">
        <f>HYPERLINK("https://fin.land.naver.com/articles/2653835626", "매물Link")</f>
        <v/>
      </c>
      <c r="Q598" s="6">
        <f>HYPERLINK("https://map.naver.com/p/search/한솔동 1069", "지도Link")</f>
        <v/>
      </c>
      <c r="R598" s="6">
        <f>HYPERLINK("http://www.eum.go.kr/web/ar/lu/luLandDet.jsp?pnu=3611010600110690000&amp;isNoScr=script&amp;mode=search", "토지이음")</f>
        <v/>
      </c>
      <c r="S598" s="3" t="inlineStr">
        <is>
          <t>세종제일</t>
        </is>
      </c>
      <c r="T598" s="4" t="n">
        <v>1</v>
      </c>
      <c r="U598" s="5" t="n">
        <v>373.6</v>
      </c>
      <c r="V598" s="4" t="n">
        <v>324.7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세로장방</t>
        </is>
      </c>
      <c r="AA598" s="3" t="inlineStr">
        <is>
          <t>소로한면</t>
        </is>
      </c>
    </row>
    <row r="599">
      <c r="A599" s="3" t="inlineStr">
        <is>
          <t>한솔동 1069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155000</v>
      </c>
      <c r="H599" s="4" t="n">
        <v>0</v>
      </c>
      <c r="I599" s="4" t="n">
        <v>324</v>
      </c>
      <c r="J599" s="4" t="n">
        <v>98</v>
      </c>
      <c r="K599" s="5" t="n">
        <v>1581.6</v>
      </c>
      <c r="L599" s="4" t="n">
        <v>249</v>
      </c>
      <c r="M599" s="4" t="n">
        <v>75</v>
      </c>
      <c r="N599" s="5" t="n">
        <v>2066.7</v>
      </c>
      <c r="O599" s="3" t="inlineStr">
        <is>
          <t>전용75.5p, 방6개, 화장실4개, 해외건축가가 설계한 멋진집</t>
        </is>
      </c>
      <c r="P599" s="6">
        <f>HYPERLINK("https://fin.land.naver.com/articles/2651918512", "매물Link")</f>
        <v/>
      </c>
      <c r="Q599" s="6">
        <f>HYPERLINK("https://map.naver.com/p/search/한솔동 1069", "지도Link")</f>
        <v/>
      </c>
      <c r="R599" s="6">
        <f>HYPERLINK("http://www.eum.go.kr/web/ar/lu/luLandDet.jsp?pnu=3611010600110690000&amp;isNoScr=script&amp;mode=search", "토지이음")</f>
        <v/>
      </c>
      <c r="S599" s="3" t="inlineStr">
        <is>
          <t>명진</t>
        </is>
      </c>
      <c r="T599" s="4" t="n">
        <v>1</v>
      </c>
      <c r="U599" s="5" t="n">
        <v>373.6</v>
      </c>
      <c r="V599" s="4" t="n">
        <v>324.7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세로장방</t>
        </is>
      </c>
      <c r="AA599" s="3" t="inlineStr">
        <is>
          <t>소로한면</t>
        </is>
      </c>
    </row>
    <row r="600">
      <c r="A600" s="3" t="inlineStr">
        <is>
          <t>한솔동 1069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155000</v>
      </c>
      <c r="H600" s="4" t="n">
        <v>0</v>
      </c>
      <c r="I600" s="4" t="n">
        <v>324</v>
      </c>
      <c r="J600" s="4" t="n">
        <v>98</v>
      </c>
      <c r="K600" s="5" t="n">
        <v>1581.6</v>
      </c>
      <c r="L600" s="4" t="n">
        <v>249</v>
      </c>
      <c r="M600" s="4" t="n">
        <v>75</v>
      </c>
      <c r="N600" s="5" t="n">
        <v>2066.7</v>
      </c>
      <c r="O600" s="3" t="inlineStr">
        <is>
          <t>방6개, 화장실4개, 근린공원 인근, 고급 단독주택</t>
        </is>
      </c>
      <c r="P600" s="6">
        <f>HYPERLINK("https://fin.land.naver.com/articles/2652839061", "매물Link")</f>
        <v/>
      </c>
      <c r="Q600" s="6">
        <f>HYPERLINK("https://map.naver.com/p/search/한솔동 1069", "지도Link")</f>
        <v/>
      </c>
      <c r="R600" s="6">
        <f>HYPERLINK("http://www.eum.go.kr/web/ar/lu/luLandDet.jsp?pnu=3611010600110690000&amp;isNoScr=script&amp;mode=search", "토지이음")</f>
        <v/>
      </c>
      <c r="S600" s="3" t="inlineStr">
        <is>
          <t>세종무지개</t>
        </is>
      </c>
      <c r="T600" s="4" t="n">
        <v>1</v>
      </c>
      <c r="U600" s="5" t="n">
        <v>373.6</v>
      </c>
      <c r="V600" s="4" t="n">
        <v>324.7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세로장방</t>
        </is>
      </c>
      <c r="AA600" s="3" t="inlineStr">
        <is>
          <t>소로한면</t>
        </is>
      </c>
    </row>
    <row r="601">
      <c r="A601" s="3" t="inlineStr">
        <is>
          <t>한솔동 1069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155000</v>
      </c>
      <c r="H601" s="4" t="n">
        <v>0</v>
      </c>
      <c r="I601" s="4" t="n">
        <v>324</v>
      </c>
      <c r="J601" s="4" t="n">
        <v>98</v>
      </c>
      <c r="K601" s="5" t="n">
        <v>1581.6</v>
      </c>
      <c r="L601" s="4" t="n">
        <v>249</v>
      </c>
      <c r="M601" s="4" t="n">
        <v>75</v>
      </c>
      <c r="N601" s="5" t="n">
        <v>2066.7</v>
      </c>
      <c r="O601" s="3" t="inlineStr">
        <is>
          <t>한솔동 고급 2층단독주택 위치좋은 조용하고 쾌적한 환경</t>
        </is>
      </c>
      <c r="P601" s="6">
        <f>HYPERLINK("https://fin.land.naver.com/articles/2651896310", "매물Link")</f>
        <v/>
      </c>
      <c r="Q601" s="6">
        <f>HYPERLINK("https://map.naver.com/p/search/한솔동 1069", "지도Link")</f>
        <v/>
      </c>
      <c r="R601" s="6">
        <f>HYPERLINK("http://www.eum.go.kr/web/ar/lu/luLandDet.jsp?pnu=3611010600110690000&amp;isNoScr=script&amp;mode=search", "토지이음")</f>
        <v/>
      </c>
      <c r="S601" s="3" t="inlineStr">
        <is>
          <t>고운동리치세종</t>
        </is>
      </c>
      <c r="T601" s="4" t="n">
        <v>1</v>
      </c>
      <c r="U601" s="5" t="n">
        <v>373.6</v>
      </c>
      <c r="V601" s="4" t="n">
        <v>324.7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세로장방</t>
        </is>
      </c>
      <c r="AA601" s="3" t="inlineStr">
        <is>
          <t>소로한면</t>
        </is>
      </c>
    </row>
    <row r="602">
      <c r="A602" s="3" t="inlineStr">
        <is>
          <t>한솔동 1118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매매</t>
        </is>
      </c>
      <c r="G602" s="4" t="n">
        <v>127000</v>
      </c>
      <c r="H602" s="4" t="n">
        <v>0</v>
      </c>
      <c r="I602" s="4" t="n">
        <v>331</v>
      </c>
      <c r="J602" s="4" t="n">
        <v>100</v>
      </c>
      <c r="K602" s="5" t="n">
        <v>1270</v>
      </c>
      <c r="L602" s="4" t="n">
        <v>164</v>
      </c>
      <c r="M602" s="4" t="n">
        <v>50</v>
      </c>
      <c r="N602" s="5" t="n">
        <v>2540</v>
      </c>
      <c r="O602" s="3" t="inlineStr">
        <is>
          <t>세종시 상권이용편리한 단독주택  앞뒤뻥</t>
        </is>
      </c>
      <c r="P602" s="6">
        <f>HYPERLINK("https://fin.land.naver.com/articles/2651811636", "매물Link")</f>
        <v/>
      </c>
      <c r="Q602" s="6">
        <f>HYPERLINK("https://map.naver.com/p/search/한솔동 1118", "지도Link")</f>
        <v/>
      </c>
      <c r="R602" s="6">
        <f>HYPERLINK("http://www.eum.go.kr/web/ar/lu/luLandDet.jsp?pnu=3611010600111180000&amp;isNoScr=script&amp;mode=search", "토지이음")</f>
        <v/>
      </c>
      <c r="S602" s="3" t="inlineStr">
        <is>
          <t>세종믿음</t>
        </is>
      </c>
      <c r="T602" s="4" t="n">
        <v>1</v>
      </c>
      <c r="U602" s="5" t="n">
        <v>373.6</v>
      </c>
      <c r="V602" s="4" t="n">
        <v>331.3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정방형</t>
        </is>
      </c>
      <c r="AA602" s="3" t="inlineStr">
        <is>
          <t>소로한면</t>
        </is>
      </c>
    </row>
    <row r="603">
      <c r="A603" s="3" t="inlineStr">
        <is>
          <t>한솔동 1118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127000</v>
      </c>
      <c r="H603" s="4" t="n">
        <v>0</v>
      </c>
      <c r="I603" s="4" t="n">
        <v>331</v>
      </c>
      <c r="J603" s="4" t="n">
        <v>100</v>
      </c>
      <c r="K603" s="5" t="n">
        <v>1270</v>
      </c>
      <c r="L603" s="4" t="n">
        <v>164</v>
      </c>
      <c r="M603" s="4" t="n">
        <v>50</v>
      </c>
      <c r="N603" s="5" t="n">
        <v>2540</v>
      </c>
      <c r="O603" s="3" t="inlineStr">
        <is>
          <t>공원을 접한 단독주택, 여유로움을 누려보세요</t>
        </is>
      </c>
      <c r="P603" s="6">
        <f>HYPERLINK("https://fin.land.naver.com/articles/2652853639", "매물Link")</f>
        <v/>
      </c>
      <c r="Q603" s="6">
        <f>HYPERLINK("https://map.naver.com/p/search/한솔동 1118", "지도Link")</f>
        <v/>
      </c>
      <c r="R603" s="6">
        <f>HYPERLINK("http://www.eum.go.kr/web/ar/lu/luLandDet.jsp?pnu=3611010600111180000&amp;isNoScr=script&amp;mode=search", "토지이음")</f>
        <v/>
      </c>
      <c r="S603" s="3" t="inlineStr">
        <is>
          <t>최무연</t>
        </is>
      </c>
      <c r="T603" s="4" t="n">
        <v>2</v>
      </c>
      <c r="U603" s="5" t="n">
        <v>373.6</v>
      </c>
      <c r="V603" s="4" t="n">
        <v>331.3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정방형</t>
        </is>
      </c>
      <c r="AA603" s="3" t="inlineStr">
        <is>
          <t>소로한면</t>
        </is>
      </c>
    </row>
    <row r="604">
      <c r="A604" s="3" t="inlineStr">
        <is>
          <t>한솔동 1118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단독</t>
        </is>
      </c>
      <c r="F604" s="3" t="inlineStr">
        <is>
          <t>매매</t>
        </is>
      </c>
      <c r="G604" s="4" t="n">
        <v>127000</v>
      </c>
      <c r="H604" s="4" t="n">
        <v>0</v>
      </c>
      <c r="I604" s="4" t="n">
        <v>331</v>
      </c>
      <c r="J604" s="4" t="n">
        <v>100</v>
      </c>
      <c r="K604" s="5" t="n">
        <v>1270</v>
      </c>
      <c r="L604" s="4" t="n">
        <v>164</v>
      </c>
      <c r="M604" s="4" t="n">
        <v>50</v>
      </c>
      <c r="N604" s="5" t="n">
        <v>2540</v>
      </c>
      <c r="O604" s="3" t="inlineStr">
        <is>
          <t>전용49.8p, 방3개 화장실2개, 사유지땅 사용가능</t>
        </is>
      </c>
      <c r="P604" s="6">
        <f>HYPERLINK("https://fin.land.naver.com/articles/2654718314", "매물Link")</f>
        <v/>
      </c>
      <c r="Q604" s="6">
        <f>HYPERLINK("https://map.naver.com/p/search/한솔동 1118", "지도Link")</f>
        <v/>
      </c>
      <c r="R604" s="6">
        <f>HYPERLINK("http://www.eum.go.kr/web/ar/lu/luLandDet.jsp?pnu=3611010600111180000&amp;isNoScr=script&amp;mode=search", "토지이음")</f>
        <v/>
      </c>
      <c r="S604" s="3" t="inlineStr">
        <is>
          <t>세종무지개</t>
        </is>
      </c>
      <c r="T604" s="4" t="n">
        <v>1</v>
      </c>
      <c r="U604" s="5" t="n">
        <v>373.6</v>
      </c>
      <c r="V604" s="4" t="n">
        <v>331.3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정방형</t>
        </is>
      </c>
      <c r="AA604" s="3" t="inlineStr">
        <is>
          <t>소로한면</t>
        </is>
      </c>
    </row>
    <row r="605">
      <c r="A605" s="3" t="inlineStr">
        <is>
          <t>한솔동 1118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단독</t>
        </is>
      </c>
      <c r="F605" s="3" t="inlineStr">
        <is>
          <t>매매</t>
        </is>
      </c>
      <c r="G605" s="4" t="n">
        <v>127000</v>
      </c>
      <c r="H605" s="4" t="n">
        <v>0</v>
      </c>
      <c r="I605" s="4" t="n">
        <v>331</v>
      </c>
      <c r="J605" s="4" t="n">
        <v>100</v>
      </c>
      <c r="K605" s="5" t="n">
        <v>1270</v>
      </c>
      <c r="L605" s="4" t="n">
        <v>164</v>
      </c>
      <c r="M605" s="4" t="n">
        <v>50</v>
      </c>
      <c r="N605" s="5" t="n">
        <v>2540</v>
      </c>
      <c r="O605" s="3" t="inlineStr">
        <is>
          <t>마당연결 공원전유사용 옆시유지 무상이용 2층 테라스 데크 실수요최적</t>
        </is>
      </c>
      <c r="P605" s="6">
        <f>HYPERLINK("https://fin.land.naver.com/articles/2654871859", "매물Link")</f>
        <v/>
      </c>
      <c r="Q605" s="6">
        <f>HYPERLINK("https://map.naver.com/p/search/한솔동 1118", "지도Link")</f>
        <v/>
      </c>
      <c r="R605" s="6">
        <f>HYPERLINK("http://www.eum.go.kr/web/ar/lu/luLandDet.jsp?pnu=3611010600111180000&amp;isNoScr=script&amp;mode=search", "토지이음")</f>
        <v/>
      </c>
      <c r="S605" s="3" t="inlineStr">
        <is>
          <t>삼성래미안</t>
        </is>
      </c>
      <c r="T605" s="4" t="n">
        <v>3</v>
      </c>
      <c r="U605" s="5" t="n">
        <v>373.6</v>
      </c>
      <c r="V605" s="4" t="n">
        <v>331.3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소로한면</t>
        </is>
      </c>
    </row>
    <row r="606">
      <c r="A606" s="3" t="inlineStr">
        <is>
          <t>한솔동 1118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단독</t>
        </is>
      </c>
      <c r="F606" s="3" t="inlineStr">
        <is>
          <t>매매</t>
        </is>
      </c>
      <c r="G606" s="4" t="n">
        <v>127000</v>
      </c>
      <c r="H606" s="4" t="n">
        <v>0</v>
      </c>
      <c r="I606" s="4" t="n">
        <v>331</v>
      </c>
      <c r="J606" s="4" t="n">
        <v>100</v>
      </c>
      <c r="K606" s="5" t="n">
        <v>1270</v>
      </c>
      <c r="L606" s="4" t="n">
        <v>164</v>
      </c>
      <c r="M606" s="4" t="n">
        <v>50</v>
      </c>
      <c r="N606" s="5" t="n">
        <v>2540</v>
      </c>
      <c r="O606" s="3" t="inlineStr">
        <is>
          <t>공원사유지 무상이용가능, 입지 좋은 한솔동 단독주택 매매</t>
        </is>
      </c>
      <c r="P606" s="6">
        <f>HYPERLINK("https://fin.land.naver.com/articles/2654927790", "매물Link")</f>
        <v/>
      </c>
      <c r="Q606" s="6">
        <f>HYPERLINK("https://map.naver.com/p/search/한솔동 1118", "지도Link")</f>
        <v/>
      </c>
      <c r="R606" s="6">
        <f>HYPERLINK("http://www.eum.go.kr/web/ar/lu/luLandDet.jsp?pnu=3611010600111180000&amp;isNoScr=script&amp;mode=search", "토지이음")</f>
        <v/>
      </c>
      <c r="S606" s="3" t="inlineStr">
        <is>
          <t>명진</t>
        </is>
      </c>
      <c r="T606" s="4" t="n">
        <v>1</v>
      </c>
      <c r="U606" s="5" t="n">
        <v>373.6</v>
      </c>
      <c r="V606" s="4" t="n">
        <v>331.3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정방형</t>
        </is>
      </c>
      <c r="AA606" s="3" t="inlineStr">
        <is>
          <t>소로한면</t>
        </is>
      </c>
    </row>
    <row r="607">
      <c r="A607" s="3" t="inlineStr">
        <is>
          <t>한솔동 1156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단독</t>
        </is>
      </c>
      <c r="F607" s="3" t="inlineStr">
        <is>
          <t>매매</t>
        </is>
      </c>
      <c r="G607" s="4" t="n">
        <v>135000</v>
      </c>
      <c r="H607" s="4" t="n">
        <v>0</v>
      </c>
      <c r="I607" s="4" t="n">
        <v>295</v>
      </c>
      <c r="J607" s="4" t="n">
        <v>89</v>
      </c>
      <c r="K607" s="5" t="n">
        <v>1516.9</v>
      </c>
      <c r="L607" s="4" t="n">
        <v>181</v>
      </c>
      <c r="M607" s="4" t="n">
        <v>55</v>
      </c>
      <c r="N607" s="5" t="n">
        <v>2454.5</v>
      </c>
      <c r="O607" s="3" t="inlineStr">
        <is>
          <t>급매 설계시공  대단한 건축가작품 입주 유용하게 구조 잘 지었어요</t>
        </is>
      </c>
      <c r="P607" s="6">
        <f>HYPERLINK("https://fin.land.naver.com/articles/2652797647", "매물Link")</f>
        <v/>
      </c>
      <c r="Q607" s="6">
        <f>HYPERLINK("https://map.naver.com/p/search/한솔동 1156", "지도Link")</f>
        <v/>
      </c>
      <c r="R607" s="6">
        <f>HYPERLINK("http://www.eum.go.kr/web/ar/lu/luLandDet.jsp?pnu=3611010600111560000&amp;isNoScr=script&amp;mode=search", "토지이음")</f>
        <v/>
      </c>
      <c r="S607" s="3" t="inlineStr">
        <is>
          <t>삼성래미안</t>
        </is>
      </c>
      <c r="T607" s="4" t="n">
        <v>3</v>
      </c>
      <c r="U607" s="5" t="n">
        <v>391.7</v>
      </c>
      <c r="V607" s="4" t="n">
        <v>303.1</v>
      </c>
      <c r="W607" s="3" t="inlineStr">
        <is>
          <t>지정되지않음</t>
        </is>
      </c>
      <c r="X607" s="3" t="inlineStr">
        <is>
          <t>주거나지</t>
        </is>
      </c>
      <c r="Y607" s="3" t="inlineStr">
        <is>
          <t>평지</t>
        </is>
      </c>
      <c r="Z607" s="3" t="inlineStr">
        <is>
          <t>세로장방</t>
        </is>
      </c>
      <c r="AA607" s="3" t="inlineStr">
        <is>
          <t>소로각지</t>
        </is>
      </c>
    </row>
    <row r="608">
      <c r="A608" s="3" t="inlineStr">
        <is>
          <t>한솔동 1156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단독</t>
        </is>
      </c>
      <c r="F608" s="3" t="inlineStr">
        <is>
          <t>매매</t>
        </is>
      </c>
      <c r="G608" s="4" t="n">
        <v>135000</v>
      </c>
      <c r="H608" s="4" t="n">
        <v>0</v>
      </c>
      <c r="I608" s="4" t="n">
        <v>295</v>
      </c>
      <c r="J608" s="4" t="n">
        <v>89</v>
      </c>
      <c r="K608" s="5" t="n">
        <v>1516.9</v>
      </c>
      <c r="L608" s="4" t="n">
        <v>181</v>
      </c>
      <c r="M608" s="4" t="n">
        <v>55</v>
      </c>
      <c r="N608" s="5" t="n">
        <v>2454.5</v>
      </c>
      <c r="O608" s="3" t="inlineStr">
        <is>
          <t>유명건축가 멋지게 지은 집. 방4. 화장실3. 위치 최고</t>
        </is>
      </c>
      <c r="P608" s="6">
        <f>HYPERLINK("https://fin.land.naver.com/articles/2652331501", "매물Link")</f>
        <v/>
      </c>
      <c r="Q608" s="6">
        <f>HYPERLINK("https://map.naver.com/p/search/한솔동 1156", "지도Link")</f>
        <v/>
      </c>
      <c r="R608" s="6">
        <f>HYPERLINK("http://www.eum.go.kr/web/ar/lu/luLandDet.jsp?pnu=3611010600111560000&amp;isNoScr=script&amp;mode=search", "토지이음")</f>
        <v/>
      </c>
      <c r="S608" s="3" t="inlineStr">
        <is>
          <t>세종금밭</t>
        </is>
      </c>
      <c r="T608" s="4" t="n">
        <v>1</v>
      </c>
      <c r="U608" s="5" t="n">
        <v>391.7</v>
      </c>
      <c r="V608" s="4" t="n">
        <v>303.1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세로장방</t>
        </is>
      </c>
      <c r="AA608" s="3" t="inlineStr">
        <is>
          <t>소로각지</t>
        </is>
      </c>
    </row>
    <row r="609">
      <c r="A609" s="3" t="inlineStr">
        <is>
          <t>한솔동 1219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매매</t>
        </is>
      </c>
      <c r="G609" s="4" t="n">
        <v>85000</v>
      </c>
      <c r="H609" s="4" t="n">
        <v>0</v>
      </c>
      <c r="I609" s="4" t="n">
        <v>394</v>
      </c>
      <c r="J609" s="4" t="n">
        <v>119</v>
      </c>
      <c r="K609" s="5" t="n">
        <v>714.3</v>
      </c>
      <c r="L609" s="4" t="n">
        <v>99</v>
      </c>
      <c r="M609" s="4" t="n">
        <v>30</v>
      </c>
      <c r="N609" s="5" t="n">
        <v>2833.3</v>
      </c>
      <c r="O609" s="3" t="inlineStr">
        <is>
          <t>급매 추가조율협의가능 단층 철근콘크리트 가성비 주택</t>
        </is>
      </c>
      <c r="P609" s="6">
        <f>HYPERLINK("https://fin.land.naver.com/articles/2655182662", "매물Link")</f>
        <v/>
      </c>
      <c r="Q609" s="6">
        <f>HYPERLINK("https://map.naver.com/p/search/한솔동 1219", "지도Link")</f>
        <v/>
      </c>
      <c r="R609" s="6">
        <f>HYPERLINK("http://www.eum.go.kr/web/ar/lu/luLandDet.jsp?pnu=3611010600112190000&amp;isNoScr=script&amp;mode=search", "토지이음")</f>
        <v/>
      </c>
      <c r="S609" s="3" t="inlineStr">
        <is>
          <t>세종스타</t>
        </is>
      </c>
      <c r="T609" s="4" t="n">
        <v>1</v>
      </c>
      <c r="U609" s="5" t="n">
        <v>373.6</v>
      </c>
      <c r="V609" s="4" t="n">
        <v>394.7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세로장방</t>
        </is>
      </c>
      <c r="AA609" s="3" t="inlineStr">
        <is>
          <t>소로한면</t>
        </is>
      </c>
    </row>
    <row r="610">
      <c r="A610" s="3" t="inlineStr">
        <is>
          <t>한솔동 867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단독</t>
        </is>
      </c>
      <c r="F610" s="3" t="inlineStr">
        <is>
          <t>매매</t>
        </is>
      </c>
      <c r="G610" s="4" t="n">
        <v>95000</v>
      </c>
      <c r="H610" s="4" t="n">
        <v>0</v>
      </c>
      <c r="I610" s="4" t="n">
        <v>293</v>
      </c>
      <c r="J610" s="4" t="n">
        <v>89</v>
      </c>
      <c r="K610" s="5" t="n">
        <v>1067.4</v>
      </c>
      <c r="L610" s="4" t="n">
        <v>182</v>
      </c>
      <c r="M610" s="4" t="n">
        <v>55</v>
      </c>
      <c r="N610" s="5" t="n">
        <v>1727.3</v>
      </c>
      <c r="O610" s="3" t="inlineStr">
        <is>
          <t>막힘없이 좋아요 좋은 위치 brt 가까운 위치 입니다 방3, 화장실 2</t>
        </is>
      </c>
      <c r="P610" s="6">
        <f>HYPERLINK("https://fin.land.naver.com/articles/2651491871", "매물Link")</f>
        <v/>
      </c>
      <c r="Q610" s="6">
        <f>HYPERLINK("https://map.naver.com/p/search/한솔동 867", "지도Link")</f>
        <v/>
      </c>
      <c r="R610" s="6">
        <f>HYPERLINK("http://www.eum.go.kr/web/ar/lu/luLandDet.jsp?pnu=3611010600108670000&amp;isNoScr=script&amp;mode=search", "토지이음")</f>
        <v/>
      </c>
      <c r="S610" s="3" t="inlineStr">
        <is>
          <t>은성</t>
        </is>
      </c>
      <c r="T610" s="4" t="n">
        <v>1</v>
      </c>
      <c r="U610" s="5" t="n">
        <v>427.1</v>
      </c>
      <c r="V610" s="4" t="n">
        <v>293.3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가로장방</t>
        </is>
      </c>
      <c r="AA610" s="3" t="inlineStr">
        <is>
          <t>소로각지</t>
        </is>
      </c>
    </row>
    <row r="611">
      <c r="A611" s="3" t="inlineStr">
        <is>
          <t>한솔동 899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3</t>
        </is>
      </c>
      <c r="E611" s="3" t="inlineStr">
        <is>
          <t>단독</t>
        </is>
      </c>
      <c r="F611" s="3" t="inlineStr">
        <is>
          <t>매매</t>
        </is>
      </c>
      <c r="G611" s="4" t="n">
        <v>120000</v>
      </c>
      <c r="H611" s="4" t="n">
        <v>0</v>
      </c>
      <c r="I611" s="4" t="n">
        <v>269</v>
      </c>
      <c r="J611" s="4" t="n">
        <v>81</v>
      </c>
      <c r="K611" s="5" t="n">
        <v>1481.5</v>
      </c>
      <c r="L611" s="4" t="n">
        <v>201</v>
      </c>
      <c r="M611" s="4" t="n">
        <v>61</v>
      </c>
      <c r="N611" s="5" t="n">
        <v>1967.2</v>
      </c>
      <c r="O611" s="3" t="inlineStr">
        <is>
          <t>입지 좋고 공간활용도가 높은 한솔동 단독주택 매매</t>
        </is>
      </c>
      <c r="P611" s="6">
        <f>HYPERLINK("https://fin.land.naver.com/articles/2651191540", "매물Link")</f>
        <v/>
      </c>
      <c r="Q611" s="6">
        <f>HYPERLINK("https://map.naver.com/p/search/한솔동 899", "지도Link")</f>
        <v/>
      </c>
      <c r="R611" s="6">
        <f>HYPERLINK("http://www.eum.go.kr/web/ar/lu/luLandDet.jsp?pnu=3611010600108990000&amp;isNoScr=script&amp;mode=search", "토지이음")</f>
        <v/>
      </c>
      <c r="S611" s="3" t="inlineStr">
        <is>
          <t>명진</t>
        </is>
      </c>
      <c r="T611" s="4" t="n">
        <v>1</v>
      </c>
      <c r="U611" s="5" t="n">
        <v>418.8</v>
      </c>
      <c r="V611" s="4" t="n">
        <v>269.1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소로각지</t>
        </is>
      </c>
    </row>
    <row r="612">
      <c r="A612" s="3" t="inlineStr">
        <is>
          <t>한솔동 899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단독</t>
        </is>
      </c>
      <c r="F612" s="3" t="inlineStr">
        <is>
          <t>매매</t>
        </is>
      </c>
      <c r="G612" s="4" t="n">
        <v>120000</v>
      </c>
      <c r="H612" s="4" t="n">
        <v>0</v>
      </c>
      <c r="I612" s="4" t="n">
        <v>269</v>
      </c>
      <c r="J612" s="4" t="n">
        <v>81</v>
      </c>
      <c r="K612" s="5" t="n">
        <v>1481.5</v>
      </c>
      <c r="L612" s="4" t="n">
        <v>201</v>
      </c>
      <c r="M612" s="4" t="n">
        <v>61</v>
      </c>
      <c r="N612" s="5" t="n">
        <v>1967.2</v>
      </c>
      <c r="O612" s="3" t="inlineStr">
        <is>
          <t>태양광, 풀에어컨, 주차2대, 한솔동 입지 좋은 주택 매매</t>
        </is>
      </c>
      <c r="P612" s="6">
        <f>HYPERLINK("https://fin.land.naver.com/articles/2650428908", "매물Link")</f>
        <v/>
      </c>
      <c r="Q612" s="6">
        <f>HYPERLINK("https://map.naver.com/p/search/한솔동 899", "지도Link")</f>
        <v/>
      </c>
      <c r="R612" s="6">
        <f>HYPERLINK("http://www.eum.go.kr/web/ar/lu/luLandDet.jsp?pnu=3611010600108990000&amp;isNoScr=script&amp;mode=search", "토지이음")</f>
        <v/>
      </c>
      <c r="S612" s="3" t="inlineStr">
        <is>
          <t>세종무지개</t>
        </is>
      </c>
      <c r="T612" s="4" t="n">
        <v>1</v>
      </c>
      <c r="U612" s="5" t="n">
        <v>418.8</v>
      </c>
      <c r="V612" s="4" t="n">
        <v>269.1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소로각지</t>
        </is>
      </c>
    </row>
    <row r="613">
      <c r="A613" s="3" t="inlineStr">
        <is>
          <t>한솔동 903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단독</t>
        </is>
      </c>
      <c r="F613" s="3" t="inlineStr">
        <is>
          <t>매매</t>
        </is>
      </c>
      <c r="G613" s="4" t="n">
        <v>115000</v>
      </c>
      <c r="H613" s="4" t="n">
        <v>0</v>
      </c>
      <c r="I613" s="4" t="n">
        <v>256</v>
      </c>
      <c r="J613" s="4" t="n">
        <v>77</v>
      </c>
      <c r="K613" s="5" t="n">
        <v>1493.5</v>
      </c>
      <c r="L613" s="4" t="n">
        <v>183</v>
      </c>
      <c r="M613" s="4" t="n">
        <v>55</v>
      </c>
      <c r="N613" s="5" t="n">
        <v>2090.9</v>
      </c>
      <c r="O613" s="3" t="inlineStr">
        <is>
          <t>한솔동 최선호 D1구역 단독주택 새롬동학원가도보7분 BRT역도보12분</t>
        </is>
      </c>
      <c r="P613" s="6">
        <f>HYPERLINK("https://fin.land.naver.com/articles/2655176679", "매물Link")</f>
        <v/>
      </c>
      <c r="Q613" s="6">
        <f>HYPERLINK("https://map.naver.com/p/search/한솔동 903", "지도Link")</f>
        <v/>
      </c>
      <c r="R613" s="6">
        <f>HYPERLINK("http://www.eum.go.kr/web/ar/lu/luLandDet.jsp?pnu=3611010600109030000&amp;isNoScr=script&amp;mode=search", "토지이음")</f>
        <v/>
      </c>
      <c r="S613" s="3" t="inlineStr">
        <is>
          <t>세종스타</t>
        </is>
      </c>
      <c r="T613" s="4" t="n">
        <v>2</v>
      </c>
      <c r="U613" s="5" t="n">
        <v>427.1</v>
      </c>
      <c r="V613" s="4" t="n">
        <v>256.8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가로장방</t>
        </is>
      </c>
      <c r="AA613" s="3" t="inlineStr">
        <is>
          <t>소로각지</t>
        </is>
      </c>
    </row>
    <row r="614">
      <c r="A614" s="3" t="inlineStr">
        <is>
          <t>한솔동 903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2</t>
        </is>
      </c>
      <c r="E614" s="3" t="inlineStr">
        <is>
          <t>단독</t>
        </is>
      </c>
      <c r="F614" s="3" t="inlineStr">
        <is>
          <t>매매</t>
        </is>
      </c>
      <c r="G614" s="4" t="n">
        <v>115000</v>
      </c>
      <c r="H614" s="4" t="n">
        <v>0</v>
      </c>
      <c r="I614" s="4" t="n">
        <v>256</v>
      </c>
      <c r="J614" s="4" t="n">
        <v>77</v>
      </c>
      <c r="K614" s="5" t="n">
        <v>1493.5</v>
      </c>
      <c r="L614" s="4" t="n">
        <v>183</v>
      </c>
      <c r="M614" s="4" t="n">
        <v>55</v>
      </c>
      <c r="N614" s="5" t="n">
        <v>2090.9</v>
      </c>
      <c r="O614" s="3" t="inlineStr">
        <is>
          <t>전용55.6p, 층고 높은 신축 단독주택, 태양광, 주차2대</t>
        </is>
      </c>
      <c r="P614" s="6">
        <f>HYPERLINK("https://fin.land.naver.com/articles/2654919666", "매물Link")</f>
        <v/>
      </c>
      <c r="Q614" s="6">
        <f>HYPERLINK("https://map.naver.com/p/search/한솔동 903", "지도Link")</f>
        <v/>
      </c>
      <c r="R614" s="6">
        <f>HYPERLINK("http://www.eum.go.kr/web/ar/lu/luLandDet.jsp?pnu=3611010600109030000&amp;isNoScr=script&amp;mode=search", "토지이음")</f>
        <v/>
      </c>
      <c r="S614" s="3" t="inlineStr">
        <is>
          <t>명진</t>
        </is>
      </c>
      <c r="T614" s="4" t="n">
        <v>1</v>
      </c>
      <c r="U614" s="5" t="n">
        <v>427.1</v>
      </c>
      <c r="V614" s="4" t="n">
        <v>256.8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가로장방</t>
        </is>
      </c>
      <c r="AA614" s="3" t="inlineStr">
        <is>
          <t>소로각지</t>
        </is>
      </c>
    </row>
    <row r="615">
      <c r="A615" s="3" t="inlineStr">
        <is>
          <t>한솔동 903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2</t>
        </is>
      </c>
      <c r="E615" s="3" t="inlineStr">
        <is>
          <t>단독</t>
        </is>
      </c>
      <c r="F615" s="3" t="inlineStr">
        <is>
          <t>매매</t>
        </is>
      </c>
      <c r="G615" s="4" t="n">
        <v>115000</v>
      </c>
      <c r="H615" s="4" t="n">
        <v>0</v>
      </c>
      <c r="I615" s="4" t="n">
        <v>256</v>
      </c>
      <c r="J615" s="4" t="n">
        <v>77</v>
      </c>
      <c r="K615" s="5" t="n">
        <v>1493.5</v>
      </c>
      <c r="L615" s="4" t="n">
        <v>183</v>
      </c>
      <c r="M615" s="4" t="n">
        <v>55</v>
      </c>
      <c r="N615" s="5" t="n">
        <v>2090.9</v>
      </c>
      <c r="O615" s="3" t="inlineStr">
        <is>
          <t>신축 단독주택, 학원가 도보 가능, 태양광</t>
        </is>
      </c>
      <c r="P615" s="6">
        <f>HYPERLINK("https://fin.land.naver.com/articles/2653580243", "매물Link")</f>
        <v/>
      </c>
      <c r="Q615" s="6">
        <f>HYPERLINK("https://map.naver.com/p/search/한솔동 903", "지도Link")</f>
        <v/>
      </c>
      <c r="R615" s="6">
        <f>HYPERLINK("http://www.eum.go.kr/web/ar/lu/luLandDet.jsp?pnu=3611010600109030000&amp;isNoScr=script&amp;mode=search", "토지이음")</f>
        <v/>
      </c>
      <c r="S615" s="3" t="inlineStr">
        <is>
          <t>세종무지개</t>
        </is>
      </c>
      <c r="T615" s="4" t="n">
        <v>1</v>
      </c>
      <c r="U615" s="5" t="n">
        <v>427.1</v>
      </c>
      <c r="V615" s="4" t="n">
        <v>256.8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가로장방</t>
        </is>
      </c>
      <c r="AA615" s="3" t="inlineStr">
        <is>
          <t>소로각지</t>
        </is>
      </c>
    </row>
    <row r="616">
      <c r="A616" s="3" t="inlineStr">
        <is>
          <t>한솔동 964</t>
        </is>
      </c>
      <c r="B616" s="3" t="inlineStr">
        <is>
          <t>준주거지역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단독</t>
        </is>
      </c>
      <c r="F616" s="3" t="inlineStr">
        <is>
          <t>매매</t>
        </is>
      </c>
      <c r="G616" s="4" t="n">
        <v>135000</v>
      </c>
      <c r="H616" s="4" t="n">
        <v>0</v>
      </c>
      <c r="I616" s="4" t="n">
        <v>295</v>
      </c>
      <c r="J616" s="4" t="n">
        <v>89</v>
      </c>
      <c r="K616" s="5" t="n">
        <v>1516.9</v>
      </c>
      <c r="L616" s="4" t="n">
        <v>181</v>
      </c>
      <c r="M616" s="4" t="n">
        <v>55</v>
      </c>
      <c r="N616" s="5" t="n">
        <v>2454.5</v>
      </c>
      <c r="O616" s="3" t="inlineStr">
        <is>
          <t>한솔동 단독주택 햇빛 잘들고 조용한집</t>
        </is>
      </c>
      <c r="P616" s="6">
        <f>HYPERLINK("https://fin.land.naver.com/articles/2651495321", "매물Link")</f>
        <v/>
      </c>
      <c r="Q616" s="6">
        <f>HYPERLINK("https://map.naver.com/p/search/한솔동 964", "지도Link")</f>
        <v/>
      </c>
      <c r="R616" s="6">
        <f>HYPERLINK("http://www.eum.go.kr/web/ar/lu/luLandDet.jsp?pnu=3611010600109640000&amp;isNoScr=script&amp;mode=search", "토지이음")</f>
        <v/>
      </c>
      <c r="S616" s="3" t="inlineStr">
        <is>
          <t>세종믿음</t>
        </is>
      </c>
      <c r="T616" s="4" t="n">
        <v>1</v>
      </c>
      <c r="U616" s="5" t="n">
        <v>985.8</v>
      </c>
      <c r="V616" s="4" t="n">
        <v>2623.4</v>
      </c>
      <c r="W616" s="3" t="inlineStr">
        <is>
          <t>지정되지않음</t>
        </is>
      </c>
      <c r="X616" s="3" t="inlineStr">
        <is>
          <t>업무용</t>
        </is>
      </c>
      <c r="Y616" s="3" t="inlineStr">
        <is>
          <t>평지</t>
        </is>
      </c>
      <c r="Z616" s="3" t="inlineStr">
        <is>
          <t>부정형</t>
        </is>
      </c>
      <c r="AA616" s="3" t="inlineStr">
        <is>
          <t>중로한면</t>
        </is>
      </c>
    </row>
    <row r="617">
      <c r="A617" s="3" t="inlineStr">
        <is>
          <t>한솔동 996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1</t>
        </is>
      </c>
      <c r="E617" s="3" t="inlineStr">
        <is>
          <t>단독</t>
        </is>
      </c>
      <c r="F617" s="3" t="inlineStr">
        <is>
          <t>매매</t>
        </is>
      </c>
      <c r="G617" s="4" t="n">
        <v>120000</v>
      </c>
      <c r="H617" s="4" t="n">
        <v>0</v>
      </c>
      <c r="I617" s="4" t="n">
        <v>396</v>
      </c>
      <c r="J617" s="4" t="n">
        <v>120</v>
      </c>
      <c r="K617" s="5" t="n">
        <v>1000</v>
      </c>
      <c r="L617" s="4" t="n">
        <v>154</v>
      </c>
      <c r="M617" s="4" t="n">
        <v>47</v>
      </c>
      <c r="N617" s="5" t="n">
        <v>2553.2</v>
      </c>
      <c r="O617" s="3" t="inlineStr">
        <is>
          <t>nan</t>
        </is>
      </c>
      <c r="P617" s="6">
        <f>HYPERLINK("https://fin.land.naver.com/articles/2652015648", "매물Link")</f>
        <v/>
      </c>
      <c r="Q617" s="6">
        <f>HYPERLINK("https://map.naver.com/p/search/한솔동 996", "지도Link")</f>
        <v/>
      </c>
      <c r="R617" s="6">
        <f>HYPERLINK("http://www.eum.go.kr/web/ar/lu/luLandDet.jsp?pnu=3611010600109960000&amp;isNoScr=script&amp;mode=search", "토지이음")</f>
        <v/>
      </c>
      <c r="S617" s="3" t="inlineStr">
        <is>
          <t>그래그</t>
        </is>
      </c>
      <c r="T617" s="4" t="n">
        <v>1</v>
      </c>
      <c r="U617" s="5" t="n">
        <v>296.8</v>
      </c>
      <c r="V617" s="4" t="n">
        <v>396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평지</t>
        </is>
      </c>
      <c r="Z617" s="3" t="inlineStr">
        <is>
          <t>사다리형</t>
        </is>
      </c>
      <c r="AA617" s="3" t="inlineStr">
        <is>
          <t>소로한면</t>
        </is>
      </c>
    </row>
    <row r="618">
      <c r="A618" s="3" t="inlineStr">
        <is>
          <t>한솔동 997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단독</t>
        </is>
      </c>
      <c r="F618" s="3" t="inlineStr">
        <is>
          <t>매매</t>
        </is>
      </c>
      <c r="G618" s="4" t="n">
        <v>130000</v>
      </c>
      <c r="H618" s="4" t="n">
        <v>0</v>
      </c>
      <c r="I618" s="4" t="n">
        <v>393</v>
      </c>
      <c r="J618" s="4" t="n">
        <v>119</v>
      </c>
      <c r="K618" s="5" t="n">
        <v>1092.4</v>
      </c>
      <c r="L618" s="4" t="n">
        <v>196</v>
      </c>
      <c r="M618" s="4" t="n">
        <v>59</v>
      </c>
      <c r="N618" s="5" t="n">
        <v>2203.4</v>
      </c>
      <c r="O618" s="3" t="inlineStr">
        <is>
          <t>급매 1년차 최신축 현대식 세련된 내부인테리어 방3개 욕실3개</t>
        </is>
      </c>
      <c r="P618" s="6">
        <f>HYPERLINK("https://fin.land.naver.com/articles/2652943099", "매물Link")</f>
        <v/>
      </c>
      <c r="Q618" s="6">
        <f>HYPERLINK("https://map.naver.com/p/search/한솔동 997", "지도Link")</f>
        <v/>
      </c>
      <c r="R618" s="6">
        <f>HYPERLINK("http://www.eum.go.kr/web/ar/lu/luLandDet.jsp?pnu=3611010600109970000&amp;isNoScr=script&amp;mode=search", "토지이음")</f>
        <v/>
      </c>
      <c r="S618" s="3" t="inlineStr">
        <is>
          <t>세종스타</t>
        </is>
      </c>
      <c r="T618" s="4" t="n">
        <v>1</v>
      </c>
      <c r="U618" s="5" t="n">
        <v>302.8</v>
      </c>
      <c r="V618" s="4" t="n">
        <v>393</v>
      </c>
      <c r="W618" s="3" t="inlineStr">
        <is>
          <t>지정되지않음</t>
        </is>
      </c>
      <c r="X618" s="3" t="inlineStr">
        <is>
          <t>주거나지</t>
        </is>
      </c>
      <c r="Y618" s="3" t="inlineStr">
        <is>
          <t>평지</t>
        </is>
      </c>
      <c r="Z618" s="3" t="inlineStr">
        <is>
          <t>정방형</t>
        </is>
      </c>
      <c r="AA618" s="3" t="inlineStr">
        <is>
          <t>소로한면</t>
        </is>
      </c>
    </row>
    <row r="619">
      <c r="A619" s="3" t="inlineStr">
        <is>
          <t>해밀동 665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2</t>
        </is>
      </c>
      <c r="E619" s="3" t="inlineStr">
        <is>
          <t>전원주택</t>
        </is>
      </c>
      <c r="F619" s="3" t="inlineStr">
        <is>
          <t>월세</t>
        </is>
      </c>
      <c r="G619" s="4" t="n">
        <v>6000</v>
      </c>
      <c r="H619" s="4" t="n">
        <v>160</v>
      </c>
      <c r="I619" s="4" t="n">
        <v>34</v>
      </c>
      <c r="J619" s="4" t="n">
        <v>10</v>
      </c>
      <c r="K619" s="5" t="n">
        <v>16</v>
      </c>
      <c r="L619" s="4" t="n">
        <v>933</v>
      </c>
      <c r="M619" s="4" t="n">
        <v>282</v>
      </c>
      <c r="N619" s="5" t="n">
        <v>0.6</v>
      </c>
      <c r="O619" s="3" t="inlineStr">
        <is>
          <t>해밀동 라포르테 단독주택 월세</t>
        </is>
      </c>
      <c r="P619" s="6">
        <f>HYPERLINK("https://fin.land.naver.com/articles/2654687962", "매물Link")</f>
        <v/>
      </c>
      <c r="Q619" s="6">
        <f>HYPERLINK("https://map.naver.com/p/search/해밀동 665", "지도Link")</f>
        <v/>
      </c>
      <c r="R619" s="6">
        <f>HYPERLINK("http://www.eum.go.kr/web/ar/lu/luLandDet.jsp?pnu=3611011600106650000&amp;isNoScr=script&amp;mode=search", "토지이음")</f>
        <v/>
      </c>
      <c r="S619" s="3" t="inlineStr">
        <is>
          <t>태양</t>
        </is>
      </c>
      <c r="T619" s="4" t="n">
        <v>1</v>
      </c>
      <c r="U619" s="5" t="n">
        <v>215.1</v>
      </c>
      <c r="V619" s="4" t="n">
        <v>34519</v>
      </c>
      <c r="W619" s="3" t="inlineStr">
        <is>
          <t>지정되지않음</t>
        </is>
      </c>
      <c r="X619" s="3" t="inlineStr">
        <is>
          <t>연립</t>
        </is>
      </c>
      <c r="Y619" s="3" t="inlineStr">
        <is>
          <t>평지</t>
        </is>
      </c>
      <c r="Z619" s="3" t="inlineStr">
        <is>
          <t>부정형</t>
        </is>
      </c>
      <c r="AA619" s="3" t="inlineStr">
        <is>
          <t>광대소각</t>
        </is>
      </c>
    </row>
    <row r="620">
      <c r="A620" s="3" t="inlineStr">
        <is>
          <t>해밀동 674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단독</t>
        </is>
      </c>
      <c r="F620" s="3" t="inlineStr">
        <is>
          <t>월세</t>
        </is>
      </c>
      <c r="G620" s="4" t="n">
        <v>50000</v>
      </c>
      <c r="H620" s="4" t="n">
        <v>120</v>
      </c>
      <c r="I620" s="4" t="n">
        <v>241</v>
      </c>
      <c r="J620" s="4" t="n">
        <v>73</v>
      </c>
      <c r="K620" s="5" t="n">
        <v>1.6</v>
      </c>
      <c r="L620" s="4" t="n">
        <v>232</v>
      </c>
      <c r="M620" s="4" t="n">
        <v>70</v>
      </c>
      <c r="N620" s="5" t="n">
        <v>1.7</v>
      </c>
      <c r="O620" s="3" t="inlineStr">
        <is>
          <t>리즈데이즈 12월말부터 입주가능 보증금월세 탄력조율</t>
        </is>
      </c>
      <c r="P620" s="6">
        <f>HYPERLINK("https://fin.land.naver.com/articles/2651299492", "매물Link")</f>
        <v/>
      </c>
      <c r="Q620" s="6">
        <f>HYPERLINK("https://map.naver.com/p/search/해밀동 674", "지도Link")</f>
        <v/>
      </c>
      <c r="R620" s="6">
        <f>HYPERLINK("http://www.eum.go.kr/web/ar/lu/luLandDet.jsp?pnu=3611011600106740000&amp;isNoScr=script&amp;mode=search", "토지이음")</f>
        <v/>
      </c>
      <c r="S620" s="3" t="inlineStr">
        <is>
          <t>세종스타</t>
        </is>
      </c>
      <c r="T620" s="4" t="n">
        <v>1</v>
      </c>
      <c r="U620" s="5" t="n">
        <v>243.4</v>
      </c>
      <c r="V620" s="4" t="n">
        <v>9076.4</v>
      </c>
      <c r="W620" s="3" t="inlineStr">
        <is>
          <t>지정되지않음</t>
        </is>
      </c>
      <c r="X620" s="3" t="inlineStr">
        <is>
          <t>주거나지</t>
        </is>
      </c>
      <c r="Y620" s="3" t="inlineStr">
        <is>
          <t>평지</t>
        </is>
      </c>
      <c r="Z620" s="3" t="inlineStr">
        <is>
          <t>사다리형</t>
        </is>
      </c>
      <c r="AA620" s="3" t="inlineStr">
        <is>
          <t>중로각지</t>
        </is>
      </c>
    </row>
    <row r="621">
      <c r="A621" s="3" t="inlineStr">
        <is>
          <t>해밀동 692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단독</t>
        </is>
      </c>
      <c r="F621" s="3" t="inlineStr">
        <is>
          <t>전세</t>
        </is>
      </c>
      <c r="G621" s="4" t="n">
        <v>100000</v>
      </c>
      <c r="H621" s="4" t="n">
        <v>0</v>
      </c>
      <c r="I621" s="4" t="n">
        <v>257</v>
      </c>
      <c r="J621" s="4" t="n">
        <v>78</v>
      </c>
      <c r="K621" s="5" t="n">
        <v>1282.1</v>
      </c>
      <c r="L621" s="4" t="n">
        <v>219</v>
      </c>
      <c r="M621" s="4" t="n">
        <v>66</v>
      </c>
      <c r="N621" s="5" t="n">
        <v>1515.2</v>
      </c>
      <c r="O621" s="3" t="inlineStr">
        <is>
          <t>융무귀한전세매물, 방4, 화장실3</t>
        </is>
      </c>
      <c r="P621" s="6">
        <f>HYPERLINK("https://fin.land.naver.com/articles/2652916996", "매물Link")</f>
        <v/>
      </c>
      <c r="Q621" s="6">
        <f>HYPERLINK("https://map.naver.com/p/search/해밀동 692", "지도Link")</f>
        <v/>
      </c>
      <c r="R621" s="6">
        <f>HYPERLINK("http://www.eum.go.kr/web/ar/lu/luLandDet.jsp?pnu=3611011600106920000&amp;isNoScr=script&amp;mode=search", "토지이음")</f>
        <v/>
      </c>
      <c r="S621" s="3" t="inlineStr">
        <is>
          <t>세종국제</t>
        </is>
      </c>
      <c r="T621" s="4" t="n">
        <v>1</v>
      </c>
      <c r="U621" s="5" t="n">
        <v>243.4</v>
      </c>
      <c r="V621" s="4" t="n">
        <v>6242.7</v>
      </c>
      <c r="W621" s="3" t="inlineStr">
        <is>
          <t>지정되지않음</t>
        </is>
      </c>
      <c r="X621" s="3" t="inlineStr">
        <is>
          <t>주거나지</t>
        </is>
      </c>
      <c r="Y621" s="3" t="inlineStr">
        <is>
          <t>평지</t>
        </is>
      </c>
      <c r="Z621" s="3" t="inlineStr">
        <is>
          <t>사다리형</t>
        </is>
      </c>
      <c r="AA621" s="3" t="inlineStr">
        <is>
          <t>중로각지</t>
        </is>
      </c>
    </row>
    <row r="622">
      <c r="A622" s="3" t="inlineStr">
        <is>
          <t>해밀동 692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2</t>
        </is>
      </c>
      <c r="E622" s="3" t="inlineStr">
        <is>
          <t>단독</t>
        </is>
      </c>
      <c r="F622" s="3" t="inlineStr">
        <is>
          <t>전세</t>
        </is>
      </c>
      <c r="G622" s="4" t="n">
        <v>100000</v>
      </c>
      <c r="H622" s="4" t="n">
        <v>0</v>
      </c>
      <c r="I622" s="4" t="n">
        <v>558</v>
      </c>
      <c r="J622" s="4" t="n">
        <v>169</v>
      </c>
      <c r="K622" s="5" t="n">
        <v>591.7</v>
      </c>
      <c r="L622" s="4" t="n">
        <v>222</v>
      </c>
      <c r="M622" s="4" t="n">
        <v>67</v>
      </c>
      <c r="N622" s="5" t="n">
        <v>1492.5</v>
      </c>
      <c r="O622" s="3" t="inlineStr">
        <is>
          <t>해밀동 고급 타운하우스 시그니매종 전세 010 3819 3805</t>
        </is>
      </c>
      <c r="P622" s="6">
        <f>HYPERLINK("https://fin.land.naver.com/articles/2654473736", "매물Link")</f>
        <v/>
      </c>
      <c r="Q622" s="6">
        <f>HYPERLINK("https://map.naver.com/p/search/해밀동 692", "지도Link")</f>
        <v/>
      </c>
      <c r="R622" s="6">
        <f>HYPERLINK("http://www.eum.go.kr/web/ar/lu/luLandDet.jsp?pnu=3611011600106920000&amp;isNoScr=script&amp;mode=search", "토지이음")</f>
        <v/>
      </c>
      <c r="S622" s="3" t="inlineStr">
        <is>
          <t>국제</t>
        </is>
      </c>
      <c r="T622" s="4" t="n">
        <v>1</v>
      </c>
      <c r="U622" s="5" t="n">
        <v>243.4</v>
      </c>
      <c r="V622" s="4" t="n">
        <v>6242.7</v>
      </c>
      <c r="W622" s="3" t="inlineStr">
        <is>
          <t>지정되지않음</t>
        </is>
      </c>
      <c r="X622" s="3" t="inlineStr">
        <is>
          <t>주거나지</t>
        </is>
      </c>
      <c r="Y622" s="3" t="inlineStr">
        <is>
          <t>평지</t>
        </is>
      </c>
      <c r="Z622" s="3" t="inlineStr">
        <is>
          <t>사다리형</t>
        </is>
      </c>
      <c r="AA622" s="3" t="inlineStr">
        <is>
          <t>중로각지</t>
        </is>
      </c>
    </row>
    <row r="623">
      <c r="A623" s="3" t="inlineStr">
        <is>
          <t>해밀동 692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단독</t>
        </is>
      </c>
      <c r="F623" s="3" t="inlineStr">
        <is>
          <t>전세</t>
        </is>
      </c>
      <c r="G623" s="4" t="n">
        <v>90000</v>
      </c>
      <c r="H623" s="4" t="n">
        <v>0</v>
      </c>
      <c r="I623" s="4" t="n">
        <v>231</v>
      </c>
      <c r="J623" s="4" t="n">
        <v>70</v>
      </c>
      <c r="K623" s="5" t="n">
        <v>1285.7</v>
      </c>
      <c r="L623" s="4" t="n">
        <v>219</v>
      </c>
      <c r="M623" s="4" t="n">
        <v>66</v>
      </c>
      <c r="N623" s="5" t="n">
        <v>1363.6</v>
      </c>
      <c r="O623" s="3" t="inlineStr">
        <is>
          <t>nan</t>
        </is>
      </c>
      <c r="P623" s="6">
        <f>HYPERLINK("https://fin.land.naver.com/articles/2650183763", "매물Link")</f>
        <v/>
      </c>
      <c r="Q623" s="6">
        <f>HYPERLINK("https://map.naver.com/p/search/해밀동 692", "지도Link")</f>
        <v/>
      </c>
      <c r="R623" s="6">
        <f>HYPERLINK("http://www.eum.go.kr/web/ar/lu/luLandDet.jsp?pnu=3611011600106920000&amp;isNoScr=script&amp;mode=search", "토지이음")</f>
        <v/>
      </c>
      <c r="S623" s="3" t="inlineStr">
        <is>
          <t>세종스타</t>
        </is>
      </c>
      <c r="T623" s="4" t="n">
        <v>1</v>
      </c>
      <c r="U623" s="5" t="n">
        <v>243.4</v>
      </c>
      <c r="V623" s="4" t="n">
        <v>6242.7</v>
      </c>
      <c r="W623" s="3" t="inlineStr">
        <is>
          <t>지정되지않음</t>
        </is>
      </c>
      <c r="X623" s="3" t="inlineStr">
        <is>
          <t>주거나지</t>
        </is>
      </c>
      <c r="Y623" s="3" t="inlineStr">
        <is>
          <t>평지</t>
        </is>
      </c>
      <c r="Z623" s="3" t="inlineStr">
        <is>
          <t>사다리형</t>
        </is>
      </c>
      <c r="AA623" s="3" t="inlineStr">
        <is>
          <t>중로각지</t>
        </is>
      </c>
    </row>
    <row r="624">
      <c r="A624" s="3" t="inlineStr">
        <is>
          <t>해밀동 692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전세</t>
        </is>
      </c>
      <c r="G624" s="4" t="n">
        <v>100000</v>
      </c>
      <c r="H624" s="4" t="n">
        <v>0</v>
      </c>
      <c r="I624" s="4" t="n">
        <v>0</v>
      </c>
      <c r="J624" s="4" t="n">
        <v>0</v>
      </c>
      <c r="K624" s="5" t="n">
        <v>0</v>
      </c>
      <c r="L624" s="4" t="n">
        <v>219</v>
      </c>
      <c r="M624" s="4" t="n">
        <v>66</v>
      </c>
      <c r="N624" s="5" t="n">
        <v>1515.2</v>
      </c>
      <c r="O624" s="3" t="inlineStr">
        <is>
          <t>복층형 누다락써비스공간 방4 화장실3 내집마당 테라스2 융무전세</t>
        </is>
      </c>
      <c r="P624" s="6">
        <f>HYPERLINK("https://fin.land.naver.com/articles/2653793299", "매물Link")</f>
        <v/>
      </c>
      <c r="Q624" s="6">
        <f>HYPERLINK("https://map.naver.com/p/search/해밀동 692", "지도Link")</f>
        <v/>
      </c>
      <c r="R624" s="6">
        <f>HYPERLINK("http://www.eum.go.kr/web/ar/lu/luLandDet.jsp?pnu=3611011600106920000&amp;isNoScr=script&amp;mode=search", "토지이음")</f>
        <v/>
      </c>
      <c r="S624" s="3" t="inlineStr">
        <is>
          <t>홍기표</t>
        </is>
      </c>
      <c r="T624" s="4" t="n">
        <v>1</v>
      </c>
      <c r="U624" s="5" t="n">
        <v>243.4</v>
      </c>
      <c r="V624" s="4" t="n">
        <v>6242.7</v>
      </c>
      <c r="W624" s="3" t="inlineStr">
        <is>
          <t>지정되지않음</t>
        </is>
      </c>
      <c r="X624" s="3" t="inlineStr">
        <is>
          <t>주거나지</t>
        </is>
      </c>
      <c r="Y624" s="3" t="inlineStr">
        <is>
          <t>평지</t>
        </is>
      </c>
      <c r="Z624" s="3" t="inlineStr">
        <is>
          <t>사다리형</t>
        </is>
      </c>
      <c r="AA624" s="3" t="inlineStr">
        <is>
          <t>중로각지</t>
        </is>
      </c>
    </row>
    <row r="625">
      <c r="A625" s="3" t="inlineStr">
        <is>
          <t>해밀동 692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전세</t>
        </is>
      </c>
      <c r="G625" s="4" t="n">
        <v>100000</v>
      </c>
      <c r="H625" s="4" t="n">
        <v>0</v>
      </c>
      <c r="I625" s="4" t="n">
        <v>118</v>
      </c>
      <c r="J625" s="4" t="n">
        <v>36</v>
      </c>
      <c r="K625" s="5" t="n">
        <v>2777.8</v>
      </c>
      <c r="L625" s="4" t="n">
        <v>106</v>
      </c>
      <c r="M625" s="4" t="n">
        <v>32</v>
      </c>
      <c r="N625" s="5" t="n">
        <v>3125</v>
      </c>
      <c r="O625" s="3" t="inlineStr">
        <is>
          <t>해밀동 고급 타운하우스 시그니매종 전세 010 3819 3805</t>
        </is>
      </c>
      <c r="P625" s="6">
        <f>HYPERLINK("https://fin.land.naver.com/articles/2653180854", "매물Link")</f>
        <v/>
      </c>
      <c r="Q625" s="6">
        <f>HYPERLINK("https://map.naver.com/p/search/해밀동 692", "지도Link")</f>
        <v/>
      </c>
      <c r="R625" s="6">
        <f>HYPERLINK("http://www.eum.go.kr/web/ar/lu/luLandDet.jsp?pnu=3611011600106920000&amp;isNoScr=script&amp;mode=search", "토지이음")</f>
        <v/>
      </c>
      <c r="S625" s="3" t="inlineStr">
        <is>
          <t>국제</t>
        </is>
      </c>
      <c r="T625" s="4" t="n">
        <v>1</v>
      </c>
      <c r="U625" s="5" t="n">
        <v>243.4</v>
      </c>
      <c r="V625" s="4" t="n">
        <v>6242.7</v>
      </c>
      <c r="W625" s="3" t="inlineStr">
        <is>
          <t>지정되지않음</t>
        </is>
      </c>
      <c r="X625" s="3" t="inlineStr">
        <is>
          <t>주거나지</t>
        </is>
      </c>
      <c r="Y625" s="3" t="inlineStr">
        <is>
          <t>평지</t>
        </is>
      </c>
      <c r="Z625" s="3" t="inlineStr">
        <is>
          <t>사다리형</t>
        </is>
      </c>
      <c r="AA625" s="3" t="inlineStr">
        <is>
          <t>중로각지</t>
        </is>
      </c>
    </row>
    <row r="626">
      <c r="A626" s="3" t="inlineStr">
        <is>
          <t>해밀동 694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1</t>
        </is>
      </c>
      <c r="E626" s="3" t="inlineStr">
        <is>
          <t>단독</t>
        </is>
      </c>
      <c r="F626" s="3" t="inlineStr">
        <is>
          <t>전세</t>
        </is>
      </c>
      <c r="G626" s="4" t="n">
        <v>65000</v>
      </c>
      <c r="H626" s="4" t="n">
        <v>0</v>
      </c>
      <c r="I626" s="4" t="n">
        <v>0</v>
      </c>
      <c r="J626" s="4" t="n">
        <v>0</v>
      </c>
      <c r="K626" s="5" t="n">
        <v>0</v>
      </c>
      <c r="L626" s="4" t="n">
        <v>173</v>
      </c>
      <c r="M626" s="4" t="n">
        <v>52</v>
      </c>
      <c r="N626" s="5" t="n">
        <v>1250</v>
      </c>
      <c r="O626" s="3" t="inlineStr">
        <is>
          <t>신축 즉시입주가능 방4개 욕실3개 태양광시공</t>
        </is>
      </c>
      <c r="P626" s="6">
        <f>HYPERLINK("https://fin.land.naver.com/articles/2652918023", "매물Link")</f>
        <v/>
      </c>
      <c r="Q626" s="6">
        <f>HYPERLINK("https://map.naver.com/p/search/해밀동 694", "지도Link")</f>
        <v/>
      </c>
      <c r="R626" s="6">
        <f>HYPERLINK("http://www.eum.go.kr/web/ar/lu/luLandDet.jsp?pnu=3611011600106940000&amp;isNoScr=script&amp;mode=search", "토지이음")</f>
        <v/>
      </c>
      <c r="S626" s="3" t="inlineStr">
        <is>
          <t>세종스타</t>
        </is>
      </c>
      <c r="T626" s="4" t="n">
        <v>2</v>
      </c>
      <c r="U626" s="5" t="n">
        <v>227.3</v>
      </c>
      <c r="V626" s="4" t="n">
        <v>7358.1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부정형</t>
        </is>
      </c>
      <c r="AA626" s="3" t="inlineStr">
        <is>
          <t>중로한면</t>
        </is>
      </c>
    </row>
    <row r="627">
      <c r="A627" s="3" t="inlineStr">
        <is>
          <t>해밀동 701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1</t>
        </is>
      </c>
      <c r="E627" s="3" t="inlineStr">
        <is>
          <t>단독</t>
        </is>
      </c>
      <c r="F627" s="3" t="inlineStr">
        <is>
          <t>월세</t>
        </is>
      </c>
      <c r="G627" s="4" t="n">
        <v>5000</v>
      </c>
      <c r="H627" s="4" t="n">
        <v>250</v>
      </c>
      <c r="I627" s="4" t="n">
        <v>0</v>
      </c>
      <c r="J627" s="4" t="n">
        <v>0</v>
      </c>
      <c r="K627" s="5" t="n">
        <v>0</v>
      </c>
      <c r="L627" s="4" t="n">
        <v>167</v>
      </c>
      <c r="M627" s="4" t="n">
        <v>51</v>
      </c>
      <c r="N627" s="5" t="n">
        <v>4.9</v>
      </c>
      <c r="O627" s="3" t="inlineStr">
        <is>
          <t>방3, 가족실, 거실, 테라스, 에어컨6대, 조용한 복층 타운하우스</t>
        </is>
      </c>
      <c r="P627" s="6">
        <f>HYPERLINK("https://fin.land.naver.com/articles/2650740639", "매물Link")</f>
        <v/>
      </c>
      <c r="Q627" s="6">
        <f>HYPERLINK("https://map.naver.com/p/search/해밀동 701", "지도Link")</f>
        <v/>
      </c>
      <c r="R627" s="6">
        <f>HYPERLINK("http://www.eum.go.kr/web/ar/lu/luLandDet.jsp?pnu=3611011600107010000&amp;isNoScr=script&amp;mode=search", "토지이음")</f>
        <v/>
      </c>
      <c r="S627" s="3" t="inlineStr">
        <is>
          <t>다정한길</t>
        </is>
      </c>
      <c r="T627" s="4" t="n">
        <v>1</v>
      </c>
      <c r="U627" s="5" t="n">
        <v>219.8</v>
      </c>
      <c r="V627" s="4" t="n">
        <v>3265.3</v>
      </c>
      <c r="W627" s="3" t="inlineStr">
        <is>
          <t>지정되지않음</t>
        </is>
      </c>
      <c r="X627" s="3" t="inlineStr">
        <is>
          <t>주거나지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소로한면</t>
        </is>
      </c>
    </row>
  </sheetData>
  <autoFilter ref="A1:AA62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HYPERLINK("https://fin.land.naver.com/articles/2649506344",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HYPERLINK("https://fin.land.naver.com/articles/2653824344",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청주 도심과 오송역에서 가까운 여유있는 삶이 있는 주택지 궁현 연꽃마을</t>
        </is>
      </c>
      <c r="L17" s="6">
        <f>HYPERLINK("https://fin.land.naver.com/articles/2654364939",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OK파라곤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HYPERLINK("https://fin.land.naver.com/articles/2655060016",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HYPERLINK("https://fin.land.naver.com/articles/2655032783",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526000</v>
      </c>
      <c r="G22" s="4" t="n">
        <v>13382</v>
      </c>
      <c r="H22" s="4" t="n">
        <v>4048</v>
      </c>
      <c r="I22" s="5" t="n">
        <v>129.9</v>
      </c>
      <c r="J22" s="5" t="n">
        <v>6.3</v>
      </c>
      <c r="K22" s="3" t="inlineStr">
        <is>
          <t>nan</t>
        </is>
      </c>
      <c r="L22" s="6">
        <f>HYPERLINK("https://fin.land.naver.com/articles/2652460339",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74000</v>
      </c>
      <c r="G26" s="4" t="n">
        <v>1203</v>
      </c>
      <c r="H26" s="4" t="n">
        <v>364</v>
      </c>
      <c r="I26" s="5" t="n">
        <v>203.3</v>
      </c>
      <c r="J26" s="5" t="n">
        <v>53</v>
      </c>
      <c r="K26" s="3" t="inlineStr">
        <is>
          <t>해당매물 포함 연접 3필지 포함 매매가입니다</t>
        </is>
      </c>
      <c r="L26" s="6">
        <f>HYPERLINK("https://fin.land.naver.com/articles/2652788006",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산울파트너스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74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636</v>
      </c>
      <c r="H32" s="4" t="n">
        <v>192</v>
      </c>
      <c r="I32" s="5" t="n">
        <v>104.2</v>
      </c>
      <c r="J32" s="5" t="n">
        <v>25.4</v>
      </c>
      <c r="K32" s="3" t="inlineStr">
        <is>
          <t>산업단지 바로 접한 토지</t>
        </is>
      </c>
      <c r="L32" s="6">
        <f>HYPERLINK("https://fin.land.naver.com/articles/2654016902", "매물Link")</f>
        <v/>
      </c>
      <c r="M32" s="6">
        <f>HYPERLINK("https://map.naver.com/p/search/강내면 다락리 74", "지도Link")</f>
        <v/>
      </c>
      <c r="N32" s="6">
        <f>HYPERLINK("http://www.eum.go.kr/web/ar/lu/luLandDet.jsp?pnu=4311331026100740000&amp;isNoScr=script&amp;mode=search", "토지이음")</f>
        <v/>
      </c>
      <c r="O32" s="3" t="inlineStr">
        <is>
          <t>KB세종</t>
        </is>
      </c>
      <c r="P32" s="4" t="n">
        <v>1</v>
      </c>
      <c r="Q32" s="4" t="n">
        <v>636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완경사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HYPERLINK("https://fin.land.naver.com/articles/2654963141",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세종오송 접근 좋은 도로지분 포함 자연취락형 주택부지</t>
        </is>
      </c>
      <c r="L34" s="6">
        <f>HYPERLINK("https://fin.land.naver.com/articles/2650902295",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세종소담황금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4-5</t>
        </is>
      </c>
      <c r="B35" s="3" t="inlineStr">
        <is>
          <t>보전관리지역</t>
        </is>
      </c>
      <c r="C35" s="3" t="inlineStr">
        <is>
          <t>과수원</t>
        </is>
      </c>
      <c r="D35" s="3" t="inlineStr">
        <is>
          <t>과수원</t>
        </is>
      </c>
      <c r="E35" s="3" t="inlineStr">
        <is>
          <t>매매</t>
        </is>
      </c>
      <c r="F35" s="4" t="n">
        <v>20328</v>
      </c>
      <c r="G35" s="4" t="n">
        <v>1008</v>
      </c>
      <c r="H35" s="4" t="n">
        <v>305</v>
      </c>
      <c r="I35" s="5" t="n">
        <v>66.59999999999999</v>
      </c>
      <c r="J35" s="5" t="n">
        <v>10.2</v>
      </c>
      <c r="K35" s="3" t="inlineStr">
        <is>
          <t>세종시  5생활권과 4km거리의 체류형쉼터용 토지</t>
        </is>
      </c>
      <c r="L35" s="6">
        <f>HYPERLINK("https://fin.land.naver.com/articles/2649586030", "매물Link")</f>
        <v/>
      </c>
      <c r="M35" s="6">
        <f>HYPERLINK("https://map.naver.com/p/search/강내면 당곡리 4-5", "지도Link")</f>
        <v/>
      </c>
      <c r="N35" s="6">
        <f>HYPERLINK("http://www.eum.go.kr/web/ar/lu/luLandDet.jsp?pnu=4311331024100040005&amp;isNoScr=script&amp;mode=search", "토지이음")</f>
        <v/>
      </c>
      <c r="O35" s="3" t="inlineStr">
        <is>
          <t>천억사사무소</t>
        </is>
      </c>
      <c r="P35" s="4" t="n">
        <v>1</v>
      </c>
      <c r="Q35" s="4" t="n">
        <v>1008</v>
      </c>
      <c r="R35" s="3" t="inlineStr">
        <is>
          <t>지정되지않음</t>
        </is>
      </c>
      <c r="S35" s="3" t="inlineStr">
        <is>
          <t>과수원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4-8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61442</v>
      </c>
      <c r="G36" s="4" t="n">
        <v>3276</v>
      </c>
      <c r="H36" s="4" t="n">
        <v>991</v>
      </c>
      <c r="I36" s="5" t="n">
        <v>62</v>
      </c>
      <c r="J36" s="5" t="n">
        <v>10.7</v>
      </c>
      <c r="K36" s="3" t="inlineStr">
        <is>
          <t>도로접한 보전관리지역 지대 높은 조망권뷰 최상,투자가치 상승 기대 토지</t>
        </is>
      </c>
      <c r="L36" s="6">
        <f>HYPERLINK("https://fin.land.naver.com/articles/2654738010", "매물Link")</f>
        <v/>
      </c>
      <c r="M36" s="6">
        <f>HYPERLINK("https://map.naver.com/p/search/강내면 당곡리 4-8", "지도Link")</f>
        <v/>
      </c>
      <c r="N36" s="6">
        <f>HYPERLINK("http://www.eum.go.kr/web/ar/lu/luLandDet.jsp?pnu=4311331024100040008&amp;isNoScr=script&amp;mode=search", "토지이음")</f>
        <v/>
      </c>
      <c r="O36" s="3" t="inlineStr">
        <is>
          <t>고운맘</t>
        </is>
      </c>
      <c r="P36" s="4" t="n">
        <v>1</v>
      </c>
      <c r="Q36" s="4" t="n">
        <v>2899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4-9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14520</v>
      </c>
      <c r="G37" s="4" t="n">
        <v>800</v>
      </c>
      <c r="H37" s="4" t="n">
        <v>242</v>
      </c>
      <c r="I37" s="5" t="n">
        <v>60</v>
      </c>
      <c r="J37" s="5" t="n">
        <v>10.2</v>
      </c>
      <c r="K37" s="3" t="inlineStr">
        <is>
          <t>뷰좋음,남향,건축가능한토지,체류형쉼터가능,주말농장.6미터도로개설확정</t>
        </is>
      </c>
      <c r="L37" s="6">
        <f>HYPERLINK("https://fin.land.naver.com/articles/2653426390", "매물Link")</f>
        <v/>
      </c>
      <c r="M37" s="6">
        <f>HYPERLINK("https://map.naver.com/p/search/강내면 당곡리 4-9", "지도Link")</f>
        <v/>
      </c>
      <c r="N37" s="6">
        <f>HYPERLINK("http://www.eum.go.kr/web/ar/lu/luLandDet.jsp?pnu=4311331024100040009&amp;isNoScr=script&amp;mode=search", "토지이음")</f>
        <v/>
      </c>
      <c r="O37" s="3" t="inlineStr">
        <is>
          <t>담뜰</t>
        </is>
      </c>
      <c r="P37" s="4" t="n">
        <v>1</v>
      </c>
      <c r="Q37" s="4" t="n">
        <v>708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48-1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9000</v>
      </c>
      <c r="G38" s="4" t="n">
        <v>871</v>
      </c>
      <c r="H38" s="4" t="n">
        <v>263</v>
      </c>
      <c r="I38" s="5" t="n">
        <v>34.2</v>
      </c>
      <c r="J38" s="5" t="n">
        <v>14</v>
      </c>
      <c r="K38" s="3" t="inlineStr">
        <is>
          <t>강내면 당곡리 작은땅 매매 사실상 밭 텃밭용 체류형쉼터용등</t>
        </is>
      </c>
      <c r="L38" s="6">
        <f>HYPERLINK("https://fin.land.naver.com/articles/2651259197", "매물Link")</f>
        <v/>
      </c>
      <c r="M38" s="6">
        <f>HYPERLINK("https://map.naver.com/p/search/강내면 당곡리 48-1", "지도Link")</f>
        <v/>
      </c>
      <c r="N38" s="6">
        <f>HYPERLINK("http://www.eum.go.kr/web/ar/lu/luLandDet.jsp?pnu=4311331024100480001&amp;isNoScr=script&amp;mode=search", "토지이음")</f>
        <v/>
      </c>
      <c r="O38" s="3" t="inlineStr">
        <is>
          <t>그린</t>
        </is>
      </c>
      <c r="P38" s="4" t="n">
        <v>1</v>
      </c>
      <c r="Q38" s="4" t="n">
        <v>871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세로한면(가)</t>
        </is>
      </c>
    </row>
    <row r="39">
      <c r="A39" s="3" t="inlineStr">
        <is>
          <t>강내면 당곡리 60-1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38000</v>
      </c>
      <c r="G39" s="4" t="n">
        <v>2082</v>
      </c>
      <c r="H39" s="4" t="n">
        <v>630</v>
      </c>
      <c r="I39" s="5" t="n">
        <v>60.3</v>
      </c>
      <c r="J39" s="5" t="n">
        <v>20.5</v>
      </c>
      <c r="K39" s="3" t="inlineStr">
        <is>
          <t>급매 2차선및 6M도로접 투자및 창고 추천</t>
        </is>
      </c>
      <c r="L39" s="6">
        <f>HYPERLINK("https://fin.land.naver.com/articles/2650436765", "매물Link")</f>
        <v/>
      </c>
      <c r="M39" s="6">
        <f>HYPERLINK("https://map.naver.com/p/search/강내면 당곡리 60-1", "지도Link")</f>
        <v/>
      </c>
      <c r="N39" s="6">
        <f>HYPERLINK("http://www.eum.go.kr/web/ar/lu/luLandDet.jsp?pnu=4311331024100600001&amp;isNoScr=script&amp;mode=search", "토지이음")</f>
        <v/>
      </c>
      <c r="O39" s="3" t="inlineStr">
        <is>
          <t>플러스태양</t>
        </is>
      </c>
      <c r="P39" s="4" t="n">
        <v>1</v>
      </c>
      <c r="Q39" s="4" t="n">
        <v>1877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당곡리 60-2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54000</v>
      </c>
      <c r="G40" s="4" t="n">
        <v>2261</v>
      </c>
      <c r="H40" s="4" t="n">
        <v>684</v>
      </c>
      <c r="I40" s="5" t="n">
        <v>78.90000000000001</v>
      </c>
      <c r="J40" s="5" t="n">
        <v>18.8</v>
      </c>
      <c r="K40" s="3" t="inlineStr">
        <is>
          <t>2차선 도로에서 진입 편리, 한면이 도로에 접함, 땅모양 예쁨, 생산관리</t>
        </is>
      </c>
      <c r="L40" s="6">
        <f>HYPERLINK("https://fin.land.naver.com/articles/2654700147", "매물Link")</f>
        <v/>
      </c>
      <c r="M40" s="6">
        <f>HYPERLINK("https://map.naver.com/p/search/강내면 당곡리 60-2", "지도Link")</f>
        <v/>
      </c>
      <c r="N40" s="6">
        <f>HYPERLINK("http://www.eum.go.kr/web/ar/lu/luLandDet.jsp?pnu=4311331024100600002&amp;isNoScr=script&amp;mode=search",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2261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당곡리 91-1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28000</v>
      </c>
      <c r="G41" s="4" t="n">
        <v>1851</v>
      </c>
      <c r="H41" s="4" t="n">
        <v>560</v>
      </c>
      <c r="I41" s="5" t="n">
        <v>50</v>
      </c>
      <c r="J41" s="5" t="n">
        <v>19.4</v>
      </c>
      <c r="K41" s="3" t="inlineStr">
        <is>
          <t>농사지으면서 투자 가능, 세종 및 청주 접근성 좋음, 2차선도로접</t>
        </is>
      </c>
      <c r="L41" s="6">
        <f>HYPERLINK("https://fin.land.naver.com/articles/2650378840", "매물Link")</f>
        <v/>
      </c>
      <c r="M41" s="6">
        <f>HYPERLINK("https://map.naver.com/p/search/강내면 당곡리 91-1", "지도Link")</f>
        <v/>
      </c>
      <c r="N41" s="6">
        <f>HYPERLINK("http://www.eum.go.kr/web/ar/lu/luLandDet.jsp?pnu=4311331024100910001&amp;isNoScr=script&amp;mode=search", "토지이음")</f>
        <v/>
      </c>
      <c r="O41" s="3" t="inlineStr">
        <is>
          <t>제이</t>
        </is>
      </c>
      <c r="P41" s="4" t="n">
        <v>1</v>
      </c>
      <c r="Q41" s="4" t="n">
        <v>1851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세로장방</t>
        </is>
      </c>
      <c r="V41" s="3" t="inlineStr">
        <is>
          <t>소로각지</t>
        </is>
      </c>
    </row>
    <row r="42">
      <c r="A42" s="3" t="inlineStr">
        <is>
          <t>강내면 당곡리 산 36</t>
        </is>
      </c>
      <c r="B42" s="3" t="inlineStr">
        <is>
          <t>생산관리지역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260000</v>
      </c>
      <c r="G42" s="4" t="n">
        <v>7834</v>
      </c>
      <c r="H42" s="4" t="n">
        <v>2370</v>
      </c>
      <c r="I42" s="5" t="n">
        <v>109.7</v>
      </c>
      <c r="J42" s="5" t="n">
        <v>5.4</v>
      </c>
      <c r="K42" s="3" t="inlineStr">
        <is>
          <t>창주시와 세종시 경계의 두 필지 임야. 도로접. 경사낮음</t>
        </is>
      </c>
      <c r="L42" s="6">
        <f>HYPERLINK("https://fin.land.naver.com/articles/2652039864", "매물Link")</f>
        <v/>
      </c>
      <c r="M42" s="6">
        <f>HYPERLINK("https://map.naver.com/p/search/강내면 당곡리 산 36", "지도Link")</f>
        <v/>
      </c>
      <c r="N42" s="6">
        <f>HYPERLINK("http://www.eum.go.kr/web/ar/lu/luLandDet.jsp?pnu=4311331024200360000&amp;isNoScr=script&amp;mode=search", "토지이음")</f>
        <v/>
      </c>
      <c r="O42" s="3" t="inlineStr">
        <is>
          <t>미스터홈즈강남지사</t>
        </is>
      </c>
      <c r="P42" s="4" t="n">
        <v>1</v>
      </c>
      <c r="Q42" s="4" t="n">
        <v>4921</v>
      </c>
      <c r="R42" s="3" t="inlineStr">
        <is>
          <t>지정되지않음</t>
        </is>
      </c>
      <c r="S42" s="3" t="inlineStr">
        <is>
          <t>자연림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소로한면</t>
        </is>
      </c>
    </row>
    <row r="43">
      <c r="A43" s="3" t="inlineStr">
        <is>
          <t>강내면 사곡리 259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39500</v>
      </c>
      <c r="G43" s="4" t="n">
        <v>2179</v>
      </c>
      <c r="H43" s="4" t="n">
        <v>659</v>
      </c>
      <c r="I43" s="5" t="n">
        <v>59.9</v>
      </c>
      <c r="J43" s="5" t="n">
        <v>21.1</v>
      </c>
      <c r="K43" s="3" t="inlineStr">
        <is>
          <t>진입로 있음, 농림지역, 농업진흥구역, 농촌형 체류형 쉼터로 추천</t>
        </is>
      </c>
      <c r="L43" s="6">
        <f>HYPERLINK("https://fin.land.naver.com/articles/2654099524", "매물Link")</f>
        <v/>
      </c>
      <c r="M43" s="6">
        <f>HYPERLINK("https://map.naver.com/p/search/강내면 사곡리 259", "지도Link")</f>
        <v/>
      </c>
      <c r="N43" s="6">
        <f>HYPERLINK("http://www.eum.go.kr/web/ar/lu/luLandDet.jsp?pnu=4311331028102590000&amp;isNoScr=script&amp;mode=search", "토지이음")</f>
        <v/>
      </c>
      <c r="O43" s="3" t="inlineStr">
        <is>
          <t>제이</t>
        </is>
      </c>
      <c r="P43" s="4" t="n">
        <v>2</v>
      </c>
      <c r="Q43" s="4" t="n">
        <v>2179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267-2</t>
        </is>
      </c>
      <c r="B44" s="3" t="inlineStr">
        <is>
          <t>농림지역</t>
        </is>
      </c>
      <c r="C44" s="3" t="inlineStr">
        <is>
          <t>답</t>
        </is>
      </c>
      <c r="D44" s="3" t="inlineStr">
        <is>
          <t>답</t>
        </is>
      </c>
      <c r="E44" s="3" t="inlineStr">
        <is>
          <t>매매</t>
        </is>
      </c>
      <c r="F44" s="4" t="n">
        <v>58000</v>
      </c>
      <c r="G44" s="4" t="n">
        <v>3193</v>
      </c>
      <c r="H44" s="4" t="n">
        <v>966</v>
      </c>
      <c r="I44" s="5" t="n">
        <v>60</v>
      </c>
      <c r="J44" s="5" t="n">
        <v>20.1</v>
      </c>
      <c r="K44" s="3" t="inlineStr">
        <is>
          <t>도로접 성토한토지</t>
        </is>
      </c>
      <c r="L44" s="6">
        <f>HYPERLINK("https://fin.land.naver.com/articles/2654090972", "매물Link")</f>
        <v/>
      </c>
      <c r="M44" s="6">
        <f>HYPERLINK("https://map.naver.com/p/search/강내면 사곡리 267-2", "지도Link")</f>
        <v/>
      </c>
      <c r="N44" s="6">
        <f>HYPERLINK("http://www.eum.go.kr/web/ar/lu/luLandDet.jsp?pnu=4311331028102670002&amp;isNoScr=script&amp;mode=search",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3193</v>
      </c>
      <c r="R44" s="3" t="inlineStr">
        <is>
          <t>지정되지않음</t>
        </is>
      </c>
      <c r="S44" s="3" t="inlineStr">
        <is>
          <t>답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317-6</t>
        </is>
      </c>
      <c r="B45" s="3" t="inlineStr">
        <is>
          <t>계획관리지역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86000</v>
      </c>
      <c r="G45" s="4" t="n">
        <v>1893</v>
      </c>
      <c r="H45" s="4" t="n">
        <v>573</v>
      </c>
      <c r="I45" s="5" t="n">
        <v>150.1</v>
      </c>
      <c r="J45" s="5" t="n">
        <v>43.4</v>
      </c>
      <c r="K45" s="3" t="inlineStr">
        <is>
          <t>대로변 계획관리</t>
        </is>
      </c>
      <c r="L45" s="6">
        <f>HYPERLINK("https://fin.land.naver.com/articles/2654091472", "매물Link")</f>
        <v/>
      </c>
      <c r="M45" s="6">
        <f>HYPERLINK("https://map.naver.com/p/search/강내면 사곡리 317-6", "지도Link")</f>
        <v/>
      </c>
      <c r="N45" s="6">
        <f>HYPERLINK("http://www.eum.go.kr/web/ar/lu/luLandDet.jsp?pnu=4311331028103170006&amp;isNoScr=script&amp;mode=search",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1893.4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소로각지</t>
        </is>
      </c>
    </row>
    <row r="46">
      <c r="A46" s="3" t="inlineStr">
        <is>
          <t>강내면 사곡리 374-3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335000</v>
      </c>
      <c r="G46" s="4" t="n">
        <v>12790</v>
      </c>
      <c r="H46" s="4" t="n">
        <v>3869</v>
      </c>
      <c r="I46" s="5" t="n">
        <v>86.59999999999999</v>
      </c>
      <c r="J46" s="5" t="n">
        <v>19.7</v>
      </c>
      <c r="K46" s="3" t="inlineStr">
        <is>
          <t>청주 흥덕구 미호강 인근 계획관리지역내 활용도 높은 대형 토지 매매</t>
        </is>
      </c>
      <c r="L46" s="6">
        <f>HYPERLINK("https://fin.land.naver.com/articles/2652121838", "매물Link")</f>
        <v/>
      </c>
      <c r="M46" s="6">
        <f>HYPERLINK("https://map.naver.com/p/search/강내면 사곡리 374-3", "지도Link")</f>
        <v/>
      </c>
      <c r="N46" s="6">
        <f>HYPERLINK("http://www.eum.go.kr/web/ar/lu/luLandDet.jsp?pnu=4311331028103740003&amp;isNoScr=script&amp;mode=search", "토지이음")</f>
        <v/>
      </c>
      <c r="O46" s="3" t="inlineStr">
        <is>
          <t>SK랜드</t>
        </is>
      </c>
      <c r="P46" s="4" t="n">
        <v>1</v>
      </c>
      <c r="Q46" s="4" t="n">
        <v>4460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사곡리 374-33</t>
        </is>
      </c>
      <c r="B47" s="3" t="inlineStr">
        <is>
          <t>보전관리지역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43000</v>
      </c>
      <c r="G47" s="4" t="n">
        <v>674</v>
      </c>
      <c r="H47" s="4" t="n">
        <v>204</v>
      </c>
      <c r="I47" s="5" t="n">
        <v>210.8</v>
      </c>
      <c r="J47" s="5" t="n">
        <v>34.8</v>
      </c>
      <c r="K47" s="3" t="inlineStr">
        <is>
          <t>가격협의가능,미호강이 내려다보이는 전원주택지,세종시 인접</t>
        </is>
      </c>
      <c r="L47" s="6">
        <f>HYPERLINK("https://fin.land.naver.com/articles/2654852161", "매물Link")</f>
        <v/>
      </c>
      <c r="M47" s="6">
        <f>HYPERLINK("https://map.naver.com/p/search/강내면 사곡리 374-33", "지도Link")</f>
        <v/>
      </c>
      <c r="N47" s="6">
        <f>HYPERLINK("http://www.eum.go.kr/web/ar/lu/luLandDet.jsp?pnu=4311331028103740033&amp;isNoScr=script&amp;mode=search", "토지이음")</f>
        <v/>
      </c>
      <c r="O47" s="3" t="inlineStr">
        <is>
          <t>담뜰</t>
        </is>
      </c>
      <c r="P47" s="4" t="n">
        <v>1</v>
      </c>
      <c r="Q47" s="4" t="n">
        <v>674.4</v>
      </c>
      <c r="R47" s="3" t="inlineStr">
        <is>
          <t>지정되지않음</t>
        </is>
      </c>
      <c r="S47" s="3" t="inlineStr">
        <is>
          <t>주거기타</t>
        </is>
      </c>
      <c r="T47" s="3" t="inlineStr">
        <is>
          <t>완경사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사곡리 374-7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320000</v>
      </c>
      <c r="G48" s="4" t="n">
        <v>10578</v>
      </c>
      <c r="H48" s="4" t="n">
        <v>3200</v>
      </c>
      <c r="I48" s="5" t="n">
        <v>100</v>
      </c>
      <c r="J48" s="5" t="n">
        <v>5.2</v>
      </c>
      <c r="K48" s="3" t="inlineStr">
        <is>
          <t>미호강 뷰 최상, 세종, 오송, 조치원 , 청주 인접</t>
        </is>
      </c>
      <c r="L48" s="6">
        <f>HYPERLINK("https://fin.land.naver.com/articles/2653530037", "매물Link")</f>
        <v/>
      </c>
      <c r="M48" s="6">
        <f>HYPERLINK("https://map.naver.com/p/search/강내면 사곡리 374-7", "지도Link")</f>
        <v/>
      </c>
      <c r="N48" s="6">
        <f>HYPERLINK("http://www.eum.go.kr/web/ar/lu/luLandDet.jsp?pnu=4311331028103740007&amp;isNoScr=script&amp;mode=search", "토지이음")</f>
        <v/>
      </c>
      <c r="O48" s="3" t="inlineStr">
        <is>
          <t>황제</t>
        </is>
      </c>
      <c r="P48" s="4" t="n">
        <v>1</v>
      </c>
      <c r="Q48" s="4" t="n">
        <v>5378</v>
      </c>
      <c r="R48" s="3" t="inlineStr">
        <is>
          <t>지정되지않음</t>
        </is>
      </c>
      <c r="S48" s="3" t="inlineStr">
        <is>
          <t>토지임야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사곡리 417-7</t>
        </is>
      </c>
      <c r="B49" s="3" t="inlineStr">
        <is>
          <t>보전관리지역</t>
        </is>
      </c>
      <c r="C49" s="3" t="inlineStr">
        <is>
          <t>전</t>
        </is>
      </c>
      <c r="D49" s="3" t="inlineStr">
        <is>
          <t>임야</t>
        </is>
      </c>
      <c r="E49" s="3" t="inlineStr">
        <is>
          <t>매매</t>
        </is>
      </c>
      <c r="F49" s="4" t="n">
        <v>19000</v>
      </c>
      <c r="G49" s="4" t="n">
        <v>509</v>
      </c>
      <c r="H49" s="4" t="n">
        <v>154</v>
      </c>
      <c r="I49" s="5" t="n">
        <v>123.4</v>
      </c>
      <c r="J49" s="5" t="n">
        <v>15.6</v>
      </c>
      <c r="K49" s="3" t="inlineStr">
        <is>
          <t>청주 강내 전원주택용지, 오송역 조치원역 10분 소요</t>
        </is>
      </c>
      <c r="L49" s="6">
        <f>HYPERLINK("https://fin.land.naver.com/articles/2655195134", "매물Link")</f>
        <v/>
      </c>
      <c r="M49" s="6">
        <f>HYPERLINK("https://map.naver.com/p/search/강내면 사곡리 417-7", "지도Link")</f>
        <v/>
      </c>
      <c r="N49" s="6">
        <f>HYPERLINK("http://www.eum.go.kr/web/ar/lu/luLandDet.jsp?pnu=4311331028104170007&amp;isNoScr=script&amp;mode=search", "토지이음")</f>
        <v/>
      </c>
      <c r="O49" s="3" t="inlineStr">
        <is>
          <t>라인</t>
        </is>
      </c>
      <c r="P49" s="4" t="n">
        <v>1</v>
      </c>
      <c r="Q49" s="4" t="n">
        <v>208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완경사</t>
        </is>
      </c>
      <c r="U49" s="3" t="inlineStr">
        <is>
          <t>사다리형</t>
        </is>
      </c>
      <c r="V49" s="3" t="inlineStr">
        <is>
          <t>세로한면(불)</t>
        </is>
      </c>
    </row>
    <row r="50">
      <c r="A50" s="3" t="inlineStr">
        <is>
          <t>강내면 사곡리 97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92000</v>
      </c>
      <c r="G50" s="4" t="n">
        <v>1314</v>
      </c>
      <c r="H50" s="4" t="n">
        <v>397</v>
      </c>
      <c r="I50" s="5" t="n">
        <v>231.7</v>
      </c>
      <c r="J50" s="5" t="n">
        <v>49.4</v>
      </c>
      <c r="K50" s="3" t="inlineStr">
        <is>
          <t>지목 대(단독주택), 전 일괄매매</t>
        </is>
      </c>
      <c r="L50" s="6">
        <f>HYPERLINK("https://fin.land.naver.com/articles/2653732950", "매물Link")</f>
        <v/>
      </c>
      <c r="M50" s="6">
        <f>HYPERLINK("https://map.naver.com/p/search/강내면 사곡리 97", "지도Link")</f>
        <v/>
      </c>
      <c r="N50" s="6">
        <f>HYPERLINK("http://www.eum.go.kr/web/ar/lu/luLandDet.jsp?pnu=4311331028100970000&amp;isNoScr=script&amp;mode=search", "토지이음")</f>
        <v/>
      </c>
      <c r="O50" s="3" t="inlineStr">
        <is>
          <t>세종큰길</t>
        </is>
      </c>
      <c r="P50" s="4" t="n">
        <v>1</v>
      </c>
      <c r="Q50" s="4" t="n">
        <v>300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사곡리 산 22-10</t>
        </is>
      </c>
      <c r="B51" s="3" t="inlineStr">
        <is>
          <t>보전관리지역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10166</v>
      </c>
      <c r="H51" s="4" t="n">
        <v>3075</v>
      </c>
      <c r="I51" s="5" t="n">
        <v>29.9</v>
      </c>
      <c r="J51" s="5" t="n">
        <v>3.7</v>
      </c>
      <c r="K51" s="3" t="inlineStr">
        <is>
          <t>투자,주택지 등 개발 가능한 토지</t>
        </is>
      </c>
      <c r="L51" s="6">
        <f>HYPERLINK("https://fin.land.naver.com/articles/2655085892", "매물Link")</f>
        <v/>
      </c>
      <c r="M51" s="6">
        <f>HYPERLINK("https://map.naver.com/p/search/강내면 사곡리 산 22-10", "지도Link")</f>
        <v/>
      </c>
      <c r="N51" s="6">
        <f>HYPERLINK("http://www.eum.go.kr/web/ar/lu/luLandDet.jsp?pnu=4311331028200220010&amp;isNoScr=script&amp;mode=search", "토지이음")</f>
        <v/>
      </c>
      <c r="O51" s="3" t="inlineStr">
        <is>
          <t>세종대박</t>
        </is>
      </c>
      <c r="P51" s="4" t="n">
        <v>1</v>
      </c>
      <c r="Q51" s="4" t="n">
        <v>9851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맹지</t>
        </is>
      </c>
    </row>
    <row r="52">
      <c r="A52" s="3" t="inlineStr">
        <is>
          <t>강내면 사인리 109-1</t>
        </is>
      </c>
      <c r="B52" s="3" t="inlineStr">
        <is>
          <t>자연녹지지역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35000</v>
      </c>
      <c r="G52" s="4" t="n">
        <v>888</v>
      </c>
      <c r="H52" s="4" t="n">
        <v>269</v>
      </c>
      <c r="I52" s="5" t="n">
        <v>130.1</v>
      </c>
      <c r="J52" s="5" t="n">
        <v>35</v>
      </c>
      <c r="K52" s="3" t="inlineStr">
        <is>
          <t>nan</t>
        </is>
      </c>
      <c r="L52" s="6">
        <f>HYPERLINK("https://fin.land.naver.com/articles/2653405657", "매물Link")</f>
        <v/>
      </c>
      <c r="M52" s="6">
        <f>HYPERLINK("https://map.naver.com/p/search/강내면 사인리 109-1", "지도Link")</f>
        <v/>
      </c>
      <c r="N52" s="6">
        <f>HYPERLINK("http://www.eum.go.kr/web/ar/lu/luLandDet.jsp?pnu=4311331033101090001&amp;isNoScr=script&amp;mode=search",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888</v>
      </c>
      <c r="R52" s="3" t="inlineStr">
        <is>
          <t>지정되지않음</t>
        </is>
      </c>
      <c r="S52" s="3" t="inlineStr">
        <is>
          <t>전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118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247400</v>
      </c>
      <c r="G53" s="4" t="n">
        <v>8179</v>
      </c>
      <c r="H53" s="4" t="n">
        <v>2474</v>
      </c>
      <c r="I53" s="5" t="n">
        <v>100</v>
      </c>
      <c r="J53" s="5" t="n">
        <v>20.9</v>
      </c>
      <c r="K53" s="3" t="inlineStr">
        <is>
          <t>흥덕구청, 고속도로 1키로 이내 접한 귀한 매물</t>
        </is>
      </c>
      <c r="L53" s="6">
        <f>HYPERLINK("https://fin.land.naver.com/articles/2654594615", "매물Link")</f>
        <v/>
      </c>
      <c r="M53" s="6">
        <f>HYPERLINK("https://map.naver.com/p/search/강내면 사인리 118", "지도Link")</f>
        <v/>
      </c>
      <c r="N53" s="6">
        <f>HYPERLINK("http://www.eum.go.kr/web/ar/lu/luLandDet.jsp?pnu=4311331033101180000&amp;isNoScr=script&amp;mode=search", "토지이음")</f>
        <v/>
      </c>
      <c r="O53" s="3" t="inlineStr">
        <is>
          <t>바로그</t>
        </is>
      </c>
      <c r="P53" s="4" t="n">
        <v>1</v>
      </c>
      <c r="Q53" s="4" t="n">
        <v>8179</v>
      </c>
      <c r="R53" s="3" t="inlineStr">
        <is>
          <t>생산녹지지역</t>
        </is>
      </c>
      <c r="S53" s="3" t="inlineStr">
        <is>
          <t>전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사인리 118</t>
        </is>
      </c>
      <c r="B54" s="3" t="inlineStr">
        <is>
          <t>자연녹지지역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240000</v>
      </c>
      <c r="G54" s="4" t="n">
        <v>8179</v>
      </c>
      <c r="H54" s="4" t="n">
        <v>2474</v>
      </c>
      <c r="I54" s="5" t="n">
        <v>97</v>
      </c>
      <c r="J54" s="5" t="n">
        <v>20.9</v>
      </c>
      <c r="K54" s="3" t="inlineStr">
        <is>
          <t>도로 접한 토지라 이용활용 좋아요. 공장용지 최적</t>
        </is>
      </c>
      <c r="L54" s="6">
        <f>HYPERLINK("https://fin.land.naver.com/articles/2652010542", "매물Link")</f>
        <v/>
      </c>
      <c r="M54" s="6">
        <f>HYPERLINK("https://map.naver.com/p/search/강내면 사인리 118", "지도Link")</f>
        <v/>
      </c>
      <c r="N54" s="6">
        <f>HYPERLINK("http://www.eum.go.kr/web/ar/lu/luLandDet.jsp?pnu=4311331033101180000&amp;isNoScr=script&amp;mode=search", "토지이음")</f>
        <v/>
      </c>
      <c r="O54" s="3" t="inlineStr">
        <is>
          <t>지웰썬</t>
        </is>
      </c>
      <c r="P54" s="4" t="n">
        <v>2</v>
      </c>
      <c r="Q54" s="4" t="n">
        <v>8179</v>
      </c>
      <c r="R54" s="3" t="inlineStr">
        <is>
          <t>생산녹지지역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사인리 185-1</t>
        </is>
      </c>
      <c r="B55" s="3" t="inlineStr">
        <is>
          <t>생산녹지지역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30000</v>
      </c>
      <c r="G55" s="4" t="n">
        <v>2426</v>
      </c>
      <c r="H55" s="4" t="n">
        <v>734</v>
      </c>
      <c r="I55" s="5" t="n">
        <v>40.9</v>
      </c>
      <c r="J55" s="5" t="n">
        <v>16</v>
      </c>
      <c r="K55" s="3" t="inlineStr">
        <is>
          <t>생산녹지 지역.</t>
        </is>
      </c>
      <c r="L55" s="6">
        <f>HYPERLINK("https://fin.land.naver.com/articles/2651782507", "매물Link")</f>
        <v/>
      </c>
      <c r="M55" s="6">
        <f>HYPERLINK("https://map.naver.com/p/search/강내면 사인리 185-1", "지도Link")</f>
        <v/>
      </c>
      <c r="N55" s="6">
        <f>HYPERLINK("http://www.eum.go.kr/web/ar/lu/luLandDet.jsp?pnu=4311331033101850001&amp;isNoScr=script&amp;mode=search", "토지이음")</f>
        <v/>
      </c>
      <c r="O55" s="3" t="inlineStr">
        <is>
          <t>수풀림</t>
        </is>
      </c>
      <c r="P55" s="4" t="n">
        <v>1</v>
      </c>
      <c r="Q55" s="4" t="n">
        <v>2426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세로장방</t>
        </is>
      </c>
      <c r="V55" s="3" t="inlineStr">
        <is>
          <t>세로한면(가)</t>
        </is>
      </c>
    </row>
    <row r="56">
      <c r="A56" s="3" t="inlineStr">
        <is>
          <t>강내면 사인리 228-2</t>
        </is>
      </c>
      <c r="B56" s="3" t="inlineStr">
        <is>
          <t>자연녹지지역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92000</v>
      </c>
      <c r="G56" s="4" t="n">
        <v>7603</v>
      </c>
      <c r="H56" s="4" t="n">
        <v>2300</v>
      </c>
      <c r="I56" s="5" t="n">
        <v>40</v>
      </c>
      <c r="J56" s="5" t="n">
        <v>10.3</v>
      </c>
      <c r="K56" s="3" t="inlineStr">
        <is>
          <t>흥덕구청 인근 가치 급상승 강내면 사인리 투자개발용 토지 매매</t>
        </is>
      </c>
      <c r="L56" s="6">
        <f>HYPERLINK("https://fin.land.naver.com/articles/2651583348", "매물Link")</f>
        <v/>
      </c>
      <c r="M56" s="6">
        <f>HYPERLINK("https://map.naver.com/p/search/강내면 사인리 228-2", "지도Link")</f>
        <v/>
      </c>
      <c r="N56" s="6">
        <f>HYPERLINK("http://www.eum.go.kr/web/ar/lu/luLandDet.jsp?pnu=4311331033102280002&amp;isNoScr=script&amp;mode=search", "토지이음")</f>
        <v/>
      </c>
      <c r="O56" s="3" t="inlineStr">
        <is>
          <t>명지</t>
        </is>
      </c>
      <c r="P56" s="4" t="n">
        <v>1</v>
      </c>
      <c r="Q56" s="4" t="n">
        <v>13206</v>
      </c>
      <c r="R56" s="3" t="inlineStr">
        <is>
          <t>지정되지않음</t>
        </is>
      </c>
      <c r="S56" s="3" t="inlineStr">
        <is>
          <t>자연림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사인리 248-9</t>
        </is>
      </c>
      <c r="B57" s="3" t="inlineStr">
        <is>
          <t>자연녹지지역</t>
        </is>
      </c>
      <c r="C57" s="3" t="inlineStr">
        <is>
          <t>대</t>
        </is>
      </c>
      <c r="D57" s="3" t="inlineStr">
        <is>
          <t>대</t>
        </is>
      </c>
      <c r="E57" s="3" t="inlineStr">
        <is>
          <t>매매</t>
        </is>
      </c>
      <c r="F57" s="4" t="n">
        <v>13500</v>
      </c>
      <c r="G57" s="4" t="n">
        <v>271</v>
      </c>
      <c r="H57" s="4" t="n">
        <v>82</v>
      </c>
      <c r="I57" s="5" t="n">
        <v>164.6</v>
      </c>
      <c r="J57" s="5" t="n">
        <v>55.3</v>
      </c>
      <c r="K57" s="3" t="inlineStr">
        <is>
          <t>흥덕구청 주변지역,남향이면서 작은집 지을실분 추천합니다</t>
        </is>
      </c>
      <c r="L57" s="6">
        <f>HYPERLINK("https://fin.land.naver.com/articles/2653181078", "매물Link")</f>
        <v/>
      </c>
      <c r="M57" s="6">
        <f>HYPERLINK("https://map.naver.com/p/search/강내면 사인리 248-9", "지도Link")</f>
        <v/>
      </c>
      <c r="N57" s="6">
        <f>HYPERLINK("http://www.eum.go.kr/web/ar/lu/luLandDet.jsp?pnu=4311331033102480009&amp;isNoScr=script&amp;mode=search", "토지이음")</f>
        <v/>
      </c>
      <c r="O57" s="3" t="inlineStr">
        <is>
          <t>황금빛</t>
        </is>
      </c>
      <c r="P57" s="4" t="n">
        <v>1</v>
      </c>
      <c r="Q57" s="4" t="n">
        <v>271</v>
      </c>
      <c r="R57" s="3" t="inlineStr">
        <is>
          <t>지정되지않음</t>
        </is>
      </c>
      <c r="S57" s="3" t="inlineStr">
        <is>
          <t>단독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사인리 279-1</t>
        </is>
      </c>
      <c r="B58" s="3" t="inlineStr">
        <is>
          <t>생산녹지지역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140000</v>
      </c>
      <c r="G58" s="4" t="n">
        <v>2860</v>
      </c>
      <c r="H58" s="4" t="n">
        <v>865</v>
      </c>
      <c r="I58" s="5" t="n">
        <v>161.8</v>
      </c>
      <c r="J58" s="5" t="n">
        <v>37.3</v>
      </c>
      <c r="K58" s="3" t="inlineStr">
        <is>
          <t>급매 2차선코너도로 접함 시세이하</t>
        </is>
      </c>
      <c r="L58" s="6">
        <f>HYPERLINK("https://fin.land.naver.com/articles/2652065365", "매물Link")</f>
        <v/>
      </c>
      <c r="M58" s="6">
        <f>HYPERLINK("https://map.naver.com/p/search/강내면 사인리 279-1", "지도Link")</f>
        <v/>
      </c>
      <c r="N58" s="6">
        <f>HYPERLINK("http://www.eum.go.kr/web/ar/lu/luLandDet.jsp?pnu=4311331033102790001&amp;isNoScr=script&amp;mode=search", "토지이음")</f>
        <v/>
      </c>
      <c r="O58" s="3" t="inlineStr">
        <is>
          <t>플러스태양</t>
        </is>
      </c>
      <c r="P58" s="4" t="n">
        <v>2</v>
      </c>
      <c r="Q58" s="4" t="n">
        <v>2862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사인리 279-1</t>
        </is>
      </c>
      <c r="B59" s="3" t="inlineStr">
        <is>
          <t>생산녹지지역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190000</v>
      </c>
      <c r="G59" s="4" t="n">
        <v>2862</v>
      </c>
      <c r="H59" s="4" t="n">
        <v>866</v>
      </c>
      <c r="I59" s="5" t="n">
        <v>219.4</v>
      </c>
      <c r="J59" s="5" t="n">
        <v>37.3</v>
      </c>
      <c r="K59" s="3" t="inlineStr">
        <is>
          <t>nan</t>
        </is>
      </c>
      <c r="L59" s="6">
        <f>HYPERLINK("https://fin.land.naver.com/articles/2653409860", "매물Link")</f>
        <v/>
      </c>
      <c r="M59" s="6">
        <f>HYPERLINK("https://map.naver.com/p/search/강내면 사인리 279-1", "지도Link")</f>
        <v/>
      </c>
      <c r="N59" s="6">
        <f>HYPERLINK("http://www.eum.go.kr/web/ar/lu/luLandDet.jsp?pnu=4311331033102790001&amp;isNoScr=script&amp;mode=search", "토지이음")</f>
        <v/>
      </c>
      <c r="O59" s="3" t="inlineStr">
        <is>
          <t>G세계로무소</t>
        </is>
      </c>
      <c r="P59" s="4" t="n">
        <v>1</v>
      </c>
      <c r="Q59" s="4" t="n">
        <v>2862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사인리 41-2</t>
        </is>
      </c>
      <c r="B60" s="3" t="inlineStr">
        <is>
          <t>자연녹지지역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118200</v>
      </c>
      <c r="G60" s="4" t="n">
        <v>2443</v>
      </c>
      <c r="H60" s="4" t="n">
        <v>739</v>
      </c>
      <c r="I60" s="5" t="n">
        <v>159.9</v>
      </c>
      <c r="J60" s="5" t="n">
        <v>44.2</v>
      </c>
      <c r="K60" s="3" t="inlineStr">
        <is>
          <t>흥덕구청에서 도보 1분거리</t>
        </is>
      </c>
      <c r="L60" s="6">
        <f>HYPERLINK("https://fin.land.naver.com/articles/2653407075", "매물Link")</f>
        <v/>
      </c>
      <c r="M60" s="6">
        <f>HYPERLINK("https://map.naver.com/p/search/강내면 사인리 41-2", "지도Link")</f>
        <v/>
      </c>
      <c r="N60" s="6">
        <f>HYPERLINK("http://www.eum.go.kr/web/ar/lu/luLandDet.jsp?pnu=4311331033100410002&amp;isNoScr=script&amp;mode=search", "토지이음")</f>
        <v/>
      </c>
      <c r="O60" s="3" t="inlineStr">
        <is>
          <t>G세계로무소</t>
        </is>
      </c>
      <c r="P60" s="4" t="n">
        <v>1</v>
      </c>
      <c r="Q60" s="4" t="n">
        <v>2443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소로한면</t>
        </is>
      </c>
    </row>
    <row r="61">
      <c r="A61" s="3" t="inlineStr">
        <is>
          <t>강내면 산단리 109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공장용지</t>
        </is>
      </c>
      <c r="E61" s="3" t="inlineStr">
        <is>
          <t>매매</t>
        </is>
      </c>
      <c r="F61" s="4" t="n">
        <v>378000</v>
      </c>
      <c r="G61" s="4" t="n">
        <v>10413</v>
      </c>
      <c r="H61" s="4" t="n">
        <v>3150</v>
      </c>
      <c r="I61" s="5" t="n">
        <v>120</v>
      </c>
      <c r="J61" s="5" t="n">
        <v>77.3</v>
      </c>
      <c r="K61" s="3" t="inlineStr">
        <is>
          <t>6M도로접 물류창고추천 민원없음</t>
        </is>
      </c>
      <c r="L61" s="6">
        <f>HYPERLINK("https://fin.land.naver.com/articles/2650480306", "매물Link")</f>
        <v/>
      </c>
      <c r="M61" s="6">
        <f>HYPERLINK("https://map.naver.com/p/search/강내면 산단리 109", "지도Link")</f>
        <v/>
      </c>
      <c r="N61" s="6">
        <f>HYPERLINK("http://www.eum.go.kr/web/ar/lu/luLandDet.jsp?pnu=4311331025101090000&amp;isNoScr=script&amp;mode=search", "토지이음")</f>
        <v/>
      </c>
      <c r="O61" s="3" t="inlineStr">
        <is>
          <t>플러스태양</t>
        </is>
      </c>
      <c r="P61" s="4" t="n">
        <v>1</v>
      </c>
      <c r="Q61" s="4" t="n">
        <v>2984</v>
      </c>
      <c r="R61" s="3" t="inlineStr">
        <is>
          <t>지정되지않음</t>
        </is>
      </c>
      <c r="S61" s="3" t="inlineStr">
        <is>
          <t>공업용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135-5</t>
        </is>
      </c>
      <c r="B62" s="3" t="inlineStr">
        <is>
          <t>계획관리지역</t>
        </is>
      </c>
      <c r="C62" s="3" t="inlineStr">
        <is>
          <t>임야</t>
        </is>
      </c>
      <c r="D62" s="3" t="inlineStr">
        <is>
          <t>임야</t>
        </is>
      </c>
      <c r="E62" s="3" t="inlineStr">
        <is>
          <t>매매</t>
        </is>
      </c>
      <c r="F62" s="4" t="n">
        <v>73000</v>
      </c>
      <c r="G62" s="4" t="n">
        <v>2033</v>
      </c>
      <c r="H62" s="4" t="n">
        <v>615</v>
      </c>
      <c r="I62" s="5" t="n">
        <v>118.7</v>
      </c>
      <c r="J62" s="5" t="n">
        <v>57.8</v>
      </c>
      <c r="K62" s="3" t="inlineStr">
        <is>
          <t>산단리 1355번지 공장 제조업등 허가등</t>
        </is>
      </c>
      <c r="L62" s="6">
        <f>HYPERLINK("https://fin.land.naver.com/articles/2655101125", "매물Link")</f>
        <v/>
      </c>
      <c r="M62" s="6">
        <f>HYPERLINK("https://map.naver.com/p/search/강내면 산단리 135-5", "지도Link")</f>
        <v/>
      </c>
      <c r="N62" s="6">
        <f>HYPERLINK("http://www.eum.go.kr/web/ar/lu/luLandDet.jsp?pnu=4311331025101350005&amp;isNoScr=script&amp;mode=search",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3476</v>
      </c>
      <c r="R62" s="3" t="inlineStr">
        <is>
          <t>지정되지않음</t>
        </is>
      </c>
      <c r="S62" s="3" t="inlineStr">
        <is>
          <t>주거기타</t>
        </is>
      </c>
      <c r="T62" s="3" t="inlineStr">
        <is>
          <t>완경사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135-5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135000</v>
      </c>
      <c r="G63" s="4" t="n">
        <v>4066</v>
      </c>
      <c r="H63" s="4" t="n">
        <v>1230</v>
      </c>
      <c r="I63" s="5" t="n">
        <v>109.8</v>
      </c>
      <c r="J63" s="5" t="n">
        <v>57.8</v>
      </c>
      <c r="K63" s="3" t="inlineStr">
        <is>
          <t>위치  태성삼거리 부근  전망좋음</t>
        </is>
      </c>
      <c r="L63" s="6">
        <f>HYPERLINK("https://fin.land.naver.com/articles/2650295891", "매물Link")</f>
        <v/>
      </c>
      <c r="M63" s="6">
        <f>HYPERLINK("https://map.naver.com/p/search/강내면 산단리 135-5", "지도Link")</f>
        <v/>
      </c>
      <c r="N63" s="6">
        <f>HYPERLINK("http://www.eum.go.kr/web/ar/lu/luLandDet.jsp?pnu=4311331025101350005&amp;isNoScr=script&amp;mode=search", "토지이음")</f>
        <v/>
      </c>
      <c r="O63" s="3" t="inlineStr">
        <is>
          <t>한진인사무소</t>
        </is>
      </c>
      <c r="P63" s="4" t="n">
        <v>1</v>
      </c>
      <c r="Q63" s="4" t="n">
        <v>3476</v>
      </c>
      <c r="R63" s="3" t="inlineStr">
        <is>
          <t>지정되지않음</t>
        </is>
      </c>
      <c r="S63" s="3" t="inlineStr">
        <is>
          <t>주거기타</t>
        </is>
      </c>
      <c r="T63" s="3" t="inlineStr">
        <is>
          <t>완경사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139-2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99000</v>
      </c>
      <c r="G64" s="4" t="n">
        <v>7276</v>
      </c>
      <c r="H64" s="4" t="n">
        <v>2201</v>
      </c>
      <c r="I64" s="5" t="n">
        <v>45</v>
      </c>
      <c r="J64" s="5" t="n">
        <v>17.1</v>
      </c>
      <c r="K64" s="3" t="inlineStr">
        <is>
          <t>경작,대토, 투자용, 추천, 주변 개발호재 많은 토지</t>
        </is>
      </c>
      <c r="L64" s="6">
        <f>HYPERLINK("https://fin.land.naver.com/articles/2651327705", "매물Link")</f>
        <v/>
      </c>
      <c r="M64" s="6">
        <f>HYPERLINK("https://map.naver.com/p/search/강내면 산단리 139-2", "지도Link")</f>
        <v/>
      </c>
      <c r="N64" s="6">
        <f>HYPERLINK("http://www.eum.go.kr/web/ar/lu/luLandDet.jsp?pnu=4311331025101390002&amp;isNoScr=script&amp;mode=search",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2922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142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93700</v>
      </c>
      <c r="G65" s="4" t="n">
        <v>6890</v>
      </c>
      <c r="H65" s="4" t="n">
        <v>2084</v>
      </c>
      <c r="I65" s="5" t="n">
        <v>45</v>
      </c>
      <c r="J65" s="5" t="n">
        <v>18.5</v>
      </c>
      <c r="K65" s="3" t="inlineStr">
        <is>
          <t>대토, 투자용, 주변호재많은 토지</t>
        </is>
      </c>
      <c r="L65" s="6">
        <f>HYPERLINK("https://fin.land.naver.com/articles/2651327862", "매물Link")</f>
        <v/>
      </c>
      <c r="M65" s="6">
        <f>HYPERLINK("https://map.naver.com/p/search/강내면 산단리 142", "지도Link")</f>
        <v/>
      </c>
      <c r="N65" s="6">
        <f>HYPERLINK("http://www.eum.go.kr/web/ar/lu/luLandDet.jsp?pnu=4311331025101420000&amp;isNoScr=script&amp;mode=search",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206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산단리 151-1</t>
        </is>
      </c>
      <c r="B66" s="3" t="inlineStr">
        <is>
          <t>농림지역</t>
        </is>
      </c>
      <c r="C66" s="3" t="inlineStr">
        <is>
          <t>목장용지</t>
        </is>
      </c>
      <c r="D66" s="3" t="inlineStr">
        <is>
          <t>목장용지</t>
        </is>
      </c>
      <c r="E66" s="3" t="inlineStr">
        <is>
          <t>매매</t>
        </is>
      </c>
      <c r="F66" s="4" t="n">
        <v>22000</v>
      </c>
      <c r="G66" s="4" t="n">
        <v>1618</v>
      </c>
      <c r="H66" s="4" t="n">
        <v>489</v>
      </c>
      <c r="I66" s="5" t="n">
        <v>45</v>
      </c>
      <c r="J66" s="5" t="n">
        <v>21.7</v>
      </c>
      <c r="K66" s="3" t="inlineStr">
        <is>
          <t>목장용지</t>
        </is>
      </c>
      <c r="L66" s="6">
        <f>HYPERLINK("https://fin.land.naver.com/articles/2651307358", "매물Link")</f>
        <v/>
      </c>
      <c r="M66" s="6">
        <f>HYPERLINK("https://map.naver.com/p/search/강내면 산단리 151-1", "지도Link")</f>
        <v/>
      </c>
      <c r="N66" s="6">
        <f>HYPERLINK("http://www.eum.go.kr/web/ar/lu/luLandDet.jsp?pnu=4311331025101510001&amp;isNoScr=script&amp;mode=search",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1618</v>
      </c>
      <c r="R66" s="3" t="inlineStr">
        <is>
          <t>지정되지않음</t>
        </is>
      </c>
      <c r="S66" s="3" t="inlineStr">
        <is>
          <t>답창고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산단리 16-3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50000</v>
      </c>
      <c r="G67" s="4" t="n">
        <v>2060</v>
      </c>
      <c r="H67" s="4" t="n">
        <v>623</v>
      </c>
      <c r="I67" s="5" t="n">
        <v>80.3</v>
      </c>
      <c r="J67" s="5" t="n">
        <v>29.4</v>
      </c>
      <c r="K67" s="3" t="inlineStr">
        <is>
          <t>청주IC에서10거리 창고 적합함 가격절충가능함</t>
        </is>
      </c>
      <c r="L67" s="6">
        <f>HYPERLINK("https://fin.land.naver.com/articles/2655101878", "매물Link")</f>
        <v/>
      </c>
      <c r="M67" s="6">
        <f>HYPERLINK("https://map.naver.com/p/search/강내면 산단리 16-3", "지도Link")</f>
        <v/>
      </c>
      <c r="N67" s="6">
        <f>HYPERLINK("http://www.eum.go.kr/web/ar/lu/luLandDet.jsp?pnu=4311331025100160003&amp;isNoScr=script&amp;mode=search",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2060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세로한면(불)</t>
        </is>
      </c>
    </row>
    <row r="68">
      <c r="A68" s="3" t="inlineStr">
        <is>
          <t>강내면 산단리 2</t>
        </is>
      </c>
      <c r="B68" s="3" t="inlineStr">
        <is>
          <t>농림지역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27000</v>
      </c>
      <c r="G68" s="4" t="n">
        <v>1811</v>
      </c>
      <c r="H68" s="4" t="n">
        <v>548</v>
      </c>
      <c r="I68" s="5" t="n">
        <v>49.3</v>
      </c>
      <c r="J68" s="5" t="n">
        <v>17.1</v>
      </c>
      <c r="K68" s="3" t="inlineStr">
        <is>
          <t>모양좋은 도로접한 농지</t>
        </is>
      </c>
      <c r="L68" s="6">
        <f>HYPERLINK("https://fin.land.naver.com/articles/2650047631", "매물Link")</f>
        <v/>
      </c>
      <c r="M68" s="6">
        <f>HYPERLINK("https://map.naver.com/p/search/강내면 산단리 2", "지도Link")</f>
        <v/>
      </c>
      <c r="N68" s="6">
        <f>HYPERLINK("http://www.eum.go.kr/web/ar/lu/luLandDet.jsp?pnu=4311331025100020000&amp;isNoScr=script&amp;mode=search", "토지이음")</f>
        <v/>
      </c>
      <c r="O68" s="3" t="inlineStr">
        <is>
          <t>조은</t>
        </is>
      </c>
      <c r="P68" s="4" t="n">
        <v>1</v>
      </c>
      <c r="Q68" s="4" t="n">
        <v>1811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2-15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25500</v>
      </c>
      <c r="G69" s="4" t="n">
        <v>1000</v>
      </c>
      <c r="H69" s="4" t="n">
        <v>302</v>
      </c>
      <c r="I69" s="5" t="n">
        <v>84.40000000000001</v>
      </c>
      <c r="J69" s="5" t="n">
        <v>30.4</v>
      </c>
      <c r="K69" s="3" t="inlineStr">
        <is>
          <t>진입로 있음, 주말농장하면서 장기투자 추천, 계획관리</t>
        </is>
      </c>
      <c r="L69" s="6">
        <f>HYPERLINK("https://fin.land.naver.com/articles/2652676486", "매물Link")</f>
        <v/>
      </c>
      <c r="M69" s="6">
        <f>HYPERLINK("https://map.naver.com/p/search/강내면 산단리 2-15", "지도Link")</f>
        <v/>
      </c>
      <c r="N69" s="6">
        <f>HYPERLINK("http://www.eum.go.kr/web/ar/lu/luLandDet.jsp?pnu=4311331025100020015&amp;isNoScr=script&amp;mode=search", "토지이음")</f>
        <v/>
      </c>
      <c r="O69" s="3" t="inlineStr">
        <is>
          <t>제이</t>
        </is>
      </c>
      <c r="P69" s="4" t="n">
        <v>2</v>
      </c>
      <c r="Q69" s="4" t="n">
        <v>1000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완경사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2-16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56000</v>
      </c>
      <c r="G70" s="4" t="n">
        <v>2179</v>
      </c>
      <c r="H70" s="4" t="n">
        <v>659</v>
      </c>
      <c r="I70" s="5" t="n">
        <v>85</v>
      </c>
      <c r="J70" s="5" t="n">
        <v>30.4</v>
      </c>
      <c r="K70" s="3" t="inlineStr">
        <is>
          <t>강내산업단지 주변  주택이나 창고 신축가능</t>
        </is>
      </c>
      <c r="L70" s="6">
        <f>HYPERLINK("https://fin.land.naver.com/articles/2649591977", "매물Link")</f>
        <v/>
      </c>
      <c r="M70" s="6">
        <f>HYPERLINK("https://map.naver.com/p/search/강내면 산단리 2-16", "지도Link")</f>
        <v/>
      </c>
      <c r="N70" s="6">
        <f>HYPERLINK("http://www.eum.go.kr/web/ar/lu/luLandDet.jsp?pnu=4311331025100020016&amp;isNoScr=script&amp;mode=search", "토지이음")</f>
        <v/>
      </c>
      <c r="O70" s="3" t="inlineStr">
        <is>
          <t>청산</t>
        </is>
      </c>
      <c r="P70" s="4" t="n">
        <v>1</v>
      </c>
      <c r="Q70" s="4" t="n">
        <v>2179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완경사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271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74500</v>
      </c>
      <c r="G71" s="4" t="n">
        <v>5470</v>
      </c>
      <c r="H71" s="4" t="n">
        <v>1655</v>
      </c>
      <c r="I71" s="5" t="n">
        <v>45</v>
      </c>
      <c r="J71" s="5" t="n">
        <v>16.1</v>
      </c>
      <c r="K71" s="3" t="inlineStr">
        <is>
          <t>nan</t>
        </is>
      </c>
      <c r="L71" s="6">
        <f>HYPERLINK("https://fin.land.naver.com/articles/2651307270", "매물Link")</f>
        <v/>
      </c>
      <c r="M71" s="6">
        <f>HYPERLINK("https://map.naver.com/p/search/강내면 산단리 271", "지도Link")</f>
        <v/>
      </c>
      <c r="N71" s="6">
        <f>HYPERLINK("http://www.eum.go.kr/web/ar/lu/luLandDet.jsp?pnu=4311331025102710000&amp;isNoScr=script&amp;mode=search", "토지이음")</f>
        <v/>
      </c>
      <c r="O71" s="3" t="inlineStr">
        <is>
          <t>세종큰길</t>
        </is>
      </c>
      <c r="P71" s="4" t="n">
        <v>1</v>
      </c>
      <c r="Q71" s="4" t="n">
        <v>5470.6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275</t>
        </is>
      </c>
      <c r="B72" s="3" t="inlineStr">
        <is>
          <t>농림지역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45300</v>
      </c>
      <c r="G72" s="4" t="n">
        <v>3326</v>
      </c>
      <c r="H72" s="4" t="n">
        <v>1006</v>
      </c>
      <c r="I72" s="5" t="n">
        <v>45</v>
      </c>
      <c r="J72" s="5" t="n">
        <v>16.3</v>
      </c>
      <c r="K72" s="3" t="inlineStr">
        <is>
          <t>nan</t>
        </is>
      </c>
      <c r="L72" s="6">
        <f>HYPERLINK("https://fin.land.naver.com/articles/2651307501", "매물Link")</f>
        <v/>
      </c>
      <c r="M72" s="6">
        <f>HYPERLINK("https://map.naver.com/p/search/강내면 산단리 275", "지도Link")</f>
        <v/>
      </c>
      <c r="N72" s="6">
        <f>HYPERLINK("http://www.eum.go.kr/web/ar/lu/luLandDet.jsp?pnu=4311331025102750000&amp;isNoScr=script&amp;mode=search", "토지이음")</f>
        <v/>
      </c>
      <c r="O72" s="3" t="inlineStr">
        <is>
          <t>세종큰길</t>
        </is>
      </c>
      <c r="P72" s="4" t="n">
        <v>1</v>
      </c>
      <c r="Q72" s="4" t="n">
        <v>3326.8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산단리 278</t>
        </is>
      </c>
      <c r="B73" s="3" t="inlineStr">
        <is>
          <t>농림지역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54900</v>
      </c>
      <c r="G73" s="4" t="n">
        <v>4032</v>
      </c>
      <c r="H73" s="4" t="n">
        <v>1220</v>
      </c>
      <c r="I73" s="5" t="n">
        <v>45</v>
      </c>
      <c r="J73" s="5" t="n">
        <v>16.9</v>
      </c>
      <c r="K73" s="3" t="inlineStr">
        <is>
          <t>nan</t>
        </is>
      </c>
      <c r="L73" s="6">
        <f>HYPERLINK("https://fin.land.naver.com/articles/2651309612", "매물Link")</f>
        <v/>
      </c>
      <c r="M73" s="6">
        <f>HYPERLINK("https://map.naver.com/p/search/강내면 산단리 278", "지도Link")</f>
        <v/>
      </c>
      <c r="N73" s="6">
        <f>HYPERLINK("http://www.eum.go.kr/web/ar/lu/luLandDet.jsp?pnu=4311331025102780000&amp;isNoScr=script&amp;mode=search", "토지이음")</f>
        <v/>
      </c>
      <c r="O73" s="3" t="inlineStr">
        <is>
          <t>세종큰길</t>
        </is>
      </c>
      <c r="P73" s="4" t="n">
        <v>1</v>
      </c>
      <c r="Q73" s="4" t="n">
        <v>4032.6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세로각지(가)</t>
        </is>
      </c>
    </row>
    <row r="74">
      <c r="A74" s="3" t="inlineStr">
        <is>
          <t>강내면 산단리 309</t>
        </is>
      </c>
      <c r="B74" s="3" t="inlineStr">
        <is>
          <t>농림지역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39820</v>
      </c>
      <c r="G74" s="4" t="n">
        <v>2188</v>
      </c>
      <c r="H74" s="4" t="n">
        <v>662</v>
      </c>
      <c r="I74" s="5" t="n">
        <v>60.2</v>
      </c>
      <c r="J74" s="5" t="n">
        <v>20.9</v>
      </c>
      <c r="K74" s="3" t="inlineStr">
        <is>
          <t>2차선도로접 옆포장농로도로있음</t>
        </is>
      </c>
      <c r="L74" s="6">
        <f>HYPERLINK("https://fin.land.naver.com/articles/2650293981", "매물Link")</f>
        <v/>
      </c>
      <c r="M74" s="6">
        <f>HYPERLINK("https://map.naver.com/p/search/강내면 산단리 309", "지도Link")</f>
        <v/>
      </c>
      <c r="N74" s="6">
        <f>HYPERLINK("http://www.eum.go.kr/web/ar/lu/luLandDet.jsp?pnu=4311331025103090000&amp;isNoScr=script&amp;mode=search",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2188.2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소로각지</t>
        </is>
      </c>
    </row>
    <row r="75">
      <c r="A75" s="3" t="inlineStr">
        <is>
          <t>강내면 산단리 315</t>
        </is>
      </c>
      <c r="B75" s="3" t="inlineStr">
        <is>
          <t>농림지역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21000</v>
      </c>
      <c r="G75" s="4" t="n">
        <v>1981</v>
      </c>
      <c r="H75" s="4" t="n">
        <v>599</v>
      </c>
      <c r="I75" s="5" t="n">
        <v>35.1</v>
      </c>
      <c r="J75" s="5" t="n">
        <v>16.2</v>
      </c>
      <c r="K75" s="3" t="inlineStr">
        <is>
          <t>청주,세종,오송 인접 투자하기 좋은 물건</t>
        </is>
      </c>
      <c r="L75" s="6">
        <f>HYPERLINK("https://fin.land.naver.com/articles/2653356336", "매물Link")</f>
        <v/>
      </c>
      <c r="M75" s="6">
        <f>HYPERLINK("https://map.naver.com/p/search/강내면 산단리 315", "지도Link")</f>
        <v/>
      </c>
      <c r="N75" s="6">
        <f>HYPERLINK("http://www.eum.go.kr/web/ar/lu/luLandDet.jsp?pnu=4311331025103150000&amp;isNoScr=script&amp;mode=search", "토지이음")</f>
        <v/>
      </c>
      <c r="O75" s="3" t="inlineStr">
        <is>
          <t>-</t>
        </is>
      </c>
      <c r="P75" s="4" t="n">
        <v>1</v>
      </c>
      <c r="Q75" s="4" t="n">
        <v>1981.1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산단리 산26</t>
        </is>
      </c>
      <c r="B76" s="3" t="inlineStr">
        <is>
          <t>계획관리지역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407000</v>
      </c>
      <c r="G76" s="4" t="n">
        <v>12210</v>
      </c>
      <c r="H76" s="4" t="n">
        <v>3694</v>
      </c>
      <c r="I76" s="5" t="n">
        <v>110.2</v>
      </c>
      <c r="J76" s="5" t="n">
        <v>4.1</v>
      </c>
      <c r="K76" s="3" t="inlineStr">
        <is>
          <t>청주 강내면 산단리 조성완료부지 매매</t>
        </is>
      </c>
      <c r="L76" s="6">
        <f>HYPERLINK("https://fin.land.naver.com/articles/2650745443", "매물Link")</f>
        <v/>
      </c>
      <c r="M76" s="6">
        <f>HYPERLINK("https://map.naver.com/p/search/강내면 산단리 산26", "지도Link")</f>
        <v/>
      </c>
      <c r="N76" s="6">
        <f>HYPERLINK("http://www.eum.go.kr/web/ar/lu/luLandDet.jsp?pnu=4311331025200260000&amp;isNoScr=script&amp;mode=search", "토지이음")</f>
        <v/>
      </c>
      <c r="O76" s="3" t="inlineStr">
        <is>
          <t>일등</t>
        </is>
      </c>
      <c r="P76" s="4" t="n">
        <v>1</v>
      </c>
      <c r="Q76" s="4" t="n">
        <v>18923</v>
      </c>
      <c r="R76" s="3" t="inlineStr">
        <is>
          <t>보전관리지역</t>
        </is>
      </c>
      <c r="S76" s="3" t="inlineStr">
        <is>
          <t>자연림</t>
        </is>
      </c>
      <c r="T76" s="3" t="inlineStr">
        <is>
          <t>급경사</t>
        </is>
      </c>
      <c r="U76" s="3" t="inlineStr">
        <is>
          <t>부정형</t>
        </is>
      </c>
      <c r="V76" s="3" t="inlineStr">
        <is>
          <t>세로한면(불)</t>
        </is>
      </c>
    </row>
    <row r="77">
      <c r="A77" s="3" t="inlineStr">
        <is>
          <t>강내면 산단리 산26</t>
        </is>
      </c>
      <c r="B77" s="3" t="inlineStr">
        <is>
          <t>계획관리지역</t>
        </is>
      </c>
      <c r="C77" s="3" t="inlineStr">
        <is>
          <t>임야</t>
        </is>
      </c>
      <c r="D77" s="3" t="inlineStr">
        <is>
          <t>임야</t>
        </is>
      </c>
      <c r="E77" s="3" t="inlineStr">
        <is>
          <t>매매</t>
        </is>
      </c>
      <c r="F77" s="4" t="n">
        <v>926000</v>
      </c>
      <c r="G77" s="4" t="n">
        <v>31005</v>
      </c>
      <c r="H77" s="4" t="n">
        <v>9379</v>
      </c>
      <c r="I77" s="5" t="n">
        <v>98.7</v>
      </c>
      <c r="J77" s="5" t="n">
        <v>4.1</v>
      </c>
      <c r="K77" s="3" t="inlineStr">
        <is>
          <t>청주 하이테크산업단재 인근, 공장허가득, 토목공사 완료</t>
        </is>
      </c>
      <c r="L77" s="6">
        <f>HYPERLINK("https://fin.land.naver.com/articles/2651061747", "매물Link")</f>
        <v/>
      </c>
      <c r="M77" s="6">
        <f>HYPERLINK("https://map.naver.com/p/search/강내면 산단리 산26", "지도Link")</f>
        <v/>
      </c>
      <c r="N77" s="6">
        <f>HYPERLINK("http://www.eum.go.kr/web/ar/lu/luLandDet.jsp?pnu=4311331025200260000&amp;isNoScr=script&amp;mode=search", "토지이음")</f>
        <v/>
      </c>
      <c r="O77" s="3" t="inlineStr">
        <is>
          <t>플러스자이합동</t>
        </is>
      </c>
      <c r="P77" s="4" t="n">
        <v>2</v>
      </c>
      <c r="Q77" s="4" t="n">
        <v>18923</v>
      </c>
      <c r="R77" s="3" t="inlineStr">
        <is>
          <t>보전관리지역</t>
        </is>
      </c>
      <c r="S77" s="3" t="inlineStr">
        <is>
          <t>자연림</t>
        </is>
      </c>
      <c r="T77" s="3" t="inlineStr">
        <is>
          <t>급경사</t>
        </is>
      </c>
      <c r="U77" s="3" t="inlineStr">
        <is>
          <t>부정형</t>
        </is>
      </c>
      <c r="V77" s="3" t="inlineStr">
        <is>
          <t>세로한면(불)</t>
        </is>
      </c>
    </row>
    <row r="78">
      <c r="A78" s="3" t="inlineStr">
        <is>
          <t>강내면 산단리 산41-2</t>
        </is>
      </c>
      <c r="B78" s="3" t="inlineStr">
        <is>
          <t>보전관리지역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50000</v>
      </c>
      <c r="G78" s="4" t="n">
        <v>6615</v>
      </c>
      <c r="H78" s="4" t="n">
        <v>2001</v>
      </c>
      <c r="I78" s="5" t="n">
        <v>25</v>
      </c>
      <c r="J78" s="5" t="n">
        <v>3.1</v>
      </c>
      <c r="K78" s="3" t="inlineStr">
        <is>
          <t>5m 아스팔트 도로접한 완만한 야산, 주변 산업단지 개발등 호재지역.</t>
        </is>
      </c>
      <c r="L78" s="6">
        <f>HYPERLINK("https://fin.land.naver.com/articles/2652326769", "매물Link")</f>
        <v/>
      </c>
      <c r="M78" s="6">
        <f>HYPERLINK("https://map.naver.com/p/search/강내면 산단리 산41-2", "지도Link")</f>
        <v/>
      </c>
      <c r="N78" s="6">
        <f>HYPERLINK("http://www.eum.go.kr/web/ar/lu/luLandDet.jsp?pnu=4311331025200410002&amp;isNoScr=script&amp;mode=search", "토지이음")</f>
        <v/>
      </c>
      <c r="O78" s="3" t="inlineStr">
        <is>
          <t>엘림</t>
        </is>
      </c>
      <c r="P78" s="4" t="n">
        <v>1</v>
      </c>
      <c r="Q78" s="4" t="n">
        <v>6615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급경사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산단리 산9-12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임야</t>
        </is>
      </c>
      <c r="E79" s="3" t="inlineStr">
        <is>
          <t>매매</t>
        </is>
      </c>
      <c r="F79" s="4" t="n">
        <v>272550</v>
      </c>
      <c r="G79" s="4" t="n">
        <v>6007</v>
      </c>
      <c r="H79" s="4" t="n">
        <v>1817</v>
      </c>
      <c r="I79" s="5" t="n">
        <v>150</v>
      </c>
      <c r="J79" s="5" t="n">
        <v>6.3</v>
      </c>
      <c r="K79" s="3" t="inlineStr">
        <is>
          <t>계획관리지역 공장으로허가득 토목완료하였음 총면적은 지적상으로함</t>
        </is>
      </c>
      <c r="L79" s="6">
        <f>HYPERLINK("https://fin.land.naver.com/articles/2655104240", "매물Link")</f>
        <v/>
      </c>
      <c r="M79" s="6">
        <f>HYPERLINK("https://map.naver.com/p/search/강내면 산단리 산9-12", "지도Link")</f>
        <v/>
      </c>
      <c r="N79" s="6">
        <f>HYPERLINK("http://www.eum.go.kr/web/ar/lu/luLandDet.jsp?pnu=4311331025200090012&amp;isNoScr=script&amp;mode=search", "토지이음")</f>
        <v/>
      </c>
      <c r="O79" s="3" t="inlineStr">
        <is>
          <t>한진인사무소</t>
        </is>
      </c>
      <c r="P79" s="4" t="n">
        <v>1</v>
      </c>
      <c r="Q79" s="4" t="n">
        <v>4559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10-11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대</t>
        </is>
      </c>
      <c r="E80" s="3" t="inlineStr">
        <is>
          <t>매매</t>
        </is>
      </c>
      <c r="F80" s="4" t="n">
        <v>25000</v>
      </c>
      <c r="G80" s="4" t="n">
        <v>558</v>
      </c>
      <c r="H80" s="4" t="n">
        <v>169</v>
      </c>
      <c r="I80" s="5" t="n">
        <v>147.9</v>
      </c>
      <c r="J80" s="5" t="n">
        <v>27</v>
      </c>
      <c r="K80" s="3" t="inlineStr">
        <is>
          <t>전원주택 착공</t>
        </is>
      </c>
      <c r="L80" s="6">
        <f>HYPERLINK("https://fin.land.naver.com/articles/2650555711", "매물Link")</f>
        <v/>
      </c>
      <c r="M80" s="6">
        <f>HYPERLINK("https://map.naver.com/p/search/강내면 석화리 10-11", "지도Link")</f>
        <v/>
      </c>
      <c r="N80" s="6">
        <f>HYPERLINK("http://www.eum.go.kr/web/ar/lu/luLandDet.jsp?pnu=4311331032100100011&amp;isNoScr=script&amp;mode=search", "토지이음")</f>
        <v/>
      </c>
      <c r="O80" s="3" t="inlineStr">
        <is>
          <t>현담</t>
        </is>
      </c>
      <c r="P80" s="4" t="n">
        <v>1</v>
      </c>
      <c r="Q80" s="4" t="n">
        <v>558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석화리 10-3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18000</v>
      </c>
      <c r="G81" s="4" t="n">
        <v>400</v>
      </c>
      <c r="H81" s="4" t="n">
        <v>121</v>
      </c>
      <c r="I81" s="5" t="n">
        <v>148.8</v>
      </c>
      <c r="J81" s="5" t="n">
        <v>34.7</v>
      </c>
      <c r="K81" s="3" t="inlineStr">
        <is>
          <t>급매매, 흥덕구청 인접, 전원주택부지 추천</t>
        </is>
      </c>
      <c r="L81" s="6">
        <f>HYPERLINK("https://fin.land.naver.com/articles/2652864063", "매물Link")</f>
        <v/>
      </c>
      <c r="M81" s="6">
        <f>HYPERLINK("https://map.naver.com/p/search/강내면 석화리 10-3", "지도Link")</f>
        <v/>
      </c>
      <c r="N81" s="6">
        <f>HYPERLINK("http://www.eum.go.kr/web/ar/lu/luLandDet.jsp?pnu=4311331032100100003&amp;isNoScr=script&amp;mode=search", "토지이음")</f>
        <v/>
      </c>
      <c r="O81" s="3" t="inlineStr">
        <is>
          <t>뉴대원합동사무소</t>
        </is>
      </c>
      <c r="P81" s="4" t="n">
        <v>1</v>
      </c>
      <c r="Q81" s="4" t="n">
        <v>400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석화리 117-3</t>
        </is>
      </c>
      <c r="B82" s="3" t="inlineStr">
        <is>
          <t>자연녹지지역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13390</v>
      </c>
      <c r="G82" s="4" t="n">
        <v>340</v>
      </c>
      <c r="H82" s="4" t="n">
        <v>103</v>
      </c>
      <c r="I82" s="5" t="n">
        <v>130</v>
      </c>
      <c r="J82" s="5" t="n">
        <v>57.2</v>
      </c>
      <c r="K82" s="3" t="inlineStr">
        <is>
          <t>마을 가운데 조용히 전원생활 하실분 강추</t>
        </is>
      </c>
      <c r="L82" s="6">
        <f>HYPERLINK("https://fin.land.naver.com/articles/2653269927", "매물Link")</f>
        <v/>
      </c>
      <c r="M82" s="6">
        <f>HYPERLINK("https://map.naver.com/p/search/강내면 석화리 117-3", "지도Link")</f>
        <v/>
      </c>
      <c r="N82" s="6">
        <f>HYPERLINK("http://www.eum.go.kr/web/ar/lu/luLandDet.jsp?pnu=4311331032101170003&amp;isNoScr=script&amp;mode=search", "토지이음")</f>
        <v/>
      </c>
      <c r="O82" s="3" t="inlineStr">
        <is>
          <t>프로</t>
        </is>
      </c>
      <c r="P82" s="4" t="n">
        <v>1</v>
      </c>
      <c r="Q82" s="4" t="n">
        <v>340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석화리 196-6</t>
        </is>
      </c>
      <c r="B83" s="3" t="inlineStr">
        <is>
          <t>자연녹지지역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53000</v>
      </c>
      <c r="G83" s="4" t="n">
        <v>2731</v>
      </c>
      <c r="H83" s="4" t="n">
        <v>826</v>
      </c>
      <c r="I83" s="5" t="n">
        <v>64.2</v>
      </c>
      <c r="J83" s="5" t="n">
        <v>32.9</v>
      </c>
      <c r="K83" s="3" t="inlineStr">
        <is>
          <t>도시지역 자연녹지지역 투자가치우수</t>
        </is>
      </c>
      <c r="L83" s="6">
        <f>HYPERLINK("https://fin.land.naver.com/articles/2651674330", "매물Link")</f>
        <v/>
      </c>
      <c r="M83" s="6">
        <f>HYPERLINK("https://map.naver.com/p/search/강내면 석화리 196-6", "지도Link")</f>
        <v/>
      </c>
      <c r="N83" s="6">
        <f>HYPERLINK("http://www.eum.go.kr/web/ar/lu/luLandDet.jsp?pnu=4311331032101960006&amp;isNoScr=script&amp;mode=search", "토지이음")</f>
        <v/>
      </c>
      <c r="O83" s="3" t="inlineStr">
        <is>
          <t>오송원</t>
        </is>
      </c>
      <c r="P83" s="4" t="n">
        <v>1</v>
      </c>
      <c r="Q83" s="4" t="n">
        <v>2731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석화리 23</t>
        </is>
      </c>
      <c r="B84" s="3" t="inlineStr">
        <is>
          <t>자연녹지지역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209600</v>
      </c>
      <c r="G84" s="4" t="n">
        <v>3466</v>
      </c>
      <c r="H84" s="4" t="n">
        <v>1048</v>
      </c>
      <c r="I84" s="5" t="n">
        <v>200</v>
      </c>
      <c r="J84" s="5" t="n">
        <v>58</v>
      </c>
      <c r="K84" s="3" t="inlineStr">
        <is>
          <t>투자가치 좋은 곳 자연녹지 현재 제조업</t>
        </is>
      </c>
      <c r="L84" s="6">
        <f>HYPERLINK("https://fin.land.naver.com/articles/2654719768", "매물Link")</f>
        <v/>
      </c>
      <c r="M84" s="6">
        <f>HYPERLINK("https://map.naver.com/p/search/강내면 석화리 23", "지도Link")</f>
        <v/>
      </c>
      <c r="N84" s="6">
        <f>HYPERLINK("http://www.eum.go.kr/web/ar/lu/luLandDet.jsp?pnu=4311331032100230000&amp;isNoScr=script&amp;mode=search", "토지이음")</f>
        <v/>
      </c>
      <c r="O84" s="3" t="inlineStr">
        <is>
          <t>(주)정민근</t>
        </is>
      </c>
      <c r="P84" s="4" t="n">
        <v>1</v>
      </c>
      <c r="Q84" s="4" t="n">
        <v>2821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석화리 297</t>
        </is>
      </c>
      <c r="B85" s="3" t="inlineStr">
        <is>
          <t>보전관리지역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306000</v>
      </c>
      <c r="G85" s="4" t="n">
        <v>4043</v>
      </c>
      <c r="H85" s="4" t="n">
        <v>1223</v>
      </c>
      <c r="I85" s="5" t="n">
        <v>250.2</v>
      </c>
      <c r="J85" s="5" t="n">
        <v>45.2</v>
      </c>
      <c r="K85" s="3" t="inlineStr">
        <is>
          <t>본 토지 옆 건물과 일괄매매 미호강에 접한 희소성 높은 토지</t>
        </is>
      </c>
      <c r="L85" s="6">
        <f>HYPERLINK("https://fin.land.naver.com/articles/2651574700", "매물Link")</f>
        <v/>
      </c>
      <c r="M85" s="6">
        <f>HYPERLINK("https://map.naver.com/p/search/강내면 석화리 297", "지도Link")</f>
        <v/>
      </c>
      <c r="N85" s="6">
        <f>HYPERLINK("http://www.eum.go.kr/web/ar/lu/luLandDet.jsp?pnu=4311331032102970000&amp;isNoScr=script&amp;mode=search", "토지이음")</f>
        <v/>
      </c>
      <c r="O85" s="3" t="inlineStr">
        <is>
          <t>여기로</t>
        </is>
      </c>
      <c r="P85" s="4" t="n">
        <v>1</v>
      </c>
      <c r="Q85" s="4" t="n">
        <v>3522</v>
      </c>
      <c r="R85" s="3" t="inlineStr">
        <is>
          <t>자연녹지지역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석화리 84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38700</v>
      </c>
      <c r="G86" s="4" t="n">
        <v>1709</v>
      </c>
      <c r="H86" s="4" t="n">
        <v>517</v>
      </c>
      <c r="I86" s="5" t="n">
        <v>74.90000000000001</v>
      </c>
      <c r="J86" s="5" t="n">
        <v>25.7</v>
      </c>
      <c r="K86" s="3" t="inlineStr">
        <is>
          <t>흥덕구청 인근, 농사지으면서 투자 가능한 농지, 생산녹지, 진흥구역</t>
        </is>
      </c>
      <c r="L86" s="6">
        <f>HYPERLINK("https://fin.land.naver.com/articles/2654700738", "매물Link")</f>
        <v/>
      </c>
      <c r="M86" s="6">
        <f>HYPERLINK("https://map.naver.com/p/search/강내면 석화리 84", "지도Link")</f>
        <v/>
      </c>
      <c r="N86" s="6">
        <f>HYPERLINK("http://www.eum.go.kr/web/ar/lu/luLandDet.jsp?pnu=4311331032100840000&amp;isNoScr=script&amp;mode=search",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1706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석화리 89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85000</v>
      </c>
      <c r="G87" s="4" t="n">
        <v>3191</v>
      </c>
      <c r="H87" s="4" t="n">
        <v>965</v>
      </c>
      <c r="I87" s="5" t="n">
        <v>88.09999999999999</v>
      </c>
      <c r="J87" s="5" t="n">
        <v>25.7</v>
      </c>
      <c r="K87" s="3" t="inlineStr">
        <is>
          <t>조율가능 흥덕구청 신청사인근 투자용 대토용</t>
        </is>
      </c>
      <c r="L87" s="6">
        <f>HYPERLINK("https://fin.land.naver.com/articles/2651086909", "매물Link")</f>
        <v/>
      </c>
      <c r="M87" s="6">
        <f>HYPERLINK("https://map.naver.com/p/search/강내면 석화리 89", "지도Link")</f>
        <v/>
      </c>
      <c r="N87" s="6">
        <f>HYPERLINK("http://www.eum.go.kr/web/ar/lu/luLandDet.jsp?pnu=4311331032100890000&amp;isNoScr=script&amp;mode=search", "토지이음")</f>
        <v/>
      </c>
      <c r="O87" s="3" t="inlineStr">
        <is>
          <t>세종스타</t>
        </is>
      </c>
      <c r="P87" s="4" t="n">
        <v>1</v>
      </c>
      <c r="Q87" s="4" t="n">
        <v>2949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세로한면(가)</t>
        </is>
      </c>
    </row>
    <row r="88">
      <c r="A88" s="3" t="inlineStr">
        <is>
          <t>강내면 석화리 99-2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12000</v>
      </c>
      <c r="G88" s="4" t="n">
        <v>394</v>
      </c>
      <c r="H88" s="4" t="n">
        <v>119</v>
      </c>
      <c r="I88" s="5" t="n">
        <v>100.8</v>
      </c>
      <c r="J88" s="5" t="n">
        <v>25.5</v>
      </c>
      <c r="K88" s="3" t="inlineStr">
        <is>
          <t>nan</t>
        </is>
      </c>
      <c r="L88" s="6">
        <f>HYPERLINK("https://fin.land.naver.com/articles/2653084393", "매물Link")</f>
        <v/>
      </c>
      <c r="M88" s="6">
        <f>HYPERLINK("https://map.naver.com/p/search/강내면 석화리 99-2", "지도Link")</f>
        <v/>
      </c>
      <c r="N88" s="6">
        <f>HYPERLINK("http://www.eum.go.kr/web/ar/lu/luLandDet.jsp?pnu=4311331032100990002&amp;isNoScr=script&amp;mode=search", "토지이음")</f>
        <v/>
      </c>
      <c r="O88" s="3" t="inlineStr">
        <is>
          <t>현담</t>
        </is>
      </c>
      <c r="P88" s="4" t="n">
        <v>2</v>
      </c>
      <c r="Q88" s="4" t="n">
        <v>394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142-4</t>
        </is>
      </c>
      <c r="B89" s="3" t="inlineStr">
        <is>
          <t>계획관리지역</t>
        </is>
      </c>
      <c r="C89" s="3" t="inlineStr">
        <is>
          <t>잡종지</t>
        </is>
      </c>
      <c r="D89" s="3" t="inlineStr">
        <is>
          <t>잡종지</t>
        </is>
      </c>
      <c r="E89" s="3" t="inlineStr">
        <is>
          <t>매매</t>
        </is>
      </c>
      <c r="F89" s="4" t="n">
        <v>172800</v>
      </c>
      <c r="G89" s="4" t="n">
        <v>5712</v>
      </c>
      <c r="H89" s="4" t="n">
        <v>1728</v>
      </c>
      <c r="I89" s="5" t="n">
        <v>100</v>
      </c>
      <c r="J89" s="5" t="n">
        <v>47.7</v>
      </c>
      <c r="K89" s="3" t="inlineStr">
        <is>
          <t>청주IC인근 공장, 창고 등 활용도 좋은 토지</t>
        </is>
      </c>
      <c r="L89" s="6">
        <f>HYPERLINK("https://fin.land.naver.com/articles/2653660276", "매물Link")</f>
        <v/>
      </c>
      <c r="M89" s="6">
        <f>HYPERLINK("https://map.naver.com/p/search/강내면 연정리 142-4", "지도Link")</f>
        <v/>
      </c>
      <c r="N89" s="6">
        <f>HYPERLINK("http://www.eum.go.kr/web/ar/lu/luLandDet.jsp?pnu=4311331021101420004&amp;isNoScr=script&amp;mode=search", "토지이음")</f>
        <v/>
      </c>
      <c r="O89" s="3" t="inlineStr">
        <is>
          <t>(주)미르</t>
        </is>
      </c>
      <c r="P89" s="4" t="n">
        <v>2</v>
      </c>
      <c r="Q89" s="4" t="n">
        <v>106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완경사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연정리 157-2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32880</v>
      </c>
      <c r="G90" s="4" t="n">
        <v>906</v>
      </c>
      <c r="H90" s="4" t="n">
        <v>274</v>
      </c>
      <c r="I90" s="5" t="n">
        <v>120</v>
      </c>
      <c r="J90" s="5" t="n">
        <v>55.4</v>
      </c>
      <c r="K90" s="3" t="inlineStr">
        <is>
          <t>도로 접한 계획관리, 상수도, 전기 가능</t>
        </is>
      </c>
      <c r="L90" s="6">
        <f>HYPERLINK("https://fin.land.naver.com/articles/2653530149", "매물Link")</f>
        <v/>
      </c>
      <c r="M90" s="6">
        <f>HYPERLINK("https://map.naver.com/p/search/강내면 연정리 157-2", "지도Link")</f>
        <v/>
      </c>
      <c r="N90" s="6">
        <f>HYPERLINK("http://www.eum.go.kr/web/ar/lu/luLandDet.jsp?pnu=4311331021101570002&amp;isNoScr=script&amp;mode=search", "토지이음")</f>
        <v/>
      </c>
      <c r="O90" s="3" t="inlineStr">
        <is>
          <t>황제</t>
        </is>
      </c>
      <c r="P90" s="4" t="n">
        <v>1</v>
      </c>
      <c r="Q90" s="4" t="n">
        <v>906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연정리 160-1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공장용지</t>
        </is>
      </c>
      <c r="E91" s="3" t="inlineStr">
        <is>
          <t>매매</t>
        </is>
      </c>
      <c r="F91" s="4" t="n">
        <v>288000</v>
      </c>
      <c r="G91" s="4" t="n">
        <v>4142</v>
      </c>
      <c r="H91" s="4" t="n">
        <v>1253</v>
      </c>
      <c r="I91" s="5" t="n">
        <v>229.8</v>
      </c>
      <c r="J91" s="5" t="n">
        <v>51.7</v>
      </c>
      <c r="K91" s="3" t="inlineStr">
        <is>
          <t>공장용지로 현재 컨테이너 야적장으로 사용중입니다</t>
        </is>
      </c>
      <c r="L91" s="6">
        <f>HYPERLINK("https://fin.land.naver.com/articles/2653099334", "매물Link")</f>
        <v/>
      </c>
      <c r="M91" s="6">
        <f>HYPERLINK("https://map.naver.com/p/search/강내면 연정리 160-1", "지도Link")</f>
        <v/>
      </c>
      <c r="N91" s="6">
        <f>HYPERLINK("http://www.eum.go.kr/web/ar/lu/luLandDet.jsp?pnu=4311331021101600001&amp;isNoScr=script&amp;mode=search", "토지이음")</f>
        <v/>
      </c>
      <c r="O91" s="3" t="inlineStr">
        <is>
          <t>복댕이</t>
        </is>
      </c>
      <c r="P91" s="4" t="n">
        <v>1</v>
      </c>
      <c r="Q91" s="4" t="n">
        <v>2870</v>
      </c>
      <c r="R91" s="3" t="inlineStr">
        <is>
          <t>지정되지않음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연정리 18-1</t>
        </is>
      </c>
      <c r="B92" s="3" t="inlineStr">
        <is>
          <t>계획관리지역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63000</v>
      </c>
      <c r="G92" s="4" t="n">
        <v>1300</v>
      </c>
      <c r="H92" s="4" t="n">
        <v>393</v>
      </c>
      <c r="I92" s="5" t="n">
        <v>160.3</v>
      </c>
      <c r="J92" s="5" t="n">
        <v>27</v>
      </c>
      <c r="K92" s="3" t="inlineStr">
        <is>
          <t>4차선및 8M도로 코너접 신설강내ic 바로부근</t>
        </is>
      </c>
      <c r="L92" s="6">
        <f>HYPERLINK("https://fin.land.naver.com/articles/2650436238", "매물Link")</f>
        <v/>
      </c>
      <c r="M92" s="6">
        <f>HYPERLINK("https://map.naver.com/p/search/강내면 연정리 18-1", "지도Link")</f>
        <v/>
      </c>
      <c r="N92" s="6">
        <f>HYPERLINK("http://www.eum.go.kr/web/ar/lu/luLandDet.jsp?pnu=4311331021100180001&amp;isNoScr=script&amp;mode=search", "토지이음")</f>
        <v/>
      </c>
      <c r="O92" s="3" t="inlineStr">
        <is>
          <t>플러스태양</t>
        </is>
      </c>
      <c r="P92" s="4" t="n">
        <v>1</v>
      </c>
      <c r="Q92" s="4" t="n">
        <v>1299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세로한면(불)</t>
        </is>
      </c>
    </row>
    <row r="93">
      <c r="A93" s="3" t="inlineStr">
        <is>
          <t>강내면 연정리 206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119000</v>
      </c>
      <c r="G93" s="4" t="n">
        <v>2916</v>
      </c>
      <c r="H93" s="4" t="n">
        <v>882</v>
      </c>
      <c r="I93" s="5" t="n">
        <v>134.9</v>
      </c>
      <c r="J93" s="5" t="n">
        <v>21.7</v>
      </c>
      <c r="K93" s="3" t="inlineStr">
        <is>
          <t>2차선 2차선 코너도로접 강내ic 바로인접지역</t>
        </is>
      </c>
      <c r="L93" s="6">
        <f>HYPERLINK("https://fin.land.naver.com/articles/2650429532", "매물Link")</f>
        <v/>
      </c>
      <c r="M93" s="6">
        <f>HYPERLINK("https://map.naver.com/p/search/강내면 연정리 206", "지도Link")</f>
        <v/>
      </c>
      <c r="N93" s="6">
        <f>HYPERLINK("http://www.eum.go.kr/web/ar/lu/luLandDet.jsp?pnu=4311331021102060000&amp;isNoScr=script&amp;mode=search", "토지이음")</f>
        <v/>
      </c>
      <c r="O93" s="3" t="inlineStr">
        <is>
          <t>플러스태양</t>
        </is>
      </c>
      <c r="P93" s="4" t="n">
        <v>1</v>
      </c>
      <c r="Q93" s="4" t="n">
        <v>2815</v>
      </c>
      <c r="R93" s="3" t="inlineStr">
        <is>
          <t>지정되지않음</t>
        </is>
      </c>
      <c r="S93" s="3" t="inlineStr">
        <is>
          <t>전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연정리 산3-4</t>
        </is>
      </c>
      <c r="B94" s="3" t="inlineStr">
        <is>
          <t>계획관리지역</t>
        </is>
      </c>
      <c r="C94" s="3" t="inlineStr">
        <is>
          <t>임야</t>
        </is>
      </c>
      <c r="D94" s="3" t="inlineStr">
        <is>
          <t>대</t>
        </is>
      </c>
      <c r="E94" s="3" t="inlineStr">
        <is>
          <t>매매</t>
        </is>
      </c>
      <c r="F94" s="4" t="n">
        <v>16320</v>
      </c>
      <c r="G94" s="4" t="n">
        <v>899</v>
      </c>
      <c r="H94" s="4" t="n">
        <v>272</v>
      </c>
      <c r="I94" s="5" t="n">
        <v>60</v>
      </c>
      <c r="J94" s="5" t="n">
        <v>6.4</v>
      </c>
      <c r="K94" s="3" t="inlineStr">
        <is>
          <t>토목완료 건축허가득 정남향 급매</t>
        </is>
      </c>
      <c r="L94" s="6">
        <f>HYPERLINK("https://fin.land.naver.com/articles/2650887261", "매물Link")</f>
        <v/>
      </c>
      <c r="M94" s="6">
        <f>HYPERLINK("https://map.naver.com/p/search/강내면 연정리 산3-4", "지도Link")</f>
        <v/>
      </c>
      <c r="N94" s="6">
        <f>HYPERLINK("http://www.eum.go.kr/web/ar/lu/luLandDet.jsp?pnu=4311331021200030004&amp;isNoScr=script&amp;mode=search", "토지이음")</f>
        <v/>
      </c>
      <c r="O94" s="3" t="inlineStr">
        <is>
          <t>플러스태양</t>
        </is>
      </c>
      <c r="P94" s="4" t="n">
        <v>1</v>
      </c>
      <c r="Q94" s="4" t="n">
        <v>898</v>
      </c>
      <c r="R94" s="3" t="inlineStr">
        <is>
          <t>지정되지않음</t>
        </is>
      </c>
      <c r="S94" s="3" t="inlineStr">
        <is>
          <t>자연림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연정리 산3-4</t>
        </is>
      </c>
      <c r="B95" s="3" t="inlineStr">
        <is>
          <t>계획관리지역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6000</v>
      </c>
      <c r="G95" s="4" t="n">
        <v>396</v>
      </c>
      <c r="H95" s="4" t="n">
        <v>120</v>
      </c>
      <c r="I95" s="5" t="n">
        <v>50</v>
      </c>
      <c r="J95" s="5" t="n">
        <v>6.4</v>
      </c>
      <c r="K95" s="3" t="inlineStr">
        <is>
          <t>매매 청주 흥덕구 강내면 연정리 임야</t>
        </is>
      </c>
      <c r="L95" s="6">
        <f>HYPERLINK("https://fin.land.naver.com/articles/2652090474", "매물Link")</f>
        <v/>
      </c>
      <c r="M95" s="6">
        <f>HYPERLINK("https://map.naver.com/p/search/강내면 연정리 산3-4", "지도Link")</f>
        <v/>
      </c>
      <c r="N95" s="6">
        <f>HYPERLINK("http://www.eum.go.kr/web/ar/lu/luLandDet.jsp?pnu=4311331021200030004&amp;isNoScr=script&amp;mode=search", "토지이음")</f>
        <v/>
      </c>
      <c r="O95" s="3" t="inlineStr">
        <is>
          <t>일등</t>
        </is>
      </c>
      <c r="P95" s="4" t="n">
        <v>1</v>
      </c>
      <c r="Q95" s="4" t="n">
        <v>898</v>
      </c>
      <c r="R95" s="3" t="inlineStr">
        <is>
          <t>지정되지않음</t>
        </is>
      </c>
      <c r="S95" s="3" t="inlineStr">
        <is>
          <t>자연림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월곡리 129-2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73200</v>
      </c>
      <c r="G96" s="4" t="n">
        <v>808</v>
      </c>
      <c r="H96" s="4" t="n">
        <v>244</v>
      </c>
      <c r="I96" s="5" t="n">
        <v>300</v>
      </c>
      <c r="J96" s="5" t="n">
        <v>41.6</v>
      </c>
      <c r="K96" s="3" t="inlineStr">
        <is>
          <t>한면이 도시계획 계획 도로에 접함, 900여세대 아파트 배후지</t>
        </is>
      </c>
      <c r="L96" s="6">
        <f>HYPERLINK("https://fin.land.naver.com/articles/2654699619", "매물Link")</f>
        <v/>
      </c>
      <c r="M96" s="6">
        <f>HYPERLINK("https://map.naver.com/p/search/강내면 월곡리 129-2", "지도Link")</f>
        <v/>
      </c>
      <c r="N96" s="6">
        <f>HYPERLINK("http://www.eum.go.kr/web/ar/lu/luLandDet.jsp?pnu=4311331034101290002&amp;isNoScr=script&amp;mode=search",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611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139-5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38000</v>
      </c>
      <c r="G97" s="4" t="n">
        <v>342</v>
      </c>
      <c r="H97" s="4" t="n">
        <v>103</v>
      </c>
      <c r="I97" s="5" t="n">
        <v>368.9</v>
      </c>
      <c r="J97" s="5" t="n">
        <v>153.2</v>
      </c>
      <c r="K97" s="3" t="inlineStr">
        <is>
          <t>대 , 성토완료 , 진입도로 있음  , 주택부지 추천</t>
        </is>
      </c>
      <c r="L97" s="6">
        <f>HYPERLINK("https://fin.land.naver.com/articles/2651978767", "매물Link")</f>
        <v/>
      </c>
      <c r="M97" s="6">
        <f>HYPERLINK("https://map.naver.com/p/search/강내면 월곡리 139-5", "지도Link")</f>
        <v/>
      </c>
      <c r="N97" s="6">
        <f>HYPERLINK("http://www.eum.go.kr/web/ar/lu/luLandDet.jsp?pnu=4311331034101390005&amp;isNoScr=script&amp;mode=search", "토지이음")</f>
        <v/>
      </c>
      <c r="O97" s="3" t="inlineStr">
        <is>
          <t>센트럴</t>
        </is>
      </c>
      <c r="P97" s="4" t="n">
        <v>1</v>
      </c>
      <c r="Q97" s="4" t="n">
        <v>342</v>
      </c>
      <c r="R97" s="3" t="inlineStr">
        <is>
          <t>지정되지않음</t>
        </is>
      </c>
      <c r="S97" s="3" t="inlineStr">
        <is>
          <t>단독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181</t>
        </is>
      </c>
      <c r="B98" s="3" t="inlineStr">
        <is>
          <t>생산녹지지역</t>
        </is>
      </c>
      <c r="C98" s="3" t="inlineStr">
        <is>
          <t>공장용지</t>
        </is>
      </c>
      <c r="D98" s="3" t="inlineStr">
        <is>
          <t>대</t>
        </is>
      </c>
      <c r="E98" s="3" t="inlineStr">
        <is>
          <t>매매</t>
        </is>
      </c>
      <c r="F98" s="4" t="n">
        <v>445000</v>
      </c>
      <c r="G98" s="4" t="n">
        <v>2271</v>
      </c>
      <c r="H98" s="4" t="n">
        <v>687</v>
      </c>
      <c r="I98" s="5" t="n">
        <v>647.7</v>
      </c>
      <c r="J98" s="5" t="n">
        <v>132.8</v>
      </c>
      <c r="K98" s="3" t="inlineStr">
        <is>
          <t>nan</t>
        </is>
      </c>
      <c r="L98" s="6">
        <f>HYPERLINK("https://fin.land.naver.com/articles/2649588199", "매물Link")</f>
        <v/>
      </c>
      <c r="M98" s="6">
        <f>HYPERLINK("https://map.naver.com/p/search/강내면 월곡리 181", "지도Link")</f>
        <v/>
      </c>
      <c r="N98" s="6">
        <f>HYPERLINK("http://www.eum.go.kr/web/ar/lu/luLandDet.jsp?pnu=4311331034101810000&amp;isNoScr=script&amp;mode=search", "토지이음")</f>
        <v/>
      </c>
      <c r="O98" s="3" t="inlineStr">
        <is>
          <t>세종땅전문</t>
        </is>
      </c>
      <c r="P98" s="4" t="n">
        <v>1</v>
      </c>
      <c r="Q98" s="4" t="n">
        <v>2175</v>
      </c>
      <c r="R98" s="3" t="inlineStr">
        <is>
          <t>자연녹지지역</t>
        </is>
      </c>
      <c r="S98" s="3" t="inlineStr">
        <is>
          <t>공업용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194-1</t>
        </is>
      </c>
      <c r="B99" s="3" t="inlineStr">
        <is>
          <t>생산녹지지역</t>
        </is>
      </c>
      <c r="C99" s="3" t="inlineStr">
        <is>
          <t>답</t>
        </is>
      </c>
      <c r="D99" s="3" t="inlineStr">
        <is>
          <t>대</t>
        </is>
      </c>
      <c r="E99" s="3" t="inlineStr">
        <is>
          <t>매매</t>
        </is>
      </c>
      <c r="F99" s="4" t="n">
        <v>190000</v>
      </c>
      <c r="G99" s="4" t="n">
        <v>5113</v>
      </c>
      <c r="H99" s="4" t="n">
        <v>1547</v>
      </c>
      <c r="I99" s="5" t="n">
        <v>122.8</v>
      </c>
      <c r="J99" s="5" t="n">
        <v>30.9</v>
      </c>
      <c r="K99" s="3" t="inlineStr">
        <is>
          <t>흥덕구청 주변의 충청대 진입로 옆 대로변입니다.</t>
        </is>
      </c>
      <c r="L99" s="6">
        <f>HYPERLINK("https://fin.land.naver.com/articles/2649766878", "매물Link")</f>
        <v/>
      </c>
      <c r="M99" s="6">
        <f>HYPERLINK("https://map.naver.com/p/search/강내면 월곡리 194-1", "지도Link")</f>
        <v/>
      </c>
      <c r="N99" s="6">
        <f>HYPERLINK("http://www.eum.go.kr/web/ar/lu/luLandDet.jsp?pnu=4311331034101940001&amp;isNoScr=script&amp;mode=search", "토지이음")</f>
        <v/>
      </c>
      <c r="O99" s="3" t="inlineStr">
        <is>
          <t>현대</t>
        </is>
      </c>
      <c r="P99" s="4" t="n">
        <v>1</v>
      </c>
      <c r="Q99" s="4" t="n">
        <v>1915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세로장방</t>
        </is>
      </c>
      <c r="V99" s="3" t="inlineStr">
        <is>
          <t>세로한면(가)</t>
        </is>
      </c>
    </row>
    <row r="100">
      <c r="A100" s="3" t="inlineStr">
        <is>
          <t>강내면 월곡리 208-1</t>
        </is>
      </c>
      <c r="B100" s="3" t="inlineStr">
        <is>
          <t>생산녹지지역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88000</v>
      </c>
      <c r="G100" s="4" t="n">
        <v>2434</v>
      </c>
      <c r="H100" s="4" t="n">
        <v>736</v>
      </c>
      <c r="I100" s="5" t="n">
        <v>119.6</v>
      </c>
      <c r="J100" s="5" t="n">
        <v>30.6</v>
      </c>
      <c r="K100" s="3" t="inlineStr">
        <is>
          <t>도시지역 생산녹지지역 흥덕구청  충청전문대 있는 인근  투자가치 뿜뿜</t>
        </is>
      </c>
      <c r="L100" s="6">
        <f>HYPERLINK("https://fin.land.naver.com/articles/2651291195", "매물Link")</f>
        <v/>
      </c>
      <c r="M100" s="6">
        <f>HYPERLINK("https://map.naver.com/p/search/강내면 월곡리 208-1", "지도Link")</f>
        <v/>
      </c>
      <c r="N100" s="6">
        <f>HYPERLINK("http://www.eum.go.kr/web/ar/lu/luLandDet.jsp?pnu=4311331034102080001&amp;isNoScr=script&amp;mode=search", "토지이음")</f>
        <v/>
      </c>
      <c r="O100" s="3" t="inlineStr">
        <is>
          <t>오송퍼스트영웅</t>
        </is>
      </c>
      <c r="P100" s="4" t="n">
        <v>1</v>
      </c>
      <c r="Q100" s="4" t="n">
        <v>2291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세로장방</t>
        </is>
      </c>
      <c r="V100" s="3" t="inlineStr">
        <is>
          <t>세로한면(가)</t>
        </is>
      </c>
    </row>
    <row r="101">
      <c r="A101" s="3" t="inlineStr">
        <is>
          <t>강내면 월곡리 331-15</t>
        </is>
      </c>
      <c r="B101" s="3" t="inlineStr">
        <is>
          <t>제1종일반주거지역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30000</v>
      </c>
      <c r="G101" s="4" t="n">
        <v>414</v>
      </c>
      <c r="H101" s="4" t="n">
        <v>125</v>
      </c>
      <c r="I101" s="5" t="n">
        <v>240</v>
      </c>
      <c r="J101" s="5" t="n">
        <v>149.1</v>
      </c>
      <c r="K101" s="3" t="inlineStr">
        <is>
          <t>충청대 바로 옆 나대지</t>
        </is>
      </c>
      <c r="L101" s="6">
        <f>HYPERLINK("https://fin.land.naver.com/articles/2650136338", "매물Link")</f>
        <v/>
      </c>
      <c r="M101" s="6">
        <f>HYPERLINK("https://map.naver.com/p/search/강내면 월곡리 331-15", "지도Link")</f>
        <v/>
      </c>
      <c r="N101" s="6">
        <f>HYPERLINK("http://www.eum.go.kr/web/ar/lu/luLandDet.jsp?pnu=4311331034103310015&amp;isNoScr=script&amp;mode=search", "토지이음")</f>
        <v/>
      </c>
      <c r="O101" s="3" t="inlineStr">
        <is>
          <t>정민</t>
        </is>
      </c>
      <c r="P101" s="4" t="n">
        <v>2</v>
      </c>
      <c r="Q101" s="4" t="n">
        <v>414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월곡리 363</t>
        </is>
      </c>
      <c r="B102" s="3" t="inlineStr">
        <is>
          <t>제2종일반주거지역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40000</v>
      </c>
      <c r="G102" s="4" t="n">
        <v>329</v>
      </c>
      <c r="H102" s="4" t="n">
        <v>100</v>
      </c>
      <c r="I102" s="5" t="n">
        <v>400</v>
      </c>
      <c r="J102" s="5" t="n">
        <v>151.5</v>
      </c>
      <c r="K102" s="3" t="inlineStr">
        <is>
          <t>사차선 코너 자리 상가자리</t>
        </is>
      </c>
      <c r="L102" s="6">
        <f>HYPERLINK("https://fin.land.naver.com/articles/2653407996", "매물Link")</f>
        <v/>
      </c>
      <c r="M102" s="6">
        <f>HYPERLINK("https://map.naver.com/p/search/강내면 월곡리 363", "지도Link")</f>
        <v/>
      </c>
      <c r="N102" s="6">
        <f>HYPERLINK("http://www.eum.go.kr/web/ar/lu/luLandDet.jsp?pnu=4311331034103630000&amp;isNoScr=script&amp;mode=search", "토지이음")</f>
        <v/>
      </c>
      <c r="O102" s="3" t="inlineStr">
        <is>
          <t>G세계로무소</t>
        </is>
      </c>
      <c r="P102" s="4" t="n">
        <v>1</v>
      </c>
      <c r="Q102" s="4" t="n">
        <v>329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월곡리 385-2</t>
        </is>
      </c>
      <c r="B103" s="3" t="inlineStr">
        <is>
          <t>자연녹지지역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80000</v>
      </c>
      <c r="G103" s="4" t="n">
        <v>3124</v>
      </c>
      <c r="H103" s="4" t="n">
        <v>945</v>
      </c>
      <c r="I103" s="5" t="n">
        <v>84.7</v>
      </c>
      <c r="J103" s="5" t="n">
        <v>42</v>
      </c>
      <c r="K103" s="3" t="inlineStr">
        <is>
          <t>콘크리트 포장된 농로 접해 있음</t>
        </is>
      </c>
      <c r="L103" s="6">
        <f>HYPERLINK("https://fin.land.naver.com/articles/2653445731", "매물Link")</f>
        <v/>
      </c>
      <c r="M103" s="6">
        <f>HYPERLINK("https://map.naver.com/p/search/강내면 월곡리 385-2", "지도Link")</f>
        <v/>
      </c>
      <c r="N103" s="6">
        <f>HYPERLINK("http://www.eum.go.kr/web/ar/lu/luLandDet.jsp?pnu=4311331034103850002&amp;isNoScr=script&amp;mode=search",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3124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월곡리 74-1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120000</v>
      </c>
      <c r="G104" s="4" t="n">
        <v>1322</v>
      </c>
      <c r="H104" s="4" t="n">
        <v>400</v>
      </c>
      <c r="I104" s="5" t="n">
        <v>300</v>
      </c>
      <c r="J104" s="5" t="n">
        <v>82.40000000000001</v>
      </c>
      <c r="K104" s="3" t="inlineStr">
        <is>
          <t>청주 ic, 흥덕구청, 충청대 인근에 위치</t>
        </is>
      </c>
      <c r="L104" s="6">
        <f>HYPERLINK("https://fin.land.naver.com/articles/2650914307", "매물Link")</f>
        <v/>
      </c>
      <c r="M104" s="6">
        <f>HYPERLINK("https://map.naver.com/p/search/강내면 월곡리 74-1", "지도Link")</f>
        <v/>
      </c>
      <c r="N104" s="6">
        <f>HYPERLINK("http://www.eum.go.kr/web/ar/lu/luLandDet.jsp?pnu=4311331034100740001&amp;isNoScr=script&amp;mode=search",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1322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131-1</t>
        </is>
      </c>
      <c r="B105" s="3" t="inlineStr">
        <is>
          <t>생산관리지역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49500</v>
      </c>
      <c r="G105" s="4" t="n">
        <v>1090</v>
      </c>
      <c r="H105" s="4" t="n">
        <v>330</v>
      </c>
      <c r="I105" s="5" t="n">
        <v>150</v>
      </c>
      <c r="J105" s="5" t="n">
        <v>20.6</v>
      </c>
      <c r="K105" s="3" t="inlineStr">
        <is>
          <t>미호천 제방공사 후 지가상승 예상</t>
        </is>
      </c>
      <c r="L105" s="6">
        <f>HYPERLINK("https://fin.land.naver.com/articles/2649617360", "매물Link")</f>
        <v/>
      </c>
      <c r="M105" s="6">
        <f>HYPERLINK("https://map.naver.com/p/search/강내면 월탄리 131-1", "지도Link")</f>
        <v/>
      </c>
      <c r="N105" s="6">
        <f>HYPERLINK("http://www.eum.go.kr/web/ar/lu/luLandDet.jsp?pnu=4311331030101310001&amp;isNoScr=script&amp;mode=search", "토지이음")</f>
        <v/>
      </c>
      <c r="O105" s="3" t="inlineStr">
        <is>
          <t>조은</t>
        </is>
      </c>
      <c r="P105" s="4" t="n">
        <v>1</v>
      </c>
      <c r="Q105" s="4" t="n">
        <v>1090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세로한면(가)</t>
        </is>
      </c>
    </row>
    <row r="106">
      <c r="A106" s="3" t="inlineStr">
        <is>
          <t>강내면 월탄리 131-1</t>
        </is>
      </c>
      <c r="B106" s="3" t="inlineStr">
        <is>
          <t>생산관리지역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49500</v>
      </c>
      <c r="G106" s="4" t="n">
        <v>1090</v>
      </c>
      <c r="H106" s="4" t="n">
        <v>330</v>
      </c>
      <c r="I106" s="5" t="n">
        <v>150</v>
      </c>
      <c r="J106" s="5" t="n">
        <v>20.6</v>
      </c>
      <c r="K106" s="3" t="inlineStr">
        <is>
          <t>강내면 월탄리 토지매매 1차선도로 구거접</t>
        </is>
      </c>
      <c r="L106" s="6">
        <f>HYPERLINK("https://fin.land.naver.com/articles/2652079092", "매물Link")</f>
        <v/>
      </c>
      <c r="M106" s="6">
        <f>HYPERLINK("https://map.naver.com/p/search/강내면 월탄리 131-1", "지도Link")</f>
        <v/>
      </c>
      <c r="N106" s="6">
        <f>HYPERLINK("http://www.eum.go.kr/web/ar/lu/luLandDet.jsp?pnu=4311331030101310001&amp;isNoScr=script&amp;mode=search", "토지이음")</f>
        <v/>
      </c>
      <c r="O106" s="3" t="inlineStr">
        <is>
          <t>탄탄</t>
        </is>
      </c>
      <c r="P106" s="4" t="n">
        <v>1</v>
      </c>
      <c r="Q106" s="4" t="n">
        <v>1090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세로한면(가)</t>
        </is>
      </c>
    </row>
    <row r="107">
      <c r="A107" s="3" t="inlineStr">
        <is>
          <t>강내면 월탄리 131-1</t>
        </is>
      </c>
      <c r="B107" s="3" t="inlineStr">
        <is>
          <t>생산관리지역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49500</v>
      </c>
      <c r="G107" s="4" t="n">
        <v>1090</v>
      </c>
      <c r="H107" s="4" t="n">
        <v>330</v>
      </c>
      <c r="I107" s="5" t="n">
        <v>150</v>
      </c>
      <c r="J107" s="5" t="n">
        <v>20.6</v>
      </c>
      <c r="K107" s="3" t="inlineStr">
        <is>
          <t>오송근교 오송역ktx역, 국가오송3단지 차량 5분거리 미호강부근</t>
        </is>
      </c>
      <c r="L107" s="6">
        <f>HYPERLINK("https://fin.land.naver.com/articles/2651704276", "매물Link")</f>
        <v/>
      </c>
      <c r="M107" s="6">
        <f>HYPERLINK("https://map.naver.com/p/search/강내면 월탄리 131-1", "지도Link")</f>
        <v/>
      </c>
      <c r="N107" s="6">
        <f>HYPERLINK("http://www.eum.go.kr/web/ar/lu/luLandDet.jsp?pnu=4311331030101310001&amp;isNoScr=script&amp;mode=search", "토지이음")</f>
        <v/>
      </c>
      <c r="O107" s="3" t="inlineStr">
        <is>
          <t>-</t>
        </is>
      </c>
      <c r="P107" s="4" t="n">
        <v>1</v>
      </c>
      <c r="Q107" s="4" t="n">
        <v>1090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월탄리 131-1</t>
        </is>
      </c>
      <c r="B108" s="3" t="inlineStr">
        <is>
          <t>생산관리지역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49500</v>
      </c>
      <c r="G108" s="4" t="n">
        <v>1090</v>
      </c>
      <c r="H108" s="4" t="n">
        <v>330</v>
      </c>
      <c r="I108" s="5" t="n">
        <v>150</v>
      </c>
      <c r="J108" s="5" t="n">
        <v>20.6</v>
      </c>
      <c r="K108" s="3" t="inlineStr">
        <is>
          <t>도로에접 생산관리 오송역 인근 토지로 장래 투자가치 있어요</t>
        </is>
      </c>
      <c r="L108" s="6">
        <f>HYPERLINK("https://fin.land.naver.com/articles/2652339427", "매물Link")</f>
        <v/>
      </c>
      <c r="M108" s="6">
        <f>HYPERLINK("https://map.naver.com/p/search/강내면 월탄리 131-1", "지도Link")</f>
        <v/>
      </c>
      <c r="N108" s="6">
        <f>HYPERLINK("http://www.eum.go.kr/web/ar/lu/luLandDet.jsp?pnu=4311331030101310001&amp;isNoScr=script&amp;mode=search", "토지이음")</f>
        <v/>
      </c>
      <c r="O108" s="3" t="inlineStr">
        <is>
          <t>병천참조은</t>
        </is>
      </c>
      <c r="P108" s="4" t="n">
        <v>1</v>
      </c>
      <c r="Q108" s="4" t="n">
        <v>1090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월탄리 135-12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700000</v>
      </c>
      <c r="G109" s="4" t="n">
        <v>6974</v>
      </c>
      <c r="H109" s="4" t="n">
        <v>2110</v>
      </c>
      <c r="I109" s="5" t="n">
        <v>331.8</v>
      </c>
      <c r="J109" s="5" t="n">
        <v>91.40000000000001</v>
      </c>
      <c r="K109" s="3" t="inlineStr">
        <is>
          <t>M 해당토지외 8필지 포함. 대로변 위치 좋은 토지 매매 M</t>
        </is>
      </c>
      <c r="L109" s="6">
        <f>HYPERLINK("https://fin.land.naver.com/articles/2651130600", "매물Link")</f>
        <v/>
      </c>
      <c r="M109" s="6">
        <f>HYPERLINK("https://map.naver.com/p/search/강내면 월탄리 135-12", "지도Link")</f>
        <v/>
      </c>
      <c r="N109" s="6">
        <f>HYPERLINK("http://www.eum.go.kr/web/ar/lu/luLandDet.jsp?pnu=4311331030101350012&amp;isNoScr=script&amp;mode=search", "토지이음")</f>
        <v/>
      </c>
      <c r="O109" s="3" t="inlineStr">
        <is>
          <t>채움</t>
        </is>
      </c>
      <c r="P109" s="4" t="n">
        <v>1</v>
      </c>
      <c r="Q109" s="4" t="n">
        <v>1486</v>
      </c>
      <c r="R109" s="3" t="inlineStr">
        <is>
          <t>자연녹지지역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231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98000</v>
      </c>
      <c r="G110" s="4" t="n">
        <v>785</v>
      </c>
      <c r="H110" s="4" t="n">
        <v>237</v>
      </c>
      <c r="I110" s="5" t="n">
        <v>413.5</v>
      </c>
      <c r="J110" s="5" t="n">
        <v>30.6</v>
      </c>
      <c r="K110" s="3" t="inlineStr">
        <is>
          <t>미호강 강조망 근생허가 희소 토지 조율가능</t>
        </is>
      </c>
      <c r="L110" s="6">
        <f>HYPERLINK("https://fin.land.naver.com/articles/2652136996", "매물Link")</f>
        <v/>
      </c>
      <c r="M110" s="6">
        <f>HYPERLINK("https://map.naver.com/p/search/강내면 월탄리 231", "지도Link")</f>
        <v/>
      </c>
      <c r="N110" s="6">
        <f>HYPERLINK("http://www.eum.go.kr/web/ar/lu/luLandDet.jsp?pnu=4311331030102310000&amp;isNoScr=script&amp;mode=search", "토지이음")</f>
        <v/>
      </c>
      <c r="O110" s="3" t="inlineStr">
        <is>
          <t>세종스타</t>
        </is>
      </c>
      <c r="P110" s="4" t="n">
        <v>1</v>
      </c>
      <c r="Q110" s="4" t="n">
        <v>785</v>
      </c>
      <c r="R110" s="3" t="inlineStr">
        <is>
          <t>지정되지않음</t>
        </is>
      </c>
      <c r="S110" s="3" t="inlineStr">
        <is>
          <t>전기타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월탄리 49-18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175000</v>
      </c>
      <c r="G111" s="4" t="n">
        <v>1706</v>
      </c>
      <c r="H111" s="4" t="n">
        <v>516</v>
      </c>
      <c r="I111" s="5" t="n">
        <v>339.1</v>
      </c>
      <c r="J111" s="5" t="n">
        <v>48.2</v>
      </c>
      <c r="K111" s="3" t="inlineStr">
        <is>
          <t>3동 다가구 건축 가능한 토지 ,대학가 옆에 위치한 땅</t>
        </is>
      </c>
      <c r="L111" s="6">
        <f>HYPERLINK("https://fin.land.naver.com/articles/2653292859", "매물Link")</f>
        <v/>
      </c>
      <c r="M111" s="6">
        <f>HYPERLINK("https://map.naver.com/p/search/강내면 월탄리 49-18", "지도Link")</f>
        <v/>
      </c>
      <c r="N111" s="6">
        <f>HYPERLINK("http://www.eum.go.kr/web/ar/lu/luLandDet.jsp?pnu=4311331030100490018&amp;isNoScr=script&amp;mode=search", "토지이음")</f>
        <v/>
      </c>
      <c r="O111" s="3" t="inlineStr">
        <is>
          <t>동남이지</t>
        </is>
      </c>
      <c r="P111" s="4" t="n">
        <v>1</v>
      </c>
      <c r="Q111" s="4" t="n">
        <v>1706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세로각지(가)</t>
        </is>
      </c>
    </row>
    <row r="112">
      <c r="A112" s="3" t="inlineStr">
        <is>
          <t>강내면 월탄리 85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16300</v>
      </c>
      <c r="G112" s="4" t="n">
        <v>450</v>
      </c>
      <c r="H112" s="4" t="n">
        <v>136</v>
      </c>
      <c r="I112" s="5" t="n">
        <v>119.9</v>
      </c>
      <c r="J112" s="5" t="n">
        <v>42.4</v>
      </c>
      <c r="K112" s="3" t="inlineStr">
        <is>
          <t>한국교원대 인근 수익성 다가구주택 건축 추천</t>
        </is>
      </c>
      <c r="L112" s="6">
        <f>HYPERLINK("https://fin.land.naver.com/articles/2651792442", "매물Link")</f>
        <v/>
      </c>
      <c r="M112" s="6">
        <f>HYPERLINK("https://map.naver.com/p/search/강내면 월탄리 85", "지도Link")</f>
        <v/>
      </c>
      <c r="N112" s="6">
        <f>HYPERLINK("http://www.eum.go.kr/web/ar/lu/luLandDet.jsp?pnu=4311331030100850000&amp;isNoScr=script&amp;mode=search", "토지이음")</f>
        <v/>
      </c>
      <c r="O112" s="3" t="inlineStr">
        <is>
          <t>더원</t>
        </is>
      </c>
      <c r="P112" s="4" t="n">
        <v>1</v>
      </c>
      <c r="Q112" s="4" t="n">
        <v>450</v>
      </c>
      <c r="R112" s="3" t="inlineStr">
        <is>
          <t>지정되지않음</t>
        </is>
      </c>
      <c r="S112" s="3" t="inlineStr">
        <is>
          <t>전기타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월탄리 산6</t>
        </is>
      </c>
      <c r="B113" s="3" t="inlineStr">
        <is>
          <t>자연녹지지역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59000</v>
      </c>
      <c r="G113" s="4" t="n">
        <v>839</v>
      </c>
      <c r="H113" s="4" t="n">
        <v>254</v>
      </c>
      <c r="I113" s="5" t="n">
        <v>232.3</v>
      </c>
      <c r="J113" s="5" t="n">
        <v>15.7</v>
      </c>
      <c r="K113" s="3" t="inlineStr">
        <is>
          <t>제2종근린생활시설 허가 득함, 4차선 대로변에 접함, 사무소 추천</t>
        </is>
      </c>
      <c r="L113" s="6">
        <f>HYPERLINK("https://fin.land.naver.com/articles/2653397113", "매물Link")</f>
        <v/>
      </c>
      <c r="M113" s="6">
        <f>HYPERLINK("https://map.naver.com/p/search/강내면 월탄리 산6", "지도Link")</f>
        <v/>
      </c>
      <c r="N113" s="6">
        <f>HYPERLINK("http://www.eum.go.kr/web/ar/lu/luLandDet.jsp?pnu=4311331030200060000&amp;isNoScr=script&amp;mode=search",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746</v>
      </c>
      <c r="R113" s="3" t="inlineStr">
        <is>
          <t>지정되지않음</t>
        </is>
      </c>
      <c r="S113" s="3" t="inlineStr">
        <is>
          <t>자연림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중로한면</t>
        </is>
      </c>
    </row>
    <row r="114">
      <c r="A114" s="3" t="inlineStr">
        <is>
          <t>강내면 월탄리 산6</t>
        </is>
      </c>
      <c r="B114" s="3" t="inlineStr">
        <is>
          <t>자연녹지지역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59000</v>
      </c>
      <c r="G114" s="4" t="n">
        <v>840</v>
      </c>
      <c r="H114" s="4" t="n">
        <v>254</v>
      </c>
      <c r="I114" s="5" t="n">
        <v>232.3</v>
      </c>
      <c r="J114" s="5" t="n">
        <v>15.7</v>
      </c>
      <c r="K114" s="3" t="inlineStr">
        <is>
          <t>강내면 월탄리 임야 매매 대로변 2종근생 건축승인 자동차관련 창고등</t>
        </is>
      </c>
      <c r="L114" s="6">
        <f>HYPERLINK("https://fin.land.naver.com/articles/2652718670", "매물Link")</f>
        <v/>
      </c>
      <c r="M114" s="6">
        <f>HYPERLINK("https://map.naver.com/p/search/강내면 월탄리 산6", "지도Link")</f>
        <v/>
      </c>
      <c r="N114" s="6">
        <f>HYPERLINK("http://www.eum.go.kr/web/ar/lu/luLandDet.jsp?pnu=4311331030200060000&amp;isNoScr=script&amp;mode=search", "토지이음")</f>
        <v/>
      </c>
      <c r="O114" s="3" t="inlineStr">
        <is>
          <t>그린</t>
        </is>
      </c>
      <c r="P114" s="4" t="n">
        <v>1</v>
      </c>
      <c r="Q114" s="4" t="n">
        <v>746</v>
      </c>
      <c r="R114" s="3" t="inlineStr">
        <is>
          <t>지정되지않음</t>
        </is>
      </c>
      <c r="S114" s="3" t="inlineStr">
        <is>
          <t>자연림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중로한면</t>
        </is>
      </c>
    </row>
    <row r="115">
      <c r="A115" s="3" t="inlineStr">
        <is>
          <t>강내면 저산리 105-9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59000</v>
      </c>
      <c r="G115" s="4" t="n">
        <v>2387</v>
      </c>
      <c r="H115" s="4" t="n">
        <v>722</v>
      </c>
      <c r="I115" s="5" t="n">
        <v>81.7</v>
      </c>
      <c r="J115" s="5" t="n">
        <v>23.3</v>
      </c>
      <c r="K115" s="3" t="inlineStr">
        <is>
          <t>전원주택,농업용시설 등 다양한 활용 가능한 계획관리지역 토지매매</t>
        </is>
      </c>
      <c r="L115" s="6">
        <f>HYPERLINK("https://fin.land.naver.com/articles/2650156118", "매물Link")</f>
        <v/>
      </c>
      <c r="M115" s="6">
        <f>HYPERLINK("https://map.naver.com/p/search/강내면 저산리 105-9", "지도Link")</f>
        <v/>
      </c>
      <c r="N115" s="6">
        <f>HYPERLINK("http://www.eum.go.kr/web/ar/lu/luLandDet.jsp?pnu=4311331023101050009&amp;isNoScr=script&amp;mode=search", "토지이음")</f>
        <v/>
      </c>
      <c r="O115" s="3" t="inlineStr">
        <is>
          <t>e교차로합동</t>
        </is>
      </c>
      <c r="P115" s="4" t="n">
        <v>1</v>
      </c>
      <c r="Q115" s="4" t="n">
        <v>2387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107-2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공장용지</t>
        </is>
      </c>
      <c r="E116" s="3" t="inlineStr">
        <is>
          <t>월세</t>
        </is>
      </c>
      <c r="F116" s="4" t="n">
        <v>2000</v>
      </c>
      <c r="G116" s="4" t="n">
        <v>1652</v>
      </c>
      <c r="H116" s="4" t="n">
        <v>500</v>
      </c>
      <c r="I116" s="5" t="n">
        <v>0.2</v>
      </c>
      <c r="J116" s="5" t="n">
        <v>41.7</v>
      </c>
      <c r="K116" s="3" t="inlineStr">
        <is>
          <t>강내면 저산리 토지임대 현 나대지 야적장추천 진입로좋아요</t>
        </is>
      </c>
      <c r="L116" s="6">
        <f>HYPERLINK("https://fin.land.naver.com/articles/2653718934", "매물Link")</f>
        <v/>
      </c>
      <c r="M116" s="6">
        <f>HYPERLINK("https://map.naver.com/p/search/강내면 저산리 107-2", "지도Link")</f>
        <v/>
      </c>
      <c r="N116" s="6">
        <f>HYPERLINK("http://www.eum.go.kr/web/ar/lu/luLandDet.jsp?pnu=4311331023101070002&amp;isNoScr=script&amp;mode=search", "토지이음")</f>
        <v/>
      </c>
      <c r="O116" s="3" t="inlineStr">
        <is>
          <t>탄탄</t>
        </is>
      </c>
      <c r="P116" s="4" t="n">
        <v>1</v>
      </c>
      <c r="Q116" s="4" t="n">
        <v>3394</v>
      </c>
      <c r="R116" s="3" t="inlineStr">
        <is>
          <t>지정되지않음</t>
        </is>
      </c>
      <c r="S116" s="3" t="inlineStr">
        <is>
          <t>주거기타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131</t>
        </is>
      </c>
      <c r="B117" s="3" t="inlineStr">
        <is>
          <t>농림지역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123000</v>
      </c>
      <c r="G117" s="4" t="n">
        <v>3685</v>
      </c>
      <c r="H117" s="4" t="n">
        <v>1115</v>
      </c>
      <c r="I117" s="5" t="n">
        <v>110.3</v>
      </c>
      <c r="J117" s="5" t="n">
        <v>14.2</v>
      </c>
      <c r="K117" s="3" t="inlineStr">
        <is>
          <t>2차선 도로변에 접한 농림지역, 농업보호구역</t>
        </is>
      </c>
      <c r="L117" s="6">
        <f>HYPERLINK("https://fin.land.naver.com/articles/2652677550", "매물Link")</f>
        <v/>
      </c>
      <c r="M117" s="6">
        <f>HYPERLINK("https://map.naver.com/p/search/강내면 저산리 131", "지도Link")</f>
        <v/>
      </c>
      <c r="N117" s="6">
        <f>HYPERLINK("http://www.eum.go.kr/web/ar/lu/luLandDet.jsp?pnu=4311331023101310000&amp;isNoScr=script&amp;mode=search",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3685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소로한면</t>
        </is>
      </c>
    </row>
    <row r="118">
      <c r="A118" s="3" t="inlineStr">
        <is>
          <t>강내면 저산리 134-24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20000</v>
      </c>
      <c r="G118" s="4" t="n">
        <v>452</v>
      </c>
      <c r="H118" s="4" t="n">
        <v>137</v>
      </c>
      <c r="I118" s="5" t="n">
        <v>146</v>
      </c>
      <c r="J118" s="5" t="n">
        <v>37.9</v>
      </c>
      <c r="K118" s="3" t="inlineStr">
        <is>
          <t>전원주택 부지로 추천, 도로지분 있음</t>
        </is>
      </c>
      <c r="L118" s="6">
        <f>HYPERLINK("https://fin.land.naver.com/articles/2651536616", "매물Link")</f>
        <v/>
      </c>
      <c r="M118" s="6">
        <f>HYPERLINK("https://map.naver.com/p/search/강내면 저산리 134-24", "지도Link")</f>
        <v/>
      </c>
      <c r="N118" s="6">
        <f>HYPERLINK("http://www.eum.go.kr/web/ar/lu/luLandDet.jsp?pnu=4311331023101340024&amp;isNoScr=script&amp;mode=search",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444</v>
      </c>
      <c r="R118" s="3" t="inlineStr">
        <is>
          <t>지정되지않음</t>
        </is>
      </c>
      <c r="S118" s="3" t="inlineStr">
        <is>
          <t>주거나지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136-2</t>
        </is>
      </c>
      <c r="B119" s="3" t="inlineStr">
        <is>
          <t>계획관리지역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19700</v>
      </c>
      <c r="G119" s="4" t="n">
        <v>465</v>
      </c>
      <c r="H119" s="4" t="n">
        <v>141</v>
      </c>
      <c r="I119" s="5" t="n">
        <v>139.7</v>
      </c>
      <c r="J119" s="5" t="n">
        <v>28.2</v>
      </c>
      <c r="K119" s="3" t="inlineStr">
        <is>
          <t>인근 청주하이티크벨리산업단지 조성으로 토지가치상승과 근린시설 수요증가</t>
        </is>
      </c>
      <c r="L119" s="6">
        <f>HYPERLINK("https://fin.land.naver.com/articles/2650671105", "매물Link")</f>
        <v/>
      </c>
      <c r="M119" s="6">
        <f>HYPERLINK("https://map.naver.com/p/search/강내면 저산리 136-2", "지도Link")</f>
        <v/>
      </c>
      <c r="N119" s="6">
        <f>HYPERLINK("http://www.eum.go.kr/web/ar/lu/luLandDet.jsp?pnu=4311331023101360002&amp;isNoScr=script&amp;mode=search", "토지이음")</f>
        <v/>
      </c>
      <c r="O119" s="3" t="inlineStr">
        <is>
          <t>대화탑</t>
        </is>
      </c>
      <c r="P119" s="4" t="n">
        <v>1</v>
      </c>
      <c r="Q119" s="4" t="n">
        <v>465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136-9</t>
        </is>
      </c>
      <c r="B120" s="3" t="inlineStr">
        <is>
          <t>계획관리지역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20000</v>
      </c>
      <c r="G120" s="4" t="n">
        <v>375</v>
      </c>
      <c r="H120" s="4" t="n">
        <v>113</v>
      </c>
      <c r="I120" s="5" t="n">
        <v>177</v>
      </c>
      <c r="J120" s="5" t="n">
        <v>28.2</v>
      </c>
      <c r="K120" s="3" t="inlineStr">
        <is>
          <t>계획관리지역  건축가능</t>
        </is>
      </c>
      <c r="L120" s="6">
        <f>HYPERLINK("https://fin.land.naver.com/articles/2649605591", "매물Link")</f>
        <v/>
      </c>
      <c r="M120" s="6">
        <f>HYPERLINK("https://map.naver.com/p/search/강내면 저산리 136-9", "지도Link")</f>
        <v/>
      </c>
      <c r="N120" s="6">
        <f>HYPERLINK("http://www.eum.go.kr/web/ar/lu/luLandDet.jsp?pnu=4311331023101360009&amp;isNoScr=script&amp;mode=search", "토지이음")</f>
        <v/>
      </c>
      <c r="O120" s="3" t="inlineStr">
        <is>
          <t>그래그</t>
        </is>
      </c>
      <c r="P120" s="4" t="n">
        <v>1</v>
      </c>
      <c r="Q120" s="4" t="n">
        <v>375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137-10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6500</v>
      </c>
      <c r="G121" s="4" t="n">
        <v>120</v>
      </c>
      <c r="H121" s="4" t="n">
        <v>36</v>
      </c>
      <c r="I121" s="5" t="n">
        <v>180.6</v>
      </c>
      <c r="J121" s="5" t="n">
        <v>28.2</v>
      </c>
      <c r="K121" s="3" t="inlineStr">
        <is>
          <t>계획관리지역  건축가능</t>
        </is>
      </c>
      <c r="L121" s="6">
        <f>HYPERLINK("https://fin.land.naver.com/articles/2649620352", "매물Link")</f>
        <v/>
      </c>
      <c r="M121" s="6">
        <f>HYPERLINK("https://map.naver.com/p/search/강내면 저산리 137-10", "지도Link")</f>
        <v/>
      </c>
      <c r="N121" s="6">
        <f>HYPERLINK("http://www.eum.go.kr/web/ar/lu/luLandDet.jsp?pnu=4311331023101370010&amp;isNoScr=script&amp;mode=search", "토지이음")</f>
        <v/>
      </c>
      <c r="O121" s="3" t="inlineStr">
        <is>
          <t>그래그</t>
        </is>
      </c>
      <c r="P121" s="4" t="n">
        <v>1</v>
      </c>
      <c r="Q121" s="4" t="n">
        <v>120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143-1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1100000</v>
      </c>
      <c r="G122" s="4" t="n">
        <v>46836</v>
      </c>
      <c r="H122" s="4" t="n">
        <v>14168</v>
      </c>
      <c r="I122" s="5" t="n">
        <v>77.59999999999999</v>
      </c>
      <c r="J122" s="5" t="n">
        <v>22.7</v>
      </c>
      <c r="K122" s="3" t="inlineStr">
        <is>
          <t>계획관리,6m도로접,분할매매가,대형커피숍,제빵소추천,세종시5생활권인접</t>
        </is>
      </c>
      <c r="L122" s="6">
        <f>HYPERLINK("https://fin.land.naver.com/articles/2652719047", "매물Link")</f>
        <v/>
      </c>
      <c r="M122" s="6">
        <f>HYPERLINK("https://map.naver.com/p/search/강내면 저산리 143-1", "지도Link")</f>
        <v/>
      </c>
      <c r="N122" s="6">
        <f>HYPERLINK("http://www.eum.go.kr/web/ar/lu/luLandDet.jsp?pnu=4311331023101430001&amp;isNoScr=script&amp;mode=search", "토지이음")</f>
        <v/>
      </c>
      <c r="O122" s="3" t="inlineStr">
        <is>
          <t>세종지원</t>
        </is>
      </c>
      <c r="P122" s="4" t="n">
        <v>1</v>
      </c>
      <c r="Q122" s="4" t="n">
        <v>15495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159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130000</v>
      </c>
      <c r="G123" s="4" t="n">
        <v>59428</v>
      </c>
      <c r="H123" s="4" t="n">
        <v>17977</v>
      </c>
      <c r="I123" s="5" t="n">
        <v>7.2</v>
      </c>
      <c r="J123" s="5" t="n">
        <v>41.3</v>
      </c>
      <c r="K123" s="3" t="inlineStr">
        <is>
          <t>nan</t>
        </is>
      </c>
      <c r="L123" s="6">
        <f>HYPERLINK("https://fin.land.naver.com/articles/2650116537", "매물Link")</f>
        <v/>
      </c>
      <c r="M123" s="6">
        <f>HYPERLINK("https://map.naver.com/p/search/강내면 저산리 159", "지도Link")</f>
        <v/>
      </c>
      <c r="N123" s="6">
        <f>HYPERLINK("http://www.eum.go.kr/web/ar/lu/luLandDet.jsp?pnu=4311331023101590000&amp;isNoScr=script&amp;mode=search", "토지이음")</f>
        <v/>
      </c>
      <c r="O123" s="3" t="inlineStr">
        <is>
          <t>세종운좋은</t>
        </is>
      </c>
      <c r="P123" s="4" t="n">
        <v>1</v>
      </c>
      <c r="Q123" s="4" t="n">
        <v>7107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저산리 171-1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60000</v>
      </c>
      <c r="G124" s="4" t="n">
        <v>1320</v>
      </c>
      <c r="H124" s="4" t="n">
        <v>399</v>
      </c>
      <c r="I124" s="5" t="n">
        <v>150.4</v>
      </c>
      <c r="J124" s="5" t="n">
        <v>43.6</v>
      </c>
      <c r="K124" s="3" t="inlineStr">
        <is>
          <t>nan</t>
        </is>
      </c>
      <c r="L124" s="6">
        <f>HYPERLINK("https://fin.land.naver.com/articles/2653996821", "매물Link")</f>
        <v/>
      </c>
      <c r="M124" s="6">
        <f>HYPERLINK("https://map.naver.com/p/search/강내면 저산리 171-1", "지도Link")</f>
        <v/>
      </c>
      <c r="N124" s="6">
        <f>HYPERLINK("http://www.eum.go.kr/web/ar/lu/luLandDet.jsp?pnu=4311331023101710001&amp;isNoScr=script&amp;mode=search", "토지이음")</f>
        <v/>
      </c>
      <c r="O124" s="3" t="inlineStr">
        <is>
          <t>세종운좋은</t>
        </is>
      </c>
      <c r="P124" s="4" t="n">
        <v>1</v>
      </c>
      <c r="Q124" s="4" t="n">
        <v>1047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190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30360</v>
      </c>
      <c r="G125" s="4" t="n">
        <v>1673</v>
      </c>
      <c r="H125" s="4" t="n">
        <v>506</v>
      </c>
      <c r="I125" s="5" t="n">
        <v>60</v>
      </c>
      <c r="J125" s="5" t="n">
        <v>18.6</v>
      </c>
      <c r="K125" s="3" t="inlineStr">
        <is>
          <t>a 세종시10분 현지목 전 계획관리지역</t>
        </is>
      </c>
      <c r="L125" s="6">
        <f>HYPERLINK("https://fin.land.naver.com/articles/2651263807", "매물Link")</f>
        <v/>
      </c>
      <c r="M125" s="6">
        <f>HYPERLINK("https://map.naver.com/p/search/강내면 저산리 190", "지도Link")</f>
        <v/>
      </c>
      <c r="N125" s="6">
        <f>HYPERLINK("http://www.eum.go.kr/web/ar/lu/luLandDet.jsp?pnu=4311331023101900000&amp;isNoScr=script&amp;mode=search", "토지이음")</f>
        <v/>
      </c>
      <c r="O125" s="3" t="inlineStr">
        <is>
          <t>메가캐슬</t>
        </is>
      </c>
      <c r="P125" s="4" t="n">
        <v>1</v>
      </c>
      <c r="Q125" s="4" t="n">
        <v>1673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맹지</t>
        </is>
      </c>
    </row>
    <row r="126">
      <c r="A126" s="3" t="inlineStr">
        <is>
          <t>강내면 저산리 192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35000</v>
      </c>
      <c r="G126" s="4" t="n">
        <v>1061</v>
      </c>
      <c r="H126" s="4" t="n">
        <v>321</v>
      </c>
      <c r="I126" s="5" t="n">
        <v>109</v>
      </c>
      <c r="J126" s="5" t="n">
        <v>23.6</v>
      </c>
      <c r="K126" s="3" t="inlineStr">
        <is>
          <t>4미터 도로에 접함, 공장 및 창고 부지로 추천</t>
        </is>
      </c>
      <c r="L126" s="6">
        <f>HYPERLINK("https://fin.land.naver.com/articles/2654578566", "매물Link")</f>
        <v/>
      </c>
      <c r="M126" s="6">
        <f>HYPERLINK("https://map.naver.com/p/search/강내면 저산리 192", "지도Link")</f>
        <v/>
      </c>
      <c r="N126" s="6">
        <f>HYPERLINK("http://www.eum.go.kr/web/ar/lu/luLandDet.jsp?pnu=4311331023101920000&amp;isNoScr=script&amp;mode=search",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1061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22-1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22600</v>
      </c>
      <c r="G127" s="4" t="n">
        <v>787</v>
      </c>
      <c r="H127" s="4" t="n">
        <v>238</v>
      </c>
      <c r="I127" s="5" t="n">
        <v>95</v>
      </c>
      <c r="J127" s="5" t="n">
        <v>41.7</v>
      </c>
      <c r="K127" s="3" t="inlineStr">
        <is>
          <t>오송 강내 산업배후 계획관리 대지 승용차 진입 가능</t>
        </is>
      </c>
      <c r="L127" s="6">
        <f>HYPERLINK("https://fin.land.naver.com/articles/2655044096", "매물Link")</f>
        <v/>
      </c>
      <c r="M127" s="6">
        <f>HYPERLINK("https://map.naver.com/p/search/강내면 저산리 22-1", "지도Link")</f>
        <v/>
      </c>
      <c r="N127" s="6">
        <f>HYPERLINK("http://www.eum.go.kr/web/ar/lu/luLandDet.jsp?pnu=4311331023100220001&amp;isNoScr=script&amp;mode=search", "토지이음")</f>
        <v/>
      </c>
      <c r="O127" s="3" t="inlineStr">
        <is>
          <t>세종소담황금</t>
        </is>
      </c>
      <c r="P127" s="4" t="n">
        <v>1</v>
      </c>
      <c r="Q127" s="4" t="n">
        <v>787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22-1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22000</v>
      </c>
      <c r="G128" s="4" t="n">
        <v>787</v>
      </c>
      <c r="H128" s="4" t="n">
        <v>238</v>
      </c>
      <c r="I128" s="5" t="n">
        <v>92.40000000000001</v>
      </c>
      <c r="J128" s="5" t="n">
        <v>41.7</v>
      </c>
      <c r="K128" s="3" t="inlineStr">
        <is>
          <t>정남향 도로접한  계획관리.성장관리지역 알토란 토지,다용도 사용가능</t>
        </is>
      </c>
      <c r="L128" s="6">
        <f>HYPERLINK("https://fin.land.naver.com/articles/2651744749", "매물Link")</f>
        <v/>
      </c>
      <c r="M128" s="6">
        <f>HYPERLINK("https://map.naver.com/p/search/강내면 저산리 22-1", "지도Link")</f>
        <v/>
      </c>
      <c r="N128" s="6">
        <f>HYPERLINK("http://www.eum.go.kr/web/ar/lu/luLandDet.jsp?pnu=4311331023100220001&amp;isNoScr=script&amp;mode=search", "토지이음")</f>
        <v/>
      </c>
      <c r="O128" s="3" t="inlineStr">
        <is>
          <t>고운맘</t>
        </is>
      </c>
      <c r="P128" s="4" t="n">
        <v>1</v>
      </c>
      <c r="Q128" s="4" t="n">
        <v>787</v>
      </c>
      <c r="R128" s="3" t="inlineStr">
        <is>
          <t>지정되지않음</t>
        </is>
      </c>
      <c r="S128" s="3" t="inlineStr">
        <is>
          <t>단독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248-6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전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6.6</v>
      </c>
      <c r="K129" s="3" t="inlineStr">
        <is>
          <t>급매, 가격절충,건축허가득</t>
        </is>
      </c>
      <c r="L129" s="6">
        <f>HYPERLINK("https://fin.land.naver.com/articles/2651440176", "매물Link")</f>
        <v/>
      </c>
      <c r="M129" s="6">
        <f>HYPERLINK("https://map.naver.com/p/search/강내면 저산리 248-6", "지도Link")</f>
        <v/>
      </c>
      <c r="N129" s="6">
        <f>HYPERLINK("http://www.eum.go.kr/web/ar/lu/luLandDet.jsp?pnu=4311331023102480006&amp;isNoScr=script&amp;mode=search",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102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세로각지(가)</t>
        </is>
      </c>
    </row>
    <row r="130">
      <c r="A130" s="3" t="inlineStr">
        <is>
          <t>강내면 저산리 318</t>
        </is>
      </c>
      <c r="B130" s="3" t="inlineStr">
        <is>
          <t>농림지역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30500</v>
      </c>
      <c r="G130" s="4" t="n">
        <v>2877</v>
      </c>
      <c r="H130" s="4" t="n">
        <v>870</v>
      </c>
      <c r="I130" s="5" t="n">
        <v>35.1</v>
      </c>
      <c r="J130" s="5" t="n">
        <v>14.6</v>
      </c>
      <c r="K130" s="3" t="inlineStr">
        <is>
          <t>2차선 도로접 주말농장 대토용 적합</t>
        </is>
      </c>
      <c r="L130" s="6">
        <f>HYPERLINK("https://fin.land.naver.com/articles/2649582207", "매물Link")</f>
        <v/>
      </c>
      <c r="M130" s="6">
        <f>HYPERLINK("https://map.naver.com/p/search/강내면 저산리 318", "지도Link")</f>
        <v/>
      </c>
      <c r="N130" s="6">
        <f>HYPERLINK("http://www.eum.go.kr/web/ar/lu/luLandDet.jsp?pnu=4311331023103180000&amp;isNoScr=script&amp;mode=search", "토지이음")</f>
        <v/>
      </c>
      <c r="O130" s="3" t="inlineStr">
        <is>
          <t>수풀림</t>
        </is>
      </c>
      <c r="P130" s="4" t="n">
        <v>1</v>
      </c>
      <c r="Q130" s="4" t="n">
        <v>2877.5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세로장방</t>
        </is>
      </c>
      <c r="V130" s="3" t="inlineStr">
        <is>
          <t>세로한면(가)</t>
        </is>
      </c>
    </row>
    <row r="131">
      <c r="A131" s="3" t="inlineStr">
        <is>
          <t>강내면 저산리 406</t>
        </is>
      </c>
      <c r="B131" s="3" t="inlineStr">
        <is>
          <t>농림지역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84500</v>
      </c>
      <c r="G131" s="4" t="n">
        <v>4635</v>
      </c>
      <c r="H131" s="4" t="n">
        <v>1402</v>
      </c>
      <c r="I131" s="5" t="n">
        <v>60.3</v>
      </c>
      <c r="J131" s="5" t="n">
        <v>16.3</v>
      </c>
      <c r="K131" s="3" t="inlineStr">
        <is>
          <t>농업경영에 이용하면서 장기투자하실 분께 추천, 농림지역, 농업진흥구역</t>
        </is>
      </c>
      <c r="L131" s="6">
        <f>HYPERLINK("https://fin.land.naver.com/articles/2652678725", "매물Link")</f>
        <v/>
      </c>
      <c r="M131" s="6">
        <f>HYPERLINK("https://map.naver.com/p/search/강내면 저산리 406", "지도Link")</f>
        <v/>
      </c>
      <c r="N131" s="6">
        <f>HYPERLINK("http://www.eum.go.kr/web/ar/lu/luLandDet.jsp?pnu=4311331023104060000&amp;isNoScr=script&amp;mode=search",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4635.2</v>
      </c>
      <c r="R131" s="3" t="inlineStr">
        <is>
          <t>지정되지않음</t>
        </is>
      </c>
      <c r="S131" s="3" t="inlineStr">
        <is>
          <t>답</t>
        </is>
      </c>
      <c r="T131" s="3" t="inlineStr">
        <is>
          <t>평지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저산리 7-13</t>
        </is>
      </c>
      <c r="B132" s="3" t="inlineStr">
        <is>
          <t>계획관리지역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40000</v>
      </c>
      <c r="G132" s="4" t="n">
        <v>1125</v>
      </c>
      <c r="H132" s="4" t="n">
        <v>340</v>
      </c>
      <c r="I132" s="5" t="n">
        <v>117.6</v>
      </c>
      <c r="J132" s="5" t="n">
        <v>21.6</v>
      </c>
      <c r="K132" s="3" t="inlineStr">
        <is>
          <t>저산리에 위치한 진입도로 6m 확보된 전원주택지 매매</t>
        </is>
      </c>
      <c r="L132" s="6">
        <f>HYPERLINK("https://fin.land.naver.com/articles/2650045966", "매물Link")</f>
        <v/>
      </c>
      <c r="M132" s="6">
        <f>HYPERLINK("https://map.naver.com/p/search/강내면 저산리 7-13", "지도Link")</f>
        <v/>
      </c>
      <c r="N132" s="6">
        <f>HYPERLINK("http://www.eum.go.kr/web/ar/lu/luLandDet.jsp?pnu=4311331023100070013&amp;isNoScr=script&amp;mode=search", "토지이음")</f>
        <v/>
      </c>
      <c r="O132" s="3" t="inlineStr">
        <is>
          <t>대지</t>
        </is>
      </c>
      <c r="P132" s="4" t="n">
        <v>1</v>
      </c>
      <c r="Q132" s="4" t="n">
        <v>495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세로장방</t>
        </is>
      </c>
      <c r="V132" s="3" t="inlineStr">
        <is>
          <t>세로한면(불)</t>
        </is>
      </c>
    </row>
    <row r="133">
      <c r="A133" s="3" t="inlineStr">
        <is>
          <t>강내면 저산리 81-1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27000</v>
      </c>
      <c r="G133" s="4" t="n">
        <v>747</v>
      </c>
      <c r="H133" s="4" t="n">
        <v>226</v>
      </c>
      <c r="I133" s="5" t="n">
        <v>119.5</v>
      </c>
      <c r="J133" s="5" t="n">
        <v>33</v>
      </c>
      <c r="K133" s="3" t="inlineStr">
        <is>
          <t>세종시 10분거리 투자가치 좋은 전원주택지</t>
        </is>
      </c>
      <c r="L133" s="6">
        <f>HYPERLINK("https://fin.land.naver.com/articles/2654622344", "매물Link")</f>
        <v/>
      </c>
      <c r="M133" s="6">
        <f>HYPERLINK("https://map.naver.com/p/search/강내면 저산리 81-1", "지도Link")</f>
        <v/>
      </c>
      <c r="N133" s="6">
        <f>HYPERLINK("http://www.eum.go.kr/web/ar/lu/luLandDet.jsp?pnu=4311331023100810001&amp;isNoScr=script&amp;mode=search", "토지이음")</f>
        <v/>
      </c>
      <c r="O133" s="3" t="inlineStr">
        <is>
          <t>토담</t>
        </is>
      </c>
      <c r="P133" s="4" t="n">
        <v>1</v>
      </c>
      <c r="Q133" s="4" t="n">
        <v>230</v>
      </c>
      <c r="R133" s="3" t="inlineStr">
        <is>
          <t>지정되지않음</t>
        </is>
      </c>
      <c r="S133" s="3" t="inlineStr">
        <is>
          <t>단독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세로한면(불)</t>
        </is>
      </c>
    </row>
    <row r="134">
      <c r="A134" s="3" t="inlineStr">
        <is>
          <t>강내면 저산리 90</t>
        </is>
      </c>
      <c r="B134" s="3" t="inlineStr">
        <is>
          <t>계획관리지역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20220</v>
      </c>
      <c r="G134" s="4" t="n">
        <v>1114</v>
      </c>
      <c r="H134" s="4" t="n">
        <v>337</v>
      </c>
      <c r="I134" s="5" t="n">
        <v>60</v>
      </c>
      <c r="J134" s="5" t="n">
        <v>22.8</v>
      </c>
      <c r="K134" s="3" t="inlineStr">
        <is>
          <t>a 세종시10분 현지목 전 계획관리지역 마을진입위치</t>
        </is>
      </c>
      <c r="L134" s="6">
        <f>HYPERLINK("https://fin.land.naver.com/articles/2649810898", "매물Link")</f>
        <v/>
      </c>
      <c r="M134" s="6">
        <f>HYPERLINK("https://map.naver.com/p/search/강내면 저산리 90", "지도Link")</f>
        <v/>
      </c>
      <c r="N134" s="6">
        <f>HYPERLINK("http://www.eum.go.kr/web/ar/lu/luLandDet.jsp?pnu=4311331023100900000&amp;isNoScr=script&amp;mode=search", "토지이음")</f>
        <v/>
      </c>
      <c r="O134" s="3" t="inlineStr">
        <is>
          <t>메가캐슬</t>
        </is>
      </c>
      <c r="P134" s="4" t="n">
        <v>1</v>
      </c>
      <c r="Q134" s="4" t="n">
        <v>1114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완경사</t>
        </is>
      </c>
      <c r="U134" s="3" t="inlineStr">
        <is>
          <t>부정형</t>
        </is>
      </c>
      <c r="V134" s="3" t="inlineStr">
        <is>
          <t>맹지</t>
        </is>
      </c>
    </row>
    <row r="135">
      <c r="A135" s="3" t="inlineStr">
        <is>
          <t>강내면 저산리 산 36-15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32000</v>
      </c>
      <c r="G135" s="4" t="n">
        <v>990</v>
      </c>
      <c r="H135" s="4" t="n">
        <v>299</v>
      </c>
      <c r="I135" s="5" t="n">
        <v>107</v>
      </c>
      <c r="J135" s="5" t="n">
        <v>7.5</v>
      </c>
      <c r="K135" s="3" t="inlineStr">
        <is>
          <t>청주인근접근성좋음 정남향</t>
        </is>
      </c>
      <c r="L135" s="6">
        <f>HYPERLINK("https://fin.land.naver.com/articles/2655067534", "매물Link")</f>
        <v/>
      </c>
      <c r="M135" s="6">
        <f>HYPERLINK("https://map.naver.com/p/search/강내면 저산리 산 36-15", "지도Link")</f>
        <v/>
      </c>
      <c r="N135" s="6">
        <f>HYPERLINK("http://www.eum.go.kr/web/ar/lu/luLandDet.jsp?pnu=4311331023200360015&amp;isNoScr=script&amp;mode=search", "토지이음")</f>
        <v/>
      </c>
      <c r="O135" s="3" t="inlineStr">
        <is>
          <t>우미린다온</t>
        </is>
      </c>
      <c r="P135" s="4" t="n">
        <v>1</v>
      </c>
      <c r="Q135" s="4" t="n">
        <v>990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완경사</t>
        </is>
      </c>
      <c r="U135" s="3" t="inlineStr">
        <is>
          <t>부정형</t>
        </is>
      </c>
      <c r="V135" s="3" t="inlineStr">
        <is>
          <t>세로각지(가)</t>
        </is>
      </c>
    </row>
    <row r="136">
      <c r="A136" s="3" t="inlineStr">
        <is>
          <t>강내면 저산리 산 43-27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25500</v>
      </c>
      <c r="G136" s="4" t="n">
        <v>514</v>
      </c>
      <c r="H136" s="4" t="n">
        <v>155</v>
      </c>
      <c r="I136" s="5" t="n">
        <v>164.5</v>
      </c>
      <c r="J136" s="5" t="n">
        <v>22.2</v>
      </c>
      <c r="K136" s="3" t="inlineStr">
        <is>
          <t>임야. 보전관리지역. 23년 제1종근랜생활시설 인허가 받았음.</t>
        </is>
      </c>
      <c r="L136" s="6">
        <f>HYPERLINK("https://fin.land.naver.com/articles/2650180922", "매물Link")</f>
        <v/>
      </c>
      <c r="M136" s="6">
        <f>HYPERLINK("https://map.naver.com/p/search/강내면 저산리 산 43-27", "지도Link")</f>
        <v/>
      </c>
      <c r="N136" s="6">
        <f>HYPERLINK("http://www.eum.go.kr/web/ar/lu/luLandDet.jsp?pnu=4311331023200430027&amp;isNoScr=script&amp;mode=search", "토지이음")</f>
        <v/>
      </c>
      <c r="O136" s="3" t="inlineStr">
        <is>
          <t>브레인시티유진</t>
        </is>
      </c>
      <c r="P136" s="4" t="n">
        <v>1</v>
      </c>
      <c r="Q136" s="4" t="n">
        <v>514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 43-30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25500</v>
      </c>
      <c r="G137" s="4" t="n">
        <v>514</v>
      </c>
      <c r="H137" s="4" t="n">
        <v>155</v>
      </c>
      <c r="I137" s="5" t="n">
        <v>164.5</v>
      </c>
      <c r="J137" s="5" t="n">
        <v>22.2</v>
      </c>
      <c r="K137" s="3" t="inlineStr">
        <is>
          <t>nan</t>
        </is>
      </c>
      <c r="L137" s="6">
        <f>HYPERLINK("https://fin.land.naver.com/articles/2650181957", "매물Link")</f>
        <v/>
      </c>
      <c r="M137" s="6">
        <f>HYPERLINK("https://map.naver.com/p/search/강내면 저산리 산 43-30", "지도Link")</f>
        <v/>
      </c>
      <c r="N137" s="6">
        <f>HYPERLINK("http://www.eum.go.kr/web/ar/lu/luLandDet.jsp?pnu=4311331023200430030&amp;isNoScr=script&amp;mode=search", "토지이음")</f>
        <v/>
      </c>
      <c r="O137" s="3" t="inlineStr">
        <is>
          <t>브레인시티유진</t>
        </is>
      </c>
      <c r="P137" s="4" t="n">
        <v>1</v>
      </c>
      <c r="Q137" s="4" t="n">
        <v>514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 60-23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14000</v>
      </c>
      <c r="G138" s="4" t="n">
        <v>541</v>
      </c>
      <c r="H138" s="4" t="n">
        <v>164</v>
      </c>
      <c r="I138" s="5" t="n">
        <v>85.40000000000001</v>
      </c>
      <c r="J138" s="5" t="n">
        <v>6.3</v>
      </c>
      <c r="K138" s="3" t="inlineStr">
        <is>
          <t>전원주택 또는 소형 근린생활시설 부지로 추천</t>
        </is>
      </c>
      <c r="L138" s="6">
        <f>HYPERLINK("https://fin.land.naver.com/articles/2651537028", "매물Link")</f>
        <v/>
      </c>
      <c r="M138" s="6">
        <f>HYPERLINK("https://map.naver.com/p/search/강내면 저산리 산 60-23", "지도Link")</f>
        <v/>
      </c>
      <c r="N138" s="6">
        <f>HYPERLINK("http://www.eum.go.kr/web/ar/lu/luLandDet.jsp?pnu=4311331023200600023&amp;isNoScr=script&amp;mode=search",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466</v>
      </c>
      <c r="R138" s="3" t="inlineStr">
        <is>
          <t>지정되지않음</t>
        </is>
      </c>
      <c r="S138" s="3" t="inlineStr">
        <is>
          <t>토지임야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저산리 산 60-26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16500</v>
      </c>
      <c r="G139" s="4" t="n">
        <v>641</v>
      </c>
      <c r="H139" s="4" t="n">
        <v>194</v>
      </c>
      <c r="I139" s="5" t="n">
        <v>85.09999999999999</v>
      </c>
      <c r="J139" s="5" t="n">
        <v>6.3</v>
      </c>
      <c r="K139" s="3" t="inlineStr">
        <is>
          <t>급매,가격절충,건축허가득</t>
        </is>
      </c>
      <c r="L139" s="6">
        <f>HYPERLINK("https://fin.land.naver.com/articles/2654644860", "매물Link")</f>
        <v/>
      </c>
      <c r="M139" s="6">
        <f>HYPERLINK("https://map.naver.com/p/search/강내면 저산리 산 60-26", "지도Link")</f>
        <v/>
      </c>
      <c r="N139" s="6">
        <f>HYPERLINK("http://www.eum.go.kr/web/ar/lu/luLandDet.jsp?pnu=4311331023200600026&amp;isNoScr=script&amp;mode=search", "토지이음")</f>
        <v/>
      </c>
      <c r="O139" s="3" t="inlineStr">
        <is>
          <t>보석</t>
        </is>
      </c>
      <c r="P139" s="4" t="n">
        <v>1</v>
      </c>
      <c r="Q139" s="4" t="n">
        <v>552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저산리 산43-25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</v>
      </c>
      <c r="G140" s="4" t="n">
        <v>665</v>
      </c>
      <c r="H140" s="4" t="n">
        <v>201</v>
      </c>
      <c r="I140" s="5" t="n">
        <v>164.2</v>
      </c>
      <c r="J140" s="5" t="n">
        <v>22.2</v>
      </c>
      <c r="K140" s="3" t="inlineStr">
        <is>
          <t>강내면 저산리 전원주택단지내 토지매매 앞뒤 탁트인조망</t>
        </is>
      </c>
      <c r="L140" s="6">
        <f>HYPERLINK("https://fin.land.naver.com/articles/2649951795", "매물Link")</f>
        <v/>
      </c>
      <c r="M140" s="6">
        <f>HYPERLINK("https://map.naver.com/p/search/강내면 저산리 산43-25", "지도Link")</f>
        <v/>
      </c>
      <c r="N140" s="6">
        <f>HYPERLINK("http://www.eum.go.kr/web/ar/lu/luLandDet.jsp?pnu=4311331023200430025&amp;isNoScr=script&amp;mode=search", "토지이음")</f>
        <v/>
      </c>
      <c r="O140" s="3" t="inlineStr">
        <is>
          <t>탄탄</t>
        </is>
      </c>
      <c r="P140" s="4" t="n">
        <v>1</v>
      </c>
      <c r="Q140" s="4" t="n">
        <v>605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산43-25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27000</v>
      </c>
      <c r="G141" s="4" t="n">
        <v>605</v>
      </c>
      <c r="H141" s="4" t="n">
        <v>183</v>
      </c>
      <c r="I141" s="5" t="n">
        <v>147.5</v>
      </c>
      <c r="J141" s="5" t="n">
        <v>22.2</v>
      </c>
      <c r="K141" s="3" t="inlineStr">
        <is>
          <t>세종시 인접된 별지마을 전원주택지 매도</t>
        </is>
      </c>
      <c r="L141" s="6">
        <f>HYPERLINK("https://fin.land.naver.com/articles/2651885054", "매물Link")</f>
        <v/>
      </c>
      <c r="M141" s="6">
        <f>HYPERLINK("https://map.naver.com/p/search/강내면 저산리 산43-25", "지도Link")</f>
        <v/>
      </c>
      <c r="N141" s="6">
        <f>HYPERLINK("http://www.eum.go.kr/web/ar/lu/luLandDet.jsp?pnu=4311331023200430025&amp;isNoScr=script&amp;mode=search", "토지이음")</f>
        <v/>
      </c>
      <c r="O141" s="3" t="inlineStr">
        <is>
          <t>e교차로</t>
        </is>
      </c>
      <c r="P141" s="4" t="n">
        <v>1</v>
      </c>
      <c r="Q141" s="4" t="n">
        <v>605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산43-63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21000</v>
      </c>
      <c r="G142" s="4" t="n">
        <v>567</v>
      </c>
      <c r="H142" s="4" t="n">
        <v>172</v>
      </c>
      <c r="I142" s="5" t="n">
        <v>122.1</v>
      </c>
      <c r="J142" s="5" t="n">
        <v>4.7</v>
      </c>
      <c r="K142" s="3" t="inlineStr">
        <is>
          <t>nan</t>
        </is>
      </c>
      <c r="L142" s="6">
        <f>HYPERLINK("https://fin.land.naver.com/articles/2652961866", "매물Link")</f>
        <v/>
      </c>
      <c r="M142" s="6">
        <f>HYPERLINK("https://map.naver.com/p/search/강내면 저산리 산43-63", "지도Link")</f>
        <v/>
      </c>
      <c r="N142" s="6">
        <f>HYPERLINK("http://www.eum.go.kr/web/ar/lu/luLandDet.jsp?pnu=4311331023200430063&amp;isNoScr=script&amp;mode=search", "토지이음")</f>
        <v/>
      </c>
      <c r="O142" s="3" t="inlineStr">
        <is>
          <t>e교차로</t>
        </is>
      </c>
      <c r="P142" s="4" t="n">
        <v>1</v>
      </c>
      <c r="Q142" s="4" t="n">
        <v>568</v>
      </c>
      <c r="R142" s="3" t="inlineStr">
        <is>
          <t>지정되지않음</t>
        </is>
      </c>
      <c r="S142" s="3" t="inlineStr">
        <is>
          <t>자연림</t>
        </is>
      </c>
      <c r="T142" s="3" t="inlineStr">
        <is>
          <t>급경사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산43-63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21000</v>
      </c>
      <c r="G143" s="4" t="n">
        <v>568</v>
      </c>
      <c r="H143" s="4" t="n">
        <v>172</v>
      </c>
      <c r="I143" s="5" t="n">
        <v>122.1</v>
      </c>
      <c r="J143" s="5" t="n">
        <v>4.7</v>
      </c>
      <c r="K143" s="3" t="inlineStr">
        <is>
          <t>세종 인접한 바로 건축 가능 전원주택지 급매</t>
        </is>
      </c>
      <c r="L143" s="6">
        <f>HYPERLINK("https://fin.land.naver.com/articles/2654890468", "매물Link")</f>
        <v/>
      </c>
      <c r="M143" s="6">
        <f>HYPERLINK("https://map.naver.com/p/search/강내면 저산리 산43-63", "지도Link")</f>
        <v/>
      </c>
      <c r="N143" s="6">
        <f>HYPERLINK("http://www.eum.go.kr/web/ar/lu/luLandDet.jsp?pnu=4311331023200430063&amp;isNoScr=script&amp;mode=search", "토지이음")</f>
        <v/>
      </c>
      <c r="O143" s="3" t="inlineStr">
        <is>
          <t>e교차로합동</t>
        </is>
      </c>
      <c r="P143" s="4" t="n">
        <v>1</v>
      </c>
      <c r="Q143" s="4" t="n">
        <v>568</v>
      </c>
      <c r="R143" s="3" t="inlineStr">
        <is>
          <t>지정되지않음</t>
        </is>
      </c>
      <c r="S143" s="3" t="inlineStr">
        <is>
          <t>자연림</t>
        </is>
      </c>
      <c r="T143" s="3" t="inlineStr">
        <is>
          <t>급경사</t>
        </is>
      </c>
      <c r="U143" s="3" t="inlineStr">
        <is>
          <t>부정형</t>
        </is>
      </c>
      <c r="V143" s="3" t="inlineStr">
        <is>
          <t>세로한면(불)</t>
        </is>
      </c>
    </row>
    <row r="144">
      <c r="A144" s="3" t="inlineStr">
        <is>
          <t>강내면 저산리 산43-9</t>
        </is>
      </c>
      <c r="B144" s="3" t="inlineStr">
        <is>
          <t>보전관리지역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22000</v>
      </c>
      <c r="G144" s="4" t="n">
        <v>656</v>
      </c>
      <c r="H144" s="4" t="n">
        <v>198</v>
      </c>
      <c r="I144" s="5" t="n">
        <v>111.1</v>
      </c>
      <c r="J144" s="5" t="n">
        <v>22.2</v>
      </c>
      <c r="K144" s="3" t="inlineStr">
        <is>
          <t>부강역 10분, 세종 집현동 15분, 전원주택 건축 추천 건축허가</t>
        </is>
      </c>
      <c r="L144" s="6">
        <f>HYPERLINK("https://fin.land.naver.com/articles/2653517514", "매물Link")</f>
        <v/>
      </c>
      <c r="M144" s="6">
        <f>HYPERLINK("https://map.naver.com/p/search/강내면 저산리 산43-9", "지도Link")</f>
        <v/>
      </c>
      <c r="N144" s="6">
        <f>HYPERLINK("http://www.eum.go.kr/web/ar/lu/luLandDet.jsp?pnu=4311331023200430009&amp;isNoScr=script&amp;mode=search", "토지이음")</f>
        <v/>
      </c>
      <c r="O144" s="3" t="inlineStr">
        <is>
          <t>나침반</t>
        </is>
      </c>
      <c r="P144" s="4" t="n">
        <v>1</v>
      </c>
      <c r="Q144" s="4" t="n">
        <v>596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세로한면(불)</t>
        </is>
      </c>
    </row>
    <row r="145">
      <c r="A145" s="3" t="inlineStr">
        <is>
          <t>강내면 저산리 산43-9</t>
        </is>
      </c>
      <c r="B145" s="3" t="inlineStr">
        <is>
          <t>보전관리지역</t>
        </is>
      </c>
      <c r="C145" s="3" t="inlineStr">
        <is>
          <t>임야</t>
        </is>
      </c>
      <c r="D145" s="3" t="inlineStr">
        <is>
          <t>임야</t>
        </is>
      </c>
      <c r="E145" s="3" t="inlineStr">
        <is>
          <t>매매</t>
        </is>
      </c>
      <c r="F145" s="4" t="n">
        <v>22000</v>
      </c>
      <c r="G145" s="4" t="n">
        <v>654</v>
      </c>
      <c r="H145" s="4" t="n">
        <v>198</v>
      </c>
      <c r="I145" s="5" t="n">
        <v>111.1</v>
      </c>
      <c r="J145" s="5" t="n">
        <v>22.2</v>
      </c>
      <c r="K145" s="3" t="inlineStr">
        <is>
          <t>세종10분 청주10분 기반시설완비된 전원주택단지내 저렴한 주택지</t>
        </is>
      </c>
      <c r="L145" s="6">
        <f>HYPERLINK("https://fin.land.naver.com/articles/2654855591", "매물Link")</f>
        <v/>
      </c>
      <c r="M145" s="6">
        <f>HYPERLINK("https://map.naver.com/p/search/강내면 저산리 산43-9", "지도Link")</f>
        <v/>
      </c>
      <c r="N145" s="6">
        <f>HYPERLINK("http://www.eum.go.kr/web/ar/lu/luLandDet.jsp?pnu=4311331023200430009&amp;isNoScr=script&amp;mode=search", "토지이음")</f>
        <v/>
      </c>
      <c r="O145" s="3" t="inlineStr">
        <is>
          <t>세종스타</t>
        </is>
      </c>
      <c r="P145" s="4" t="n">
        <v>1</v>
      </c>
      <c r="Q145" s="4" t="n">
        <v>596</v>
      </c>
      <c r="R145" s="3" t="inlineStr">
        <is>
          <t>지정되지않음</t>
        </is>
      </c>
      <c r="S145" s="3" t="inlineStr">
        <is>
          <t>전기타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세로한면(불)</t>
        </is>
      </c>
    </row>
    <row r="146">
      <c r="A146" s="3" t="inlineStr">
        <is>
          <t>강내면 저산리 산55-12</t>
        </is>
      </c>
      <c r="B146" s="3" t="inlineStr">
        <is>
          <t>보전관리지역</t>
        </is>
      </c>
      <c r="C146" s="3" t="inlineStr">
        <is>
          <t>임야</t>
        </is>
      </c>
      <c r="D146" s="3" t="inlineStr">
        <is>
          <t>임야</t>
        </is>
      </c>
      <c r="E146" s="3" t="inlineStr">
        <is>
          <t>매매</t>
        </is>
      </c>
      <c r="F146" s="4" t="n">
        <v>145000</v>
      </c>
      <c r="G146" s="4" t="n">
        <v>5389</v>
      </c>
      <c r="H146" s="4" t="n">
        <v>1630</v>
      </c>
      <c r="I146" s="5" t="n">
        <v>89</v>
      </c>
      <c r="J146" s="5" t="n">
        <v>6.8</v>
      </c>
      <c r="K146" s="3" t="inlineStr">
        <is>
          <t>토목공사 완료, 진입로 확보, 개발행위허가 후 즉시 사용, 매매가 절충</t>
        </is>
      </c>
      <c r="L146" s="6">
        <f>HYPERLINK("https://fin.land.naver.com/articles/2655194833", "매물Link")</f>
        <v/>
      </c>
      <c r="M146" s="6">
        <f>HYPERLINK("https://map.naver.com/p/search/강내면 저산리 산55-12", "지도Link")</f>
        <v/>
      </c>
      <c r="N146" s="6">
        <f>HYPERLINK("http://www.eum.go.kr/web/ar/lu/luLandDet.jsp?pnu=4311331023200550012&amp;isNoScr=script&amp;mode=search", "토지이음")</f>
        <v/>
      </c>
      <c r="O146" s="3" t="inlineStr">
        <is>
          <t>라인</t>
        </is>
      </c>
      <c r="P146" s="4" t="n">
        <v>1</v>
      </c>
      <c r="Q146" s="4" t="n">
        <v>3547</v>
      </c>
      <c r="R146" s="3" t="inlineStr">
        <is>
          <t>지정되지않음</t>
        </is>
      </c>
      <c r="S146" s="3" t="inlineStr">
        <is>
          <t>임야기타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101-17</t>
        </is>
      </c>
      <c r="B147" s="3" t="inlineStr">
        <is>
          <t>자연녹지지역</t>
        </is>
      </c>
      <c r="C147" s="3" t="inlineStr">
        <is>
          <t>임야</t>
        </is>
      </c>
      <c r="D147" s="3" t="inlineStr">
        <is>
          <t>임야</t>
        </is>
      </c>
      <c r="E147" s="3" t="inlineStr">
        <is>
          <t>매매</t>
        </is>
      </c>
      <c r="F147" s="4" t="n">
        <v>176000</v>
      </c>
      <c r="G147" s="4" t="n">
        <v>1662</v>
      </c>
      <c r="H147" s="4" t="n">
        <v>503</v>
      </c>
      <c r="I147" s="5" t="n">
        <v>349.9</v>
      </c>
      <c r="J147" s="5" t="n">
        <v>22.3</v>
      </c>
      <c r="K147" s="3" t="inlineStr">
        <is>
          <t>사진有 강내면 탑연리 4차선 도로 접한 토지. 전원주택부지. 식당부지</t>
        </is>
      </c>
      <c r="L147" s="6">
        <f>HYPERLINK("https://fin.land.naver.com/articles/2649947059", "매물Link")</f>
        <v/>
      </c>
      <c r="M147" s="6">
        <f>HYPERLINK("https://map.naver.com/p/search/강내면 탑연리 101-17", "지도Link")</f>
        <v/>
      </c>
      <c r="N147" s="6">
        <f>HYPERLINK("http://www.eum.go.kr/web/ar/lu/luLandDet.jsp?pnu=4311331031101010017&amp;isNoScr=script&amp;mode=search", "토지이음")</f>
        <v/>
      </c>
      <c r="O147" s="3" t="inlineStr">
        <is>
          <t>행복도시</t>
        </is>
      </c>
      <c r="P147" s="4" t="n">
        <v>1</v>
      </c>
      <c r="Q147" s="4" t="n">
        <v>590</v>
      </c>
      <c r="R147" s="3" t="inlineStr">
        <is>
          <t>지정되지않음</t>
        </is>
      </c>
      <c r="S147" s="3" t="inlineStr">
        <is>
          <t>토지임야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탑연리 13-2</t>
        </is>
      </c>
      <c r="B148" s="3" t="inlineStr">
        <is>
          <t>자연녹지지역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51500</v>
      </c>
      <c r="G148" s="4" t="n">
        <v>1309</v>
      </c>
      <c r="H148" s="4" t="n">
        <v>396</v>
      </c>
      <c r="I148" s="5" t="n">
        <v>130.1</v>
      </c>
      <c r="J148" s="5" t="n">
        <v>41.4</v>
      </c>
      <c r="K148" s="3" t="inlineStr">
        <is>
          <t>조용한 전원주택지</t>
        </is>
      </c>
      <c r="L148" s="6">
        <f>HYPERLINK("https://fin.land.naver.com/articles/2653407760", "매물Link")</f>
        <v/>
      </c>
      <c r="M148" s="6">
        <f>HYPERLINK("https://map.naver.com/p/search/강내면 탑연리 13-2", "지도Link")</f>
        <v/>
      </c>
      <c r="N148" s="6">
        <f>HYPERLINK("http://www.eum.go.kr/web/ar/lu/luLandDet.jsp?pnu=4311331031100130002&amp;isNoScr=script&amp;mode=search", "토지이음")</f>
        <v/>
      </c>
      <c r="O148" s="3" t="inlineStr">
        <is>
          <t>G세계로무소</t>
        </is>
      </c>
      <c r="P148" s="4" t="n">
        <v>1</v>
      </c>
      <c r="Q148" s="4" t="n">
        <v>1309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탑연리 135-7</t>
        </is>
      </c>
      <c r="B149" s="3" t="inlineStr">
        <is>
          <t>자연녹지지역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32000</v>
      </c>
      <c r="G149" s="4" t="n">
        <v>397</v>
      </c>
      <c r="H149" s="4" t="n">
        <v>120</v>
      </c>
      <c r="I149" s="5" t="n">
        <v>266.7</v>
      </c>
      <c r="J149" s="5" t="n">
        <v>72.7</v>
      </c>
      <c r="K149" s="3" t="inlineStr">
        <is>
          <t>강내면 탑연리 토지매매, 건페율 60, 건축가능</t>
        </is>
      </c>
      <c r="L149" s="6">
        <f>HYPERLINK("https://fin.land.naver.com/articles/2653852233", "매물Link")</f>
        <v/>
      </c>
      <c r="M149" s="6">
        <f>HYPERLINK("https://map.naver.com/p/search/강내면 탑연리 135-7", "지도Link")</f>
        <v/>
      </c>
      <c r="N149" s="6">
        <f>HYPERLINK("http://www.eum.go.kr/web/ar/lu/luLandDet.jsp?pnu=4311331031101350007&amp;isNoScr=script&amp;mode=search", "토지이음")</f>
        <v/>
      </c>
      <c r="O149" s="3" t="inlineStr">
        <is>
          <t>진</t>
        </is>
      </c>
      <c r="P149" s="4" t="n">
        <v>1</v>
      </c>
      <c r="Q149" s="4" t="n">
        <v>397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탑연리 147-5</t>
        </is>
      </c>
      <c r="B150" s="3" t="inlineStr">
        <is>
          <t>일반상업지역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41000</v>
      </c>
      <c r="G150" s="4" t="n">
        <v>151</v>
      </c>
      <c r="H150" s="4" t="n">
        <v>46</v>
      </c>
      <c r="I150" s="5" t="n">
        <v>891.3</v>
      </c>
      <c r="J150" s="5" t="n">
        <v>199.6</v>
      </c>
      <c r="K150" s="3" t="inlineStr">
        <is>
          <t>상업지역, 꼬마빌딩, 카페, 사무소, 금액조율 협의 가능</t>
        </is>
      </c>
      <c r="L150" s="6">
        <f>HYPERLINK("https://fin.land.naver.com/articles/2654701720", "매물Link")</f>
        <v/>
      </c>
      <c r="M150" s="6">
        <f>HYPERLINK("https://map.naver.com/p/search/강내면 탑연리 147-5", "지도Link")</f>
        <v/>
      </c>
      <c r="N150" s="6">
        <f>HYPERLINK("http://www.eum.go.kr/web/ar/lu/luLandDet.jsp?pnu=4311331031101470005&amp;isNoScr=script&amp;mode=search", "토지이음")</f>
        <v/>
      </c>
      <c r="O150" s="3" t="inlineStr">
        <is>
          <t>제이</t>
        </is>
      </c>
      <c r="P150" s="4" t="n">
        <v>1</v>
      </c>
      <c r="Q150" s="4" t="n">
        <v>151</v>
      </c>
      <c r="R150" s="3" t="inlineStr">
        <is>
          <t>지정되지않음</t>
        </is>
      </c>
      <c r="S150" s="3" t="inlineStr">
        <is>
          <t>상업나지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탑연리 205-1</t>
        </is>
      </c>
      <c r="B151" s="3" t="inlineStr">
        <is>
          <t>생산녹지지역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70000</v>
      </c>
      <c r="G151" s="4" t="n">
        <v>1908</v>
      </c>
      <c r="H151" s="4" t="n">
        <v>577</v>
      </c>
      <c r="I151" s="5" t="n">
        <v>121.3</v>
      </c>
      <c r="J151" s="5" t="n">
        <v>23.7</v>
      </c>
      <c r="K151" s="3" t="inlineStr">
        <is>
          <t>생산녹지 토지매매, 강내우체국 맞은</t>
        </is>
      </c>
      <c r="L151" s="6">
        <f>HYPERLINK("https://fin.land.naver.com/articles/2650140388", "매물Link")</f>
        <v/>
      </c>
      <c r="M151" s="6">
        <f>HYPERLINK("https://map.naver.com/p/search/강내면 탑연리 205-1", "지도Link")</f>
        <v/>
      </c>
      <c r="N151" s="6">
        <f>HYPERLINK("http://www.eum.go.kr/web/ar/lu/luLandDet.jsp?pnu=4311331031102050001&amp;isNoScr=script&amp;mode=search", "토지이음")</f>
        <v/>
      </c>
      <c r="O151" s="3" t="inlineStr">
        <is>
          <t>토마토</t>
        </is>
      </c>
      <c r="P151" s="4" t="n">
        <v>1</v>
      </c>
      <c r="Q151" s="4" t="n">
        <v>1908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탑연리 279-2</t>
        </is>
      </c>
      <c r="B152" s="3" t="inlineStr">
        <is>
          <t>제2종일반주거지역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97000</v>
      </c>
      <c r="G152" s="4" t="n">
        <v>1070</v>
      </c>
      <c r="H152" s="4" t="n">
        <v>324</v>
      </c>
      <c r="I152" s="5" t="n">
        <v>299.4</v>
      </c>
      <c r="J152" s="5" t="n">
        <v>122.8</v>
      </c>
      <c r="K152" s="3" t="inlineStr">
        <is>
          <t>인근 시세보다 저렴, 2차선 도시계획도로에 한면이 접함, 지가 상승 예상</t>
        </is>
      </c>
      <c r="L152" s="6">
        <f>HYPERLINK("https://fin.land.naver.com/articles/2651478715", "매물Link")</f>
        <v/>
      </c>
      <c r="M152" s="6">
        <f>HYPERLINK("https://map.naver.com/p/search/강내면 탑연리 279-2", "지도Link")</f>
        <v/>
      </c>
      <c r="N152" s="6">
        <f>HYPERLINK("http://www.eum.go.kr/web/ar/lu/luLandDet.jsp?pnu=4311331031102790002&amp;isNoScr=script&amp;mode=search", "토지이음")</f>
        <v/>
      </c>
      <c r="O152" s="3" t="inlineStr">
        <is>
          <t>제이</t>
        </is>
      </c>
      <c r="P152" s="4" t="n">
        <v>1</v>
      </c>
      <c r="Q152" s="4" t="n">
        <v>1070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탑연리 29-12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22000</v>
      </c>
      <c r="G153" s="4" t="n">
        <v>550</v>
      </c>
      <c r="H153" s="4" t="n">
        <v>166</v>
      </c>
      <c r="I153" s="5" t="n">
        <v>132.5</v>
      </c>
      <c r="J153" s="5" t="n">
        <v>57.1</v>
      </c>
      <c r="K153" s="3" t="inlineStr">
        <is>
          <t>nan</t>
        </is>
      </c>
      <c r="L153" s="6">
        <f>HYPERLINK("https://fin.land.naver.com/articles/2651949514", "매물Link")</f>
        <v/>
      </c>
      <c r="M153" s="6">
        <f>HYPERLINK("https://map.naver.com/p/search/강내면 탑연리 29-12", "지도Link")</f>
        <v/>
      </c>
      <c r="N153" s="6">
        <f>HYPERLINK("http://www.eum.go.kr/web/ar/lu/luLandDet.jsp?pnu=4311331031100290012&amp;isNoScr=script&amp;mode=search", "토지이음")</f>
        <v/>
      </c>
      <c r="O153" s="3" t="inlineStr">
        <is>
          <t>창성</t>
        </is>
      </c>
      <c r="P153" s="4" t="n">
        <v>1</v>
      </c>
      <c r="Q153" s="4" t="n">
        <v>550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탑연리 290-5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245000</v>
      </c>
      <c r="G154" s="4" t="n">
        <v>2105</v>
      </c>
      <c r="H154" s="4" t="n">
        <v>637</v>
      </c>
      <c r="I154" s="5" t="n">
        <v>384.6</v>
      </c>
      <c r="J154" s="5" t="n">
        <v>180.5</v>
      </c>
      <c r="K154" s="3" t="inlineStr">
        <is>
          <t>nan</t>
        </is>
      </c>
      <c r="L154" s="6">
        <f>HYPERLINK("https://fin.land.naver.com/articles/2652009126", "매물Link")</f>
        <v/>
      </c>
      <c r="M154" s="6">
        <f>HYPERLINK("https://map.naver.com/p/search/강내면 탑연리 290-5", "지도Link")</f>
        <v/>
      </c>
      <c r="N154" s="6">
        <f>HYPERLINK("http://www.eum.go.kr/web/ar/lu/luLandDet.jsp?pnu=4311331031102900005&amp;isNoScr=script&amp;mode=search", "토지이음")</f>
        <v/>
      </c>
      <c r="O154" s="3" t="inlineStr">
        <is>
          <t>오너스</t>
        </is>
      </c>
      <c r="P154" s="4" t="n">
        <v>1</v>
      </c>
      <c r="Q154" s="4" t="n">
        <v>1728</v>
      </c>
      <c r="R154" s="3" t="inlineStr">
        <is>
          <t>지정되지않음</t>
        </is>
      </c>
      <c r="S154" s="3" t="inlineStr">
        <is>
          <t>주상나지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중로한면</t>
        </is>
      </c>
    </row>
    <row r="155">
      <c r="A155" s="3" t="inlineStr">
        <is>
          <t>강내면 탑연리 330-9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1200000</v>
      </c>
      <c r="G155" s="4" t="n">
        <v>9564</v>
      </c>
      <c r="H155" s="4" t="n">
        <v>2893</v>
      </c>
      <c r="I155" s="5" t="n">
        <v>414.8</v>
      </c>
      <c r="J155" s="5" t="n">
        <v>147.8</v>
      </c>
      <c r="K155" s="3" t="inlineStr">
        <is>
          <t>M 해당토지외 15필지 포함. 공장 및 토지 매매 M</t>
        </is>
      </c>
      <c r="L155" s="6">
        <f>HYPERLINK("https://fin.land.naver.com/articles/2651128763", "매물Link")</f>
        <v/>
      </c>
      <c r="M155" s="6">
        <f>HYPERLINK("https://map.naver.com/p/search/강내면 탑연리 330-9", "지도Link")</f>
        <v/>
      </c>
      <c r="N155" s="6">
        <f>HYPERLINK("http://www.eum.go.kr/web/ar/lu/luLandDet.jsp?pnu=4311331031103300009&amp;isNoScr=script&amp;mode=search", "토지이음")</f>
        <v/>
      </c>
      <c r="O155" s="3" t="inlineStr">
        <is>
          <t>채움</t>
        </is>
      </c>
      <c r="P155" s="4" t="n">
        <v>1</v>
      </c>
      <c r="Q155" s="4" t="n">
        <v>1590</v>
      </c>
      <c r="R155" s="3" t="inlineStr">
        <is>
          <t>자연녹지지역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중로한면</t>
        </is>
      </c>
    </row>
    <row r="156">
      <c r="A156" s="3" t="inlineStr">
        <is>
          <t>강내면 탑연리 333-4</t>
        </is>
      </c>
      <c r="B156" s="3" t="inlineStr">
        <is>
          <t>자연녹지지역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147000</v>
      </c>
      <c r="G156" s="4" t="n">
        <v>1950</v>
      </c>
      <c r="H156" s="4" t="n">
        <v>590</v>
      </c>
      <c r="I156" s="5" t="n">
        <v>249.2</v>
      </c>
      <c r="J156" s="5" t="n">
        <v>92.59999999999999</v>
      </c>
      <c r="K156" s="3" t="inlineStr">
        <is>
          <t>탑연리 자연녹지 카페.자동차관련.1.2종근생.운동시설관련등 추천</t>
        </is>
      </c>
      <c r="L156" s="6">
        <f>HYPERLINK("https://fin.land.naver.com/articles/2652976662", "매물Link")</f>
        <v/>
      </c>
      <c r="M156" s="6">
        <f>HYPERLINK("https://map.naver.com/p/search/강내면 탑연리 333-4", "지도Link")</f>
        <v/>
      </c>
      <c r="N156" s="6">
        <f>HYPERLINK("http://www.eum.go.kr/web/ar/lu/luLandDet.jsp?pnu=4311331031103330004&amp;isNoScr=script&amp;mode=search", "토지이음")</f>
        <v/>
      </c>
      <c r="O156" s="3" t="inlineStr">
        <is>
          <t>그린</t>
        </is>
      </c>
      <c r="P156" s="4" t="n">
        <v>1</v>
      </c>
      <c r="Q156" s="4" t="n">
        <v>1610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탑연리 334-2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354600</v>
      </c>
      <c r="G157" s="4" t="n">
        <v>3908</v>
      </c>
      <c r="H157" s="4" t="n">
        <v>1182</v>
      </c>
      <c r="I157" s="5" t="n">
        <v>300</v>
      </c>
      <c r="J157" s="5" t="n">
        <v>133</v>
      </c>
      <c r="K157" s="3" t="inlineStr">
        <is>
          <t>nan</t>
        </is>
      </c>
      <c r="L157" s="6">
        <f>HYPERLINK("https://fin.land.naver.com/articles/2652470487", "매물Link")</f>
        <v/>
      </c>
      <c r="M157" s="6">
        <f>HYPERLINK("https://map.naver.com/p/search/강내면 탑연리 334-2", "지도Link")</f>
        <v/>
      </c>
      <c r="N157" s="6">
        <f>HYPERLINK("http://www.eum.go.kr/web/ar/lu/luLandDet.jsp?pnu=4311331031103340002&amp;isNoScr=script&amp;mode=search", "토지이음")</f>
        <v/>
      </c>
      <c r="O157" s="3" t="inlineStr">
        <is>
          <t>천석</t>
        </is>
      </c>
      <c r="P157" s="4" t="n">
        <v>1</v>
      </c>
      <c r="Q157" s="4" t="n">
        <v>448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중로한면</t>
        </is>
      </c>
    </row>
    <row r="158">
      <c r="A158" s="3" t="inlineStr">
        <is>
          <t>강내면 탑연리 335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208500</v>
      </c>
      <c r="G158" s="4" t="n">
        <v>2298</v>
      </c>
      <c r="H158" s="4" t="n">
        <v>695</v>
      </c>
      <c r="I158" s="5" t="n">
        <v>300</v>
      </c>
      <c r="J158" s="5" t="n">
        <v>135.4</v>
      </c>
      <c r="K158" s="3" t="inlineStr">
        <is>
          <t>자동차 써비스관련 시설등 하기 좋은 땅</t>
        </is>
      </c>
      <c r="L158" s="6">
        <f>HYPERLINK("https://fin.land.naver.com/articles/2654358551", "매물Link")</f>
        <v/>
      </c>
      <c r="M158" s="6">
        <f>HYPERLINK("https://map.naver.com/p/search/강내면 탑연리 335", "지도Link")</f>
        <v/>
      </c>
      <c r="N158" s="6">
        <f>HYPERLINK("http://www.eum.go.kr/web/ar/lu/luLandDet.jsp?pnu=4311331031103350000&amp;isNoScr=script&amp;mode=search", "토지이음")</f>
        <v/>
      </c>
      <c r="O158" s="3" t="inlineStr">
        <is>
          <t>천석</t>
        </is>
      </c>
      <c r="P158" s="4" t="n">
        <v>1</v>
      </c>
      <c r="Q158" s="4" t="n">
        <v>1850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중로한면</t>
        </is>
      </c>
    </row>
    <row r="159">
      <c r="A159" s="3" t="inlineStr">
        <is>
          <t>강내면 태성리 121-2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330000</v>
      </c>
      <c r="G159" s="4" t="n">
        <v>7300</v>
      </c>
      <c r="H159" s="4" t="n">
        <v>2208</v>
      </c>
      <c r="I159" s="5" t="n">
        <v>149.5</v>
      </c>
      <c r="J159" s="5" t="n">
        <v>72.2</v>
      </c>
      <c r="K159" s="3" t="inlineStr">
        <is>
          <t>2차선도로접 현재 차고지 사용중</t>
        </is>
      </c>
      <c r="L159" s="6">
        <f>HYPERLINK("https://fin.land.naver.com/articles/2652176994", "매물Link")</f>
        <v/>
      </c>
      <c r="M159" s="6">
        <f>HYPERLINK("https://map.naver.com/p/search/강내면 태성리 121-2", "지도Link")</f>
        <v/>
      </c>
      <c r="N159" s="6">
        <f>HYPERLINK("http://www.eum.go.kr/web/ar/lu/luLandDet.jsp?pnu=4311331027101210002&amp;isNoScr=script&amp;mode=search",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1805</v>
      </c>
      <c r="R159" s="3" t="inlineStr">
        <is>
          <t>지정되지않음</t>
        </is>
      </c>
      <c r="S159" s="3" t="inlineStr">
        <is>
          <t>공업용</t>
        </is>
      </c>
      <c r="T159" s="3" t="inlineStr">
        <is>
          <t>완경사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142-2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공장용지</t>
        </is>
      </c>
      <c r="E160" s="3" t="inlineStr">
        <is>
          <t>매매</t>
        </is>
      </c>
      <c r="F160" s="4" t="n">
        <v>80000</v>
      </c>
      <c r="G160" s="4" t="n">
        <v>1325</v>
      </c>
      <c r="H160" s="4" t="n">
        <v>401</v>
      </c>
      <c r="I160" s="5" t="n">
        <v>199.5</v>
      </c>
      <c r="J160" s="5" t="n">
        <v>67</v>
      </c>
      <c r="K160" s="3" t="inlineStr">
        <is>
          <t>강내 하이테크밸리 산단 연접 공장용지 매매</t>
        </is>
      </c>
      <c r="L160" s="6">
        <f>HYPERLINK("https://fin.land.naver.com/articles/2650595323", "매물Link")</f>
        <v/>
      </c>
      <c r="M160" s="6">
        <f>HYPERLINK("https://map.naver.com/p/search/강내면 태성리 142-2", "지도Link")</f>
        <v/>
      </c>
      <c r="N160" s="6">
        <f>HYPERLINK("http://www.eum.go.kr/web/ar/lu/luLandDet.jsp?pnu=4311331027101420002&amp;isNoScr=script&amp;mode=search", "토지이음")</f>
        <v/>
      </c>
      <c r="O160" s="3" t="inlineStr">
        <is>
          <t>광장</t>
        </is>
      </c>
      <c r="P160" s="4" t="n">
        <v>1</v>
      </c>
      <c r="Q160" s="4" t="n">
        <v>1325</v>
      </c>
      <c r="R160" s="3" t="inlineStr">
        <is>
          <t>지정되지않음</t>
        </is>
      </c>
      <c r="S160" s="3" t="inlineStr">
        <is>
          <t>공업용</t>
        </is>
      </c>
      <c r="T160" s="3" t="inlineStr">
        <is>
          <t>완경사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태성리 233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공장용지</t>
        </is>
      </c>
      <c r="E161" s="3" t="inlineStr">
        <is>
          <t>월세</t>
        </is>
      </c>
      <c r="F161" s="4" t="n">
        <v>13500</v>
      </c>
      <c r="G161" s="4" t="n">
        <v>8903</v>
      </c>
      <c r="H161" s="4" t="n">
        <v>2693</v>
      </c>
      <c r="I161" s="5" t="n">
        <v>0.5</v>
      </c>
      <c r="J161" s="5" t="n">
        <v>62.4</v>
      </c>
      <c r="K161" s="3" t="inlineStr">
        <is>
          <t>남청주ic10분거리로접근성좋아 물류이동최적 야적장가능</t>
        </is>
      </c>
      <c r="L161" s="6">
        <f>HYPERLINK("https://fin.land.naver.com/articles/2652625500", "매물Link")</f>
        <v/>
      </c>
      <c r="M161" s="6">
        <f>HYPERLINK("https://map.naver.com/p/search/강내면 태성리 233", "지도Link")</f>
        <v/>
      </c>
      <c r="N161" s="6">
        <f>HYPERLINK("http://www.eum.go.kr/web/ar/lu/luLandDet.jsp?pnu=4311331027102330000&amp;isNoScr=script&amp;mode=search", "토지이음")</f>
        <v/>
      </c>
      <c r="O161" s="3" t="inlineStr">
        <is>
          <t>더원</t>
        </is>
      </c>
      <c r="P161" s="4" t="n">
        <v>1</v>
      </c>
      <c r="Q161" s="4" t="n">
        <v>209096</v>
      </c>
      <c r="R161" s="3" t="inlineStr">
        <is>
          <t>지정되지않음</t>
        </is>
      </c>
      <c r="S161" s="3" t="inlineStr">
        <is>
          <t>공업용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261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49800</v>
      </c>
      <c r="G162" s="4" t="n">
        <v>1547</v>
      </c>
      <c r="H162" s="4" t="n">
        <v>468</v>
      </c>
      <c r="I162" s="5" t="n">
        <v>106.4</v>
      </c>
      <c r="J162" s="5" t="n">
        <v>29.5</v>
      </c>
      <c r="K162" s="3" t="inlineStr">
        <is>
          <t>계획관리지역, 전468p, 용도변경 가능, 공장,창고 고물상 추천합니다.</t>
        </is>
      </c>
      <c r="L162" s="6">
        <f>HYPERLINK("https://fin.land.naver.com/articles/2653129196", "매물Link")</f>
        <v/>
      </c>
      <c r="M162" s="6">
        <f>HYPERLINK("https://map.naver.com/p/search/강내면 태성리 261", "지도Link")</f>
        <v/>
      </c>
      <c r="N162" s="6">
        <f>HYPERLINK("http://www.eum.go.kr/web/ar/lu/luLandDet.jsp?pnu=4311331027102610000&amp;isNoScr=script&amp;mode=search", "토지이음")</f>
        <v/>
      </c>
      <c r="O162" s="3" t="inlineStr">
        <is>
          <t>지성</t>
        </is>
      </c>
      <c r="P162" s="4" t="n">
        <v>1</v>
      </c>
      <c r="Q162" s="4" t="n">
        <v>1498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태성리 265-6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115000</v>
      </c>
      <c r="G163" s="4" t="n">
        <v>1874</v>
      </c>
      <c r="H163" s="4" t="n">
        <v>567</v>
      </c>
      <c r="I163" s="5" t="n">
        <v>202.8</v>
      </c>
      <c r="J163" s="5" t="n">
        <v>57.9</v>
      </c>
      <c r="K163" s="3" t="inlineStr">
        <is>
          <t>단층주택도 있어요 주택포함된 매매 입니다</t>
        </is>
      </c>
      <c r="L163" s="6">
        <f>HYPERLINK("https://fin.land.naver.com/articles/2652940857", "매물Link")</f>
        <v/>
      </c>
      <c r="M163" s="6">
        <f>HYPERLINK("https://map.naver.com/p/search/강내면 태성리 265-6", "지도Link")</f>
        <v/>
      </c>
      <c r="N163" s="6">
        <f>HYPERLINK("http://www.eum.go.kr/web/ar/lu/luLandDet.jsp?pnu=4311331027102650006&amp;isNoScr=script&amp;mode=search", "토지이음")</f>
        <v/>
      </c>
      <c r="O163" s="3" t="inlineStr">
        <is>
          <t>신화</t>
        </is>
      </c>
      <c r="P163" s="4" t="n">
        <v>1</v>
      </c>
      <c r="Q163" s="4" t="n">
        <v>815</v>
      </c>
      <c r="R163" s="3" t="inlineStr">
        <is>
          <t>지정되지않음</t>
        </is>
      </c>
      <c r="S163" s="3" t="inlineStr">
        <is>
          <t>단독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세로한면(가)</t>
        </is>
      </c>
    </row>
    <row r="164">
      <c r="A164" s="3" t="inlineStr">
        <is>
          <t>강내면 태성리 271-2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95000</v>
      </c>
      <c r="G164" s="4" t="n">
        <v>2085</v>
      </c>
      <c r="H164" s="4" t="n">
        <v>631</v>
      </c>
      <c r="I164" s="5" t="n">
        <v>150.6</v>
      </c>
      <c r="J164" s="5" t="n">
        <v>40.1</v>
      </c>
      <c r="K164" s="3" t="inlineStr">
        <is>
          <t>강내산업단지 맞은편 최고 요지,공장,물류센터,근린시설 강추</t>
        </is>
      </c>
      <c r="L164" s="6">
        <f>HYPERLINK("https://fin.land.naver.com/articles/2654631134", "매물Link")</f>
        <v/>
      </c>
      <c r="M164" s="6">
        <f>HYPERLINK("https://map.naver.com/p/search/강내면 태성리 271-2", "지도Link")</f>
        <v/>
      </c>
      <c r="N164" s="6">
        <f>HYPERLINK("http://www.eum.go.kr/web/ar/lu/luLandDet.jsp?pnu=4311331027102710002&amp;isNoScr=script&amp;mode=search", "토지이음")</f>
        <v/>
      </c>
      <c r="O164" s="3" t="inlineStr">
        <is>
          <t>청주모충주공사모1·2재개발명성</t>
        </is>
      </c>
      <c r="P164" s="4" t="n">
        <v>2</v>
      </c>
      <c r="Q164" s="4" t="n">
        <v>2085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태성리 271-2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2085</v>
      </c>
      <c r="H165" s="4" t="n">
        <v>631</v>
      </c>
      <c r="I165" s="5" t="n">
        <v>158.5</v>
      </c>
      <c r="J165" s="5" t="n">
        <v>40.1</v>
      </c>
      <c r="K165" s="3" t="inlineStr">
        <is>
          <t>강내산업단지 맞은편 최고 요지, 공장, 물류센터, 근린생활시설 추천</t>
        </is>
      </c>
      <c r="L165" s="6">
        <f>HYPERLINK("https://fin.land.naver.com/articles/2650412952", "매물Link")</f>
        <v/>
      </c>
      <c r="M165" s="6">
        <f>HYPERLINK("https://map.naver.com/p/search/강내면 태성리 271-2", "지도Link")</f>
        <v/>
      </c>
      <c r="N165" s="6">
        <f>HYPERLINK("http://www.eum.go.kr/web/ar/lu/luLandDet.jsp?pnu=4311331027102710002&amp;isNoScr=script&amp;mode=search", "토지이음")</f>
        <v/>
      </c>
      <c r="O165" s="3" t="inlineStr">
        <is>
          <t>청주모충사모1/2LH트릴로채명성</t>
        </is>
      </c>
      <c r="P165" s="4" t="n">
        <v>1</v>
      </c>
      <c r="Q165" s="4" t="n">
        <v>2085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태성리 323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270000</v>
      </c>
      <c r="G166" s="4" t="n">
        <v>4478</v>
      </c>
      <c r="H166" s="4" t="n">
        <v>1355</v>
      </c>
      <c r="I166" s="5" t="n">
        <v>199.3</v>
      </c>
      <c r="J166" s="5" t="n">
        <v>33.9</v>
      </c>
      <c r="K166" s="3" t="inlineStr">
        <is>
          <t>nan</t>
        </is>
      </c>
      <c r="L166" s="6">
        <f>HYPERLINK("https://fin.land.naver.com/articles/2651272503", "매물Link")</f>
        <v/>
      </c>
      <c r="M166" s="6">
        <f>HYPERLINK("https://map.naver.com/p/search/강내면 태성리 323", "지도Link")</f>
        <v/>
      </c>
      <c r="N166" s="6">
        <f>HYPERLINK("http://www.eum.go.kr/web/ar/lu/luLandDet.jsp?pnu=4311331027103230000&amp;isNoScr=script&amp;mode=search", "토지이음")</f>
        <v/>
      </c>
      <c r="O166" s="3" t="inlineStr">
        <is>
          <t>오송퍼스트영웅</t>
        </is>
      </c>
      <c r="P166" s="4" t="n">
        <v>1</v>
      </c>
      <c r="Q166" s="4" t="n">
        <v>4478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태성리 407-3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33300</v>
      </c>
      <c r="G167" s="4" t="n">
        <v>1102</v>
      </c>
      <c r="H167" s="4" t="n">
        <v>333</v>
      </c>
      <c r="I167" s="5" t="n">
        <v>100</v>
      </c>
      <c r="J167" s="5" t="n">
        <v>39.1</v>
      </c>
      <c r="K167" s="3" t="inlineStr">
        <is>
          <t>nan</t>
        </is>
      </c>
      <c r="L167" s="6">
        <f>HYPERLINK("https://fin.land.naver.com/articles/2653268685", "매물Link")</f>
        <v/>
      </c>
      <c r="M167" s="6">
        <f>HYPERLINK("https://map.naver.com/p/search/강내면 태성리 407-3", "지도Link")</f>
        <v/>
      </c>
      <c r="N167" s="6">
        <f>HYPERLINK("http://www.eum.go.kr/web/ar/lu/luLandDet.jsp?pnu=4311331027104070003&amp;isNoScr=script&amp;mode=search", "토지이음")</f>
        <v/>
      </c>
      <c r="O167" s="3" t="inlineStr">
        <is>
          <t>프로</t>
        </is>
      </c>
      <c r="P167" s="4" t="n">
        <v>3</v>
      </c>
      <c r="Q167" s="4" t="n">
        <v>1102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태성리 410</t>
        </is>
      </c>
      <c r="B168" s="3" t="inlineStr">
        <is>
          <t>계획관리지역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66000</v>
      </c>
      <c r="G168" s="4" t="n">
        <v>1623</v>
      </c>
      <c r="H168" s="4" t="n">
        <v>491</v>
      </c>
      <c r="I168" s="5" t="n">
        <v>134.4</v>
      </c>
      <c r="J168" s="5" t="n">
        <v>39.1</v>
      </c>
      <c r="K168" s="3" t="inlineStr">
        <is>
          <t>계획관리지역, 성장관리계획구역, 근처는 대지, 옆에 전원주택지</t>
        </is>
      </c>
      <c r="L168" s="6">
        <f>HYPERLINK("https://fin.land.naver.com/articles/2653856468", "매물Link")</f>
        <v/>
      </c>
      <c r="M168" s="6">
        <f>HYPERLINK("https://map.naver.com/p/search/강내면 태성리 410", "지도Link")</f>
        <v/>
      </c>
      <c r="N168" s="6">
        <f>HYPERLINK("http://www.eum.go.kr/web/ar/lu/luLandDet.jsp?pnu=4311331027104100000&amp;isNoScr=script&amp;mode=search", "토지이음")</f>
        <v/>
      </c>
      <c r="O168" s="3" t="inlineStr">
        <is>
          <t>금백</t>
        </is>
      </c>
      <c r="P168" s="4" t="n">
        <v>1</v>
      </c>
      <c r="Q168" s="4" t="n">
        <v>1623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태성리 410</t>
        </is>
      </c>
      <c r="B169" s="3" t="inlineStr">
        <is>
          <t>계획관리지역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66000</v>
      </c>
      <c r="G169" s="4" t="n">
        <v>1623</v>
      </c>
      <c r="H169" s="4" t="n">
        <v>491</v>
      </c>
      <c r="I169" s="5" t="n">
        <v>134.4</v>
      </c>
      <c r="J169" s="5" t="n">
        <v>39.1</v>
      </c>
      <c r="K169" s="3" t="inlineStr">
        <is>
          <t>전망 좋은 전원주택지</t>
        </is>
      </c>
      <c r="L169" s="6">
        <f>HYPERLINK("https://fin.land.naver.com/articles/2649807201", "매물Link")</f>
        <v/>
      </c>
      <c r="M169" s="6">
        <f>HYPERLINK("https://map.naver.com/p/search/강내면 태성리 410", "지도Link")</f>
        <v/>
      </c>
      <c r="N169" s="6">
        <f>HYPERLINK("http://www.eum.go.kr/web/ar/lu/luLandDet.jsp?pnu=4311331027104100000&amp;isNoScr=script&amp;mode=search", "토지이음")</f>
        <v/>
      </c>
      <c r="O169" s="3" t="inlineStr">
        <is>
          <t>초이스</t>
        </is>
      </c>
      <c r="P169" s="4" t="n">
        <v>2</v>
      </c>
      <c r="Q169" s="4" t="n">
        <v>1623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태성리 421</t>
        </is>
      </c>
      <c r="B170" s="3" t="inlineStr">
        <is>
          <t>계획관리지역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85000</v>
      </c>
      <c r="G170" s="4" t="n">
        <v>1871</v>
      </c>
      <c r="H170" s="4" t="n">
        <v>566</v>
      </c>
      <c r="I170" s="5" t="n">
        <v>150.2</v>
      </c>
      <c r="J170" s="5" t="n">
        <v>36.3</v>
      </c>
      <c r="K170" s="3" t="inlineStr">
        <is>
          <t>계획관리지역 내 토지매매</t>
        </is>
      </c>
      <c r="L170" s="6">
        <f>HYPERLINK("https://fin.land.naver.com/articles/2651254455", "매물Link")</f>
        <v/>
      </c>
      <c r="M170" s="6">
        <f>HYPERLINK("https://map.naver.com/p/search/강내면 태성리 421", "지도Link")</f>
        <v/>
      </c>
      <c r="N170" s="6">
        <f>HYPERLINK("http://www.eum.go.kr/web/ar/lu/luLandDet.jsp?pnu=4311331027104210000&amp;isNoScr=script&amp;mode=search", "토지이음")</f>
        <v/>
      </c>
      <c r="O170" s="3" t="inlineStr">
        <is>
          <t>럭키</t>
        </is>
      </c>
      <c r="P170" s="4" t="n">
        <v>1</v>
      </c>
      <c r="Q170" s="4" t="n">
        <v>1871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454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55000</v>
      </c>
      <c r="G171" s="4" t="n">
        <v>3495</v>
      </c>
      <c r="H171" s="4" t="n">
        <v>1057</v>
      </c>
      <c r="I171" s="5" t="n">
        <v>52</v>
      </c>
      <c r="J171" s="5" t="n">
        <v>14.6</v>
      </c>
      <c r="K171" s="3" t="inlineStr">
        <is>
          <t>가로장방형으로 경지정리된 답, 2면 도로 농로접합</t>
        </is>
      </c>
      <c r="L171" s="6">
        <f>HYPERLINK("https://fin.land.naver.com/articles/2649530932", "매물Link")</f>
        <v/>
      </c>
      <c r="M171" s="6">
        <f>HYPERLINK("https://map.naver.com/p/search/강내면 태성리 454", "지도Link")</f>
        <v/>
      </c>
      <c r="N171" s="6">
        <f>HYPERLINK("http://www.eum.go.kr/web/ar/lu/luLandDet.jsp?pnu=4311331027104540000&amp;isNoScr=script&amp;mode=search", "토지이음")</f>
        <v/>
      </c>
      <c r="O171" s="3" t="inlineStr">
        <is>
          <t>행복한마을</t>
        </is>
      </c>
      <c r="P171" s="4" t="n">
        <v>1</v>
      </c>
      <c r="Q171" s="4" t="n">
        <v>3495.7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세로각지(가)</t>
        </is>
      </c>
    </row>
    <row r="172">
      <c r="A172" s="3" t="inlineStr">
        <is>
          <t>강내면 태성리 산29-1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59100</v>
      </c>
      <c r="G172" s="4" t="n">
        <v>1303</v>
      </c>
      <c r="H172" s="4" t="n">
        <v>394</v>
      </c>
      <c r="I172" s="5" t="n">
        <v>150</v>
      </c>
      <c r="J172" s="5" t="n">
        <v>8.5</v>
      </c>
      <c r="K172" s="3" t="inlineStr">
        <is>
          <t>4차선도접 공장허가득 토목완료</t>
        </is>
      </c>
      <c r="L172" s="6">
        <f>HYPERLINK("https://fin.land.naver.com/articles/2654694126", "매물Link")</f>
        <v/>
      </c>
      <c r="M172" s="6">
        <f>HYPERLINK("https://map.naver.com/p/search/강내면 태성리 산29-1", "지도Link")</f>
        <v/>
      </c>
      <c r="N172" s="6">
        <f>HYPERLINK("http://www.eum.go.kr/web/ar/lu/luLandDet.jsp?pnu=4311331027200290001&amp;isNoScr=script&amp;mode=search",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1227</v>
      </c>
      <c r="R172" s="3" t="inlineStr">
        <is>
          <t>지정되지않음</t>
        </is>
      </c>
      <c r="S172" s="3" t="inlineStr">
        <is>
          <t>도로등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태성리 산29-11</t>
        </is>
      </c>
      <c r="B173" s="3" t="inlineStr">
        <is>
          <t>계획관리지역</t>
        </is>
      </c>
      <c r="C173" s="3" t="inlineStr">
        <is>
          <t>임야</t>
        </is>
      </c>
      <c r="D173" s="3" t="inlineStr">
        <is>
          <t>임야</t>
        </is>
      </c>
      <c r="E173" s="3" t="inlineStr">
        <is>
          <t>매매</t>
        </is>
      </c>
      <c r="F173" s="4" t="n">
        <v>19000</v>
      </c>
      <c r="G173" s="4" t="n">
        <v>631</v>
      </c>
      <c r="H173" s="4" t="n">
        <v>191</v>
      </c>
      <c r="I173" s="5" t="n">
        <v>99.5</v>
      </c>
      <c r="J173" s="5" t="n">
        <v>5.6</v>
      </c>
      <c r="K173" s="3" t="inlineStr">
        <is>
          <t>청주시 강내면 태성사거리 가까운 곳에 있는 공장 창고부지</t>
        </is>
      </c>
      <c r="L173" s="6">
        <f>HYPERLINK("https://fin.land.naver.com/articles/2653497978", "매물Link")</f>
        <v/>
      </c>
      <c r="M173" s="6">
        <f>HYPERLINK("https://map.naver.com/p/search/강내면 태성리 산29-11", "지도Link")</f>
        <v/>
      </c>
      <c r="N173" s="6">
        <f>HYPERLINK("http://www.eum.go.kr/web/ar/lu/luLandDet.jsp?pnu=4311331027200290011&amp;isNoScr=script&amp;mode=search", "토지이음")</f>
        <v/>
      </c>
      <c r="O173" s="3" t="inlineStr">
        <is>
          <t>청주114</t>
        </is>
      </c>
      <c r="P173" s="4" t="n">
        <v>2</v>
      </c>
      <c r="Q173" s="4" t="n">
        <v>631</v>
      </c>
      <c r="R173" s="3" t="inlineStr">
        <is>
          <t>지정되지않음</t>
        </is>
      </c>
      <c r="S173" s="3" t="inlineStr">
        <is>
          <t>토지임야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태성리 산38-22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임야</t>
        </is>
      </c>
      <c r="E174" s="3" t="inlineStr">
        <is>
          <t>매매</t>
        </is>
      </c>
      <c r="F174" s="4" t="n">
        <v>475000</v>
      </c>
      <c r="G174" s="4" t="n">
        <v>10456</v>
      </c>
      <c r="H174" s="4" t="n">
        <v>3163</v>
      </c>
      <c r="I174" s="5" t="n">
        <v>150.2</v>
      </c>
      <c r="J174" s="5" t="n">
        <v>7</v>
      </c>
      <c r="K174" s="3" t="inlineStr">
        <is>
          <t>2차선도로와 접한 제조업소 허가 득한 토지 계획관리지역, 성장관리구역</t>
        </is>
      </c>
      <c r="L174" s="6">
        <f>HYPERLINK("https://fin.land.naver.com/articles/2653371592", "매물Link")</f>
        <v/>
      </c>
      <c r="M174" s="6">
        <f>HYPERLINK("https://map.naver.com/p/search/강내면 태성리 산38-22", "지도Link")</f>
        <v/>
      </c>
      <c r="N174" s="6">
        <f>HYPERLINK("http://www.eum.go.kr/web/ar/lu/luLandDet.jsp?pnu=4311331027200380022&amp;isNoScr=script&amp;mode=search", "토지이음")</f>
        <v/>
      </c>
      <c r="O174" s="3" t="inlineStr">
        <is>
          <t>태성</t>
        </is>
      </c>
      <c r="P174" s="4" t="n">
        <v>1</v>
      </c>
      <c r="Q174" s="4" t="n">
        <v>5506</v>
      </c>
      <c r="R174" s="3" t="inlineStr">
        <is>
          <t>지정되지않음</t>
        </is>
      </c>
      <c r="S174" s="3" t="inlineStr">
        <is>
          <t>자연림</t>
        </is>
      </c>
      <c r="T174" s="3" t="inlineStr">
        <is>
          <t>완경사</t>
        </is>
      </c>
      <c r="U174" s="3" t="inlineStr">
        <is>
          <t>사다리형</t>
        </is>
      </c>
      <c r="V174" s="3" t="inlineStr">
        <is>
          <t>소로한면</t>
        </is>
      </c>
    </row>
    <row r="175">
      <c r="A175" s="3" t="inlineStr">
        <is>
          <t>강내면 태성리 산71-10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임야</t>
        </is>
      </c>
      <c r="E175" s="3" t="inlineStr">
        <is>
          <t>매매</t>
        </is>
      </c>
      <c r="F175" s="4" t="n">
        <v>480000</v>
      </c>
      <c r="G175" s="4" t="n">
        <v>15977</v>
      </c>
      <c r="H175" s="4" t="n">
        <v>4833</v>
      </c>
      <c r="I175" s="5" t="n">
        <v>99.3</v>
      </c>
      <c r="J175" s="5" t="n">
        <v>4.1</v>
      </c>
      <c r="K175" s="3" t="inlineStr">
        <is>
          <t>8M 도로접 공장지대 민원소지 없음</t>
        </is>
      </c>
      <c r="L175" s="6">
        <f>HYPERLINK("https://fin.land.naver.com/articles/2654693741", "매물Link")</f>
        <v/>
      </c>
      <c r="M175" s="6">
        <f>HYPERLINK("https://map.naver.com/p/search/강내면 태성리 산71-10", "지도Link")</f>
        <v/>
      </c>
      <c r="N175" s="6">
        <f>HYPERLINK("http://www.eum.go.kr/web/ar/lu/luLandDet.jsp?pnu=4311331027200710010&amp;isNoScr=script&amp;mode=search", "토지이음")</f>
        <v/>
      </c>
      <c r="O175" s="3" t="inlineStr">
        <is>
          <t>플러스태양</t>
        </is>
      </c>
      <c r="P175" s="4" t="n">
        <v>2</v>
      </c>
      <c r="Q175" s="4" t="n">
        <v>15333</v>
      </c>
      <c r="R175" s="3" t="inlineStr">
        <is>
          <t>지정되지않음</t>
        </is>
      </c>
      <c r="S175" s="3" t="inlineStr">
        <is>
          <t>자연림</t>
        </is>
      </c>
      <c r="T175" s="3" t="inlineStr">
        <is>
          <t>급경사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19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30000</v>
      </c>
      <c r="G176" s="4" t="n">
        <v>2790</v>
      </c>
      <c r="H176" s="4" t="n">
        <v>844</v>
      </c>
      <c r="I176" s="5" t="n">
        <v>35.5</v>
      </c>
      <c r="J176" s="5" t="n">
        <v>16.4</v>
      </c>
      <c r="K176" s="3" t="inlineStr">
        <is>
          <t>진입로 있는 지목 답 자연녹지지역</t>
        </is>
      </c>
      <c r="L176" s="6">
        <f>HYPERLINK("https://fin.land.naver.com/articles/2651727712", "매물Link")</f>
        <v/>
      </c>
      <c r="M176" s="6">
        <f>HYPERLINK("https://map.naver.com/p/search/강내면 학천리 19", "지도Link")</f>
        <v/>
      </c>
      <c r="N176" s="6">
        <f>HYPERLINK("http://www.eum.go.kr/web/ar/lu/luLandDet.jsp?pnu=4311331035100190000&amp;isNoScr=script&amp;mode=search", "토지이음")</f>
        <v/>
      </c>
      <c r="O176" s="3" t="inlineStr">
        <is>
          <t>해모로더센트라</t>
        </is>
      </c>
      <c r="P176" s="4" t="n">
        <v>1</v>
      </c>
      <c r="Q176" s="4" t="n">
        <v>2790</v>
      </c>
      <c r="R176" s="3" t="inlineStr">
        <is>
          <t>보전녹지지역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198-3</t>
        </is>
      </c>
      <c r="B177" s="3" t="inlineStr">
        <is>
          <t>자연녹지지역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67000</v>
      </c>
      <c r="G177" s="4" t="n">
        <v>2463</v>
      </c>
      <c r="H177" s="4" t="n">
        <v>745</v>
      </c>
      <c r="I177" s="5" t="n">
        <v>89.90000000000001</v>
      </c>
      <c r="J177" s="5" t="n">
        <v>42.4</v>
      </c>
      <c r="K177" s="3" t="inlineStr">
        <is>
          <t>쿠팡물류창고 바로 인접 4M도로접</t>
        </is>
      </c>
      <c r="L177" s="6">
        <f>HYPERLINK("https://fin.land.naver.com/articles/2653619236", "매물Link")</f>
        <v/>
      </c>
      <c r="M177" s="6">
        <f>HYPERLINK("https://map.naver.com/p/search/강내면 학천리 198-3", "지도Link")</f>
        <v/>
      </c>
      <c r="N177" s="6">
        <f>HYPERLINK("http://www.eum.go.kr/web/ar/lu/luLandDet.jsp?pnu=4311331035101980003&amp;isNoScr=script&amp;mode=search",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999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세로한면(불)</t>
        </is>
      </c>
    </row>
    <row r="178">
      <c r="A178" s="3" t="inlineStr">
        <is>
          <t>강내면 학천리 220-19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79800</v>
      </c>
      <c r="G178" s="4" t="n">
        <v>800</v>
      </c>
      <c r="H178" s="4" t="n">
        <v>242</v>
      </c>
      <c r="I178" s="5" t="n">
        <v>329.8</v>
      </c>
      <c r="J178" s="5" t="n">
        <v>53.7</v>
      </c>
      <c r="K178" s="3" t="inlineStr">
        <is>
          <t>도로접함, 위치좋고 땅모양 좋음,</t>
        </is>
      </c>
      <c r="L178" s="6">
        <f>HYPERLINK("https://fin.land.naver.com/articles/2649628623", "매물Link")</f>
        <v/>
      </c>
      <c r="M178" s="6">
        <f>HYPERLINK("https://map.naver.com/p/search/강내면 학천리 220-19", "지도Link")</f>
        <v/>
      </c>
      <c r="N178" s="6">
        <f>HYPERLINK("http://www.eum.go.kr/web/ar/lu/luLandDet.jsp?pnu=4311331035102200019&amp;isNoScr=script&amp;mode=search", "토지이음")</f>
        <v/>
      </c>
      <c r="O178" s="3" t="inlineStr">
        <is>
          <t>동남이지</t>
        </is>
      </c>
      <c r="P178" s="4" t="n">
        <v>1</v>
      </c>
      <c r="Q178" s="4" t="n">
        <v>818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305-5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100000</v>
      </c>
      <c r="G179" s="4" t="n">
        <v>3082</v>
      </c>
      <c r="H179" s="4" t="n">
        <v>932</v>
      </c>
      <c r="I179" s="5" t="n">
        <v>107.3</v>
      </c>
      <c r="J179" s="5" t="n">
        <v>36.8</v>
      </c>
      <c r="K179" s="3" t="inlineStr">
        <is>
          <t>흥덕구청 인근, 다목적 체육관 인접, 투자, 공장,창고추천</t>
        </is>
      </c>
      <c r="L179" s="6">
        <f>HYPERLINK("https://fin.land.naver.com/articles/2651058854", "매물Link")</f>
        <v/>
      </c>
      <c r="M179" s="6">
        <f>HYPERLINK("https://map.naver.com/p/search/강내면 학천리 305-5", "지도Link")</f>
        <v/>
      </c>
      <c r="N179" s="6">
        <f>HYPERLINK("http://www.eum.go.kr/web/ar/lu/luLandDet.jsp?pnu=4311331035103050005&amp;isNoScr=script&amp;mode=search", "토지이음")</f>
        <v/>
      </c>
      <c r="O179" s="3" t="inlineStr">
        <is>
          <t>플러스자이합동</t>
        </is>
      </c>
      <c r="P179" s="4" t="n">
        <v>1</v>
      </c>
      <c r="Q179" s="4" t="n">
        <v>3082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307-1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227000</v>
      </c>
      <c r="G180" s="4" t="n">
        <v>2686</v>
      </c>
      <c r="H180" s="4" t="n">
        <v>813</v>
      </c>
      <c r="I180" s="5" t="n">
        <v>279.2</v>
      </c>
      <c r="J180" s="5" t="n">
        <v>35</v>
      </c>
      <c r="K180" s="3" t="inlineStr">
        <is>
          <t>4차선 대로변 연접, 진입로 有, 경부고속도로 노출효과 뛰어남, 구청인근</t>
        </is>
      </c>
      <c r="L180" s="6">
        <f>HYPERLINK("https://fin.land.naver.com/articles/2653398950", "매물Link")</f>
        <v/>
      </c>
      <c r="M180" s="6">
        <f>HYPERLINK("https://map.naver.com/p/search/강내면 학천리 307-1", "지도Link")</f>
        <v/>
      </c>
      <c r="N180" s="6">
        <f>HYPERLINK("http://www.eum.go.kr/web/ar/lu/luLandDet.jsp?pnu=4311331035103070001&amp;isNoScr=script&amp;mode=search", "토지이음")</f>
        <v/>
      </c>
      <c r="O180" s="3" t="inlineStr">
        <is>
          <t>제이</t>
        </is>
      </c>
      <c r="P180" s="4" t="n">
        <v>2</v>
      </c>
      <c r="Q180" s="4" t="n">
        <v>2686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308-11</t>
        </is>
      </c>
      <c r="B181" s="3" t="inlineStr">
        <is>
          <t>자연녹지지역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1140000</v>
      </c>
      <c r="G181" s="4" t="n">
        <v>15078</v>
      </c>
      <c r="H181" s="4" t="n">
        <v>4561</v>
      </c>
      <c r="I181" s="5" t="n">
        <v>249.9</v>
      </c>
      <c r="J181" s="5" t="n">
        <v>17.1</v>
      </c>
      <c r="K181" s="3" t="inlineStr">
        <is>
          <t>4차선 도로접 흥덕구청부근 물류창고추천</t>
        </is>
      </c>
      <c r="L181" s="6">
        <f>HYPERLINK("https://fin.land.naver.com/articles/2650429056", "매물Link")</f>
        <v/>
      </c>
      <c r="M181" s="6">
        <f>HYPERLINK("https://map.naver.com/p/search/강내면 학천리 308-11", "지도Link")</f>
        <v/>
      </c>
      <c r="N181" s="6">
        <f>HYPERLINK("http://www.eum.go.kr/web/ar/lu/luLandDet.jsp?pnu=4311331035103080011&amp;isNoScr=script&amp;mode=search", "토지이음")</f>
        <v/>
      </c>
      <c r="O181" s="3" t="inlineStr">
        <is>
          <t>플러스태양</t>
        </is>
      </c>
      <c r="P181" s="4" t="n">
        <v>1</v>
      </c>
      <c r="Q181" s="4" t="n">
        <v>13967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완경사</t>
        </is>
      </c>
      <c r="U181" s="3" t="inlineStr">
        <is>
          <t>부정형</t>
        </is>
      </c>
      <c r="V181" s="3" t="inlineStr">
        <is>
          <t>세로한면(불)</t>
        </is>
      </c>
    </row>
    <row r="182">
      <c r="A182" s="3" t="inlineStr">
        <is>
          <t>강내면 학천리 317</t>
        </is>
      </c>
      <c r="B182" s="3" t="inlineStr">
        <is>
          <t>보전녹지지역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13000</v>
      </c>
      <c r="G182" s="4" t="n">
        <v>1110</v>
      </c>
      <c r="H182" s="4" t="n">
        <v>336</v>
      </c>
      <c r="I182" s="5" t="n">
        <v>38.7</v>
      </c>
      <c r="J182" s="5" t="n">
        <v>11.3</v>
      </c>
      <c r="K182" s="3" t="inlineStr">
        <is>
          <t>흥덕구청 주변이며 주말농장 ,벌꿀채집하면 좋은곳이며 컨테이너 ,전기있음.</t>
        </is>
      </c>
      <c r="L182" s="6">
        <f>HYPERLINK("https://fin.land.naver.com/articles/2653177353", "매물Link")</f>
        <v/>
      </c>
      <c r="M182" s="6">
        <f>HYPERLINK("https://map.naver.com/p/search/강내면 학천리 317", "지도Link")</f>
        <v/>
      </c>
      <c r="N182" s="6">
        <f>HYPERLINK("http://www.eum.go.kr/web/ar/lu/luLandDet.jsp?pnu=4311331035103170000&amp;isNoScr=script&amp;mode=search", "토지이음")</f>
        <v/>
      </c>
      <c r="O182" s="3" t="inlineStr">
        <is>
          <t>황금빛</t>
        </is>
      </c>
      <c r="P182" s="4" t="n">
        <v>1</v>
      </c>
      <c r="Q182" s="4" t="n">
        <v>1111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335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210000</v>
      </c>
      <c r="G183" s="4" t="n">
        <v>3421</v>
      </c>
      <c r="H183" s="4" t="n">
        <v>1035</v>
      </c>
      <c r="I183" s="5" t="n">
        <v>202.9</v>
      </c>
      <c r="J183" s="5" t="n">
        <v>35.6</v>
      </c>
      <c r="K183" s="3" t="inlineStr">
        <is>
          <t>흥덕구청 뒷편으로 추후 상가나 주택용지로 적합한 토지</t>
        </is>
      </c>
      <c r="L183" s="6">
        <f>HYPERLINK("https://fin.land.naver.com/articles/2653410377", "매물Link")</f>
        <v/>
      </c>
      <c r="M183" s="6">
        <f>HYPERLINK("https://map.naver.com/p/search/강내면 학천리 335", "지도Link")</f>
        <v/>
      </c>
      <c r="N183" s="6">
        <f>HYPERLINK("http://www.eum.go.kr/web/ar/lu/luLandDet.jsp?pnu=4311331035103350000&amp;isNoScr=script&amp;mode=search", "토지이음")</f>
        <v/>
      </c>
      <c r="O183" s="3" t="inlineStr">
        <is>
          <t>G세계로무소</t>
        </is>
      </c>
      <c r="P183" s="4" t="n">
        <v>1</v>
      </c>
      <c r="Q183" s="4" t="n">
        <v>3421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세로한면(가)</t>
        </is>
      </c>
    </row>
    <row r="184">
      <c r="A184" s="3" t="inlineStr">
        <is>
          <t>강내면 학천리 380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74000</v>
      </c>
      <c r="G184" s="4" t="n">
        <v>2040</v>
      </c>
      <c r="H184" s="4" t="n">
        <v>617</v>
      </c>
      <c r="I184" s="5" t="n">
        <v>119.9</v>
      </c>
      <c r="J184" s="5" t="n">
        <v>16.9</v>
      </c>
      <c r="K184" s="3" t="inlineStr">
        <is>
          <t>흥덕구청 뒷편 체육관예정지 인근 저수지 앞 1종근생 허가 득한 토지</t>
        </is>
      </c>
      <c r="L184" s="6">
        <f>HYPERLINK("https://fin.land.naver.com/articles/2650898101", "매물Link")</f>
        <v/>
      </c>
      <c r="M184" s="6">
        <f>HYPERLINK("https://map.naver.com/p/search/강내면 학천리 380", "지도Link")</f>
        <v/>
      </c>
      <c r="N184" s="6">
        <f>HYPERLINK("http://www.eum.go.kr/web/ar/lu/luLandDet.jsp?pnu=4311331035103800000&amp;isNoScr=script&amp;mode=search", "토지이음")</f>
        <v/>
      </c>
      <c r="O184" s="3" t="inlineStr">
        <is>
          <t>태성</t>
        </is>
      </c>
      <c r="P184" s="4" t="n">
        <v>2</v>
      </c>
      <c r="Q184" s="4" t="n">
        <v>2040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세로한면(불)</t>
        </is>
      </c>
    </row>
    <row r="185">
      <c r="A185" s="3" t="inlineStr">
        <is>
          <t>강내면 학천리 385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대</t>
        </is>
      </c>
      <c r="E185" s="3" t="inlineStr">
        <is>
          <t>매매</t>
        </is>
      </c>
      <c r="F185" s="4" t="n">
        <v>30078</v>
      </c>
      <c r="G185" s="4" t="n">
        <v>1418</v>
      </c>
      <c r="H185" s="4" t="n">
        <v>429</v>
      </c>
      <c r="I185" s="5" t="n">
        <v>70.09999999999999</v>
      </c>
      <c r="J185" s="5" t="n">
        <v>15.2</v>
      </c>
      <c r="K185" s="3" t="inlineStr">
        <is>
          <t>투자목적으로 추천 드림</t>
        </is>
      </c>
      <c r="L185" s="6">
        <f>HYPERLINK("https://fin.land.naver.com/articles/2653395250", "매물Link")</f>
        <v/>
      </c>
      <c r="M185" s="6">
        <f>HYPERLINK("https://map.naver.com/p/search/강내면 학천리 385", "지도Link")</f>
        <v/>
      </c>
      <c r="N185" s="6">
        <f>HYPERLINK("http://www.eum.go.kr/web/ar/lu/luLandDet.jsp?pnu=4311331035103850000&amp;isNoScr=script&amp;mode=search", "토지이음")</f>
        <v/>
      </c>
      <c r="O185" s="3" t="inlineStr">
        <is>
          <t>제이</t>
        </is>
      </c>
      <c r="P185" s="4" t="n">
        <v>1</v>
      </c>
      <c r="Q185" s="4" t="n">
        <v>1418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강내면 학천리 490-2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42000</v>
      </c>
      <c r="G186" s="4" t="n">
        <v>3511</v>
      </c>
      <c r="H186" s="4" t="n">
        <v>1062</v>
      </c>
      <c r="I186" s="5" t="n">
        <v>39.5</v>
      </c>
      <c r="J186" s="5" t="n">
        <v>21.6</v>
      </c>
      <c r="K186" s="3" t="inlineStr">
        <is>
          <t>nan</t>
        </is>
      </c>
      <c r="L186" s="6">
        <f>HYPERLINK("https://fin.land.naver.com/articles/2651427299", "매물Link")</f>
        <v/>
      </c>
      <c r="M186" s="6">
        <f>HYPERLINK("https://map.naver.com/p/search/강내면 학천리 490-2", "지도Link")</f>
        <v/>
      </c>
      <c r="N186" s="6">
        <f>HYPERLINK("http://www.eum.go.kr/web/ar/lu/luLandDet.jsp?pnu=4311331035104900002&amp;isNoScr=script&amp;mode=search", "토지이음")</f>
        <v/>
      </c>
      <c r="O186" s="3" t="inlineStr">
        <is>
          <t>보석</t>
        </is>
      </c>
      <c r="P186" s="4" t="n">
        <v>1</v>
      </c>
      <c r="Q186" s="4" t="n">
        <v>3511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소로한면</t>
        </is>
      </c>
    </row>
    <row r="187">
      <c r="A187" s="3" t="inlineStr">
        <is>
          <t>강내면 학천리 490-2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42000</v>
      </c>
      <c r="G187" s="4" t="n">
        <v>3511</v>
      </c>
      <c r="H187" s="4" t="n">
        <v>1062</v>
      </c>
      <c r="I187" s="5" t="n">
        <v>39.5</v>
      </c>
      <c r="J187" s="5" t="n">
        <v>21.6</v>
      </c>
      <c r="K187" s="3" t="inlineStr">
        <is>
          <t>도시지역 근교위치한 토지.접근성편리.농사. 대토</t>
        </is>
      </c>
      <c r="L187" s="6">
        <f>HYPERLINK("https://fin.land.naver.com/articles/2653097754", "매물Link")</f>
        <v/>
      </c>
      <c r="M187" s="6">
        <f>HYPERLINK("https://map.naver.com/p/search/강내면 학천리 490-2", "지도Link")</f>
        <v/>
      </c>
      <c r="N187" s="6">
        <f>HYPERLINK("http://www.eum.go.kr/web/ar/lu/luLandDet.jsp?pnu=4311331035104900002&amp;isNoScr=script&amp;mode=search", "토지이음")</f>
        <v/>
      </c>
      <c r="O187" s="3" t="inlineStr">
        <is>
          <t>자연</t>
        </is>
      </c>
      <c r="P187" s="4" t="n">
        <v>1</v>
      </c>
      <c r="Q187" s="4" t="n">
        <v>3511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소로한면</t>
        </is>
      </c>
    </row>
    <row r="188">
      <c r="A188" s="3" t="inlineStr">
        <is>
          <t>강내면 학천리 500-1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53000</v>
      </c>
      <c r="G188" s="4" t="n">
        <v>2187</v>
      </c>
      <c r="H188" s="4" t="n">
        <v>662</v>
      </c>
      <c r="I188" s="5" t="n">
        <v>80.09999999999999</v>
      </c>
      <c r="J188" s="5" t="n">
        <v>20.7</v>
      </c>
      <c r="K188" s="3" t="inlineStr">
        <is>
          <t>4차선 도로와 연접함, 생산녹지, 진흥구역</t>
        </is>
      </c>
      <c r="L188" s="6">
        <f>HYPERLINK("https://fin.land.naver.com/articles/2652680187", "매물Link")</f>
        <v/>
      </c>
      <c r="M188" s="6">
        <f>HYPERLINK("https://map.naver.com/p/search/강내면 학천리 500-1", "지도Link")</f>
        <v/>
      </c>
      <c r="N188" s="6">
        <f>HYPERLINK("http://www.eum.go.kr/web/ar/lu/luLandDet.jsp?pnu=4311331035105000001&amp;isNoScr=script&amp;mode=search", "토지이음")</f>
        <v/>
      </c>
      <c r="O188" s="3" t="inlineStr">
        <is>
          <t>제이</t>
        </is>
      </c>
      <c r="P188" s="4" t="n">
        <v>1</v>
      </c>
      <c r="Q188" s="4" t="n">
        <v>978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학천리 538-1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38800</v>
      </c>
      <c r="G189" s="4" t="n">
        <v>2422</v>
      </c>
      <c r="H189" s="4" t="n">
        <v>733</v>
      </c>
      <c r="I189" s="5" t="n">
        <v>52.9</v>
      </c>
      <c r="J189" s="5" t="n">
        <v>20.6</v>
      </c>
      <c r="K189" s="3" t="inlineStr">
        <is>
          <t>도로접 생산녹지 잠사박물관인근 농업진흥구역 대토좋음</t>
        </is>
      </c>
      <c r="L189" s="6">
        <f>HYPERLINK("https://fin.land.naver.com/articles/2651224488", "매물Link")</f>
        <v/>
      </c>
      <c r="M189" s="6">
        <f>HYPERLINK("https://map.naver.com/p/search/강내면 학천리 538-1", "지도Link")</f>
        <v/>
      </c>
      <c r="N189" s="6">
        <f>HYPERLINK("http://www.eum.go.kr/web/ar/lu/luLandDet.jsp?pnu=4311331035105380001&amp;isNoScr=script&amp;mode=search", "토지이음")</f>
        <v/>
      </c>
      <c r="O189" s="3" t="inlineStr">
        <is>
          <t>명장</t>
        </is>
      </c>
      <c r="P189" s="4" t="n">
        <v>2</v>
      </c>
      <c r="Q189" s="4" t="n">
        <v>2422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강내면 학천리 549-1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86000</v>
      </c>
      <c r="G190" s="4" t="n">
        <v>5670</v>
      </c>
      <c r="H190" s="4" t="n">
        <v>1715</v>
      </c>
      <c r="I190" s="5" t="n">
        <v>50.1</v>
      </c>
      <c r="J190" s="5" t="n">
        <v>17.2</v>
      </c>
      <c r="K190" s="3" t="inlineStr">
        <is>
          <t>생산녹지지역</t>
        </is>
      </c>
      <c r="L190" s="6">
        <f>HYPERLINK("https://fin.land.naver.com/articles/2653379944", "매물Link")</f>
        <v/>
      </c>
      <c r="M190" s="6">
        <f>HYPERLINK("https://map.naver.com/p/search/강내면 학천리 549-1", "지도Link")</f>
        <v/>
      </c>
      <c r="N190" s="6">
        <f>HYPERLINK("http://www.eum.go.kr/web/ar/lu/luLandDet.jsp?pnu=4311331035105490001&amp;isNoScr=script&amp;mode=search", "토지이음")</f>
        <v/>
      </c>
      <c r="O190" s="3" t="inlineStr">
        <is>
          <t>수풀림</t>
        </is>
      </c>
      <c r="P190" s="4" t="n">
        <v>1</v>
      </c>
      <c r="Q190" s="4" t="n">
        <v>1884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학천리 565-1</t>
        </is>
      </c>
      <c r="B191" s="3" t="inlineStr">
        <is>
          <t>생산녹지지역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25662</v>
      </c>
      <c r="G191" s="4" t="n">
        <v>1805</v>
      </c>
      <c r="H191" s="4" t="n">
        <v>546</v>
      </c>
      <c r="I191" s="5" t="n">
        <v>47</v>
      </c>
      <c r="J191" s="5" t="n">
        <v>16.1</v>
      </c>
      <c r="K191" s="3" t="inlineStr">
        <is>
          <t>nan</t>
        </is>
      </c>
      <c r="L191" s="6">
        <f>HYPERLINK("https://fin.land.naver.com/articles/2649943022", "매물Link")</f>
        <v/>
      </c>
      <c r="M191" s="6">
        <f>HYPERLINK("https://map.naver.com/p/search/강내면 학천리 565-1", "지도Link")</f>
        <v/>
      </c>
      <c r="N191" s="6">
        <f>HYPERLINK("http://www.eum.go.kr/web/ar/lu/luLandDet.jsp?pnu=4311331035105650001&amp;isNoScr=script&amp;mode=search", "토지이음")</f>
        <v/>
      </c>
      <c r="O191" s="3" t="inlineStr">
        <is>
          <t>달인무소</t>
        </is>
      </c>
      <c r="P191" s="4" t="n">
        <v>1</v>
      </c>
      <c r="Q191" s="4" t="n">
        <v>1369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세로한면(가)</t>
        </is>
      </c>
    </row>
    <row r="192">
      <c r="A192" s="3" t="inlineStr">
        <is>
          <t>강내면 학천리 90-3</t>
        </is>
      </c>
      <c r="B192" s="3" t="inlineStr">
        <is>
          <t>자연녹지지역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134000</v>
      </c>
      <c r="G192" s="4" t="n">
        <v>1923</v>
      </c>
      <c r="H192" s="4" t="n">
        <v>582</v>
      </c>
      <c r="I192" s="5" t="n">
        <v>230.2</v>
      </c>
      <c r="J192" s="5" t="n">
        <v>59.9</v>
      </c>
      <c r="K192" s="3" t="inlineStr">
        <is>
          <t>청주역부근 4차선 대도로접 매장 공장추천 시세이하</t>
        </is>
      </c>
      <c r="L192" s="6">
        <f>HYPERLINK("https://fin.land.naver.com/articles/2653012585", "매물Link")</f>
        <v/>
      </c>
      <c r="M192" s="6">
        <f>HYPERLINK("https://map.naver.com/p/search/강내면 학천리 90-3", "지도Link")</f>
        <v/>
      </c>
      <c r="N192" s="6">
        <f>HYPERLINK("http://www.eum.go.kr/web/ar/lu/luLandDet.jsp?pnu=4311331035100900003&amp;isNoScr=script&amp;mode=search",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1923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평지</t>
        </is>
      </c>
      <c r="U192" s="3" t="inlineStr">
        <is>
          <t>부정형</t>
        </is>
      </c>
      <c r="V192" s="3" t="inlineStr">
        <is>
          <t>중로한면</t>
        </is>
      </c>
    </row>
    <row r="193">
      <c r="A193" s="3" t="inlineStr">
        <is>
          <t>강내면 황탄리 192</t>
        </is>
      </c>
      <c r="B193" s="3" t="inlineStr">
        <is>
          <t>보전관리지역</t>
        </is>
      </c>
      <c r="C193" s="3" t="inlineStr">
        <is>
          <t>전</t>
        </is>
      </c>
      <c r="D193" s="3" t="inlineStr">
        <is>
          <t>전</t>
        </is>
      </c>
      <c r="E193" s="3" t="inlineStr">
        <is>
          <t>매매</t>
        </is>
      </c>
      <c r="F193" s="4" t="n">
        <v>10200</v>
      </c>
      <c r="G193" s="4" t="n">
        <v>1402</v>
      </c>
      <c r="H193" s="4" t="n">
        <v>424</v>
      </c>
      <c r="I193" s="5" t="n">
        <v>24.1</v>
      </c>
      <c r="J193" s="5" t="n">
        <v>16.8</v>
      </c>
      <c r="K193" s="3" t="inlineStr">
        <is>
          <t>황탄리 보전관리지역 밭이지만 논으로 사용중, 농업경영체 등록 가능</t>
        </is>
      </c>
      <c r="L193" s="6">
        <f>HYPERLINK("https://fin.land.naver.com/articles/2653690009", "매물Link")</f>
        <v/>
      </c>
      <c r="M193" s="6">
        <f>HYPERLINK("https://map.naver.com/p/search/강내면 황탄리 192", "지도Link")</f>
        <v/>
      </c>
      <c r="N193" s="6">
        <f>HYPERLINK("http://www.eum.go.kr/web/ar/lu/luLandDet.jsp?pnu=4311331029101920000&amp;isNoScr=script&amp;mode=search",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1402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강내면 황탄리 471</t>
        </is>
      </c>
      <c r="B194" s="3" t="inlineStr">
        <is>
          <t>농림지역</t>
        </is>
      </c>
      <c r="C194" s="3" t="inlineStr">
        <is>
          <t>답</t>
        </is>
      </c>
      <c r="D194" s="3" t="inlineStr">
        <is>
          <t>답</t>
        </is>
      </c>
      <c r="E194" s="3" t="inlineStr">
        <is>
          <t>매매</t>
        </is>
      </c>
      <c r="F194" s="4" t="n">
        <v>36000</v>
      </c>
      <c r="G194" s="4" t="n">
        <v>3698</v>
      </c>
      <c r="H194" s="4" t="n">
        <v>1119</v>
      </c>
      <c r="I194" s="5" t="n">
        <v>32.2</v>
      </c>
      <c r="J194" s="5" t="n">
        <v>15</v>
      </c>
      <c r="K194" s="3" t="inlineStr">
        <is>
          <t>체류형쉼터,스마트팜시설.</t>
        </is>
      </c>
      <c r="L194" s="6">
        <f>HYPERLINK("https://fin.land.naver.com/articles/2653465273", "매물Link")</f>
        <v/>
      </c>
      <c r="M194" s="6">
        <f>HYPERLINK("https://map.naver.com/p/search/강내면 황탄리 471", "지도Link")</f>
        <v/>
      </c>
      <c r="N194" s="6">
        <f>HYPERLINK("http://www.eum.go.kr/web/ar/lu/luLandDet.jsp?pnu=4311331029104710000&amp;isNoScr=script&amp;mode=search", "토지이음")</f>
        <v/>
      </c>
      <c r="O194" s="3" t="inlineStr">
        <is>
          <t>햇빛</t>
        </is>
      </c>
      <c r="P194" s="4" t="n">
        <v>1</v>
      </c>
      <c r="Q194" s="4" t="n">
        <v>3698.1</v>
      </c>
      <c r="R194" s="3" t="inlineStr">
        <is>
          <t>지정되지않음</t>
        </is>
      </c>
      <c r="S194" s="3" t="inlineStr">
        <is>
          <t>답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세로한면(가)</t>
        </is>
      </c>
    </row>
    <row r="195">
      <c r="A195" s="3" t="inlineStr">
        <is>
          <t>강내면 황탄리 63-1</t>
        </is>
      </c>
      <c r="B195" s="3" t="inlineStr">
        <is>
          <t>계획관리지역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55000</v>
      </c>
      <c r="G195" s="4" t="n">
        <v>1173</v>
      </c>
      <c r="H195" s="4" t="n">
        <v>355</v>
      </c>
      <c r="I195" s="5" t="n">
        <v>154.9</v>
      </c>
      <c r="J195" s="5" t="n">
        <v>52.4</v>
      </c>
      <c r="K195" s="3" t="inlineStr">
        <is>
          <t>2차선도로, 계획관리지역 건물 있는 토지</t>
        </is>
      </c>
      <c r="L195" s="6">
        <f>HYPERLINK("https://fin.land.naver.com/articles/2651975156", "매물Link")</f>
        <v/>
      </c>
      <c r="M195" s="6">
        <f>HYPERLINK("https://map.naver.com/p/search/강내면 황탄리 63-1", "지도Link")</f>
        <v/>
      </c>
      <c r="N195" s="6">
        <f>HYPERLINK("http://www.eum.go.kr/web/ar/lu/luLandDet.jsp?pnu=4311331029100630001&amp;isNoScr=script&amp;mode=search", "토지이음")</f>
        <v/>
      </c>
      <c r="O195" s="3" t="inlineStr">
        <is>
          <t>지성</t>
        </is>
      </c>
      <c r="P195" s="4" t="n">
        <v>1</v>
      </c>
      <c r="Q195" s="4" t="n">
        <v>1173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강내면 황탄리 64</t>
        </is>
      </c>
      <c r="B196" s="3" t="inlineStr">
        <is>
          <t>계획관리지역</t>
        </is>
      </c>
      <c r="C196" s="3" t="inlineStr">
        <is>
          <t>전</t>
        </is>
      </c>
      <c r="D196" s="3" t="inlineStr">
        <is>
          <t>전</t>
        </is>
      </c>
      <c r="E196" s="3" t="inlineStr">
        <is>
          <t>매매</t>
        </is>
      </c>
      <c r="F196" s="4" t="n">
        <v>43200</v>
      </c>
      <c r="G196" s="4" t="n">
        <v>1298</v>
      </c>
      <c r="H196" s="4" t="n">
        <v>393</v>
      </c>
      <c r="I196" s="5" t="n">
        <v>109.9</v>
      </c>
      <c r="J196" s="5" t="n">
        <v>29.5</v>
      </c>
      <c r="K196" s="3" t="inlineStr">
        <is>
          <t>2차선도로접 잘생긴 토지 공장 투자추천</t>
        </is>
      </c>
      <c r="L196" s="6">
        <f>HYPERLINK("https://fin.land.naver.com/articles/2650439817", "매물Link")</f>
        <v/>
      </c>
      <c r="M196" s="6">
        <f>HYPERLINK("https://map.naver.com/p/search/강내면 황탄리 64", "지도Link")</f>
        <v/>
      </c>
      <c r="N196" s="6">
        <f>HYPERLINK("http://www.eum.go.kr/web/ar/lu/luLandDet.jsp?pnu=4311331029100640000&amp;isNoScr=script&amp;mode=search", "토지이음")</f>
        <v/>
      </c>
      <c r="O196" s="3" t="inlineStr">
        <is>
          <t>플러스태양</t>
        </is>
      </c>
      <c r="P196" s="4" t="n">
        <v>1</v>
      </c>
      <c r="Q196" s="4" t="n">
        <v>1298</v>
      </c>
      <c r="R196" s="3" t="inlineStr">
        <is>
          <t>지정되지않음</t>
        </is>
      </c>
      <c r="S196" s="3" t="inlineStr">
        <is>
          <t>전</t>
        </is>
      </c>
      <c r="T196" s="3" t="inlineStr">
        <is>
          <t>완경사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강내면 황탄리 95-2</t>
        </is>
      </c>
      <c r="B197" s="3" t="inlineStr">
        <is>
          <t>보전관리지역</t>
        </is>
      </c>
      <c r="C197" s="3" t="inlineStr">
        <is>
          <t>답</t>
        </is>
      </c>
      <c r="D197" s="3" t="inlineStr">
        <is>
          <t>답</t>
        </is>
      </c>
      <c r="E197" s="3" t="inlineStr">
        <is>
          <t>매매</t>
        </is>
      </c>
      <c r="F197" s="4" t="n">
        <v>70000</v>
      </c>
      <c r="G197" s="4" t="n">
        <v>7857</v>
      </c>
      <c r="H197" s="4" t="n">
        <v>2377</v>
      </c>
      <c r="I197" s="5" t="n">
        <v>29.4</v>
      </c>
      <c r="J197" s="5" t="n">
        <v>14.9</v>
      </c>
      <c r="K197" s="3" t="inlineStr">
        <is>
          <t>전원주택단지 개발 ,태양광부지로 적합</t>
        </is>
      </c>
      <c r="L197" s="6">
        <f>HYPERLINK("https://fin.land.naver.com/articles/2654544043", "매물Link")</f>
        <v/>
      </c>
      <c r="M197" s="6">
        <f>HYPERLINK("https://map.naver.com/p/search/강내면 황탄리 95-2", "지도Link")</f>
        <v/>
      </c>
      <c r="N197" s="6">
        <f>HYPERLINK("http://www.eum.go.kr/web/ar/lu/luLandDet.jsp?pnu=4311331029100950002&amp;isNoScr=script&amp;mode=search", "토지이음")</f>
        <v/>
      </c>
      <c r="O197" s="3" t="inlineStr">
        <is>
          <t>산들</t>
        </is>
      </c>
      <c r="P197" s="4" t="n">
        <v>1</v>
      </c>
      <c r="Q197" s="4" t="n">
        <v>2007</v>
      </c>
      <c r="R197" s="3" t="inlineStr">
        <is>
          <t>지정되지않음</t>
        </is>
      </c>
      <c r="S197" s="3" t="inlineStr">
        <is>
          <t>답</t>
        </is>
      </c>
      <c r="T197" s="3" t="inlineStr">
        <is>
          <t>완경사</t>
        </is>
      </c>
      <c r="U197" s="3" t="inlineStr">
        <is>
          <t>부정형</t>
        </is>
      </c>
      <c r="V197" s="3" t="inlineStr">
        <is>
          <t>맹지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총 96.9p, 길가 코너자리, 정남향</t>
        </is>
      </c>
      <c r="L198" s="6">
        <f>HYPERLINK("https://fin.land.naver.com/articles/2654228986",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1010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67000</v>
      </c>
      <c r="G199" s="4" t="n">
        <v>319</v>
      </c>
      <c r="H199" s="4" t="n">
        <v>96</v>
      </c>
      <c r="I199" s="5" t="n">
        <v>697.9</v>
      </c>
      <c r="J199" s="5" t="n">
        <v>358.7</v>
      </c>
      <c r="K199" s="3" t="inlineStr">
        <is>
          <t>학교와 근린생활 근처에 위치하고 3면 각지에 접해있어서 상권이 좋은 대지</t>
        </is>
      </c>
      <c r="L199" s="6">
        <f>HYPERLINK("https://fin.land.naver.com/articles/2654935793", "매물Link")</f>
        <v/>
      </c>
      <c r="M199" s="6">
        <f>HYPERLINK("https://map.naver.com/p/search/고운동 1010", "지도Link")</f>
        <v/>
      </c>
      <c r="N199" s="6">
        <f>HYPERLINK("http://www.eum.go.kr/web/ar/lu/luLandDet.jsp?pnu=3611011200110100000&amp;isNoScr=script&amp;mode=search", "토지이음")</f>
        <v/>
      </c>
      <c r="O199" s="3" t="inlineStr">
        <is>
          <t>송림탑</t>
        </is>
      </c>
      <c r="P199" s="4" t="n">
        <v>1</v>
      </c>
      <c r="Q199" s="4" t="n">
        <v>319.8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1010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67000</v>
      </c>
      <c r="G200" s="4" t="n">
        <v>319</v>
      </c>
      <c r="H200" s="4" t="n">
        <v>96</v>
      </c>
      <c r="I200" s="5" t="n">
        <v>697.9</v>
      </c>
      <c r="J200" s="5" t="n">
        <v>358.7</v>
      </c>
      <c r="K200" s="3" t="inlineStr">
        <is>
          <t>총 96.9p, 상가인근 토지</t>
        </is>
      </c>
      <c r="L200" s="6">
        <f>HYPERLINK("https://fin.land.naver.com/articles/2654716356", "매물Link")</f>
        <v/>
      </c>
      <c r="M200" s="6">
        <f>HYPERLINK("https://map.naver.com/p/search/고운동 1010", "지도Link")</f>
        <v/>
      </c>
      <c r="N200" s="6">
        <f>HYPERLINK("http://www.eum.go.kr/web/ar/lu/luLandDet.jsp?pnu=3611011200110100000&amp;isNoScr=script&amp;mode=search",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319.8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1031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70000</v>
      </c>
      <c r="G201" s="4" t="n">
        <v>388</v>
      </c>
      <c r="H201" s="4" t="n">
        <v>117</v>
      </c>
      <c r="I201" s="5" t="n">
        <v>598.3</v>
      </c>
      <c r="J201" s="5" t="n">
        <v>317.5</v>
      </c>
      <c r="K201" s="3" t="inlineStr">
        <is>
          <t>nan</t>
        </is>
      </c>
      <c r="L201" s="6">
        <f>HYPERLINK("https://fin.land.naver.com/articles/2651032769", "매물Link")</f>
        <v/>
      </c>
      <c r="M201" s="6">
        <f>HYPERLINK("https://map.naver.com/p/search/고운동 1031", "지도Link")</f>
        <v/>
      </c>
      <c r="N201" s="6">
        <f>HYPERLINK("http://www.eum.go.kr/web/ar/lu/luLandDet.jsp?pnu=3611011200110310000&amp;isNoScr=script&amp;mode=search",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388.8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1031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70000</v>
      </c>
      <c r="G202" s="4" t="n">
        <v>388</v>
      </c>
      <c r="H202" s="4" t="n">
        <v>117</v>
      </c>
      <c r="I202" s="5" t="n">
        <v>598.3</v>
      </c>
      <c r="J202" s="5" t="n">
        <v>317.5</v>
      </c>
      <c r="K202" s="3" t="inlineStr">
        <is>
          <t>급매 공원조망 큰평수 위치최상</t>
        </is>
      </c>
      <c r="L202" s="6">
        <f>HYPERLINK("https://fin.land.naver.com/articles/2652917969", "매물Link")</f>
        <v/>
      </c>
      <c r="M202" s="6">
        <f>HYPERLINK("https://map.naver.com/p/search/고운동 1031", "지도Link")</f>
        <v/>
      </c>
      <c r="N202" s="6">
        <f>HYPERLINK("http://www.eum.go.kr/web/ar/lu/luLandDet.jsp?pnu=3611011200110310000&amp;isNoScr=script&amp;mode=search", "토지이음")</f>
        <v/>
      </c>
      <c r="O202" s="3" t="inlineStr">
        <is>
          <t>세종스타</t>
        </is>
      </c>
      <c r="P202" s="4" t="n">
        <v>2</v>
      </c>
      <c r="Q202" s="4" t="n">
        <v>388.8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50000</v>
      </c>
      <c r="G203" s="4" t="n">
        <v>347</v>
      </c>
      <c r="H203" s="4" t="n">
        <v>105</v>
      </c>
      <c r="I203" s="5" t="n">
        <v>476.2</v>
      </c>
      <c r="J203" s="5" t="n">
        <v>317.5</v>
      </c>
      <c r="K203" s="3" t="inlineStr">
        <is>
          <t>초급매, 학군, 중심상권 생활권 편리한 위치,어린이공원앞 택지</t>
        </is>
      </c>
      <c r="L203" s="6">
        <f>HYPERLINK("https://fin.land.naver.com/articles/2653547243", "매물Link")</f>
        <v/>
      </c>
      <c r="M203" s="6">
        <f>HYPERLINK("https://map.naver.com/p/search/고운동 1050", "지도Link")</f>
        <v/>
      </c>
      <c r="N203" s="6">
        <f>HYPERLINK("http://www.eum.go.kr/web/ar/lu/luLandDet.jsp?pnu=3611011200110500000&amp;isNoScr=script&amp;mode=search", "토지이음")</f>
        <v/>
      </c>
      <c r="O203" s="3" t="inlineStr">
        <is>
          <t>고운맘</t>
        </is>
      </c>
      <c r="P203" s="4" t="n">
        <v>1</v>
      </c>
      <c r="Q203" s="4" t="n">
        <v>347.5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55000</v>
      </c>
      <c r="G204" s="4" t="n">
        <v>347</v>
      </c>
      <c r="H204" s="4" t="n">
        <v>105</v>
      </c>
      <c r="I204" s="5" t="n">
        <v>523.8</v>
      </c>
      <c r="J204" s="5" t="n">
        <v>317.5</v>
      </c>
      <c r="K204" s="3" t="inlineStr">
        <is>
          <t>가격조절가능 넓은공원이 있는 단독주택지 매매</t>
        </is>
      </c>
      <c r="L204" s="6">
        <f>HYPERLINK("https://fin.land.naver.com/articles/2651997925", "매물Link")</f>
        <v/>
      </c>
      <c r="M204" s="6">
        <f>HYPERLINK("https://map.naver.com/p/search/고운동 1050", "지도Link")</f>
        <v/>
      </c>
      <c r="N204" s="6">
        <f>HYPERLINK("http://www.eum.go.kr/web/ar/lu/luLandDet.jsp?pnu=3611011200110500000&amp;isNoScr=script&amp;mode=search", "토지이음")</f>
        <v/>
      </c>
      <c r="O204" s="3" t="inlineStr">
        <is>
          <t>세종시토지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1051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347</v>
      </c>
      <c r="H205" s="4" t="n">
        <v>105</v>
      </c>
      <c r="I205" s="5" t="n">
        <v>495.2</v>
      </c>
      <c r="J205" s="5" t="n">
        <v>317.5</v>
      </c>
      <c r="K205" s="3" t="inlineStr">
        <is>
          <t>급매 I 넓은 공원옆 I 생활권이용편리 I 조율가능</t>
        </is>
      </c>
      <c r="L205" s="6">
        <f>HYPERLINK("https://fin.land.naver.com/articles/2651301509", "매물Link")</f>
        <v/>
      </c>
      <c r="M205" s="6">
        <f>HYPERLINK("https://map.naver.com/p/search/고운동 1051", "지도Link")</f>
        <v/>
      </c>
      <c r="N205" s="6">
        <f>HYPERLINK("http://www.eum.go.kr/web/ar/lu/luLandDet.jsp?pnu=3611011200110510000&amp;isNoScr=script&amp;mode=search", "토지이음")</f>
        <v/>
      </c>
      <c r="O205" s="3" t="inlineStr">
        <is>
          <t>힐스테이트으뜸원</t>
        </is>
      </c>
      <c r="P205" s="4" t="n">
        <v>1</v>
      </c>
      <c r="Q205" s="4" t="n">
        <v>347.6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소로한면</t>
        </is>
      </c>
    </row>
    <row r="206">
      <c r="A206" s="3" t="inlineStr">
        <is>
          <t>고운동 1053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57000</v>
      </c>
      <c r="G206" s="4" t="n">
        <v>347</v>
      </c>
      <c r="H206" s="4" t="n">
        <v>105</v>
      </c>
      <c r="I206" s="5" t="n">
        <v>542.9</v>
      </c>
      <c r="J206" s="5" t="n">
        <v>333.2</v>
      </c>
      <c r="K206" s="3" t="inlineStr">
        <is>
          <t>고운동단독택지로 입지최상 학군 상권 복컴 생활하기편리</t>
        </is>
      </c>
      <c r="L206" s="6">
        <f>HYPERLINK("https://fin.land.naver.com/articles/2651032335", "매물Link")</f>
        <v/>
      </c>
      <c r="M206" s="6">
        <f>HYPERLINK("https://map.naver.com/p/search/고운동 1053", "지도Link")</f>
        <v/>
      </c>
      <c r="N206" s="6">
        <f>HYPERLINK("http://www.eum.go.kr/web/ar/lu/luLandDet.jsp?pnu=3611011200110530000&amp;isNoScr=script&amp;mode=search",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347.5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소로각지</t>
        </is>
      </c>
    </row>
    <row r="207">
      <c r="A207" s="3" t="inlineStr">
        <is>
          <t>고운동 1058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358</v>
      </c>
      <c r="H207" s="4" t="n">
        <v>108</v>
      </c>
      <c r="I207" s="5" t="n">
        <v>601.9</v>
      </c>
      <c r="J207" s="5" t="n">
        <v>342.8</v>
      </c>
      <c r="K207" s="3" t="inlineStr">
        <is>
          <t>nan</t>
        </is>
      </c>
      <c r="L207" s="6">
        <f>HYPERLINK("https://fin.land.naver.com/articles/2651033013", "매물Link")</f>
        <v/>
      </c>
      <c r="M207" s="6">
        <f>HYPERLINK("https://map.naver.com/p/search/고운동 1058", "지도Link")</f>
        <v/>
      </c>
      <c r="N207" s="6">
        <f>HYPERLINK("http://www.eum.go.kr/web/ar/lu/luLandDet.jsp?pnu=3611011200110580000&amp;isNoScr=script&amp;mode=search", "토지이음")</f>
        <v/>
      </c>
      <c r="O207" s="3" t="inlineStr">
        <is>
          <t>디아트성심</t>
        </is>
      </c>
      <c r="P207" s="4" t="n">
        <v>1</v>
      </c>
      <c r="Q207" s="4" t="n">
        <v>357.6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1058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357</v>
      </c>
      <c r="H208" s="4" t="n">
        <v>108</v>
      </c>
      <c r="I208" s="5" t="n">
        <v>601.9</v>
      </c>
      <c r="J208" s="5" t="n">
        <v>342.8</v>
      </c>
      <c r="K208" s="3" t="inlineStr">
        <is>
          <t>도로,인도,버스정류장 인접, 공영주차장옆</t>
        </is>
      </c>
      <c r="L208" s="6">
        <f>HYPERLINK("https://fin.land.naver.com/articles/2654420330", "매물Link")</f>
        <v/>
      </c>
      <c r="M208" s="6">
        <f>HYPERLINK("https://map.naver.com/p/search/고운동 1058", "지도Link")</f>
        <v/>
      </c>
      <c r="N208" s="6">
        <f>HYPERLINK("http://www.eum.go.kr/web/ar/lu/luLandDet.jsp?pnu=3611011200110580000&amp;isNoScr=script&amp;mode=search", "토지이음")</f>
        <v/>
      </c>
      <c r="O208" s="3" t="inlineStr">
        <is>
          <t>세종제일1</t>
        </is>
      </c>
      <c r="P208" s="4" t="n">
        <v>1</v>
      </c>
      <c r="Q208" s="4" t="n">
        <v>357.6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1067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333</v>
      </c>
      <c r="H209" s="4" t="n">
        <v>101</v>
      </c>
      <c r="I209" s="5" t="n">
        <v>594.1</v>
      </c>
      <c r="J209" s="5" t="n">
        <v>346.4</v>
      </c>
      <c r="K209" s="3" t="inlineStr">
        <is>
          <t>3면코너각지, 공원조망, 조율가능 가락초 두루고 바로옆</t>
        </is>
      </c>
      <c r="L209" s="6">
        <f>HYPERLINK("https://fin.land.naver.com/articles/2652418799", "매물Link")</f>
        <v/>
      </c>
      <c r="M209" s="6">
        <f>HYPERLINK("https://map.naver.com/p/search/고운동 1067", "지도Link")</f>
        <v/>
      </c>
      <c r="N209" s="6">
        <f>HYPERLINK("http://www.eum.go.kr/web/ar/lu/luLandDet.jsp?pnu=3611011200110670000&amp;isNoScr=script&amp;mode=search",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333.6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1068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61800</v>
      </c>
      <c r="G210" s="4" t="n">
        <v>338</v>
      </c>
      <c r="H210" s="4" t="n">
        <v>102</v>
      </c>
      <c r="I210" s="5" t="n">
        <v>605.9</v>
      </c>
      <c r="J210" s="5" t="n">
        <v>346.4</v>
      </c>
      <c r="K210" s="3" t="inlineStr">
        <is>
          <t>코너 위치. 근린공원과 함께 멋스러운 여유 .금액조율가능.</t>
        </is>
      </c>
      <c r="L210" s="6">
        <f>HYPERLINK("https://fin.land.naver.com/articles/2653119333", "매물Link")</f>
        <v/>
      </c>
      <c r="M210" s="6">
        <f>HYPERLINK("https://map.naver.com/p/search/고운동 1068", "지도Link")</f>
        <v/>
      </c>
      <c r="N210" s="6">
        <f>HYPERLINK("http://www.eum.go.kr/web/ar/lu/luLandDet.jsp?pnu=3611011200110680000&amp;isNoScr=script&amp;mode=search", "토지이음")</f>
        <v/>
      </c>
      <c r="O210" s="3" t="inlineStr">
        <is>
          <t>세종올리브</t>
        </is>
      </c>
      <c r="P210" s="4" t="n">
        <v>2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1069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51600</v>
      </c>
      <c r="G211" s="4" t="n">
        <v>341</v>
      </c>
      <c r="H211" s="4" t="n">
        <v>103</v>
      </c>
      <c r="I211" s="5" t="n">
        <v>501</v>
      </c>
      <c r="J211" s="5" t="n">
        <v>330.5</v>
      </c>
      <c r="K211" s="3" t="inlineStr">
        <is>
          <t>nan</t>
        </is>
      </c>
      <c r="L211" s="6">
        <f>HYPERLINK("https://fin.land.naver.com/articles/2651033320", "매물Link")</f>
        <v/>
      </c>
      <c r="M211" s="6">
        <f>HYPERLINK("https://map.naver.com/p/search/고운동 1069", "지도Link")</f>
        <v/>
      </c>
      <c r="N211" s="6">
        <f>HYPERLINK("http://www.eum.go.kr/web/ar/lu/luLandDet.jsp?pnu=3611011200110690000&amp;isNoScr=script&amp;mode=search", "토지이음")</f>
        <v/>
      </c>
      <c r="O211" s="3" t="inlineStr">
        <is>
          <t>디아트성심</t>
        </is>
      </c>
      <c r="P211" s="4" t="n">
        <v>2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1069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51500</v>
      </c>
      <c r="G212" s="4" t="n">
        <v>341</v>
      </c>
      <c r="H212" s="4" t="n">
        <v>103</v>
      </c>
      <c r="I212" s="5" t="n">
        <v>500</v>
      </c>
      <c r="J212" s="5" t="n">
        <v>330.5</v>
      </c>
      <c r="K212" s="3" t="inlineStr">
        <is>
          <t>급매매,단독주택밀집.건너편 공원뷰</t>
        </is>
      </c>
      <c r="L212" s="6">
        <f>HYPERLINK("https://fin.land.naver.com/articles/2650539320", "매물Link")</f>
        <v/>
      </c>
      <c r="M212" s="6">
        <f>HYPERLINK("https://map.naver.com/p/search/고운동 1069", "지도Link")</f>
        <v/>
      </c>
      <c r="N212" s="6">
        <f>HYPERLINK("http://www.eum.go.kr/web/ar/lu/luLandDet.jsp?pnu=3611011200110690000&amp;isNoScr=script&amp;mode=search", "토지이음")</f>
        <v/>
      </c>
      <c r="O212" s="3" t="inlineStr">
        <is>
          <t>킹세종</t>
        </is>
      </c>
      <c r="P212" s="4" t="n">
        <v>3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69000</v>
      </c>
      <c r="G213" s="4" t="n">
        <v>341</v>
      </c>
      <c r="H213" s="4" t="n">
        <v>103</v>
      </c>
      <c r="I213" s="5" t="n">
        <v>669.9</v>
      </c>
      <c r="J213" s="5" t="n">
        <v>330.5</v>
      </c>
      <c r="K213" s="3" t="inlineStr">
        <is>
          <t>공원과 주차장 옆으로 입지 좋은 고운동 단독주택지</t>
        </is>
      </c>
      <c r="L213" s="6">
        <f>HYPERLINK("https://fin.land.naver.com/articles/2651189122", "매물Link")</f>
        <v/>
      </c>
      <c r="M213" s="6">
        <f>HYPERLINK("https://map.naver.com/p/search/고운동 1070", "지도Link")</f>
        <v/>
      </c>
      <c r="N213" s="6">
        <f>HYPERLINK("http://www.eum.go.kr/web/ar/lu/luLandDet.jsp?pnu=3611011200110700000&amp;isNoScr=script&amp;mode=search",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중로한면</t>
        </is>
      </c>
    </row>
    <row r="214">
      <c r="A214" s="3" t="inlineStr">
        <is>
          <t>고운동 1070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69000</v>
      </c>
      <c r="G214" s="4" t="n">
        <v>341</v>
      </c>
      <c r="H214" s="4" t="n">
        <v>103</v>
      </c>
      <c r="I214" s="5" t="n">
        <v>669.9</v>
      </c>
      <c r="J214" s="5" t="n">
        <v>330.5</v>
      </c>
      <c r="K214" s="3" t="inlineStr">
        <is>
          <t>필지 뒷편이 공원, 가락초,두루고와 근접, 아파트 단지상가와 가까움</t>
        </is>
      </c>
      <c r="L214" s="6">
        <f>HYPERLINK("https://fin.land.naver.com/articles/2654473718", "매물Link")</f>
        <v/>
      </c>
      <c r="M214" s="6">
        <f>HYPERLINK("https://map.naver.com/p/search/고운동 1070", "지도Link")</f>
        <v/>
      </c>
      <c r="N214" s="6">
        <f>HYPERLINK("http://www.eum.go.kr/web/ar/lu/luLandDet.jsp?pnu=3611011200110700000&amp;isNoScr=script&amp;mode=search", "토지이음")</f>
        <v/>
      </c>
      <c r="O214" s="3" t="inlineStr">
        <is>
          <t>국제</t>
        </is>
      </c>
      <c r="P214" s="4" t="n">
        <v>1</v>
      </c>
      <c r="Q214" s="4" t="n">
        <v>341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중로한면</t>
        </is>
      </c>
    </row>
    <row r="215">
      <c r="A215" s="3" t="inlineStr">
        <is>
          <t>고운동 1070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341</v>
      </c>
      <c r="H215" s="4" t="n">
        <v>103</v>
      </c>
      <c r="I215" s="5" t="n">
        <v>669.9</v>
      </c>
      <c r="J215" s="5" t="n">
        <v>330.5</v>
      </c>
      <c r="K215" s="3" t="inlineStr">
        <is>
          <t>고운동 입지 좋은 단독주택 매매, 공원 근처</t>
        </is>
      </c>
      <c r="L215" s="6">
        <f>HYPERLINK("https://fin.land.naver.com/articles/2651901460", "매물Link")</f>
        <v/>
      </c>
      <c r="M215" s="6">
        <f>HYPERLINK("https://map.naver.com/p/search/고운동 1070", "지도Link")</f>
        <v/>
      </c>
      <c r="N215" s="6">
        <f>HYPERLINK("http://www.eum.go.kr/web/ar/lu/luLandDet.jsp?pnu=3611011200110700000&amp;isNoScr=script&amp;mode=search",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341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고운동 1072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336</v>
      </c>
      <c r="H216" s="4" t="n">
        <v>102</v>
      </c>
      <c r="I216" s="5" t="n">
        <v>637.3</v>
      </c>
      <c r="J216" s="5" t="n">
        <v>346.4</v>
      </c>
      <c r="K216" s="3" t="inlineStr">
        <is>
          <t>고운동 사거리 코너 각지 위치한 토지매매</t>
        </is>
      </c>
      <c r="L216" s="6">
        <f>HYPERLINK("https://fin.land.naver.com/articles/2651943645", "매물Link")</f>
        <v/>
      </c>
      <c r="M216" s="6">
        <f>HYPERLINK("https://map.naver.com/p/search/고운동 1072", "지도Link")</f>
        <v/>
      </c>
      <c r="N216" s="6">
        <f>HYPERLINK("http://www.eum.go.kr/web/ar/lu/luLandDet.jsp?pnu=3611011200110720000&amp;isNoScr=script&amp;mode=search",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336.9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중로각지</t>
        </is>
      </c>
    </row>
    <row r="217">
      <c r="A217" s="3" t="inlineStr">
        <is>
          <t>고운동 1072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336</v>
      </c>
      <c r="H217" s="4" t="n">
        <v>102</v>
      </c>
      <c r="I217" s="5" t="n">
        <v>637.3</v>
      </c>
      <c r="J217" s="5" t="n">
        <v>346.4</v>
      </c>
      <c r="K217" s="3" t="inlineStr">
        <is>
          <t>사거리 코너 각지 위치, 입지 좋은 토지매매</t>
        </is>
      </c>
      <c r="L217" s="6">
        <f>HYPERLINK("https://fin.land.naver.com/articles/2651778717", "매물Link")</f>
        <v/>
      </c>
      <c r="M217" s="6">
        <f>HYPERLINK("https://map.naver.com/p/search/고운동 1072", "지도Link")</f>
        <v/>
      </c>
      <c r="N217" s="6">
        <f>HYPERLINK("http://www.eum.go.kr/web/ar/lu/luLandDet.jsp?pnu=3611011200110720000&amp;isNoScr=script&amp;mode=search",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336.9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중로각지</t>
        </is>
      </c>
    </row>
    <row r="218">
      <c r="A218" s="3" t="inlineStr">
        <is>
          <t>고운동 1072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65000</v>
      </c>
      <c r="G218" s="4" t="n">
        <v>336</v>
      </c>
      <c r="H218" s="4" t="n">
        <v>102</v>
      </c>
      <c r="I218" s="5" t="n">
        <v>637.3</v>
      </c>
      <c r="J218" s="5" t="n">
        <v>346.4</v>
      </c>
      <c r="K218" s="3" t="inlineStr">
        <is>
          <t>급매위치좋은코너자리고운동학교 상권 이용편리</t>
        </is>
      </c>
      <c r="L218" s="6">
        <f>HYPERLINK("https://fin.land.naver.com/articles/2652006650", "매물Link")</f>
        <v/>
      </c>
      <c r="M218" s="6">
        <f>HYPERLINK("https://map.naver.com/p/search/고운동 1072", "지도Link")</f>
        <v/>
      </c>
      <c r="N218" s="6">
        <f>HYPERLINK("http://www.eum.go.kr/web/ar/lu/luLandDet.jsp?pnu=3611011200110720000&amp;isNoScr=script&amp;mode=search", "토지이음")</f>
        <v/>
      </c>
      <c r="O218" s="3" t="inlineStr">
        <is>
          <t>세종시토지</t>
        </is>
      </c>
      <c r="P218" s="4" t="n">
        <v>1</v>
      </c>
      <c r="Q218" s="4" t="n">
        <v>336.9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중로각지</t>
        </is>
      </c>
    </row>
    <row r="219">
      <c r="A219" s="3" t="inlineStr">
        <is>
          <t>고운동 1090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43000</v>
      </c>
      <c r="G219" s="4" t="n">
        <v>331</v>
      </c>
      <c r="H219" s="4" t="n">
        <v>100</v>
      </c>
      <c r="I219" s="5" t="n">
        <v>430</v>
      </c>
      <c r="J219" s="5" t="n">
        <v>320.9</v>
      </c>
      <c r="K219" s="3" t="inlineStr">
        <is>
          <t>급매 3면코너 위치최상 보행로접함 경사지</t>
        </is>
      </c>
      <c r="L219" s="6">
        <f>HYPERLINK("https://fin.land.naver.com/articles/2651086856", "매물Link")</f>
        <v/>
      </c>
      <c r="M219" s="6">
        <f>HYPERLINK("https://map.naver.com/p/search/고운동 1090", "지도Link")</f>
        <v/>
      </c>
      <c r="N219" s="6">
        <f>HYPERLINK("http://www.eum.go.kr/web/ar/lu/luLandDet.jsp?pnu=3611011200110900000&amp;isNoScr=script&amp;mode=search",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331.5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소로각지</t>
        </is>
      </c>
    </row>
    <row r="220">
      <c r="A220" s="3" t="inlineStr">
        <is>
          <t>고운동 1093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43500</v>
      </c>
      <c r="G220" s="4" t="n">
        <v>338</v>
      </c>
      <c r="H220" s="4" t="n">
        <v>102</v>
      </c>
      <c r="I220" s="5" t="n">
        <v>426.5</v>
      </c>
      <c r="J220" s="5" t="n">
        <v>346.4</v>
      </c>
      <c r="K220" s="3" t="inlineStr">
        <is>
          <t>급매, 조정가, 공원앞으로 상권 학교 이용편리</t>
        </is>
      </c>
      <c r="L220" s="6">
        <f>HYPERLINK("https://fin.land.naver.com/articles/2653643957", "매물Link")</f>
        <v/>
      </c>
      <c r="M220" s="6">
        <f>HYPERLINK("https://map.naver.com/p/search/고운동 1093", "지도Link")</f>
        <v/>
      </c>
      <c r="N220" s="6">
        <f>HYPERLINK("http://www.eum.go.kr/web/ar/lu/luLandDet.jsp?pnu=3611011200110930000&amp;isNoScr=script&amp;mode=search", "토지이음")</f>
        <v/>
      </c>
      <c r="O220" s="3" t="inlineStr">
        <is>
          <t>고운동리치세종</t>
        </is>
      </c>
      <c r="P220" s="4" t="n">
        <v>1</v>
      </c>
      <c r="Q220" s="4" t="n">
        <v>338.9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1105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364</v>
      </c>
      <c r="H221" s="4" t="n">
        <v>110</v>
      </c>
      <c r="I221" s="5" t="n">
        <v>545.5</v>
      </c>
      <c r="J221" s="5" t="n">
        <v>346.4</v>
      </c>
      <c r="K221" s="3" t="inlineStr">
        <is>
          <t>코너자리로 입지최고 고운동학교 상권이용편리 가격조정가능</t>
        </is>
      </c>
      <c r="L221" s="6">
        <f>HYPERLINK("https://fin.land.naver.com/articles/2651803985", "매물Link")</f>
        <v/>
      </c>
      <c r="M221" s="6">
        <f>HYPERLINK("https://map.naver.com/p/search/고운동 1105", "지도Link")</f>
        <v/>
      </c>
      <c r="N221" s="6">
        <f>HYPERLINK("http://www.eum.go.kr/web/ar/lu/luLandDet.jsp?pnu=3611011200111050000&amp;isNoScr=script&amp;mode=search", "토지이음")</f>
        <v/>
      </c>
      <c r="O221" s="3" t="inlineStr">
        <is>
          <t>고운동리치세종</t>
        </is>
      </c>
      <c r="P221" s="4" t="n">
        <v>2</v>
      </c>
      <c r="Q221" s="4" t="n">
        <v>360.9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1105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360</v>
      </c>
      <c r="H222" s="4" t="n">
        <v>109</v>
      </c>
      <c r="I222" s="5" t="n">
        <v>550.5</v>
      </c>
      <c r="J222" s="5" t="n">
        <v>346.4</v>
      </c>
      <c r="K222" s="3" t="inlineStr">
        <is>
          <t>사거리 코너, 입지 좋은 토지, 3면 각지, 전원주택지 토지매매</t>
        </is>
      </c>
      <c r="L222" s="6">
        <f>HYPERLINK("https://fin.land.naver.com/articles/2651189033", "매물Link")</f>
        <v/>
      </c>
      <c r="M222" s="6">
        <f>HYPERLINK("https://map.naver.com/p/search/고운동 1105", "지도Link")</f>
        <v/>
      </c>
      <c r="N222" s="6">
        <f>HYPERLINK("http://www.eum.go.kr/web/ar/lu/luLandDet.jsp?pnu=3611011200111050000&amp;isNoScr=script&amp;mode=search",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360.9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1105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360</v>
      </c>
      <c r="H223" s="4" t="n">
        <v>109</v>
      </c>
      <c r="I223" s="5" t="n">
        <v>550.5</v>
      </c>
      <c r="J223" s="5" t="n">
        <v>346.4</v>
      </c>
      <c r="K223" s="3" t="inlineStr">
        <is>
          <t>학교 인근 입지 좋은 토지, 사거리 코너</t>
        </is>
      </c>
      <c r="L223" s="6">
        <f>HYPERLINK("https://fin.land.naver.com/articles/2651904310", "매물Link")</f>
        <v/>
      </c>
      <c r="M223" s="6">
        <f>HYPERLINK("https://map.naver.com/p/search/고운동 1105", "지도Link")</f>
        <v/>
      </c>
      <c r="N223" s="6">
        <f>HYPERLINK("http://www.eum.go.kr/web/ar/lu/luLandDet.jsp?pnu=3611011200111050000&amp;isNoScr=script&amp;mode=search",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360.9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1109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50000</v>
      </c>
      <c r="G224" s="4" t="n">
        <v>330</v>
      </c>
      <c r="H224" s="4" t="n">
        <v>100</v>
      </c>
      <c r="I224" s="5" t="n">
        <v>500</v>
      </c>
      <c r="J224" s="5" t="n">
        <v>346.4</v>
      </c>
      <c r="K224" s="3" t="inlineStr">
        <is>
          <t>nan</t>
        </is>
      </c>
      <c r="L224" s="6">
        <f>HYPERLINK("https://fin.land.naver.com/articles/2649599583", "매물Link")</f>
        <v/>
      </c>
      <c r="M224" s="6">
        <f>HYPERLINK("https://map.naver.com/p/search/고운동 1109", "지도Link")</f>
        <v/>
      </c>
      <c r="N224" s="6">
        <f>HYPERLINK("http://www.eum.go.kr/web/ar/lu/luLandDet.jsp?pnu=3611011200111090000&amp;isNoScr=script&amp;mode=search", "토지이음")</f>
        <v/>
      </c>
      <c r="O224" s="3" t="inlineStr">
        <is>
          <t>성훈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중로각지</t>
        </is>
      </c>
    </row>
    <row r="225">
      <c r="A225" s="3" t="inlineStr">
        <is>
          <t>고운동 1119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351</v>
      </c>
      <c r="H225" s="4" t="n">
        <v>106</v>
      </c>
      <c r="I225" s="5" t="n">
        <v>566</v>
      </c>
      <c r="J225" s="5" t="n">
        <v>279.2</v>
      </c>
      <c r="K225" s="3" t="inlineStr">
        <is>
          <t>nan</t>
        </is>
      </c>
      <c r="L225" s="6">
        <f>HYPERLINK("https://fin.land.naver.com/articles/2654977807", "매물Link")</f>
        <v/>
      </c>
      <c r="M225" s="6">
        <f>HYPERLINK("https://map.naver.com/p/search/고운동 1119", "지도Link")</f>
        <v/>
      </c>
      <c r="N225" s="6">
        <f>HYPERLINK("http://www.eum.go.kr/web/ar/lu/luLandDet.jsp?pnu=3611011200111190000&amp;isNoScr=script&amp;mode=search", "토지이음")</f>
        <v/>
      </c>
      <c r="O225" s="3" t="inlineStr">
        <is>
          <t>세종스타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세로한면(가)</t>
        </is>
      </c>
    </row>
    <row r="226">
      <c r="A226" s="3" t="inlineStr">
        <is>
          <t>고운동 1138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361</v>
      </c>
      <c r="H226" s="4" t="n">
        <v>109</v>
      </c>
      <c r="I226" s="5" t="n">
        <v>550.5</v>
      </c>
      <c r="J226" s="5" t="n">
        <v>308</v>
      </c>
      <c r="K226" s="3" t="inlineStr">
        <is>
          <t>nan</t>
        </is>
      </c>
      <c r="L226" s="6">
        <f>HYPERLINK("https://fin.land.naver.com/articles/2651033529", "매물Link")</f>
        <v/>
      </c>
      <c r="M226" s="6">
        <f>HYPERLINK("https://map.naver.com/p/search/고운동 1138", "지도Link")</f>
        <v/>
      </c>
      <c r="N226" s="6">
        <f>HYPERLINK("http://www.eum.go.kr/web/ar/lu/luLandDet.jsp?pnu=3611011200111380000&amp;isNoScr=script&amp;mode=search", "토지이음")</f>
        <v/>
      </c>
      <c r="O226" s="3" t="inlineStr">
        <is>
          <t>디아트성심</t>
        </is>
      </c>
      <c r="P226" s="4" t="n">
        <v>1</v>
      </c>
      <c r="Q226" s="4" t="n">
        <v>361.6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1138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308</v>
      </c>
      <c r="K227" s="3" t="inlineStr">
        <is>
          <t>전용 109.6P, 두루고등학교앞, 단독주택지</t>
        </is>
      </c>
      <c r="L227" s="6">
        <f>HYPERLINK("https://fin.land.naver.com/articles/2654892918", "매물Link")</f>
        <v/>
      </c>
      <c r="M227" s="6">
        <f>HYPERLINK("https://map.naver.com/p/search/고운동 1138", "지도Link")</f>
        <v/>
      </c>
      <c r="N227" s="6">
        <f>HYPERLINK("http://www.eum.go.kr/web/ar/lu/luLandDet.jsp?pnu=3611011200111380000&amp;isNoScr=script&amp;mode=search",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361.6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1138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308</v>
      </c>
      <c r="K228" s="3" t="inlineStr">
        <is>
          <t>109.6p, 유.초등학교인근, 고등학교 인근</t>
        </is>
      </c>
      <c r="L228" s="6">
        <f>HYPERLINK("https://fin.land.naver.com/articles/2654692049", "매물Link")</f>
        <v/>
      </c>
      <c r="M228" s="6">
        <f>HYPERLINK("https://map.naver.com/p/search/고운동 1138", "지도Link")</f>
        <v/>
      </c>
      <c r="N228" s="6">
        <f>HYPERLINK("http://www.eum.go.kr/web/ar/lu/luLandDet.jsp?pnu=3611011200111380000&amp;isNoScr=script&amp;mode=search",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361.6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345</v>
      </c>
      <c r="H229" s="4" t="n">
        <v>104</v>
      </c>
      <c r="I229" s="5" t="n">
        <v>576.9</v>
      </c>
      <c r="J229" s="5" t="n">
        <v>304.8</v>
      </c>
      <c r="K229" s="3" t="inlineStr">
        <is>
          <t>nan</t>
        </is>
      </c>
      <c r="L229" s="6">
        <f>HYPERLINK("https://fin.land.naver.com/articles/2651033947", "매물Link")</f>
        <v/>
      </c>
      <c r="M229" s="6">
        <f>HYPERLINK("https://map.naver.com/p/search/고운동 1142", "지도Link")</f>
        <v/>
      </c>
      <c r="N229" s="6">
        <f>HYPERLINK("http://www.eum.go.kr/web/ar/lu/luLandDet.jsp?pnu=3611011200111420000&amp;isNoScr=script&amp;mode=search", "토지이음")</f>
        <v/>
      </c>
      <c r="O229" s="3" t="inlineStr">
        <is>
          <t>디아트성심</t>
        </is>
      </c>
      <c r="P229" s="4" t="n">
        <v>1</v>
      </c>
      <c r="Q229" s="4" t="n">
        <v>344.6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1142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52000</v>
      </c>
      <c r="G230" s="4" t="n">
        <v>344</v>
      </c>
      <c r="H230" s="4" t="n">
        <v>104</v>
      </c>
      <c r="I230" s="5" t="n">
        <v>500</v>
      </c>
      <c r="J230" s="5" t="n">
        <v>304.8</v>
      </c>
      <c r="K230" s="3" t="inlineStr">
        <is>
          <t>급매,두루고 바로앞,가격절충가능</t>
        </is>
      </c>
      <c r="L230" s="6">
        <f>HYPERLINK("https://fin.land.naver.com/articles/2655220438", "매물Link")</f>
        <v/>
      </c>
      <c r="M230" s="6">
        <f>HYPERLINK("https://map.naver.com/p/search/고운동 1142", "지도Link")</f>
        <v/>
      </c>
      <c r="N230" s="6">
        <f>HYPERLINK("http://www.eum.go.kr/web/ar/lu/luLandDet.jsp?pnu=3611011200111420000&amp;isNoScr=script&amp;mode=search", "토지이음")</f>
        <v/>
      </c>
      <c r="O230" s="3" t="inlineStr">
        <is>
          <t>힐데스하임</t>
        </is>
      </c>
      <c r="P230" s="4" t="n">
        <v>4</v>
      </c>
      <c r="Q230" s="4" t="n">
        <v>344.6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사다리형</t>
        </is>
      </c>
      <c r="V230" s="3" t="inlineStr">
        <is>
          <t>소로한면</t>
        </is>
      </c>
    </row>
    <row r="231">
      <c r="A231" s="3" t="inlineStr">
        <is>
          <t>고운동 1142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52000</v>
      </c>
      <c r="G231" s="4" t="n">
        <v>343</v>
      </c>
      <c r="H231" s="4" t="n">
        <v>104</v>
      </c>
      <c r="I231" s="5" t="n">
        <v>500</v>
      </c>
      <c r="J231" s="5" t="n">
        <v>304.8</v>
      </c>
      <c r="K231" s="3" t="inlineStr">
        <is>
          <t>두루고 앞, 고운동 단독주택지 매매</t>
        </is>
      </c>
      <c r="L231" s="6">
        <f>HYPERLINK("https://fin.land.naver.com/articles/2651776855", "매물Link")</f>
        <v/>
      </c>
      <c r="M231" s="6">
        <f>HYPERLINK("https://map.naver.com/p/search/고운동 1142", "지도Link")</f>
        <v/>
      </c>
      <c r="N231" s="6">
        <f>HYPERLINK("http://www.eum.go.kr/web/ar/lu/luLandDet.jsp?pnu=3611011200111420000&amp;isNoScr=script&amp;mode=search",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344.6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사다리형</t>
        </is>
      </c>
      <c r="V231" s="3" t="inlineStr">
        <is>
          <t>소로한면</t>
        </is>
      </c>
    </row>
    <row r="232">
      <c r="A232" s="3" t="inlineStr">
        <is>
          <t>고운동 1142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52000</v>
      </c>
      <c r="G232" s="4" t="n">
        <v>343</v>
      </c>
      <c r="H232" s="4" t="n">
        <v>104</v>
      </c>
      <c r="I232" s="5" t="n">
        <v>500</v>
      </c>
      <c r="J232" s="5" t="n">
        <v>304.8</v>
      </c>
      <c r="K232" s="3" t="inlineStr">
        <is>
          <t>고운동 단독주택지 매매, 두루고 인근, 위치 추천</t>
        </is>
      </c>
      <c r="L232" s="6">
        <f>HYPERLINK("https://fin.land.naver.com/articles/2651940575", "매물Link")</f>
        <v/>
      </c>
      <c r="M232" s="6">
        <f>HYPERLINK("https://map.naver.com/p/search/고운동 1142", "지도Link")</f>
        <v/>
      </c>
      <c r="N232" s="6">
        <f>HYPERLINK("http://www.eum.go.kr/web/ar/lu/luLandDet.jsp?pnu=3611011200111420000&amp;isNoScr=script&amp;mode=search",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344.6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사다리형</t>
        </is>
      </c>
      <c r="V232" s="3" t="inlineStr">
        <is>
          <t>소로한면</t>
        </is>
      </c>
    </row>
    <row r="233">
      <c r="A233" s="3" t="inlineStr">
        <is>
          <t>고운동 1145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383</v>
      </c>
      <c r="H233" s="4" t="n">
        <v>116</v>
      </c>
      <c r="I233" s="5" t="n">
        <v>689.7</v>
      </c>
      <c r="J233" s="5" t="n">
        <v>279.2</v>
      </c>
      <c r="K233" s="3" t="inlineStr">
        <is>
          <t>고운동북측 전용주택지 , 상권,학교 인접 생활인프라 좋음.</t>
        </is>
      </c>
      <c r="L233" s="6">
        <f>HYPERLINK("https://fin.land.naver.com/articles/2653378922", "매물Link")</f>
        <v/>
      </c>
      <c r="M233" s="6">
        <f>HYPERLINK("https://map.naver.com/p/search/고운동 1145", "지도Link")</f>
        <v/>
      </c>
      <c r="N233" s="6">
        <f>HYPERLINK("http://www.eum.go.kr/web/ar/lu/luLandDet.jsp?pnu=3611011200111450000&amp;isNoScr=script&amp;mode=search", "토지이음")</f>
        <v/>
      </c>
      <c r="O233" s="3" t="inlineStr">
        <is>
          <t>세종만세</t>
        </is>
      </c>
      <c r="P233" s="4" t="n">
        <v>1</v>
      </c>
      <c r="Q233" s="4" t="n">
        <v>383.2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세로한면(가)</t>
        </is>
      </c>
    </row>
    <row r="234">
      <c r="A234" s="3" t="inlineStr">
        <is>
          <t>고운동 1179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45000</v>
      </c>
      <c r="G234" s="4" t="n">
        <v>332</v>
      </c>
      <c r="H234" s="4" t="n">
        <v>100</v>
      </c>
      <c r="I234" s="5" t="n">
        <v>450</v>
      </c>
      <c r="J234" s="5" t="n">
        <v>308</v>
      </c>
      <c r="K234" s="3" t="inlineStr">
        <is>
          <t>상가근접한 입지좋은택지,</t>
        </is>
      </c>
      <c r="L234" s="6">
        <f>HYPERLINK("https://fin.land.naver.com/articles/2653085815", "매물Link")</f>
        <v/>
      </c>
      <c r="M234" s="6">
        <f>HYPERLINK("https://map.naver.com/p/search/고운동 1179", "지도Link")</f>
        <v/>
      </c>
      <c r="N234" s="6">
        <f>HYPERLINK("http://www.eum.go.kr/web/ar/lu/luLandDet.jsp?pnu=3611011200111790000&amp;isNoScr=script&amp;mode=search", "토지이음")</f>
        <v/>
      </c>
      <c r="O234" s="3" t="inlineStr">
        <is>
          <t>세종황소</t>
        </is>
      </c>
      <c r="P234" s="4" t="n">
        <v>2</v>
      </c>
      <c r="Q234" s="4" t="n">
        <v>332.1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1179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45000</v>
      </c>
      <c r="G235" s="4" t="n">
        <v>332</v>
      </c>
      <c r="H235" s="4" t="n">
        <v>100</v>
      </c>
      <c r="I235" s="5" t="n">
        <v>450</v>
      </c>
      <c r="J235" s="5" t="n">
        <v>308</v>
      </c>
      <c r="K235" s="3" t="inlineStr">
        <is>
          <t>급매, 고운동 입지 좋은 단독주택지</t>
        </is>
      </c>
      <c r="L235" s="6">
        <f>HYPERLINK("https://fin.land.naver.com/articles/2651944037", "매물Link")</f>
        <v/>
      </c>
      <c r="M235" s="6">
        <f>HYPERLINK("https://map.naver.com/p/search/고운동 1179", "지도Link")</f>
        <v/>
      </c>
      <c r="N235" s="6">
        <f>HYPERLINK("http://www.eum.go.kr/web/ar/lu/luLandDet.jsp?pnu=3611011200111790000&amp;isNoScr=script&amp;mode=search",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332.1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1179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45000</v>
      </c>
      <c r="G236" s="4" t="n">
        <v>332</v>
      </c>
      <c r="H236" s="4" t="n">
        <v>100</v>
      </c>
      <c r="I236" s="5" t="n">
        <v>450</v>
      </c>
      <c r="J236" s="5" t="n">
        <v>308</v>
      </c>
      <c r="K236" s="3" t="inlineStr">
        <is>
          <t>항아리상권 가까운 생활인프라 좋은 토지 매매</t>
        </is>
      </c>
      <c r="L236" s="6">
        <f>HYPERLINK("https://fin.land.naver.com/articles/2651188831", "매물Link")</f>
        <v/>
      </c>
      <c r="M236" s="6">
        <f>HYPERLINK("https://map.naver.com/p/search/고운동 1179", "지도Link")</f>
        <v/>
      </c>
      <c r="N236" s="6">
        <f>HYPERLINK("http://www.eum.go.kr/web/ar/lu/luLandDet.jsp?pnu=3611011200111790000&amp;isNoScr=script&amp;mode=search",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332.1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1236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75000</v>
      </c>
      <c r="G237" s="4" t="n">
        <v>338</v>
      </c>
      <c r="H237" s="4" t="n">
        <v>102</v>
      </c>
      <c r="I237" s="5" t="n">
        <v>735.3</v>
      </c>
      <c r="J237" s="5" t="n">
        <v>308</v>
      </c>
      <c r="K237" s="3" t="inlineStr">
        <is>
          <t>공원근접.초등학교 가까운 위치.조용한 전원주택지 ,투자추천</t>
        </is>
      </c>
      <c r="L237" s="6">
        <f>HYPERLINK("https://fin.land.naver.com/articles/2652951622", "매물Link")</f>
        <v/>
      </c>
      <c r="M237" s="6">
        <f>HYPERLINK("https://map.naver.com/p/search/고운동 1236", "지도Link")</f>
        <v/>
      </c>
      <c r="N237" s="6">
        <f>HYPERLINK("http://www.eum.go.kr/web/ar/lu/luLandDet.jsp?pnu=3611011200112360000&amp;isNoScr=script&amp;mode=search", "토지이음")</f>
        <v/>
      </c>
      <c r="O237" s="3" t="inlineStr">
        <is>
          <t>세종보물</t>
        </is>
      </c>
      <c r="P237" s="4" t="n">
        <v>1</v>
      </c>
      <c r="Q237" s="4" t="n">
        <v>338.8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1238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69000</v>
      </c>
      <c r="G238" s="4" t="n">
        <v>348</v>
      </c>
      <c r="H238" s="4" t="n">
        <v>105</v>
      </c>
      <c r="I238" s="5" t="n">
        <v>657.1</v>
      </c>
      <c r="J238" s="5" t="n">
        <v>320.9</v>
      </c>
      <c r="K238" s="3" t="inlineStr">
        <is>
          <t>최상급 전원주택부지로 주민센터와 근린생활시설 인근에 위치, 가격조정 가능</t>
        </is>
      </c>
      <c r="L238" s="6">
        <f>HYPERLINK("https://fin.land.naver.com/articles/2652432869", "매물Link")</f>
        <v/>
      </c>
      <c r="M238" s="6">
        <f>HYPERLINK("https://map.naver.com/p/search/고운동 1238", "지도Link")</f>
        <v/>
      </c>
      <c r="N238" s="6">
        <f>HYPERLINK("http://www.eum.go.kr/web/ar/lu/luLandDet.jsp?pnu=3611011200112380000&amp;isNoScr=script&amp;mode=search", "토지이음")</f>
        <v/>
      </c>
      <c r="O238" s="3" t="inlineStr">
        <is>
          <t>수성</t>
        </is>
      </c>
      <c r="P238" s="4" t="n">
        <v>1</v>
      </c>
      <c r="Q238" s="4" t="n">
        <v>348.5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1242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339</v>
      </c>
      <c r="H239" s="4" t="n">
        <v>103</v>
      </c>
      <c r="I239" s="5" t="n">
        <v>563.1</v>
      </c>
      <c r="J239" s="5" t="n">
        <v>320.9</v>
      </c>
      <c r="K239" s="3" t="inlineStr">
        <is>
          <t>o추천택지o. 남향. 학교 상가 이용 편리. 아파트 주거지 중심.</t>
        </is>
      </c>
      <c r="L239" s="6">
        <f>HYPERLINK("https://fin.land.naver.com/articles/2654826170", "매물Link")</f>
        <v/>
      </c>
      <c r="M239" s="6">
        <f>HYPERLINK("https://map.naver.com/p/search/고운동 1242", "지도Link")</f>
        <v/>
      </c>
      <c r="N239" s="6">
        <f>HYPERLINK("http://www.eum.go.kr/web/ar/lu/luLandDet.jsp?pnu=3611011200112420000&amp;isNoScr=script&amp;mode=search", "토지이음")</f>
        <v/>
      </c>
      <c r="O239" s="3" t="inlineStr">
        <is>
          <t>세종썬</t>
        </is>
      </c>
      <c r="P239" s="4" t="n">
        <v>1</v>
      </c>
      <c r="Q239" s="4" t="n">
        <v>339.4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1242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59000</v>
      </c>
      <c r="G240" s="4" t="n">
        <v>339</v>
      </c>
      <c r="H240" s="4" t="n">
        <v>103</v>
      </c>
      <c r="I240" s="5" t="n">
        <v>572.8</v>
      </c>
      <c r="J240" s="5" t="n">
        <v>320.9</v>
      </c>
      <c r="K240" s="3" t="inlineStr">
        <is>
          <t>위치좋고 저렴한 코너각지 남향의 최 상급 주택부지</t>
        </is>
      </c>
      <c r="L240" s="6">
        <f>HYPERLINK("https://fin.land.naver.com/articles/2652931210", "매물Link")</f>
        <v/>
      </c>
      <c r="M240" s="6">
        <f>HYPERLINK("https://map.naver.com/p/search/고운동 1242", "지도Link")</f>
        <v/>
      </c>
      <c r="N240" s="6">
        <f>HYPERLINK("http://www.eum.go.kr/web/ar/lu/luLandDet.jsp?pnu=3611011200112420000&amp;isNoScr=script&amp;mode=search", "토지이음")</f>
        <v/>
      </c>
      <c r="O240" s="3" t="inlineStr">
        <is>
          <t>대전토지로무소</t>
        </is>
      </c>
      <c r="P240" s="4" t="n">
        <v>1</v>
      </c>
      <c r="Q240" s="4" t="n">
        <v>339.4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1248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150000</v>
      </c>
      <c r="G241" s="4" t="n">
        <v>327</v>
      </c>
      <c r="H241" s="4" t="n">
        <v>99</v>
      </c>
      <c r="I241" s="5" t="n">
        <v>1515.2</v>
      </c>
      <c r="J241" s="5" t="n">
        <v>804</v>
      </c>
      <c r="K241" s="3" t="inlineStr">
        <is>
          <t>대로변 코너각지 위치 최상의 귀한 근생부지 매매</t>
        </is>
      </c>
      <c r="L241" s="6">
        <f>HYPERLINK("https://fin.land.naver.com/articles/2652674815", "매물Link")</f>
        <v/>
      </c>
      <c r="M241" s="6">
        <f>HYPERLINK("https://map.naver.com/p/search/고운동 1248", "지도Link")</f>
        <v/>
      </c>
      <c r="N241" s="6">
        <f>HYPERLINK("http://www.eum.go.kr/web/ar/lu/luLandDet.jsp?pnu=3611011200112480000&amp;isNoScr=script&amp;mode=search", "토지이음")</f>
        <v/>
      </c>
      <c r="O241" s="3" t="inlineStr">
        <is>
          <t>(주)정민근</t>
        </is>
      </c>
      <c r="P241" s="4" t="n">
        <v>3</v>
      </c>
      <c r="Q241" s="4" t="n">
        <v>327.8</v>
      </c>
      <c r="R241" s="3" t="inlineStr">
        <is>
          <t>지정되지않음</t>
        </is>
      </c>
      <c r="S241" s="3" t="inlineStr">
        <is>
          <t>상업용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중로각지</t>
        </is>
      </c>
    </row>
    <row r="242">
      <c r="A242" s="3" t="inlineStr">
        <is>
          <t>고운동 1262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348</v>
      </c>
      <c r="H242" s="4" t="n">
        <v>105</v>
      </c>
      <c r="I242" s="5" t="n">
        <v>552.4</v>
      </c>
      <c r="J242" s="5" t="n">
        <v>383.8</v>
      </c>
      <c r="K242" s="3" t="inlineStr">
        <is>
          <t>3면코너각지 실개천인근 위치최상 조율가능</t>
        </is>
      </c>
      <c r="L242" s="6">
        <f>HYPERLINK("https://fin.land.naver.com/articles/2655191864", "매물Link")</f>
        <v/>
      </c>
      <c r="M242" s="6">
        <f>HYPERLINK("https://map.naver.com/p/search/고운동 1262", "지도Link")</f>
        <v/>
      </c>
      <c r="N242" s="6">
        <f>HYPERLINK("http://www.eum.go.kr/web/ar/lu/luLandDet.jsp?pnu=3611011200112620000&amp;isNoScr=script&amp;mode=search", "토지이음")</f>
        <v/>
      </c>
      <c r="O242" s="3" t="inlineStr">
        <is>
          <t>세종스타</t>
        </is>
      </c>
      <c r="P242" s="4" t="n">
        <v>2</v>
      </c>
      <c r="Q242" s="4" t="n">
        <v>348.5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중로각지</t>
        </is>
      </c>
    </row>
    <row r="243">
      <c r="A243" s="3" t="inlineStr">
        <is>
          <t>고운동 1272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330</v>
      </c>
      <c r="H243" s="4" t="n">
        <v>100</v>
      </c>
      <c r="I243" s="5" t="n">
        <v>800</v>
      </c>
      <c r="J243" s="5" t="n">
        <v>383.8</v>
      </c>
      <c r="K243" s="3" t="inlineStr">
        <is>
          <t>코너각지, 실개천 주변으로 입지 좋은 토지매매</t>
        </is>
      </c>
      <c r="L243" s="6">
        <f>HYPERLINK("https://fin.land.naver.com/articles/2651778921", "매물Link")</f>
        <v/>
      </c>
      <c r="M243" s="6">
        <f>HYPERLINK("https://map.naver.com/p/search/고운동 1272", "지도Link")</f>
        <v/>
      </c>
      <c r="N243" s="6">
        <f>HYPERLINK("http://www.eum.go.kr/web/ar/lu/luLandDet.jsp?pnu=3611011200112720000&amp;isNoScr=script&amp;mode=search",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330.7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중로각지</t>
        </is>
      </c>
    </row>
    <row r="244">
      <c r="A244" s="3" t="inlineStr">
        <is>
          <t>고운동 1272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329</v>
      </c>
      <c r="H244" s="4" t="n">
        <v>100</v>
      </c>
      <c r="I244" s="5" t="n">
        <v>800</v>
      </c>
      <c r="J244" s="5" t="n">
        <v>383.8</v>
      </c>
      <c r="K244" s="3" t="inlineStr">
        <is>
          <t>삼거리 코너, 토지매매, 실개천 인근</t>
        </is>
      </c>
      <c r="L244" s="6">
        <f>HYPERLINK("https://fin.land.naver.com/articles/2651948549", "매물Link")</f>
        <v/>
      </c>
      <c r="M244" s="6">
        <f>HYPERLINK("https://map.naver.com/p/search/고운동 1272", "지도Link")</f>
        <v/>
      </c>
      <c r="N244" s="6">
        <f>HYPERLINK("http://www.eum.go.kr/web/ar/lu/luLandDet.jsp?pnu=3611011200112720000&amp;isNoScr=script&amp;mode=search",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330.7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중로각지</t>
        </is>
      </c>
    </row>
    <row r="245">
      <c r="A245" s="3" t="inlineStr">
        <is>
          <t>고운동 1293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95000</v>
      </c>
      <c r="G245" s="4" t="n">
        <v>332</v>
      </c>
      <c r="H245" s="4" t="n">
        <v>100</v>
      </c>
      <c r="I245" s="5" t="n">
        <v>950</v>
      </c>
      <c r="J245" s="5" t="n">
        <v>336.5</v>
      </c>
      <c r="K245" s="3" t="inlineStr">
        <is>
          <t>100.91p, 개방감 좋은 실개천 인근 토지</t>
        </is>
      </c>
      <c r="L245" s="6">
        <f>HYPERLINK("https://fin.land.naver.com/articles/2650893334", "매물Link")</f>
        <v/>
      </c>
      <c r="M245" s="6">
        <f>HYPERLINK("https://map.naver.com/p/search/고운동 1293", "지도Link")</f>
        <v/>
      </c>
      <c r="N245" s="6">
        <f>HYPERLINK("http://www.eum.go.kr/web/ar/lu/luLandDet.jsp?pnu=3611011200112930000&amp;isNoScr=script&amp;mode=search",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330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1293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95000</v>
      </c>
      <c r="G246" s="4" t="n">
        <v>333</v>
      </c>
      <c r="H246" s="4" t="n">
        <v>101</v>
      </c>
      <c r="I246" s="5" t="n">
        <v>940.6</v>
      </c>
      <c r="J246" s="5" t="n">
        <v>336.5</v>
      </c>
      <c r="K246" s="3" t="inlineStr">
        <is>
          <t>총 100p, 실개천 주변으로 위치좋은 토지</t>
        </is>
      </c>
      <c r="L246" s="6">
        <f>HYPERLINK("https://fin.land.naver.com/articles/2654926133", "매물Link")</f>
        <v/>
      </c>
      <c r="M246" s="6">
        <f>HYPERLINK("https://map.naver.com/p/search/고운동 1293", "지도Link")</f>
        <v/>
      </c>
      <c r="N246" s="6">
        <f>HYPERLINK("http://www.eum.go.kr/web/ar/lu/luLandDet.jsp?pnu=3611011200112930000&amp;isNoScr=script&amp;mode=search",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330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1297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56000</v>
      </c>
      <c r="G247" s="4" t="n">
        <v>338</v>
      </c>
      <c r="H247" s="4" t="n">
        <v>102</v>
      </c>
      <c r="I247" s="5" t="n">
        <v>549</v>
      </c>
      <c r="J247" s="5" t="n">
        <v>369.3</v>
      </c>
      <c r="K247" s="3" t="inlineStr">
        <is>
          <t>실개천옆 천조망 가락초2분 두루고5분</t>
        </is>
      </c>
      <c r="L247" s="6">
        <f>HYPERLINK("https://fin.land.naver.com/articles/2654857904", "매물Link")</f>
        <v/>
      </c>
      <c r="M247" s="6">
        <f>HYPERLINK("https://map.naver.com/p/search/고운동 1297", "지도Link")</f>
        <v/>
      </c>
      <c r="N247" s="6">
        <f>HYPERLINK("http://www.eum.go.kr/web/ar/lu/luLandDet.jsp?pnu=3611011200112970000&amp;isNoScr=script&amp;mode=search",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338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1302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85000</v>
      </c>
      <c r="G248" s="4" t="n">
        <v>351</v>
      </c>
      <c r="H248" s="4" t="n">
        <v>106</v>
      </c>
      <c r="I248" s="5" t="n">
        <v>801.9</v>
      </c>
      <c r="J248" s="5" t="n">
        <v>336.5</v>
      </c>
      <c r="K248" s="3" t="inlineStr">
        <is>
          <t>106.3p, 실개천 앞, 공원인근</t>
        </is>
      </c>
      <c r="L248" s="6">
        <f>HYPERLINK("https://fin.land.naver.com/articles/2650427456", "매물Link")</f>
        <v/>
      </c>
      <c r="M248" s="6">
        <f>HYPERLINK("https://map.naver.com/p/search/고운동 1302", "지도Link")</f>
        <v/>
      </c>
      <c r="N248" s="6">
        <f>HYPERLINK("http://www.eum.go.kr/web/ar/lu/luLandDet.jsp?pnu=3611011200113020000&amp;isNoScr=script&amp;mode=search",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1302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85000</v>
      </c>
      <c r="G249" s="4" t="n">
        <v>351</v>
      </c>
      <c r="H249" s="4" t="n">
        <v>106</v>
      </c>
      <c r="I249" s="5" t="n">
        <v>801.9</v>
      </c>
      <c r="J249" s="5" t="n">
        <v>336.5</v>
      </c>
      <c r="K249" s="3" t="inlineStr">
        <is>
          <t>총 106.3p, 공원바로 옆, 도로인접 위치 좋은 전원주택지</t>
        </is>
      </c>
      <c r="L249" s="6">
        <f>HYPERLINK("https://fin.land.naver.com/articles/2654928943", "매물Link")</f>
        <v/>
      </c>
      <c r="M249" s="6">
        <f>HYPERLINK("https://map.naver.com/p/search/고운동 1302", "지도Link")</f>
        <v/>
      </c>
      <c r="N249" s="6">
        <f>HYPERLINK("http://www.eum.go.kr/web/ar/lu/luLandDet.jsp?pnu=3611011200113020000&amp;isNoScr=script&amp;mode=search",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1306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68000</v>
      </c>
      <c r="G250" s="4" t="n">
        <v>351</v>
      </c>
      <c r="H250" s="4" t="n">
        <v>106</v>
      </c>
      <c r="I250" s="5" t="n">
        <v>641.5</v>
      </c>
      <c r="J250" s="5" t="n">
        <v>336.5</v>
      </c>
      <c r="K250" s="3" t="inlineStr">
        <is>
          <t>최선호 실개천 주택지 공원 넓게접함</t>
        </is>
      </c>
      <c r="L250" s="6">
        <f>HYPERLINK("https://fin.land.naver.com/articles/2654332417", "매물Link")</f>
        <v/>
      </c>
      <c r="M250" s="6">
        <f>HYPERLINK("https://map.naver.com/p/search/고운동 1306", "지도Link")</f>
        <v/>
      </c>
      <c r="N250" s="6">
        <f>HYPERLINK("http://www.eum.go.kr/web/ar/lu/luLandDet.jsp?pnu=3611011200113060000&amp;isNoScr=script&amp;mode=search",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351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1310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70000</v>
      </c>
      <c r="G251" s="4" t="n">
        <v>351</v>
      </c>
      <c r="H251" s="4" t="n">
        <v>106</v>
      </c>
      <c r="I251" s="5" t="n">
        <v>660.4</v>
      </c>
      <c r="J251" s="5" t="n">
        <v>336.5</v>
      </c>
      <c r="K251" s="3" t="inlineStr">
        <is>
          <t>전원주택지 산책로 및 실개천에 연접한 좋은위치 단독택지, 가락초 인근</t>
        </is>
      </c>
      <c r="L251" s="6">
        <f>HYPERLINK("https://fin.land.naver.com/articles/2650441767", "매물Link")</f>
        <v/>
      </c>
      <c r="M251" s="6">
        <f>HYPERLINK("https://map.naver.com/p/search/고운동 1310", "지도Link")</f>
        <v/>
      </c>
      <c r="N251" s="6">
        <f>HYPERLINK("http://www.eum.go.kr/web/ar/lu/luLandDet.jsp?pnu=3611011200113100000&amp;isNoScr=script&amp;mode=search",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351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1319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58000</v>
      </c>
      <c r="G252" s="4" t="n">
        <v>365</v>
      </c>
      <c r="H252" s="4" t="n">
        <v>110</v>
      </c>
      <c r="I252" s="5" t="n">
        <v>527.3</v>
      </c>
      <c r="J252" s="5" t="n">
        <v>336.5</v>
      </c>
      <c r="K252" s="3" t="inlineStr">
        <is>
          <t>위치좋고 저렴한 단독주택 용지 추천드립니다</t>
        </is>
      </c>
      <c r="L252" s="6">
        <f>HYPERLINK("https://fin.land.naver.com/articles/2650692446", "매물Link")</f>
        <v/>
      </c>
      <c r="M252" s="6">
        <f>HYPERLINK("https://map.naver.com/p/search/고운동 1319", "지도Link")</f>
        <v/>
      </c>
      <c r="N252" s="6">
        <f>HYPERLINK("http://www.eum.go.kr/web/ar/lu/luLandDet.jsp?pnu=3611011200113190000&amp;isNoScr=script&amp;mode=search", "토지이음")</f>
        <v/>
      </c>
      <c r="O252" s="3" t="inlineStr">
        <is>
          <t>골드클래스</t>
        </is>
      </c>
      <c r="P252" s="4" t="n">
        <v>2</v>
      </c>
      <c r="Q252" s="4" t="n">
        <v>365.3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1320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353</v>
      </c>
      <c r="H253" s="4" t="n">
        <v>107</v>
      </c>
      <c r="I253" s="5" t="n">
        <v>607.5</v>
      </c>
      <c r="J253" s="5" t="n">
        <v>353.1</v>
      </c>
      <c r="K253" s="3" t="inlineStr">
        <is>
          <t>107p, 삼거리 코너자리</t>
        </is>
      </c>
      <c r="L253" s="6">
        <f>HYPERLINK("https://fin.land.naver.com/articles/2654705090", "매물Link")</f>
        <v/>
      </c>
      <c r="M253" s="6">
        <f>HYPERLINK("https://map.naver.com/p/search/고운동 1320", "지도Link")</f>
        <v/>
      </c>
      <c r="N253" s="6">
        <f>HYPERLINK("http://www.eum.go.kr/web/ar/lu/luLandDet.jsp?pnu=3611011200113200000&amp;isNoScr=script&amp;mode=search",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353.3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1320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353</v>
      </c>
      <c r="H254" s="4" t="n">
        <v>107</v>
      </c>
      <c r="I254" s="5" t="n">
        <v>607.5</v>
      </c>
      <c r="J254" s="5" t="n">
        <v>353.1</v>
      </c>
      <c r="K254" s="3" t="inlineStr">
        <is>
          <t>코너자리로 입지 최고  공원옆  실개천옆 학군 상권이용편리</t>
        </is>
      </c>
      <c r="L254" s="6">
        <f>HYPERLINK("https://fin.land.naver.com/articles/2651998602", "매물Link")</f>
        <v/>
      </c>
      <c r="M254" s="6">
        <f>HYPERLINK("https://map.naver.com/p/search/고운동 1320", "지도Link")</f>
        <v/>
      </c>
      <c r="N254" s="6">
        <f>HYPERLINK("http://www.eum.go.kr/web/ar/lu/luLandDet.jsp?pnu=3611011200113200000&amp;isNoScr=script&amp;mode=search", "토지이음")</f>
        <v/>
      </c>
      <c r="O254" s="3" t="inlineStr">
        <is>
          <t>세종시토지</t>
        </is>
      </c>
      <c r="P254" s="4" t="n">
        <v>1</v>
      </c>
      <c r="Q254" s="4" t="n">
        <v>353.3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1323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361</v>
      </c>
      <c r="H255" s="4" t="n">
        <v>109</v>
      </c>
      <c r="I255" s="5" t="n">
        <v>550.5</v>
      </c>
      <c r="J255" s="5" t="n">
        <v>336.5</v>
      </c>
      <c r="K255" s="3" t="inlineStr">
        <is>
          <t>급매 추가조율가능 넓은평수 뒤로보행로접</t>
        </is>
      </c>
      <c r="L255" s="6">
        <f>HYPERLINK("https://fin.land.naver.com/articles/2652418961", "매물Link")</f>
        <v/>
      </c>
      <c r="M255" s="6">
        <f>HYPERLINK("https://map.naver.com/p/search/고운동 1323", "지도Link")</f>
        <v/>
      </c>
      <c r="N255" s="6">
        <f>HYPERLINK("http://www.eum.go.kr/web/ar/lu/luLandDet.jsp?pnu=3611011200113230000&amp;isNoScr=script&amp;mode=search",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361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1323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361</v>
      </c>
      <c r="H256" s="4" t="n">
        <v>109</v>
      </c>
      <c r="I256" s="5" t="n">
        <v>550.5</v>
      </c>
      <c r="J256" s="5" t="n">
        <v>336.5</v>
      </c>
      <c r="K256" s="3" t="inlineStr">
        <is>
          <t>총 109.3p, 고운동 생활인프라 좋은 위치 토지매매</t>
        </is>
      </c>
      <c r="L256" s="6">
        <f>HYPERLINK("https://fin.land.naver.com/articles/2651942130", "매물Link")</f>
        <v/>
      </c>
      <c r="M256" s="6">
        <f>HYPERLINK("https://map.naver.com/p/search/고운동 1323", "지도Link")</f>
        <v/>
      </c>
      <c r="N256" s="6">
        <f>HYPERLINK("http://www.eum.go.kr/web/ar/lu/luLandDet.jsp?pnu=3611011200113230000&amp;isNoScr=script&amp;mode=search",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361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1323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361</v>
      </c>
      <c r="H257" s="4" t="n">
        <v>109</v>
      </c>
      <c r="I257" s="5" t="n">
        <v>550.5</v>
      </c>
      <c r="J257" s="5" t="n">
        <v>336.5</v>
      </c>
      <c r="K257" s="3" t="inlineStr">
        <is>
          <t>총 109.3p, 위치 좋은 단독주택지, 공원인근</t>
        </is>
      </c>
      <c r="L257" s="6">
        <f>HYPERLINK("https://fin.land.naver.com/articles/2649613023", "매물Link")</f>
        <v/>
      </c>
      <c r="M257" s="6">
        <f>HYPERLINK("https://map.naver.com/p/search/고운동 1323", "지도Link")</f>
        <v/>
      </c>
      <c r="N257" s="6">
        <f>HYPERLINK("http://www.eum.go.kr/web/ar/lu/luLandDet.jsp?pnu=3611011200113230000&amp;isNoScr=script&amp;mode=search",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361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1328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352</v>
      </c>
      <c r="H258" s="4" t="n">
        <v>106</v>
      </c>
      <c r="I258" s="5" t="n">
        <v>613.2</v>
      </c>
      <c r="J258" s="5" t="n">
        <v>353.1</v>
      </c>
      <c r="K258" s="3" t="inlineStr">
        <is>
          <t>실개천 가깝고 코너각지 위치 좋은 단독주택지, 조정가능</t>
        </is>
      </c>
      <c r="L258" s="6">
        <f>HYPERLINK("https://fin.land.naver.com/articles/2649699066", "매물Link")</f>
        <v/>
      </c>
      <c r="M258" s="6">
        <f>HYPERLINK("https://map.naver.com/p/search/고운동 1328", "지도Link")</f>
        <v/>
      </c>
      <c r="N258" s="6">
        <f>HYPERLINK("http://www.eum.go.kr/web/ar/lu/luLandDet.jsp?pnu=3611011200113280000&amp;isNoScr=script&amp;mode=search",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352.7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소로각지</t>
        </is>
      </c>
    </row>
    <row r="259">
      <c r="A259" s="3" t="inlineStr">
        <is>
          <t>고운동 1328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352</v>
      </c>
      <c r="H259" s="4" t="n">
        <v>106</v>
      </c>
      <c r="I259" s="5" t="n">
        <v>613.2</v>
      </c>
      <c r="J259" s="5" t="n">
        <v>353.1</v>
      </c>
      <c r="K259" s="3" t="inlineStr">
        <is>
          <t>106.8p, 삼거리 코너 위치 토지매매</t>
        </is>
      </c>
      <c r="L259" s="6">
        <f>HYPERLINK("https://fin.land.naver.com/articles/2653686910", "매물Link")</f>
        <v/>
      </c>
      <c r="M259" s="6">
        <f>HYPERLINK("https://map.naver.com/p/search/고운동 1328", "지도Link")</f>
        <v/>
      </c>
      <c r="N259" s="6">
        <f>HYPERLINK("http://www.eum.go.kr/web/ar/lu/luLandDet.jsp?pnu=3611011200113280000&amp;isNoScr=script&amp;mode=search",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352.7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소로각지</t>
        </is>
      </c>
    </row>
    <row r="260">
      <c r="A260" s="3" t="inlineStr">
        <is>
          <t>고운동 1328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352</v>
      </c>
      <c r="H260" s="4" t="n">
        <v>106</v>
      </c>
      <c r="I260" s="5" t="n">
        <v>613.2</v>
      </c>
      <c r="J260" s="5" t="n">
        <v>353.1</v>
      </c>
      <c r="K260" s="3" t="inlineStr">
        <is>
          <t>106.8p, 실개천 근처, 위치 좋은 토지, 공원 인근</t>
        </is>
      </c>
      <c r="L260" s="6">
        <f>HYPERLINK("https://fin.land.naver.com/articles/2650893554", "매물Link")</f>
        <v/>
      </c>
      <c r="M260" s="6">
        <f>HYPERLINK("https://map.naver.com/p/search/고운동 1328", "지도Link")</f>
        <v/>
      </c>
      <c r="N260" s="6">
        <f>HYPERLINK("http://www.eum.go.kr/web/ar/lu/luLandDet.jsp?pnu=3611011200113280000&amp;isNoScr=script&amp;mode=search",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352.7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소로각지</t>
        </is>
      </c>
    </row>
    <row r="261">
      <c r="A261" s="3" t="inlineStr">
        <is>
          <t>고운동 1330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336</v>
      </c>
      <c r="H261" s="4" t="n">
        <v>102</v>
      </c>
      <c r="I261" s="5" t="n">
        <v>588.2</v>
      </c>
      <c r="J261" s="5" t="n">
        <v>336.5</v>
      </c>
      <c r="K261" s="3" t="inlineStr">
        <is>
          <t>햇빛 잘 들고 학교, 상가 가까워 생활 편리, 조율 가능</t>
        </is>
      </c>
      <c r="L261" s="6">
        <f>HYPERLINK("https://fin.land.naver.com/articles/2651034506", "매물Link")</f>
        <v/>
      </c>
      <c r="M261" s="6">
        <f>HYPERLINK("https://map.naver.com/p/search/고운동 1330", "지도Link")</f>
        <v/>
      </c>
      <c r="N261" s="6">
        <f>HYPERLINK("http://www.eum.go.kr/web/ar/lu/luLandDet.jsp?pnu=3611011200113300000&amp;isNoScr=script&amp;mode=search", "토지이음")</f>
        <v/>
      </c>
      <c r="O261" s="3" t="inlineStr">
        <is>
          <t>온뜰</t>
        </is>
      </c>
      <c r="P261" s="4" t="n">
        <v>1</v>
      </c>
      <c r="Q261" s="4" t="n">
        <v>336.7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고운동 1331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333</v>
      </c>
      <c r="H262" s="4" t="n">
        <v>101</v>
      </c>
      <c r="I262" s="5" t="n">
        <v>594.1</v>
      </c>
      <c r="J262" s="5" t="n">
        <v>380.2</v>
      </c>
      <c r="K262" s="3" t="inlineStr">
        <is>
          <t>급매 추가조율가능 남향 코너각지</t>
        </is>
      </c>
      <c r="L262" s="6">
        <f>HYPERLINK("https://fin.land.naver.com/articles/2651115923", "매물Link")</f>
        <v/>
      </c>
      <c r="M262" s="6">
        <f>HYPERLINK("https://map.naver.com/p/search/고운동 1331", "지도Link")</f>
        <v/>
      </c>
      <c r="N262" s="6">
        <f>HYPERLINK("http://www.eum.go.kr/web/ar/lu/luLandDet.jsp?pnu=3611011200113310000&amp;isNoScr=script&amp;mode=search",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중로각지</t>
        </is>
      </c>
    </row>
    <row r="263">
      <c r="A263" s="3" t="inlineStr">
        <is>
          <t>고운동 1331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333</v>
      </c>
      <c r="H263" s="4" t="n">
        <v>101</v>
      </c>
      <c r="I263" s="5" t="n">
        <v>594.1</v>
      </c>
      <c r="J263" s="5" t="n">
        <v>380.2</v>
      </c>
      <c r="K263" s="3" t="inlineStr">
        <is>
          <t>코너각지 위치 좋은 단독주택지</t>
        </is>
      </c>
      <c r="L263" s="6">
        <f>HYPERLINK("https://fin.land.naver.com/articles/2649698053", "매물Link")</f>
        <v/>
      </c>
      <c r="M263" s="6">
        <f>HYPERLINK("https://map.naver.com/p/search/고운동 1331", "지도Link")</f>
        <v/>
      </c>
      <c r="N263" s="6">
        <f>HYPERLINK("http://www.eum.go.kr/web/ar/lu/luLandDet.jsp?pnu=3611011200113310000&amp;isNoScr=script&amp;mode=search", "토지이음")</f>
        <v/>
      </c>
      <c r="O263" s="3" t="inlineStr">
        <is>
          <t>온뜰</t>
        </is>
      </c>
      <c r="P263" s="4" t="n">
        <v>1</v>
      </c>
      <c r="Q263" s="4" t="n">
        <v>333.6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1331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333</v>
      </c>
      <c r="H264" s="4" t="n">
        <v>101</v>
      </c>
      <c r="I264" s="5" t="n">
        <v>594.1</v>
      </c>
      <c r="J264" s="5" t="n">
        <v>380.2</v>
      </c>
      <c r="K264" s="3" t="inlineStr">
        <is>
          <t>nan</t>
        </is>
      </c>
      <c r="L264" s="6">
        <f>HYPERLINK("https://fin.land.naver.com/articles/2651034907", "매물Link")</f>
        <v/>
      </c>
      <c r="M264" s="6">
        <f>HYPERLINK("https://map.naver.com/p/search/고운동 1331", "지도Link")</f>
        <v/>
      </c>
      <c r="N264" s="6">
        <f>HYPERLINK("http://www.eum.go.kr/web/ar/lu/luLandDet.jsp?pnu=3611011200113310000&amp;isNoScr=script&amp;mode=search", "토지이음")</f>
        <v/>
      </c>
      <c r="O264" s="3" t="inlineStr">
        <is>
          <t>디아트성심</t>
        </is>
      </c>
      <c r="P264" s="4" t="n">
        <v>1</v>
      </c>
      <c r="Q264" s="4" t="n">
        <v>333.6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1334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43000</v>
      </c>
      <c r="G265" s="4" t="n">
        <v>329</v>
      </c>
      <c r="H265" s="4" t="n">
        <v>100</v>
      </c>
      <c r="I265" s="5" t="n">
        <v>430</v>
      </c>
      <c r="J265" s="5" t="n">
        <v>336.5</v>
      </c>
      <c r="K265" s="3" t="inlineStr">
        <is>
          <t>급매 실개천 가락초 인근</t>
        </is>
      </c>
      <c r="L265" s="6">
        <f>HYPERLINK("https://fin.land.naver.com/articles/2650372143", "매물Link")</f>
        <v/>
      </c>
      <c r="M265" s="6">
        <f>HYPERLINK("https://map.naver.com/p/search/고운동 1334", "지도Link")</f>
        <v/>
      </c>
      <c r="N265" s="6">
        <f>HYPERLINK("http://www.eum.go.kr/web/ar/lu/luLandDet.jsp?pnu=3611011200113340000&amp;isNoScr=script&amp;mode=search", "토지이음")</f>
        <v/>
      </c>
      <c r="O265" s="3" t="inlineStr">
        <is>
          <t>세종스타</t>
        </is>
      </c>
      <c r="P265" s="4" t="n">
        <v>2</v>
      </c>
      <c r="Q265" s="4" t="n">
        <v>329.7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1343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386</v>
      </c>
      <c r="H266" s="4" t="n">
        <v>117</v>
      </c>
      <c r="I266" s="5" t="n">
        <v>683.8</v>
      </c>
      <c r="J266" s="5" t="n">
        <v>349.4</v>
      </c>
      <c r="K266" s="3" t="inlineStr">
        <is>
          <t>넓은 평수 3면 도로접 개방감 최고, 학교 아파트 상가 가까워 생활편리</t>
        </is>
      </c>
      <c r="L266" s="6">
        <f>HYPERLINK("https://fin.land.naver.com/articles/2649698505", "매물Link")</f>
        <v/>
      </c>
      <c r="M266" s="6">
        <f>HYPERLINK("https://map.naver.com/p/search/고운동 1343", "지도Link")</f>
        <v/>
      </c>
      <c r="N266" s="6">
        <f>HYPERLINK("http://www.eum.go.kr/web/ar/lu/luLandDet.jsp?pnu=3611011200113430000&amp;isNoScr=script&amp;mode=search", "토지이음")</f>
        <v/>
      </c>
      <c r="O266" s="3" t="inlineStr">
        <is>
          <t>온뜰</t>
        </is>
      </c>
      <c r="P266" s="4" t="n">
        <v>1</v>
      </c>
      <c r="Q266" s="4" t="n">
        <v>386.8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소로각지</t>
        </is>
      </c>
    </row>
    <row r="267">
      <c r="A267" s="3" t="inlineStr">
        <is>
          <t>고운동 1343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386</v>
      </c>
      <c r="H267" s="4" t="n">
        <v>117</v>
      </c>
      <c r="I267" s="5" t="n">
        <v>683.8</v>
      </c>
      <c r="J267" s="5" t="n">
        <v>349.4</v>
      </c>
      <c r="K267" s="3" t="inlineStr">
        <is>
          <t>코너가지로 상가 학교 이용하기 편리한 위치</t>
        </is>
      </c>
      <c r="L267" s="6">
        <f>HYPERLINK("https://fin.land.naver.com/articles/2651804547", "매물Link")</f>
        <v/>
      </c>
      <c r="M267" s="6">
        <f>HYPERLINK("https://map.naver.com/p/search/고운동 1343", "지도Link")</f>
        <v/>
      </c>
      <c r="N267" s="6">
        <f>HYPERLINK("http://www.eum.go.kr/web/ar/lu/luLandDet.jsp?pnu=3611011200113430000&amp;isNoScr=script&amp;mode=search", "토지이음")</f>
        <v/>
      </c>
      <c r="O267" s="3" t="inlineStr">
        <is>
          <t>고운동리치세종</t>
        </is>
      </c>
      <c r="P267" s="4" t="n">
        <v>1</v>
      </c>
      <c r="Q267" s="4" t="n">
        <v>386.8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사다리형</t>
        </is>
      </c>
      <c r="V267" s="3" t="inlineStr">
        <is>
          <t>소로각지</t>
        </is>
      </c>
    </row>
    <row r="268">
      <c r="A268" s="3" t="inlineStr">
        <is>
          <t>고운동 1344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64000</v>
      </c>
      <c r="G268" s="4" t="n">
        <v>348</v>
      </c>
      <c r="H268" s="4" t="n">
        <v>105</v>
      </c>
      <c r="I268" s="5" t="n">
        <v>609.5</v>
      </c>
      <c r="J268" s="5" t="n">
        <v>332.9</v>
      </c>
      <c r="K268" s="3" t="inlineStr">
        <is>
          <t>총 105.7p, 정남향, 상가인근 토지</t>
        </is>
      </c>
      <c r="L268" s="6">
        <f>HYPERLINK("https://fin.land.naver.com/articles/2653682023", "매물Link")</f>
        <v/>
      </c>
      <c r="M268" s="6">
        <f>HYPERLINK("https://map.naver.com/p/search/고운동 1344", "지도Link")</f>
        <v/>
      </c>
      <c r="N268" s="6">
        <f>HYPERLINK("http://www.eum.go.kr/web/ar/lu/luLandDet.jsp?pnu=3611011200113440000&amp;isNoScr=script&amp;mode=search",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348.8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소로한면</t>
        </is>
      </c>
    </row>
    <row r="269">
      <c r="A269" s="3" t="inlineStr">
        <is>
          <t>고운동 1344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63000</v>
      </c>
      <c r="G269" s="4" t="n">
        <v>348</v>
      </c>
      <c r="H269" s="4" t="n">
        <v>105</v>
      </c>
      <c r="I269" s="5" t="n">
        <v>600</v>
      </c>
      <c r="J269" s="5" t="n">
        <v>332.9</v>
      </c>
      <c r="K269" s="3" t="inlineStr">
        <is>
          <t>주택에 정원 설계가 용이한 토지 모양, 편의시설 가까워 생활편리</t>
        </is>
      </c>
      <c r="L269" s="6">
        <f>HYPERLINK("https://fin.land.naver.com/articles/2649699764", "매물Link")</f>
        <v/>
      </c>
      <c r="M269" s="6">
        <f>HYPERLINK("https://map.naver.com/p/search/고운동 1344", "지도Link")</f>
        <v/>
      </c>
      <c r="N269" s="6">
        <f>HYPERLINK("http://www.eum.go.kr/web/ar/lu/luLandDet.jsp?pnu=3611011200113440000&amp;isNoScr=script&amp;mode=search", "토지이음")</f>
        <v/>
      </c>
      <c r="O269" s="3" t="inlineStr">
        <is>
          <t>온뜰</t>
        </is>
      </c>
      <c r="P269" s="4" t="n">
        <v>1</v>
      </c>
      <c r="Q269" s="4" t="n">
        <v>348.8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소로한면</t>
        </is>
      </c>
    </row>
    <row r="270">
      <c r="A270" s="3" t="inlineStr">
        <is>
          <t>고운동 1433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65000</v>
      </c>
      <c r="G270" s="4" t="n">
        <v>334</v>
      </c>
      <c r="H270" s="4" t="n">
        <v>101</v>
      </c>
      <c r="I270" s="5" t="n">
        <v>643.6</v>
      </c>
      <c r="J270" s="5" t="n">
        <v>334.9</v>
      </c>
      <c r="K270" s="3" t="inlineStr">
        <is>
          <t>nan</t>
        </is>
      </c>
      <c r="L270" s="6">
        <f>HYPERLINK("https://fin.land.naver.com/articles/2649619098", "매물Link")</f>
        <v/>
      </c>
      <c r="M270" s="6">
        <f>HYPERLINK("https://map.naver.com/p/search/고운동 1433", "지도Link")</f>
        <v/>
      </c>
      <c r="N270" s="6">
        <f>HYPERLINK("http://www.eum.go.kr/web/ar/lu/luLandDet.jsp?pnu=3611011200114330000&amp;isNoScr=script&amp;mode=search",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334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1462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358</v>
      </c>
      <c r="H271" s="4" t="n">
        <v>108</v>
      </c>
      <c r="I271" s="5" t="n">
        <v>555.6</v>
      </c>
      <c r="J271" s="5" t="n">
        <v>334.9</v>
      </c>
      <c r="K271" s="3" t="inlineStr">
        <is>
          <t>조율가능 넓은평수 지대높음</t>
        </is>
      </c>
      <c r="L271" s="6">
        <f>HYPERLINK("https://fin.land.naver.com/articles/2654633170", "매물Link")</f>
        <v/>
      </c>
      <c r="M271" s="6">
        <f>HYPERLINK("https://map.naver.com/p/search/고운동 1462", "지도Link")</f>
        <v/>
      </c>
      <c r="N271" s="6">
        <f>HYPERLINK("http://www.eum.go.kr/web/ar/lu/luLandDet.jsp?pnu=3611011200114620000&amp;isNoScr=script&amp;mode=search", "토지이음")</f>
        <v/>
      </c>
      <c r="O271" s="3" t="inlineStr">
        <is>
          <t>세종스타</t>
        </is>
      </c>
      <c r="P271" s="4" t="n">
        <v>2</v>
      </c>
      <c r="Q271" s="4" t="n">
        <v>358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1463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69000</v>
      </c>
      <c r="G272" s="4" t="n">
        <v>356</v>
      </c>
      <c r="H272" s="4" t="n">
        <v>108</v>
      </c>
      <c r="I272" s="5" t="n">
        <v>638.9</v>
      </c>
      <c r="J272" s="5" t="n">
        <v>334.9</v>
      </c>
      <c r="K272" s="3" t="inlineStr">
        <is>
          <t>고운동 단독주택지 저렴한 매물</t>
        </is>
      </c>
      <c r="L272" s="6">
        <f>HYPERLINK("https://fin.land.naver.com/articles/2654240406", "매물Link")</f>
        <v/>
      </c>
      <c r="M272" s="6">
        <f>HYPERLINK("https://map.naver.com/p/search/고운동 1463", "지도Link")</f>
        <v/>
      </c>
      <c r="N272" s="6">
        <f>HYPERLINK("http://www.eum.go.kr/web/ar/lu/luLandDet.jsp?pnu=3611011200114630000&amp;isNoScr=script&amp;mode=search",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356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1464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357</v>
      </c>
      <c r="H273" s="4" t="n">
        <v>108</v>
      </c>
      <c r="I273" s="5" t="n">
        <v>555.6</v>
      </c>
      <c r="J273" s="5" t="n">
        <v>334.9</v>
      </c>
      <c r="K273" s="3" t="inlineStr">
        <is>
          <t>급매 우측시유지 넓은접함 조율가능</t>
        </is>
      </c>
      <c r="L273" s="6">
        <f>HYPERLINK("https://fin.land.naver.com/articles/2651088249", "매물Link")</f>
        <v/>
      </c>
      <c r="M273" s="6">
        <f>HYPERLINK("https://map.naver.com/p/search/고운동 1464", "지도Link")</f>
        <v/>
      </c>
      <c r="N273" s="6">
        <f>HYPERLINK("http://www.eum.go.kr/web/ar/lu/luLandDet.jsp?pnu=3611011200114640000&amp;isNoScr=script&amp;mode=search",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1464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61000</v>
      </c>
      <c r="G274" s="4" t="n">
        <v>357</v>
      </c>
      <c r="H274" s="4" t="n">
        <v>108</v>
      </c>
      <c r="I274" s="5" t="n">
        <v>564.8</v>
      </c>
      <c r="J274" s="5" t="n">
        <v>334.9</v>
      </c>
      <c r="K274" s="3" t="inlineStr">
        <is>
          <t>향후 투자수익 목적등 모두를 이룰 세종시 길가 주택입니다</t>
        </is>
      </c>
      <c r="L274" s="6">
        <f>HYPERLINK("https://fin.land.naver.com/articles/2653370340", "매물Link")</f>
        <v/>
      </c>
      <c r="M274" s="6">
        <f>HYPERLINK("https://map.naver.com/p/search/고운동 1464", "지도Link")</f>
        <v/>
      </c>
      <c r="N274" s="6">
        <f>HYPERLINK("http://www.eum.go.kr/web/ar/lu/luLandDet.jsp?pnu=3611011200114640000&amp;isNoScr=script&amp;mode=search", "토지이음")</f>
        <v/>
      </c>
      <c r="O274" s="3" t="inlineStr">
        <is>
          <t>럭키</t>
        </is>
      </c>
      <c r="P274" s="4" t="n">
        <v>1</v>
      </c>
      <c r="Q274" s="4" t="n">
        <v>357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1491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325</v>
      </c>
      <c r="H275" s="4" t="n">
        <v>98</v>
      </c>
      <c r="I275" s="5" t="n">
        <v>612.2</v>
      </c>
      <c r="J275" s="5" t="n">
        <v>351.4</v>
      </c>
      <c r="K275" s="3" t="inlineStr">
        <is>
          <t>코너각지로 상가와복컴,학교가까운 위치좋은택지</t>
        </is>
      </c>
      <c r="L275" s="6">
        <f>HYPERLINK("https://fin.land.naver.com/articles/2655112325", "매물Link")</f>
        <v/>
      </c>
      <c r="M275" s="6">
        <f>HYPERLINK("https://map.naver.com/p/search/고운동 1491", "지도Link")</f>
        <v/>
      </c>
      <c r="N275" s="6">
        <f>HYPERLINK("http://www.eum.go.kr/web/ar/lu/luLandDet.jsp?pnu=3611011200114910000&amp;isNoScr=script&amp;mode=search", "토지이음")</f>
        <v/>
      </c>
      <c r="O275" s="3" t="inlineStr">
        <is>
          <t>세종황소</t>
        </is>
      </c>
      <c r="P275" s="4" t="n">
        <v>1</v>
      </c>
      <c r="Q275" s="4" t="n">
        <v>325.6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1524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112000</v>
      </c>
      <c r="G276" s="4" t="n">
        <v>409</v>
      </c>
      <c r="H276" s="4" t="n">
        <v>124</v>
      </c>
      <c r="I276" s="5" t="n">
        <v>903.2</v>
      </c>
      <c r="J276" s="5" t="n">
        <v>787.1</v>
      </c>
      <c r="K276" s="3" t="inlineStr">
        <is>
          <t>귀한 근생용지o완전급매o</t>
        </is>
      </c>
      <c r="L276" s="6">
        <f>HYPERLINK("https://fin.land.naver.com/articles/2653032547", "매물Link")</f>
        <v/>
      </c>
      <c r="M276" s="6">
        <f>HYPERLINK("https://map.naver.com/p/search/고운동 1524", "지도Link")</f>
        <v/>
      </c>
      <c r="N276" s="6">
        <f>HYPERLINK("http://www.eum.go.kr/web/ar/lu/luLandDet.jsp?pnu=3611011200115240000&amp;isNoScr=script&amp;mode=search", "토지이음")</f>
        <v/>
      </c>
      <c r="O276" s="3" t="inlineStr">
        <is>
          <t>가치잇는</t>
        </is>
      </c>
      <c r="P276" s="4" t="n">
        <v>3</v>
      </c>
      <c r="Q276" s="4" t="n">
        <v>409.3</v>
      </c>
      <c r="R276" s="3" t="inlineStr">
        <is>
          <t>지정되지않음</t>
        </is>
      </c>
      <c r="S276" s="3" t="inlineStr">
        <is>
          <t>상업용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중로한면</t>
        </is>
      </c>
    </row>
    <row r="277">
      <c r="A277" s="3" t="inlineStr">
        <is>
          <t>고운동 1531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99000</v>
      </c>
      <c r="G277" s="4" t="n">
        <v>361</v>
      </c>
      <c r="H277" s="4" t="n">
        <v>109</v>
      </c>
      <c r="I277" s="5" t="n">
        <v>908.3</v>
      </c>
      <c r="J277" s="5" t="n">
        <v>771.9</v>
      </c>
      <c r="K277" s="3" t="inlineStr">
        <is>
          <t>I 급매 I 먹자골목 메인 대로변 파격 급매 근생용지, 직접 지어서 운영</t>
        </is>
      </c>
      <c r="L277" s="6">
        <f>HYPERLINK("https://fin.land.naver.com/articles/2654556399", "매물Link")</f>
        <v/>
      </c>
      <c r="M277" s="6">
        <f>HYPERLINK("https://map.naver.com/p/search/고운동 1531", "지도Link")</f>
        <v/>
      </c>
      <c r="N277" s="6">
        <f>HYPERLINK("http://www.eum.go.kr/web/ar/lu/luLandDet.jsp?pnu=3611011200115310000&amp;isNoScr=script&amp;mode=search", "토지이음")</f>
        <v/>
      </c>
      <c r="O277" s="3" t="inlineStr">
        <is>
          <t>세종신한</t>
        </is>
      </c>
      <c r="P277" s="4" t="n">
        <v>1</v>
      </c>
      <c r="Q277" s="4" t="n">
        <v>361.8</v>
      </c>
      <c r="R277" s="3" t="inlineStr">
        <is>
          <t>지정되지않음</t>
        </is>
      </c>
      <c r="S277" s="3" t="inlineStr">
        <is>
          <t>상업나지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중로한면</t>
        </is>
      </c>
    </row>
    <row r="278">
      <c r="A278" s="3" t="inlineStr">
        <is>
          <t>고운동 1531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110000</v>
      </c>
      <c r="G278" s="4" t="n">
        <v>361</v>
      </c>
      <c r="H278" s="4" t="n">
        <v>109</v>
      </c>
      <c r="I278" s="5" t="n">
        <v>1009.2</v>
      </c>
      <c r="J278" s="5" t="n">
        <v>771.9</v>
      </c>
      <c r="K278" s="3" t="inlineStr">
        <is>
          <t>대로변 근생부지 매매</t>
        </is>
      </c>
      <c r="L278" s="6">
        <f>HYPERLINK("https://fin.land.naver.com/articles/2651891397", "매물Link")</f>
        <v/>
      </c>
      <c r="M278" s="6">
        <f>HYPERLINK("https://map.naver.com/p/search/고운동 1531", "지도Link")</f>
        <v/>
      </c>
      <c r="N278" s="6">
        <f>HYPERLINK("http://www.eum.go.kr/web/ar/lu/luLandDet.jsp?pnu=3611011200115310000&amp;isNoScr=script&amp;mode=search", "토지이음")</f>
        <v/>
      </c>
      <c r="O278" s="3" t="inlineStr">
        <is>
          <t>창고의여왕</t>
        </is>
      </c>
      <c r="P278" s="4" t="n">
        <v>1</v>
      </c>
      <c r="Q278" s="4" t="n">
        <v>361.8</v>
      </c>
      <c r="R278" s="3" t="inlineStr">
        <is>
          <t>지정되지않음</t>
        </is>
      </c>
      <c r="S278" s="3" t="inlineStr">
        <is>
          <t>상업나지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중로한면</t>
        </is>
      </c>
    </row>
    <row r="279">
      <c r="A279" s="3" t="inlineStr">
        <is>
          <t>고운동 1539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377</v>
      </c>
      <c r="H279" s="4" t="n">
        <v>114</v>
      </c>
      <c r="I279" s="5" t="n">
        <v>438.6</v>
      </c>
      <c r="J279" s="5" t="n">
        <v>340.2</v>
      </c>
      <c r="K279" s="3" t="inlineStr">
        <is>
          <t>급매 추가조율협의됨 넓은필지</t>
        </is>
      </c>
      <c r="L279" s="6">
        <f>HYPERLINK("https://fin.land.naver.com/articles/2651115388", "매물Link")</f>
        <v/>
      </c>
      <c r="M279" s="6">
        <f>HYPERLINK("https://map.naver.com/p/search/고운동 1539", "지도Link")</f>
        <v/>
      </c>
      <c r="N279" s="6">
        <f>HYPERLINK("http://www.eum.go.kr/web/ar/lu/luLandDet.jsp?pnu=3611011200115390000&amp;isNoScr=script&amp;mode=search",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377.1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소로각지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395</v>
      </c>
      <c r="H280" s="4" t="n">
        <v>119</v>
      </c>
      <c r="I280" s="5" t="n">
        <v>420.2</v>
      </c>
      <c r="J280" s="5" t="n">
        <v>324.2</v>
      </c>
      <c r="K280" s="3" t="inlineStr">
        <is>
          <t>총 119.9p, 상가인근토지, 삼거리 위치</t>
        </is>
      </c>
      <c r="L280" s="6">
        <f>HYPERLINK("https://fin.land.naver.com/articles/2652843053",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395.6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소로한면</t>
        </is>
      </c>
    </row>
    <row r="281">
      <c r="A281" s="3" t="inlineStr">
        <is>
          <t>고운동 1551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395</v>
      </c>
      <c r="H281" s="4" t="n">
        <v>119</v>
      </c>
      <c r="I281" s="5" t="n">
        <v>420.2</v>
      </c>
      <c r="J281" s="5" t="n">
        <v>324.2</v>
      </c>
      <c r="K281" s="3" t="inlineStr">
        <is>
          <t>급매,복합커뮤니티센터,중심상권,학군도보가능 생활권 편리</t>
        </is>
      </c>
      <c r="L281" s="6">
        <f>HYPERLINK("https://fin.land.naver.com/articles/2650851019", "매물Link")</f>
        <v/>
      </c>
      <c r="M281" s="6">
        <f>HYPERLINK("https://map.naver.com/p/search/고운동 1551", "지도Link")</f>
        <v/>
      </c>
      <c r="N281" s="6">
        <f>HYPERLINK("http://www.eum.go.kr/web/ar/lu/luLandDet.jsp?pnu=3611011200115510000&amp;isNoScr=script&amp;mode=search", "토지이음")</f>
        <v/>
      </c>
      <c r="O281" s="3" t="inlineStr">
        <is>
          <t>고운맘</t>
        </is>
      </c>
      <c r="P281" s="4" t="n">
        <v>1</v>
      </c>
      <c r="Q281" s="4" t="n">
        <v>395.6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소로한면</t>
        </is>
      </c>
    </row>
    <row r="282">
      <c r="A282" s="3" t="inlineStr">
        <is>
          <t>고운동 1551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50000</v>
      </c>
      <c r="G282" s="4" t="n">
        <v>395</v>
      </c>
      <c r="H282" s="4" t="n">
        <v>119</v>
      </c>
      <c r="I282" s="5" t="n">
        <v>420.2</v>
      </c>
      <c r="J282" s="5" t="n">
        <v>324.2</v>
      </c>
      <c r="K282" s="3" t="inlineStr">
        <is>
          <t>nan</t>
        </is>
      </c>
      <c r="L282" s="6">
        <f>HYPERLINK("https://fin.land.naver.com/articles/2654928258", "매물Link")</f>
        <v/>
      </c>
      <c r="M282" s="6">
        <f>HYPERLINK("https://map.naver.com/p/search/고운동 1551", "지도Link")</f>
        <v/>
      </c>
      <c r="N282" s="6">
        <f>HYPERLINK("http://www.eum.go.kr/web/ar/lu/luLandDet.jsp?pnu=3611011200115510000&amp;isNoScr=script&amp;mode=search",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395.6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가로장방</t>
        </is>
      </c>
      <c r="V282" s="3" t="inlineStr">
        <is>
          <t>소로한면</t>
        </is>
      </c>
    </row>
    <row r="283">
      <c r="A283" s="3" t="inlineStr">
        <is>
          <t>고운동 1551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395</v>
      </c>
      <c r="H283" s="4" t="n">
        <v>119</v>
      </c>
      <c r="I283" s="5" t="n">
        <v>420.2</v>
      </c>
      <c r="J283" s="5" t="n">
        <v>324.2</v>
      </c>
      <c r="K283" s="3" t="inlineStr">
        <is>
          <t>nan</t>
        </is>
      </c>
      <c r="L283" s="6">
        <f>HYPERLINK("https://fin.land.naver.com/articles/2655005416", "매물Link")</f>
        <v/>
      </c>
      <c r="M283" s="6">
        <f>HYPERLINK("https://map.naver.com/p/search/고운동 1551", "지도Link")</f>
        <v/>
      </c>
      <c r="N283" s="6">
        <f>HYPERLINK("http://www.eum.go.kr/web/ar/lu/luLandDet.jsp?pnu=3611011200115510000&amp;isNoScr=script&amp;mode=search", "토지이음")</f>
        <v/>
      </c>
      <c r="O283" s="3" t="inlineStr">
        <is>
          <t>세종스타</t>
        </is>
      </c>
      <c r="P283" s="4" t="n">
        <v>2</v>
      </c>
      <c r="Q283" s="4" t="n">
        <v>395.6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소로한면</t>
        </is>
      </c>
    </row>
    <row r="284">
      <c r="A284" s="3" t="inlineStr">
        <is>
          <t>고운동 1551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50000</v>
      </c>
      <c r="G284" s="4" t="n">
        <v>395</v>
      </c>
      <c r="H284" s="4" t="n">
        <v>119</v>
      </c>
      <c r="I284" s="5" t="n">
        <v>420.2</v>
      </c>
      <c r="J284" s="5" t="n">
        <v>324.2</v>
      </c>
      <c r="K284" s="3" t="inlineStr">
        <is>
          <t>nan</t>
        </is>
      </c>
      <c r="L284" s="6">
        <f>HYPERLINK("https://fin.land.naver.com/articles/2651035209", "매물Link")</f>
        <v/>
      </c>
      <c r="M284" s="6">
        <f>HYPERLINK("https://map.naver.com/p/search/고운동 1551", "지도Link")</f>
        <v/>
      </c>
      <c r="N284" s="6">
        <f>HYPERLINK("http://www.eum.go.kr/web/ar/lu/luLandDet.jsp?pnu=3611011200115510000&amp;isNoScr=script&amp;mode=search", "토지이음")</f>
        <v/>
      </c>
      <c r="O284" s="3" t="inlineStr">
        <is>
          <t>디아트성심</t>
        </is>
      </c>
      <c r="P284" s="4" t="n">
        <v>1</v>
      </c>
      <c r="Q284" s="4" t="n">
        <v>395.6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소로한면</t>
        </is>
      </c>
    </row>
    <row r="285">
      <c r="A285" s="3" t="inlineStr">
        <is>
          <t>고운동 1556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340</v>
      </c>
      <c r="H285" s="4" t="n">
        <v>103</v>
      </c>
      <c r="I285" s="5" t="n">
        <v>534</v>
      </c>
      <c r="J285" s="5" t="n">
        <v>322.6</v>
      </c>
      <c r="K285" s="3" t="inlineStr">
        <is>
          <t>급매.상권가까운 저렴한 택지.</t>
        </is>
      </c>
      <c r="L285" s="6">
        <f>HYPERLINK("https://fin.land.naver.com/articles/2654578032", "매물Link")</f>
        <v/>
      </c>
      <c r="M285" s="6">
        <f>HYPERLINK("https://map.naver.com/p/search/고운동 1556", "지도Link")</f>
        <v/>
      </c>
      <c r="N285" s="6">
        <f>HYPERLINK("http://www.eum.go.kr/web/ar/lu/luLandDet.jsp?pnu=3611011200115560000&amp;isNoScr=script&amp;mode=search", "토지이음")</f>
        <v/>
      </c>
      <c r="O285" s="3" t="inlineStr">
        <is>
          <t>킹</t>
        </is>
      </c>
      <c r="P285" s="4" t="n">
        <v>1</v>
      </c>
      <c r="Q285" s="4" t="n">
        <v>340.8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가로장방</t>
        </is>
      </c>
      <c r="V285" s="3" t="inlineStr">
        <is>
          <t>중로한면</t>
        </is>
      </c>
    </row>
    <row r="286">
      <c r="A286" s="3" t="inlineStr">
        <is>
          <t>고운동 1560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342</v>
      </c>
      <c r="H286" s="4" t="n">
        <v>103</v>
      </c>
      <c r="I286" s="5" t="n">
        <v>631.1</v>
      </c>
      <c r="J286" s="5" t="n">
        <v>335.2</v>
      </c>
      <c r="K286" s="3" t="inlineStr">
        <is>
          <t>코너각지 상권인접 위치최상</t>
        </is>
      </c>
      <c r="L286" s="6">
        <f>HYPERLINK("https://fin.land.naver.com/articles/2654856491", "매물Link")</f>
        <v/>
      </c>
      <c r="M286" s="6">
        <f>HYPERLINK("https://map.naver.com/p/search/고운동 1560", "지도Link")</f>
        <v/>
      </c>
      <c r="N286" s="6">
        <f>HYPERLINK("http://www.eum.go.kr/web/ar/lu/luLandDet.jsp?pnu=3611011200115600000&amp;isNoScr=script&amp;mode=search", "토지이음")</f>
        <v/>
      </c>
      <c r="O286" s="3" t="inlineStr">
        <is>
          <t>세종스타</t>
        </is>
      </c>
      <c r="P286" s="4" t="n">
        <v>2</v>
      </c>
      <c r="Q286" s="4" t="n">
        <v>342.9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1568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356</v>
      </c>
      <c r="H287" s="4" t="n">
        <v>108</v>
      </c>
      <c r="I287" s="5" t="n">
        <v>509.3</v>
      </c>
      <c r="J287" s="5" t="n">
        <v>324.2</v>
      </c>
      <c r="K287" s="3" t="inlineStr">
        <is>
          <t>108.1p, 급매, 고운동 위치좋은 토지매매</t>
        </is>
      </c>
      <c r="L287" s="6">
        <f>HYPERLINK("https://fin.land.naver.com/articles/2651940835", "매물Link")</f>
        <v/>
      </c>
      <c r="M287" s="6">
        <f>HYPERLINK("https://map.naver.com/p/search/고운동 1568", "지도Link")</f>
        <v/>
      </c>
      <c r="N287" s="6">
        <f>HYPERLINK("http://www.eum.go.kr/web/ar/lu/luLandDet.jsp?pnu=3611011200115680000&amp;isNoScr=script&amp;mode=search",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356.8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1568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356</v>
      </c>
      <c r="H288" s="4" t="n">
        <v>108</v>
      </c>
      <c r="I288" s="5" t="n">
        <v>509.3</v>
      </c>
      <c r="J288" s="5" t="n">
        <v>324.2</v>
      </c>
      <c r="K288" s="3" t="inlineStr">
        <is>
          <t>급매, 위치좋은 토지매매, 108.1p</t>
        </is>
      </c>
      <c r="L288" s="6">
        <f>HYPERLINK("https://fin.land.naver.com/articles/2652838759", "매물Link")</f>
        <v/>
      </c>
      <c r="M288" s="6">
        <f>HYPERLINK("https://map.naver.com/p/search/고운동 1568", "지도Link")</f>
        <v/>
      </c>
      <c r="N288" s="6">
        <f>HYPERLINK("http://www.eum.go.kr/web/ar/lu/luLandDet.jsp?pnu=3611011200115680000&amp;isNoScr=script&amp;mode=search",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356.8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1578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362</v>
      </c>
      <c r="H289" s="4" t="n">
        <v>110</v>
      </c>
      <c r="I289" s="5" t="n">
        <v>727.3</v>
      </c>
      <c r="J289" s="5" t="n">
        <v>340.2</v>
      </c>
      <c r="K289" s="3" t="inlineStr">
        <is>
          <t>조율가능 실개천 남향 코너각지</t>
        </is>
      </c>
      <c r="L289" s="6">
        <f>HYPERLINK("https://fin.land.naver.com/articles/2652418802", "매물Link")</f>
        <v/>
      </c>
      <c r="M289" s="6">
        <f>HYPERLINK("https://map.naver.com/p/search/고운동 1578", "지도Link")</f>
        <v/>
      </c>
      <c r="N289" s="6">
        <f>HYPERLINK("http://www.eum.go.kr/web/ar/lu/luLandDet.jsp?pnu=3611011200115780000&amp;isNoScr=script&amp;mode=search",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362.1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1595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49000</v>
      </c>
      <c r="G290" s="4" t="n">
        <v>393</v>
      </c>
      <c r="H290" s="4" t="n">
        <v>119</v>
      </c>
      <c r="I290" s="5" t="n">
        <v>411.8</v>
      </c>
      <c r="J290" s="5" t="n">
        <v>330.3</v>
      </c>
      <c r="K290" s="3" t="inlineStr">
        <is>
          <t>급매,학교앞 위치좋은곳,대지면적넓음</t>
        </is>
      </c>
      <c r="L290" s="6">
        <f>HYPERLINK("https://fin.land.naver.com/articles/2655111601", "매물Link")</f>
        <v/>
      </c>
      <c r="M290" s="6">
        <f>HYPERLINK("https://map.naver.com/p/search/고운동 1595", "지도Link")</f>
        <v/>
      </c>
      <c r="N290" s="6">
        <f>HYPERLINK("http://www.eum.go.kr/web/ar/lu/luLandDet.jsp?pnu=3611011200115950000&amp;isNoScr=script&amp;mode=search", "토지이음")</f>
        <v/>
      </c>
      <c r="O290" s="3" t="inlineStr">
        <is>
          <t>세종황소</t>
        </is>
      </c>
      <c r="P290" s="4" t="n">
        <v>2</v>
      </c>
      <c r="Q290" s="4" t="n">
        <v>393.6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부정형</t>
        </is>
      </c>
      <c r="V290" s="3" t="inlineStr">
        <is>
          <t>소로각지</t>
        </is>
      </c>
    </row>
    <row r="291">
      <c r="A291" s="3" t="inlineStr">
        <is>
          <t>고운동 1598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58000</v>
      </c>
      <c r="G291" s="4" t="n">
        <v>340</v>
      </c>
      <c r="H291" s="4" t="n">
        <v>103</v>
      </c>
      <c r="I291" s="5" t="n">
        <v>563.1</v>
      </c>
      <c r="J291" s="5" t="n">
        <v>366</v>
      </c>
      <c r="K291" s="3" t="inlineStr">
        <is>
          <t>남향,코너,완충녹지,보행로 접, 초교,고교,상권,공원 근접합니다.</t>
        </is>
      </c>
      <c r="L291" s="6">
        <f>HYPERLINK("https://fin.land.naver.com/articles/2651035408", "매물Link")</f>
        <v/>
      </c>
      <c r="M291" s="6">
        <f>HYPERLINK("https://map.naver.com/p/search/고운동 1598", "지도Link")</f>
        <v/>
      </c>
      <c r="N291" s="6">
        <f>HYPERLINK("http://www.eum.go.kr/web/ar/lu/luLandDet.jsp?pnu=3611011200115980000&amp;isNoScr=script&amp;mode=search", "토지이음")</f>
        <v/>
      </c>
      <c r="O291" s="3" t="inlineStr">
        <is>
          <t>디아트성심</t>
        </is>
      </c>
      <c r="P291" s="4" t="n">
        <v>1</v>
      </c>
      <c r="Q291" s="4" t="n">
        <v>340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가로장방</t>
        </is>
      </c>
      <c r="V291" s="3" t="inlineStr">
        <is>
          <t>중로각지</t>
        </is>
      </c>
    </row>
    <row r="292">
      <c r="A292" s="3" t="inlineStr">
        <is>
          <t>고운동 1598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58000</v>
      </c>
      <c r="G292" s="4" t="n">
        <v>340</v>
      </c>
      <c r="H292" s="4" t="n">
        <v>103</v>
      </c>
      <c r="I292" s="5" t="n">
        <v>563.1</v>
      </c>
      <c r="J292" s="5" t="n">
        <v>366</v>
      </c>
      <c r="K292" s="3" t="inlineStr">
        <is>
          <t>급매 3면코너각지 산조망 위치최상 조율가능</t>
        </is>
      </c>
      <c r="L292" s="6">
        <f>HYPERLINK("https://fin.land.naver.com/articles/2654849789", "매물Link")</f>
        <v/>
      </c>
      <c r="M292" s="6">
        <f>HYPERLINK("https://map.naver.com/p/search/고운동 1598", "지도Link")</f>
        <v/>
      </c>
      <c r="N292" s="6">
        <f>HYPERLINK("http://www.eum.go.kr/web/ar/lu/luLandDet.jsp?pnu=3611011200115980000&amp;isNoScr=script&amp;mode=search",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가로장방</t>
        </is>
      </c>
      <c r="V292" s="3" t="inlineStr">
        <is>
          <t>중로각지</t>
        </is>
      </c>
    </row>
    <row r="293">
      <c r="A293" s="3" t="inlineStr">
        <is>
          <t>고운동 1629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51000</v>
      </c>
      <c r="G293" s="4" t="n">
        <v>347</v>
      </c>
      <c r="H293" s="4" t="n">
        <v>105</v>
      </c>
      <c r="I293" s="5" t="n">
        <v>485.7</v>
      </c>
      <c r="J293" s="5" t="n">
        <v>336.2</v>
      </c>
      <c r="K293" s="3" t="inlineStr">
        <is>
          <t>전원주택을 지을수있는 위치좋은 대지</t>
        </is>
      </c>
      <c r="L293" s="6">
        <f>HYPERLINK("https://fin.land.naver.com/articles/2649719558", "매물Link")</f>
        <v/>
      </c>
      <c r="M293" s="6">
        <f>HYPERLINK("https://map.naver.com/p/search/고운동 1629", "지도Link")</f>
        <v/>
      </c>
      <c r="N293" s="6">
        <f>HYPERLINK("http://www.eum.go.kr/web/ar/lu/luLandDet.jsp?pnu=3611011200116290000&amp;isNoScr=script&amp;mode=search", "토지이음")</f>
        <v/>
      </c>
      <c r="O293" s="3" t="inlineStr">
        <is>
          <t>대한</t>
        </is>
      </c>
      <c r="P293" s="4" t="n">
        <v>1</v>
      </c>
      <c r="Q293" s="4" t="n">
        <v>347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1642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172000</v>
      </c>
      <c r="G294" s="4" t="n">
        <v>391</v>
      </c>
      <c r="H294" s="4" t="n">
        <v>118</v>
      </c>
      <c r="I294" s="5" t="n">
        <v>1457.6</v>
      </c>
      <c r="J294" s="5" t="n">
        <v>802.6</v>
      </c>
      <c r="K294" s="3" t="inlineStr">
        <is>
          <t>근생토지, 맛집 라인에 위치한 입지 좋은 토지</t>
        </is>
      </c>
      <c r="L294" s="6">
        <f>HYPERLINK("https://fin.land.naver.com/articles/2650427880", "매물Link")</f>
        <v/>
      </c>
      <c r="M294" s="6">
        <f>HYPERLINK("https://map.naver.com/p/search/고운동 1642", "지도Link")</f>
        <v/>
      </c>
      <c r="N294" s="6">
        <f>HYPERLINK("http://www.eum.go.kr/web/ar/lu/luLandDet.jsp?pnu=3611011200116420000&amp;isNoScr=script&amp;mode=search", "토지이음")</f>
        <v/>
      </c>
      <c r="O294" s="3" t="inlineStr">
        <is>
          <t>세종무지개</t>
        </is>
      </c>
      <c r="P294" s="4" t="n">
        <v>1</v>
      </c>
      <c r="Q294" s="4" t="n">
        <v>391.3</v>
      </c>
      <c r="R294" s="3" t="inlineStr">
        <is>
          <t>지정되지않음</t>
        </is>
      </c>
      <c r="S294" s="3" t="inlineStr">
        <is>
          <t>상업용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중로각지</t>
        </is>
      </c>
    </row>
    <row r="295">
      <c r="A295" s="3" t="inlineStr">
        <is>
          <t>고운동 1664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348</v>
      </c>
      <c r="H295" s="4" t="n">
        <v>105</v>
      </c>
      <c r="I295" s="5" t="n">
        <v>571.4</v>
      </c>
      <c r="J295" s="5" t="n">
        <v>312.7</v>
      </c>
      <c r="K295" s="3" t="inlineStr">
        <is>
          <t>총 105.5p, 공원 앞, 위치좋은 토지</t>
        </is>
      </c>
      <c r="L295" s="6">
        <f>HYPERLINK("https://fin.land.naver.com/articles/2652842395", "매물Link")</f>
        <v/>
      </c>
      <c r="M295" s="6">
        <f>HYPERLINK("https://map.naver.com/p/search/고운동 1664", "지도Link")</f>
        <v/>
      </c>
      <c r="N295" s="6">
        <f>HYPERLINK("http://www.eum.go.kr/web/ar/lu/luLandDet.jsp?pnu=3611011200116640000&amp;isNoScr=script&amp;mode=search", "토지이음")</f>
        <v/>
      </c>
      <c r="O295" s="3" t="inlineStr">
        <is>
          <t>세종무지개</t>
        </is>
      </c>
      <c r="P295" s="4" t="n">
        <v>1</v>
      </c>
      <c r="Q295" s="4" t="n">
        <v>348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소로각지</t>
        </is>
      </c>
    </row>
    <row r="296">
      <c r="A296" s="3" t="inlineStr">
        <is>
          <t>고운동 1664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60000</v>
      </c>
      <c r="G296" s="4" t="n">
        <v>348</v>
      </c>
      <c r="H296" s="4" t="n">
        <v>105</v>
      </c>
      <c r="I296" s="5" t="n">
        <v>571.4</v>
      </c>
      <c r="J296" s="5" t="n">
        <v>312.7</v>
      </c>
      <c r="K296" s="3" t="inlineStr">
        <is>
          <t>급매 추가조율가능 지대높음 실개천인근 초중고도보5분</t>
        </is>
      </c>
      <c r="L296" s="6">
        <f>HYPERLINK("https://fin.land.naver.com/articles/2654633154", "매물Link")</f>
        <v/>
      </c>
      <c r="M296" s="6">
        <f>HYPERLINK("https://map.naver.com/p/search/고운동 1664", "지도Link")</f>
        <v/>
      </c>
      <c r="N296" s="6">
        <f>HYPERLINK("http://www.eum.go.kr/web/ar/lu/luLandDet.jsp?pnu=3611011200116640000&amp;isNoScr=script&amp;mode=search",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348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소로각지</t>
        </is>
      </c>
    </row>
    <row r="297">
      <c r="A297" s="3" t="inlineStr">
        <is>
          <t>고운동 1664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348</v>
      </c>
      <c r="H297" s="4" t="n">
        <v>105</v>
      </c>
      <c r="I297" s="5" t="n">
        <v>571.4</v>
      </c>
      <c r="J297" s="5" t="n">
        <v>312.7</v>
      </c>
      <c r="K297" s="3" t="inlineStr">
        <is>
          <t>105.5p, 공원 옆 전망 좋은 단독주택 토지 매매</t>
        </is>
      </c>
      <c r="L297" s="6">
        <f>HYPERLINK("https://fin.land.naver.com/articles/2654232136", "매물Link")</f>
        <v/>
      </c>
      <c r="M297" s="6">
        <f>HYPERLINK("https://map.naver.com/p/search/고운동 1664", "지도Link")</f>
        <v/>
      </c>
      <c r="N297" s="6">
        <f>HYPERLINK("http://www.eum.go.kr/web/ar/lu/luLandDet.jsp?pnu=3611011200116640000&amp;isNoScr=script&amp;mode=search",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348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소로각지</t>
        </is>
      </c>
    </row>
    <row r="298">
      <c r="A298" s="3" t="inlineStr">
        <is>
          <t>고운동 1682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49000</v>
      </c>
      <c r="G298" s="4" t="n">
        <v>317</v>
      </c>
      <c r="H298" s="4" t="n">
        <v>96</v>
      </c>
      <c r="I298" s="5" t="n">
        <v>510.4</v>
      </c>
      <c r="J298" s="5" t="n">
        <v>312.7</v>
      </c>
      <c r="K298" s="3" t="inlineStr">
        <is>
          <t>96.1p, 고운동 코너자리 단독주택 토지매매</t>
        </is>
      </c>
      <c r="L298" s="6">
        <f>HYPERLINK("https://fin.land.naver.com/articles/2654891477", "매물Link")</f>
        <v/>
      </c>
      <c r="M298" s="6">
        <f>HYPERLINK("https://map.naver.com/p/search/고운동 1682", "지도Link")</f>
        <v/>
      </c>
      <c r="N298" s="6">
        <f>HYPERLINK("http://www.eum.go.kr/web/ar/lu/luLandDet.jsp?pnu=3611011200116820000&amp;isNoScr=script&amp;mode=search", "토지이음")</f>
        <v/>
      </c>
      <c r="O298" s="3" t="inlineStr">
        <is>
          <t>명진</t>
        </is>
      </c>
      <c r="P298" s="4" t="n">
        <v>1</v>
      </c>
      <c r="Q298" s="4" t="n">
        <v>317.2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소로각지</t>
        </is>
      </c>
    </row>
    <row r="299">
      <c r="A299" s="3" t="inlineStr">
        <is>
          <t>고운동 1684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55000</v>
      </c>
      <c r="G299" s="4" t="n">
        <v>330</v>
      </c>
      <c r="H299" s="4" t="n">
        <v>100</v>
      </c>
      <c r="I299" s="5" t="n">
        <v>550</v>
      </c>
      <c r="J299" s="5" t="n">
        <v>299.2</v>
      </c>
      <c r="K299" s="3" t="inlineStr">
        <is>
          <t>공원인접,상가인접,초중고인접,조율가능</t>
        </is>
      </c>
      <c r="L299" s="6">
        <f>HYPERLINK("https://fin.land.naver.com/articles/2654835083", "매물Link")</f>
        <v/>
      </c>
      <c r="M299" s="6">
        <f>HYPERLINK("https://map.naver.com/p/search/고운동 1684", "지도Link")</f>
        <v/>
      </c>
      <c r="N299" s="6">
        <f>HYPERLINK("http://www.eum.go.kr/web/ar/lu/luLandDet.jsp?pnu=3611011200116840000&amp;isNoScr=script&amp;mode=search", "토지이음")</f>
        <v/>
      </c>
      <c r="O299" s="3" t="inlineStr">
        <is>
          <t>똑똑</t>
        </is>
      </c>
      <c r="P299" s="4" t="n">
        <v>1</v>
      </c>
      <c r="Q299" s="4" t="n">
        <v>330.1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1702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233000</v>
      </c>
      <c r="G300" s="4" t="n">
        <v>1544</v>
      </c>
      <c r="H300" s="4" t="n">
        <v>467</v>
      </c>
      <c r="I300" s="5" t="n">
        <v>498.9</v>
      </c>
      <c r="J300" s="5" t="n">
        <v>336.2</v>
      </c>
      <c r="K300" s="3" t="inlineStr">
        <is>
          <t>보육시설용지 유치원 어린이집 부지</t>
        </is>
      </c>
      <c r="L300" s="6">
        <f>HYPERLINK("https://fin.land.naver.com/articles/2654856650", "매물Link")</f>
        <v/>
      </c>
      <c r="M300" s="6">
        <f>HYPERLINK("https://map.naver.com/p/search/고운동 1702", "지도Link")</f>
        <v/>
      </c>
      <c r="N300" s="6">
        <f>HYPERLINK("http://www.eum.go.kr/web/ar/lu/luLandDet.jsp?pnu=3611011200117020000&amp;isNoScr=script&amp;mode=search",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1544</v>
      </c>
      <c r="R300" s="3" t="inlineStr">
        <is>
          <t>지정되지않음</t>
        </is>
      </c>
      <c r="S300" s="3" t="inlineStr">
        <is>
          <t>주거기타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중로각지</t>
        </is>
      </c>
    </row>
    <row r="301">
      <c r="A301" s="3" t="inlineStr">
        <is>
          <t>고운동 1742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345</v>
      </c>
      <c r="H301" s="4" t="n">
        <v>104</v>
      </c>
      <c r="I301" s="5" t="n">
        <v>548.1</v>
      </c>
      <c r="J301" s="5" t="n">
        <v>297.1</v>
      </c>
      <c r="K301" s="3" t="inlineStr">
        <is>
          <t>조율가능 남향 해잘드는곳 학교 상권 가까운위치</t>
        </is>
      </c>
      <c r="L301" s="6">
        <f>HYPERLINK("https://fin.land.naver.com/articles/2651087896", "매물Link")</f>
        <v/>
      </c>
      <c r="M301" s="6">
        <f>HYPERLINK("https://map.naver.com/p/search/고운동 1742", "지도Link")</f>
        <v/>
      </c>
      <c r="N301" s="6">
        <f>HYPERLINK("http://www.eum.go.kr/web/ar/lu/luLandDet.jsp?pnu=3611011200117420000&amp;isNoScr=script&amp;mode=search",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345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1760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68900</v>
      </c>
      <c r="G302" s="4" t="n">
        <v>350</v>
      </c>
      <c r="H302" s="4" t="n">
        <v>106</v>
      </c>
      <c r="I302" s="5" t="n">
        <v>650</v>
      </c>
      <c r="J302" s="5" t="n">
        <v>297.1</v>
      </c>
      <c r="K302" s="3" t="inlineStr">
        <is>
          <t>106.1p, 아파트 맞은편, 상가 인접</t>
        </is>
      </c>
      <c r="L302" s="6">
        <f>HYPERLINK("https://fin.land.naver.com/articles/2654888011", "매물Link")</f>
        <v/>
      </c>
      <c r="M302" s="6">
        <f>HYPERLINK("https://map.naver.com/p/search/고운동 1760", "지도Link")</f>
        <v/>
      </c>
      <c r="N302" s="6">
        <f>HYPERLINK("http://www.eum.go.kr/web/ar/lu/luLandDet.jsp?pnu=3611011200117600000&amp;isNoScr=script&amp;mode=search",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350.1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1761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60000</v>
      </c>
      <c r="G303" s="4" t="n">
        <v>356</v>
      </c>
      <c r="H303" s="4" t="n">
        <v>108</v>
      </c>
      <c r="I303" s="5" t="n">
        <v>555.6</v>
      </c>
      <c r="J303" s="5" t="n">
        <v>297.1</v>
      </c>
      <c r="K303" s="3" t="inlineStr">
        <is>
          <t>살기좋은 고운동 단독주택지. 하루종일 해 잘드는 위치</t>
        </is>
      </c>
      <c r="L303" s="6">
        <f>HYPERLINK("https://fin.land.naver.com/articles/2654272418", "매물Link")</f>
        <v/>
      </c>
      <c r="M303" s="6">
        <f>HYPERLINK("https://map.naver.com/p/search/고운동 1761", "지도Link")</f>
        <v/>
      </c>
      <c r="N303" s="6">
        <f>HYPERLINK("http://www.eum.go.kr/web/ar/lu/luLandDet.jsp?pnu=3611011200117610000&amp;isNoScr=script&amp;mode=search", "토지이음")</f>
        <v/>
      </c>
      <c r="O303" s="3" t="inlineStr">
        <is>
          <t>미스터홈즈강남지사</t>
        </is>
      </c>
      <c r="P303" s="4" t="n">
        <v>2</v>
      </c>
      <c r="Q303" s="4" t="n">
        <v>356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1767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57000</v>
      </c>
      <c r="G304" s="4" t="n">
        <v>334</v>
      </c>
      <c r="H304" s="4" t="n">
        <v>101</v>
      </c>
      <c r="I304" s="5" t="n">
        <v>564.4</v>
      </c>
      <c r="J304" s="5" t="n">
        <v>297.1</v>
      </c>
      <c r="K304" s="3" t="inlineStr">
        <is>
          <t>급매 조율가능 고운초중 도보3분 학원상권 복컴 도보5분</t>
        </is>
      </c>
      <c r="L304" s="6">
        <f>HYPERLINK("https://fin.land.naver.com/articles/2654855812", "매물Link")</f>
        <v/>
      </c>
      <c r="M304" s="6">
        <f>HYPERLINK("https://map.naver.com/p/search/고운동 1767", "지도Link")</f>
        <v/>
      </c>
      <c r="N304" s="6">
        <f>HYPERLINK("http://www.eum.go.kr/web/ar/lu/luLandDet.jsp?pnu=3611011200117670000&amp;isNoScr=script&amp;mode=search",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334.4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정방형</t>
        </is>
      </c>
      <c r="V304" s="3" t="inlineStr">
        <is>
          <t>소로한면</t>
        </is>
      </c>
    </row>
    <row r="305">
      <c r="A305" s="3" t="inlineStr">
        <is>
          <t>고운동 1767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57000</v>
      </c>
      <c r="G305" s="4" t="n">
        <v>333</v>
      </c>
      <c r="H305" s="4" t="n">
        <v>101</v>
      </c>
      <c r="I305" s="5" t="n">
        <v>564.4</v>
      </c>
      <c r="J305" s="5" t="n">
        <v>297.1</v>
      </c>
      <c r="K305" s="3" t="inlineStr">
        <is>
          <t>저렴하게 나온 매물 , 예쁜집 지을수 있는 토지 . 쌀때 사서 집지으세요</t>
        </is>
      </c>
      <c r="L305" s="6">
        <f>HYPERLINK("https://fin.land.naver.com/articles/2652951847", "매물Link")</f>
        <v/>
      </c>
      <c r="M305" s="6">
        <f>HYPERLINK("https://map.naver.com/p/search/고운동 1767", "지도Link")</f>
        <v/>
      </c>
      <c r="N305" s="6">
        <f>HYPERLINK("http://www.eum.go.kr/web/ar/lu/luLandDet.jsp?pnu=3611011200117670000&amp;isNoScr=script&amp;mode=search",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334.4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정방형</t>
        </is>
      </c>
      <c r="V305" s="3" t="inlineStr">
        <is>
          <t>소로한면</t>
        </is>
      </c>
    </row>
    <row r="306">
      <c r="A306" s="3" t="inlineStr">
        <is>
          <t>고운동 1768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95000</v>
      </c>
      <c r="G306" s="4" t="n">
        <v>336</v>
      </c>
      <c r="H306" s="4" t="n">
        <v>102</v>
      </c>
      <c r="I306" s="5" t="n">
        <v>931.4</v>
      </c>
      <c r="J306" s="5" t="n">
        <v>297.1</v>
      </c>
      <c r="K306" s="3" t="inlineStr">
        <is>
          <t>세종시 행복도시내 단독주택부지</t>
        </is>
      </c>
      <c r="L306" s="6">
        <f>HYPERLINK("https://fin.land.naver.com/articles/2652885247", "매물Link")</f>
        <v/>
      </c>
      <c r="M306" s="6">
        <f>HYPERLINK("https://map.naver.com/p/search/고운동 1768", "지도Link")</f>
        <v/>
      </c>
      <c r="N306" s="6">
        <f>HYPERLINK("http://www.eum.go.kr/web/ar/lu/luLandDet.jsp?pnu=3611011200117680000&amp;isNoScr=script&amp;mode=search",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335.5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정방형</t>
        </is>
      </c>
      <c r="V306" s="3" t="inlineStr">
        <is>
          <t>소로한면</t>
        </is>
      </c>
    </row>
    <row r="307">
      <c r="A307" s="3" t="inlineStr">
        <is>
          <t>고운동 1780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70000</v>
      </c>
      <c r="G307" s="4" t="n">
        <v>377</v>
      </c>
      <c r="H307" s="4" t="n">
        <v>114</v>
      </c>
      <c r="I307" s="5" t="n">
        <v>614</v>
      </c>
      <c r="J307" s="5" t="n">
        <v>324.3</v>
      </c>
      <c r="K307" s="3" t="inlineStr">
        <is>
          <t>3면이 도로인 개방감 넘치는 토지</t>
        </is>
      </c>
      <c r="L307" s="6">
        <f>HYPERLINK("https://fin.land.naver.com/articles/2649748261", "매물Link")</f>
        <v/>
      </c>
      <c r="M307" s="6">
        <f>HYPERLINK("https://map.naver.com/p/search/고운동 1780", "지도Link")</f>
        <v/>
      </c>
      <c r="N307" s="6">
        <f>HYPERLINK("http://www.eum.go.kr/web/ar/lu/luLandDet.jsp?pnu=3611011200117800000&amp;isNoScr=script&amp;mode=search",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부정형</t>
        </is>
      </c>
      <c r="V307" s="3" t="inlineStr">
        <is>
          <t>중로각지</t>
        </is>
      </c>
    </row>
    <row r="308">
      <c r="A308" s="3" t="inlineStr">
        <is>
          <t>고운동 1827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150000</v>
      </c>
      <c r="G308" s="4" t="n">
        <v>656</v>
      </c>
      <c r="H308" s="4" t="n">
        <v>198</v>
      </c>
      <c r="I308" s="5" t="n">
        <v>757.6</v>
      </c>
      <c r="J308" s="5" t="n">
        <v>309.2</v>
      </c>
      <c r="K308" s="3" t="inlineStr">
        <is>
          <t>nan</t>
        </is>
      </c>
      <c r="L308" s="6">
        <f>HYPERLINK("https://fin.land.naver.com/articles/2652917967", "매물Link")</f>
        <v/>
      </c>
      <c r="M308" s="6">
        <f>HYPERLINK("https://map.naver.com/p/search/고운동 1827", "지도Link")</f>
        <v/>
      </c>
      <c r="N308" s="6">
        <f>HYPERLINK("http://www.eum.go.kr/web/ar/lu/luLandDet.jsp?pnu=3611011200118270000&amp;isNoScr=script&amp;mode=search",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656.5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1830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88000</v>
      </c>
      <c r="G309" s="4" t="n">
        <v>568</v>
      </c>
      <c r="H309" s="4" t="n">
        <v>172</v>
      </c>
      <c r="I309" s="5" t="n">
        <v>511.6</v>
      </c>
      <c r="J309" s="5" t="n">
        <v>309.7</v>
      </c>
      <c r="K309" s="3" t="inlineStr">
        <is>
          <t>급매 대형면적 공원접한 위치최상</t>
        </is>
      </c>
      <c r="L309" s="6">
        <f>HYPERLINK("https://fin.land.naver.com/articles/2650369741", "매물Link")</f>
        <v/>
      </c>
      <c r="M309" s="6">
        <f>HYPERLINK("https://map.naver.com/p/search/고운동 1830", "지도Link")</f>
        <v/>
      </c>
      <c r="N309" s="6">
        <f>HYPERLINK("http://www.eum.go.kr/web/ar/lu/luLandDet.jsp?pnu=3611011200118300000&amp;isNoScr=script&amp;mode=search",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568.3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1830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88000</v>
      </c>
      <c r="G310" s="4" t="n">
        <v>568</v>
      </c>
      <c r="H310" s="4" t="n">
        <v>172</v>
      </c>
      <c r="I310" s="5" t="n">
        <v>511.6</v>
      </c>
      <c r="J310" s="5" t="n">
        <v>309.7</v>
      </c>
      <c r="K310" s="3" t="inlineStr">
        <is>
          <t>nan</t>
        </is>
      </c>
      <c r="L310" s="6">
        <f>HYPERLINK("https://fin.land.naver.com/articles/2654025362", "매물Link")</f>
        <v/>
      </c>
      <c r="M310" s="6">
        <f>HYPERLINK("https://map.naver.com/p/search/고운동 1830", "지도Link")</f>
        <v/>
      </c>
      <c r="N310" s="6">
        <f>HYPERLINK("http://www.eum.go.kr/web/ar/lu/luLandDet.jsp?pnu=3611011200118300000&amp;isNoScr=script&amp;mode=search", "토지이음")</f>
        <v/>
      </c>
      <c r="O310" s="3" t="inlineStr">
        <is>
          <t>세종지평</t>
        </is>
      </c>
      <c r="P310" s="4" t="n">
        <v>1</v>
      </c>
      <c r="Q310" s="4" t="n">
        <v>568.3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1835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150000</v>
      </c>
      <c r="G311" s="4" t="n">
        <v>677</v>
      </c>
      <c r="H311" s="4" t="n">
        <v>205</v>
      </c>
      <c r="I311" s="5" t="n">
        <v>731.7</v>
      </c>
      <c r="J311" s="5" t="n">
        <v>309.2</v>
      </c>
      <c r="K311" s="3" t="inlineStr">
        <is>
          <t>지하주차장가능하여 개방감 있는 토지</t>
        </is>
      </c>
      <c r="L311" s="6">
        <f>HYPERLINK("https://fin.land.naver.com/articles/2654120394", "매물Link")</f>
        <v/>
      </c>
      <c r="M311" s="6">
        <f>HYPERLINK("https://map.naver.com/p/search/고운동 1835", "지도Link")</f>
        <v/>
      </c>
      <c r="N311" s="6">
        <f>HYPERLINK("http://www.eum.go.kr/web/ar/lu/luLandDet.jsp?pnu=3611011200118350000&amp;isNoScr=script&amp;mode=search",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677.4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1934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331</v>
      </c>
      <c r="H312" s="4" t="n">
        <v>100</v>
      </c>
      <c r="I312" s="5" t="n">
        <v>850</v>
      </c>
      <c r="J312" s="5" t="n">
        <v>297.2</v>
      </c>
      <c r="K312" s="3" t="inlineStr">
        <is>
          <t>인근 고급단독주택형성된 남향의 반듯한 단독주택부지, 가격조율가능</t>
        </is>
      </c>
      <c r="L312" s="6">
        <f>HYPERLINK("https://fin.land.naver.com/articles/2652888518", "매물Link")</f>
        <v/>
      </c>
      <c r="M312" s="6">
        <f>HYPERLINK("https://map.naver.com/p/search/고운동 1934", "지도Link")</f>
        <v/>
      </c>
      <c r="N312" s="6">
        <f>HYPERLINK("http://www.eum.go.kr/web/ar/lu/luLandDet.jsp?pnu=3611011200119340000&amp;isNoScr=script&amp;mode=search",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331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1940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</v>
      </c>
      <c r="G313" s="4" t="n">
        <v>355</v>
      </c>
      <c r="H313" s="4" t="n">
        <v>107</v>
      </c>
      <c r="I313" s="5" t="n">
        <v>504.7</v>
      </c>
      <c r="J313" s="5" t="n">
        <v>335.5</v>
      </c>
      <c r="K313" s="3" t="inlineStr">
        <is>
          <t>nan</t>
        </is>
      </c>
      <c r="L313" s="6">
        <f>HYPERLINK("https://fin.land.naver.com/articles/2654393716", "매물Link")</f>
        <v/>
      </c>
      <c r="M313" s="6">
        <f>HYPERLINK("https://map.naver.com/p/search/고운동 1940", "지도Link")</f>
        <v/>
      </c>
      <c r="N313" s="6">
        <f>HYPERLINK("http://www.eum.go.kr/web/ar/lu/luLandDet.jsp?pnu=3611011200119400000&amp;isNoScr=script&amp;mode=search", "토지이음")</f>
        <v/>
      </c>
      <c r="O313" s="3" t="inlineStr">
        <is>
          <t>백프로</t>
        </is>
      </c>
      <c r="P313" s="4" t="n">
        <v>1</v>
      </c>
      <c r="Q313" s="4" t="n">
        <v>355.9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1951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52000</v>
      </c>
      <c r="G314" s="4" t="n">
        <v>334</v>
      </c>
      <c r="H314" s="4" t="n">
        <v>101</v>
      </c>
      <c r="I314" s="5" t="n">
        <v>514.9</v>
      </c>
      <c r="J314" s="5" t="n">
        <v>308.7</v>
      </c>
      <c r="K314" s="3" t="inlineStr">
        <is>
          <t>코너각지에 보행자도로 접하고 남향으로 반듯한 단독주택부지, 가격조정 가능</t>
        </is>
      </c>
      <c r="L314" s="6">
        <f>HYPERLINK("https://fin.land.naver.com/articles/2649697362", "매물Link")</f>
        <v/>
      </c>
      <c r="M314" s="6">
        <f>HYPERLINK("https://map.naver.com/p/search/고운동 1951", "지도Link")</f>
        <v/>
      </c>
      <c r="N314" s="6">
        <f>HYPERLINK("http://www.eum.go.kr/web/ar/lu/luLandDet.jsp?pnu=3611011200119510000&amp;isNoScr=script&amp;mode=search", "토지이음")</f>
        <v/>
      </c>
      <c r="O314" s="3" t="inlineStr">
        <is>
          <t>온뜰</t>
        </is>
      </c>
      <c r="P314" s="4" t="n">
        <v>1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1951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334</v>
      </c>
      <c r="H315" s="4" t="n">
        <v>101</v>
      </c>
      <c r="I315" s="5" t="n">
        <v>495</v>
      </c>
      <c r="J315" s="5" t="n">
        <v>308.7</v>
      </c>
      <c r="K315" s="3" t="inlineStr">
        <is>
          <t>급매,막힘없는 코너각지,주민센터 및 항아리중심상권</t>
        </is>
      </c>
      <c r="L315" s="6">
        <f>HYPERLINK("https://fin.land.naver.com/articles/2650851183", "매물Link")</f>
        <v/>
      </c>
      <c r="M315" s="6">
        <f>HYPERLINK("https://map.naver.com/p/search/고운동 1951", "지도Link")</f>
        <v/>
      </c>
      <c r="N315" s="6">
        <f>HYPERLINK("http://www.eum.go.kr/web/ar/lu/luLandDet.jsp?pnu=3611011200119510000&amp;isNoScr=script&amp;mode=search", "토지이음")</f>
        <v/>
      </c>
      <c r="O315" s="3" t="inlineStr">
        <is>
          <t>고운맘</t>
        </is>
      </c>
      <c r="P315" s="4" t="n">
        <v>1</v>
      </c>
      <c r="Q315" s="4" t="n">
        <v>334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1951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50000</v>
      </c>
      <c r="G316" s="4" t="n">
        <v>334</v>
      </c>
      <c r="H316" s="4" t="n">
        <v>101</v>
      </c>
      <c r="I316" s="5" t="n">
        <v>495</v>
      </c>
      <c r="J316" s="5" t="n">
        <v>308.7</v>
      </c>
      <c r="K316" s="3" t="inlineStr">
        <is>
          <t>코너 급매, 초중교 인접, 생활편의시설 다양함, 대중교통 편리함</t>
        </is>
      </c>
      <c r="L316" s="6">
        <f>HYPERLINK("https://fin.land.naver.com/articles/2654967120", "매물Link")</f>
        <v/>
      </c>
      <c r="M316" s="6">
        <f>HYPERLINK("https://map.naver.com/p/search/고운동 1951", "지도Link")</f>
        <v/>
      </c>
      <c r="N316" s="6">
        <f>HYPERLINK("http://www.eum.go.kr/web/ar/lu/luLandDet.jsp?pnu=3611011200119510000&amp;isNoScr=script&amp;mode=search", "토지이음")</f>
        <v/>
      </c>
      <c r="O316" s="3" t="inlineStr">
        <is>
          <t>백프로</t>
        </is>
      </c>
      <c r="P316" s="4" t="n">
        <v>2</v>
      </c>
      <c r="Q316" s="4" t="n">
        <v>334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1954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63000</v>
      </c>
      <c r="G317" s="4" t="n">
        <v>375</v>
      </c>
      <c r="H317" s="4" t="n">
        <v>113</v>
      </c>
      <c r="I317" s="5" t="n">
        <v>557.5</v>
      </c>
      <c r="J317" s="5" t="n">
        <v>297.1</v>
      </c>
      <c r="K317" s="3" t="inlineStr">
        <is>
          <t>급매,전원형 주택단지 남향필지</t>
        </is>
      </c>
      <c r="L317" s="6">
        <f>HYPERLINK("https://fin.land.naver.com/articles/2649745305", "매물Link")</f>
        <v/>
      </c>
      <c r="M317" s="6">
        <f>HYPERLINK("https://map.naver.com/p/search/고운동 1954", "지도Link")</f>
        <v/>
      </c>
      <c r="N317" s="6">
        <f>HYPERLINK("http://www.eum.go.kr/web/ar/lu/luLandDet.jsp?pnu=3611011200119540000&amp;isNoScr=script&amp;mode=search", "토지이음")</f>
        <v/>
      </c>
      <c r="O317" s="3" t="inlineStr">
        <is>
          <t>킹세종</t>
        </is>
      </c>
      <c r="P317" s="4" t="n">
        <v>1</v>
      </c>
      <c r="Q317" s="4" t="n">
        <v>375.4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1955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63000</v>
      </c>
      <c r="G318" s="4" t="n">
        <v>375</v>
      </c>
      <c r="H318" s="4" t="n">
        <v>113</v>
      </c>
      <c r="I318" s="5" t="n">
        <v>557.5</v>
      </c>
      <c r="J318" s="5" t="n">
        <v>297.1</v>
      </c>
      <c r="K318" s="3" t="inlineStr">
        <is>
          <t>남향필지 위치좋은곳 초중고학교 도보가능 외부출퇴근 용이한곳</t>
        </is>
      </c>
      <c r="L318" s="6">
        <f>HYPERLINK("https://fin.land.naver.com/articles/2652418901", "매물Link")</f>
        <v/>
      </c>
      <c r="M318" s="6">
        <f>HYPERLINK("https://map.naver.com/p/search/고운동 1955", "지도Link")</f>
        <v/>
      </c>
      <c r="N318" s="6">
        <f>HYPERLINK("http://www.eum.go.kr/web/ar/lu/luLandDet.jsp?pnu=3611011200119550000&amp;isNoScr=script&amp;mode=search", "토지이음")</f>
        <v/>
      </c>
      <c r="O318" s="3" t="inlineStr">
        <is>
          <t>세종스타</t>
        </is>
      </c>
      <c r="P318" s="4" t="n">
        <v>2</v>
      </c>
      <c r="Q318" s="4" t="n">
        <v>375.4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1959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65000</v>
      </c>
      <c r="G319" s="4" t="n">
        <v>352</v>
      </c>
      <c r="H319" s="4" t="n">
        <v>106</v>
      </c>
      <c r="I319" s="5" t="n">
        <v>613.2</v>
      </c>
      <c r="J319" s="5" t="n">
        <v>297.1</v>
      </c>
      <c r="K319" s="3" t="inlineStr">
        <is>
          <t>공원조망 정남향 최고위치 조율가능</t>
        </is>
      </c>
      <c r="L319" s="6">
        <f>HYPERLINK("https://fin.land.naver.com/articles/2651087463", "매물Link")</f>
        <v/>
      </c>
      <c r="M319" s="6">
        <f>HYPERLINK("https://map.naver.com/p/search/고운동 1959", "지도Link")</f>
        <v/>
      </c>
      <c r="N319" s="6">
        <f>HYPERLINK("http://www.eum.go.kr/web/ar/lu/luLandDet.jsp?pnu=3611011200119590000&amp;isNoScr=script&amp;mode=search",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352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1967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62000</v>
      </c>
      <c r="G320" s="4" t="n">
        <v>390</v>
      </c>
      <c r="H320" s="4" t="n">
        <v>118</v>
      </c>
      <c r="I320" s="5" t="n">
        <v>525.4</v>
      </c>
      <c r="J320" s="5" t="n">
        <v>297.2</v>
      </c>
      <c r="K320" s="3" t="inlineStr">
        <is>
          <t>가격내림. 위치 좋은 큰 면적 단독주택지 매매</t>
        </is>
      </c>
      <c r="L320" s="6">
        <f>HYPERLINK("https://fin.land.naver.com/articles/2652599829", "매물Link")</f>
        <v/>
      </c>
      <c r="M320" s="6">
        <f>HYPERLINK("https://map.naver.com/p/search/고운동 1967", "지도Link")</f>
        <v/>
      </c>
      <c r="N320" s="6">
        <f>HYPERLINK("http://www.eum.go.kr/web/ar/lu/luLandDet.jsp?pnu=3611011200119670000&amp;isNoScr=script&amp;mode=search", "토지이음")</f>
        <v/>
      </c>
      <c r="O320" s="3" t="inlineStr">
        <is>
          <t>로데오상가</t>
        </is>
      </c>
      <c r="P320" s="4" t="n">
        <v>1</v>
      </c>
      <c r="Q320" s="4" t="n">
        <v>390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1980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75000</v>
      </c>
      <c r="G321" s="4" t="n">
        <v>362</v>
      </c>
      <c r="H321" s="4" t="n">
        <v>110</v>
      </c>
      <c r="I321" s="5" t="n">
        <v>681.8</v>
      </c>
      <c r="J321" s="5" t="n">
        <v>297.2</v>
      </c>
      <c r="K321" s="3" t="inlineStr">
        <is>
          <t>I 신한 I 일조권 최상, 햇살 가득한 정남향 단독주택 필지</t>
        </is>
      </c>
      <c r="L321" s="6">
        <f>HYPERLINK("https://fin.land.naver.com/articles/2651984559", "매물Link")</f>
        <v/>
      </c>
      <c r="M321" s="6">
        <f>HYPERLINK("https://map.naver.com/p/search/고운동 1980", "지도Link")</f>
        <v/>
      </c>
      <c r="N321" s="6">
        <f>HYPERLINK("http://www.eum.go.kr/web/ar/lu/luLandDet.jsp?pnu=3611011200119800000&amp;isNoScr=script&amp;mode=search", "토지이음")</f>
        <v/>
      </c>
      <c r="O321" s="3" t="inlineStr">
        <is>
          <t>세종신한</t>
        </is>
      </c>
      <c r="P321" s="4" t="n">
        <v>1</v>
      </c>
      <c r="Q321" s="4" t="n">
        <v>362.1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2014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389</v>
      </c>
      <c r="H322" s="4" t="n">
        <v>118</v>
      </c>
      <c r="I322" s="5" t="n">
        <v>550.8</v>
      </c>
      <c r="J322" s="5" t="n">
        <v>297.2</v>
      </c>
      <c r="K322" s="3" t="inlineStr">
        <is>
          <t>추가조율가능 연결녹지 접한위치 귀한큰평수</t>
        </is>
      </c>
      <c r="L322" s="6">
        <f>HYPERLINK("https://fin.land.naver.com/articles/2652442351", "매물Link")</f>
        <v/>
      </c>
      <c r="M322" s="6">
        <f>HYPERLINK("https://map.naver.com/p/search/고운동 2014", "지도Link")</f>
        <v/>
      </c>
      <c r="N322" s="6">
        <f>HYPERLINK("http://www.eum.go.kr/web/ar/lu/luLandDet.jsp?pnu=3611011200120140000&amp;isNoScr=script&amp;mode=search", "토지이음")</f>
        <v/>
      </c>
      <c r="O322" s="3" t="inlineStr">
        <is>
          <t>세종스타</t>
        </is>
      </c>
      <c r="P322" s="4" t="n">
        <v>2</v>
      </c>
      <c r="Q322" s="4" t="n">
        <v>389.7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2025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91000</v>
      </c>
      <c r="G323" s="4" t="n">
        <v>345</v>
      </c>
      <c r="H323" s="4" t="n">
        <v>104</v>
      </c>
      <c r="I323" s="5" t="n">
        <v>875</v>
      </c>
      <c r="J323" s="5" t="n">
        <v>297.2</v>
      </c>
      <c r="K323" s="3" t="inlineStr">
        <is>
          <t>도로 접한 남향 주택 건축하기좋은 면적과 모양</t>
        </is>
      </c>
      <c r="L323" s="6">
        <f>HYPERLINK("https://fin.land.naver.com/articles/2650774064", "매물Link")</f>
        <v/>
      </c>
      <c r="M323" s="6">
        <f>HYPERLINK("https://map.naver.com/p/search/고운동 2025", "지도Link")</f>
        <v/>
      </c>
      <c r="N323" s="6">
        <f>HYPERLINK("http://www.eum.go.kr/web/ar/lu/luLandDet.jsp?pnu=3611011200120250000&amp;isNoScr=script&amp;mode=search", "토지이음")</f>
        <v/>
      </c>
      <c r="O323" s="3" t="inlineStr">
        <is>
          <t>학하랜드</t>
        </is>
      </c>
      <c r="P323" s="4" t="n">
        <v>1</v>
      </c>
      <c r="Q323" s="4" t="n">
        <v>345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2025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101920</v>
      </c>
      <c r="G324" s="4" t="n">
        <v>345</v>
      </c>
      <c r="H324" s="4" t="n">
        <v>104</v>
      </c>
      <c r="I324" s="5" t="n">
        <v>980</v>
      </c>
      <c r="J324" s="5" t="n">
        <v>297.2</v>
      </c>
      <c r="K324" s="3" t="inlineStr">
        <is>
          <t>고운동 1종 전용주거지역 단독주택지 매매,정남향,뻥뷰</t>
        </is>
      </c>
      <c r="L324" s="6">
        <f>HYPERLINK("https://fin.land.naver.com/articles/2651616970", "매물Link")</f>
        <v/>
      </c>
      <c r="M324" s="6">
        <f>HYPERLINK("https://map.naver.com/p/search/고운동 2025", "지도Link")</f>
        <v/>
      </c>
      <c r="N324" s="6">
        <f>HYPERLINK("http://www.eum.go.kr/web/ar/lu/luLandDet.jsp?pnu=3611011200120250000&amp;isNoScr=script&amp;mode=search", "토지이음")</f>
        <v/>
      </c>
      <c r="O324" s="3" t="inlineStr">
        <is>
          <t>천재원</t>
        </is>
      </c>
      <c r="P324" s="4" t="n">
        <v>1</v>
      </c>
      <c r="Q324" s="4" t="n">
        <v>345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2025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79000</v>
      </c>
      <c r="G325" s="4" t="n">
        <v>345</v>
      </c>
      <c r="H325" s="4" t="n">
        <v>104</v>
      </c>
      <c r="I325" s="5" t="n">
        <v>759.6</v>
      </c>
      <c r="J325" s="5" t="n">
        <v>297.2</v>
      </c>
      <c r="K325" s="3" t="inlineStr">
        <is>
          <t>고운동 남측, 인기좋은 단독주택지, 주변에 예쁜 주택 지어져 있음</t>
        </is>
      </c>
      <c r="L325" s="6">
        <f>HYPERLINK("https://fin.land.naver.com/articles/2652887919", "매물Link")</f>
        <v/>
      </c>
      <c r="M325" s="6">
        <f>HYPERLINK("https://map.naver.com/p/search/고운동 2025", "지도Link")</f>
        <v/>
      </c>
      <c r="N325" s="6">
        <f>HYPERLINK("http://www.eum.go.kr/web/ar/lu/luLandDet.jsp?pnu=3611011200120250000&amp;isNoScr=script&amp;mode=search", "토지이음")</f>
        <v/>
      </c>
      <c r="O325" s="3" t="inlineStr">
        <is>
          <t>명품시티</t>
        </is>
      </c>
      <c r="P325" s="4" t="n">
        <v>1</v>
      </c>
      <c r="Q325" s="4" t="n">
        <v>345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2035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57000</v>
      </c>
      <c r="G326" s="4" t="n">
        <v>349</v>
      </c>
      <c r="H326" s="4" t="n">
        <v>106</v>
      </c>
      <c r="I326" s="5" t="n">
        <v>537.7</v>
      </c>
      <c r="J326" s="5" t="n">
        <v>297.1</v>
      </c>
      <c r="K326" s="3" t="inlineStr">
        <is>
          <t>급매 뒷편 넓은공원 남쪽 연결녹지 시유지접함</t>
        </is>
      </c>
      <c r="L326" s="6">
        <f>HYPERLINK("https://fin.land.naver.com/articles/2649812086", "매물Link")</f>
        <v/>
      </c>
      <c r="M326" s="6">
        <f>HYPERLINK("https://map.naver.com/p/search/고운동 2035", "지도Link")</f>
        <v/>
      </c>
      <c r="N326" s="6">
        <f>HYPERLINK("http://www.eum.go.kr/web/ar/lu/luLandDet.jsp?pnu=3611011200120350000&amp;isNoScr=script&amp;mode=search",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349.7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2043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308.7</v>
      </c>
      <c r="K327" s="3" t="inlineStr">
        <is>
          <t>코너각지 정남향 고운동 선호도 높은 D8구역 단독주택지</t>
        </is>
      </c>
      <c r="L327" s="6">
        <f>HYPERLINK("https://fin.land.naver.com/articles/2652136676", "매물Link")</f>
        <v/>
      </c>
      <c r="M327" s="6">
        <f>HYPERLINK("https://map.naver.com/p/search/고운동 2043", "지도Link")</f>
        <v/>
      </c>
      <c r="N327" s="6">
        <f>HYPERLINK("http://www.eum.go.kr/web/ar/lu/luLandDet.jsp?pnu=3611011200120430000&amp;isNoScr=script&amp;mode=search",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392.2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530000</v>
      </c>
      <c r="G328" s="4" t="n">
        <v>615</v>
      </c>
      <c r="H328" s="4" t="n">
        <v>186</v>
      </c>
      <c r="I328" s="5" t="n">
        <v>2849.5</v>
      </c>
      <c r="J328" s="5" t="n">
        <v>1021.2</v>
      </c>
      <c r="K328" s="3" t="inlineStr">
        <is>
          <t>세종시 일반상업지 토지, 메디컬 및 상가빌딩 건축부지 추천</t>
        </is>
      </c>
      <c r="L328" s="6">
        <f>HYPERLINK("https://fin.land.naver.com/articles/2652799255",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HYPERLINK("http://www.eum.go.kr/web/ar/lu/luLandDet.jsp?pnu=3611011200120980000&amp;isNoScr=script&amp;mode=search", "토지이음")</f>
        <v/>
      </c>
      <c r="O328" s="3" t="inlineStr">
        <is>
          <t>혜성</t>
        </is>
      </c>
      <c r="P328" s="4" t="n">
        <v>1</v>
      </c>
      <c r="Q328" s="4" t="n">
        <v>615.5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중로한면</t>
        </is>
      </c>
    </row>
    <row r="329">
      <c r="A329" s="3" t="inlineStr">
        <is>
          <t>고운동 2098</t>
        </is>
      </c>
      <c r="B329" s="3" t="inlineStr">
        <is>
          <t>일반상업지역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540000</v>
      </c>
      <c r="G329" s="4" t="n">
        <v>615</v>
      </c>
      <c r="H329" s="4" t="n">
        <v>186</v>
      </c>
      <c r="I329" s="5" t="n">
        <v>2903.2</v>
      </c>
      <c r="J329" s="5" t="n">
        <v>1021.2</v>
      </c>
      <c r="K329" s="3" t="inlineStr">
        <is>
          <t>귀한 상업지 토지, 병원,근생, 주요도로 접근성유리 ,향후 상권활성화</t>
        </is>
      </c>
      <c r="L329" s="6">
        <f>HYPERLINK("https://fin.land.naver.com/articles/2652471199", "매물Link")</f>
        <v/>
      </c>
      <c r="M329" s="6">
        <f>HYPERLINK("https://map.naver.com/p/search/고운동 2098", "지도Link")</f>
        <v/>
      </c>
      <c r="N329" s="6">
        <f>HYPERLINK("http://www.eum.go.kr/web/ar/lu/luLandDet.jsp?pnu=3611011200120980000&amp;isNoScr=script&amp;mode=search", "토지이음")</f>
        <v/>
      </c>
      <c r="O329" s="3" t="inlineStr">
        <is>
          <t>세종보물</t>
        </is>
      </c>
      <c r="P329" s="4" t="n">
        <v>1</v>
      </c>
      <c r="Q329" s="4" t="n">
        <v>615.5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중로한면</t>
        </is>
      </c>
    </row>
    <row r="330">
      <c r="A330" s="3" t="inlineStr">
        <is>
          <t>고운동 2098</t>
        </is>
      </c>
      <c r="B330" s="3" t="inlineStr">
        <is>
          <t>일반상업지역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539400</v>
      </c>
      <c r="G330" s="4" t="n">
        <v>615</v>
      </c>
      <c r="H330" s="4" t="n">
        <v>186</v>
      </c>
      <c r="I330" s="5" t="n">
        <v>2900</v>
      </c>
      <c r="J330" s="5" t="n">
        <v>1021.2</v>
      </c>
      <c r="K330" s="3" t="inlineStr">
        <is>
          <t>세종시 고운동 상업지역 토지 매매</t>
        </is>
      </c>
      <c r="L330" s="6">
        <f>HYPERLINK("https://fin.land.naver.com/articles/2649606368", "매물Link")</f>
        <v/>
      </c>
      <c r="M330" s="6">
        <f>HYPERLINK("https://map.naver.com/p/search/고운동 2098", "지도Link")</f>
        <v/>
      </c>
      <c r="N330" s="6">
        <f>HYPERLINK("http://www.eum.go.kr/web/ar/lu/luLandDet.jsp?pnu=3611011200120980000&amp;isNoScr=script&amp;mode=search", "토지이음")</f>
        <v/>
      </c>
      <c r="O330" s="3" t="inlineStr">
        <is>
          <t>행복가득한</t>
        </is>
      </c>
      <c r="P330" s="4" t="n">
        <v>1</v>
      </c>
      <c r="Q330" s="4" t="n">
        <v>615.5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중로한면</t>
        </is>
      </c>
    </row>
    <row r="331">
      <c r="A331" s="3" t="inlineStr">
        <is>
          <t>고운동 2098</t>
        </is>
      </c>
      <c r="B331" s="3" t="inlineStr">
        <is>
          <t>일반상업지역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530000</v>
      </c>
      <c r="G331" s="4" t="n">
        <v>615</v>
      </c>
      <c r="H331" s="4" t="n">
        <v>186</v>
      </c>
      <c r="I331" s="5" t="n">
        <v>2849.5</v>
      </c>
      <c r="J331" s="5" t="n">
        <v>1021.2</v>
      </c>
      <c r="K331" s="3" t="inlineStr">
        <is>
          <t>세종시 고운동 대지매매 일반상업지역 아파트밀집지역 토지매매</t>
        </is>
      </c>
      <c r="L331" s="6">
        <f>HYPERLINK("https://fin.land.naver.com/articles/2655076185", "매물Link")</f>
        <v/>
      </c>
      <c r="M331" s="6">
        <f>HYPERLINK("https://map.naver.com/p/search/고운동 2098", "지도Link")</f>
        <v/>
      </c>
      <c r="N331" s="6">
        <f>HYPERLINK("http://www.eum.go.kr/web/ar/lu/luLandDet.jsp?pnu=3611011200120980000&amp;isNoScr=script&amp;mode=search", "토지이음")</f>
        <v/>
      </c>
      <c r="O331" s="3" t="inlineStr">
        <is>
          <t>뉴신세계</t>
        </is>
      </c>
      <c r="P331" s="4" t="n">
        <v>5</v>
      </c>
      <c r="Q331" s="4" t="n">
        <v>615.5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중로한면</t>
        </is>
      </c>
    </row>
    <row r="332">
      <c r="A332" s="3" t="inlineStr">
        <is>
          <t>고운동 2098</t>
        </is>
      </c>
      <c r="B332" s="3" t="inlineStr">
        <is>
          <t>일반상업지역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483600</v>
      </c>
      <c r="G332" s="4" t="n">
        <v>615</v>
      </c>
      <c r="H332" s="4" t="n">
        <v>186</v>
      </c>
      <c r="I332" s="5" t="n">
        <v>2600</v>
      </c>
      <c r="J332" s="5" t="n">
        <v>1021.2</v>
      </c>
      <c r="K332" s="3" t="inlineStr">
        <is>
          <t>세종 행복도시 상업지역 내 귀한 토지</t>
        </is>
      </c>
      <c r="L332" s="6">
        <f>HYPERLINK("https://fin.land.naver.com/articles/2650459401", "매물Link")</f>
        <v/>
      </c>
      <c r="M332" s="6">
        <f>HYPERLINK("https://map.naver.com/p/search/고운동 2098", "지도Link")</f>
        <v/>
      </c>
      <c r="N332" s="6">
        <f>HYPERLINK("http://www.eum.go.kr/web/ar/lu/luLandDet.jsp?pnu=3611011200120980000&amp;isNoScr=script&amp;mode=search", "토지이음")</f>
        <v/>
      </c>
      <c r="O332" s="3" t="inlineStr">
        <is>
          <t>수자인시티</t>
        </is>
      </c>
      <c r="P332" s="4" t="n">
        <v>2</v>
      </c>
      <c r="Q332" s="4" t="n">
        <v>615.5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중로한면</t>
        </is>
      </c>
    </row>
    <row r="333">
      <c r="A333" s="3" t="inlineStr">
        <is>
          <t>고운동 2106-12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386</v>
      </c>
      <c r="H333" s="4" t="n">
        <v>117</v>
      </c>
      <c r="I333" s="5" t="n">
        <v>683.8</v>
      </c>
      <c r="J333" s="5" t="n">
        <v>290.5</v>
      </c>
      <c r="K333" s="3" t="inlineStr">
        <is>
          <t>총 117p, 파크힐즈, 조율가능, 입지좋은 곳</t>
        </is>
      </c>
      <c r="L333" s="6">
        <f>HYPERLINK("https://fin.land.naver.com/articles/2654430493", "매물Link")</f>
        <v/>
      </c>
      <c r="M333" s="6">
        <f>HYPERLINK("https://map.naver.com/p/search/고운동 2106-12", "지도Link")</f>
        <v/>
      </c>
      <c r="N333" s="6">
        <f>HYPERLINK("http://www.eum.go.kr/web/ar/lu/luLandDet.jsp?pnu=3611011200121060012&amp;isNoScr=script&amp;mode=search",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2106-12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386</v>
      </c>
      <c r="H334" s="4" t="n">
        <v>117</v>
      </c>
      <c r="I334" s="5" t="n">
        <v>683.8</v>
      </c>
      <c r="J334" s="5" t="n">
        <v>290.5</v>
      </c>
      <c r="K334" s="3" t="inlineStr">
        <is>
          <t>파크힐즈 토지매매, 삼거리 앞</t>
        </is>
      </c>
      <c r="L334" s="6">
        <f>HYPERLINK("https://fin.land.naver.com/articles/2654717654", "매물Link")</f>
        <v/>
      </c>
      <c r="M334" s="6">
        <f>HYPERLINK("https://map.naver.com/p/search/고운동 2106-12", "지도Link")</f>
        <v/>
      </c>
      <c r="N334" s="6">
        <f>HYPERLINK("http://www.eum.go.kr/web/ar/lu/luLandDet.jsp?pnu=3611011200121060012&amp;isNoScr=script&amp;mode=search",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2106-19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398</v>
      </c>
      <c r="H335" s="4" t="n">
        <v>120</v>
      </c>
      <c r="I335" s="5" t="n">
        <v>708.3</v>
      </c>
      <c r="J335" s="5" t="n">
        <v>293.4</v>
      </c>
      <c r="K335" s="3" t="inlineStr">
        <is>
          <t>총 120.9p, 파크힐즈 단독주택 토지, 네모반듯</t>
        </is>
      </c>
      <c r="L335" s="6">
        <f>HYPERLINK("https://fin.land.naver.com/articles/2654220921", "매물Link")</f>
        <v/>
      </c>
      <c r="M335" s="6">
        <f>HYPERLINK("https://map.naver.com/p/search/고운동 2106-19", "지도Link")</f>
        <v/>
      </c>
      <c r="N335" s="6">
        <f>HYPERLINK("http://www.eum.go.kr/web/ar/lu/luLandDet.jsp?pnu=3611011200121060019&amp;isNoScr=script&amp;mode=search",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398.9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2106-19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398</v>
      </c>
      <c r="H336" s="4" t="n">
        <v>120</v>
      </c>
      <c r="I336" s="5" t="n">
        <v>708.3</v>
      </c>
      <c r="J336" s="5" t="n">
        <v>293.4</v>
      </c>
      <c r="K336" s="3" t="inlineStr">
        <is>
          <t>전용 120.9p, 파크힐즈 단독주택 토지 매매</t>
        </is>
      </c>
      <c r="L336" s="6">
        <f>HYPERLINK("https://fin.land.naver.com/articles/2650891002", "매물Link")</f>
        <v/>
      </c>
      <c r="M336" s="6">
        <f>HYPERLINK("https://map.naver.com/p/search/고운동 2106-19", "지도Link")</f>
        <v/>
      </c>
      <c r="N336" s="6">
        <f>HYPERLINK("http://www.eum.go.kr/web/ar/lu/luLandDet.jsp?pnu=3611011200121060019&amp;isNoScr=script&amp;mode=search",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398.9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2106-2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110000</v>
      </c>
      <c r="G337" s="4" t="n">
        <v>378</v>
      </c>
      <c r="H337" s="4" t="n">
        <v>114</v>
      </c>
      <c r="I337" s="5" t="n">
        <v>964.9</v>
      </c>
      <c r="J337" s="5" t="n">
        <v>282.1</v>
      </c>
      <c r="K337" s="3" t="inlineStr">
        <is>
          <t>조율가능 벙커주차장가능 파크힐즈내 위치최상</t>
        </is>
      </c>
      <c r="L337" s="6">
        <f>HYPERLINK("https://fin.land.naver.com/articles/2649812012", "매물Link")</f>
        <v/>
      </c>
      <c r="M337" s="6">
        <f>HYPERLINK("https://map.naver.com/p/search/고운동 2106-2", "지도Link")</f>
        <v/>
      </c>
      <c r="N337" s="6">
        <f>HYPERLINK("http://www.eum.go.kr/web/ar/lu/luLandDet.jsp?pnu=3611011200121060002&amp;isNoScr=script&amp;mode=search",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378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2106-24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90000</v>
      </c>
      <c r="G338" s="4" t="n">
        <v>371</v>
      </c>
      <c r="H338" s="4" t="n">
        <v>112</v>
      </c>
      <c r="I338" s="5" t="n">
        <v>803.6</v>
      </c>
      <c r="J338" s="5" t="n">
        <v>282.1</v>
      </c>
      <c r="K338" s="3" t="inlineStr">
        <is>
          <t>nan</t>
        </is>
      </c>
      <c r="L338" s="6">
        <f>HYPERLINK("https://fin.land.naver.com/articles/2652888251", "매물Link")</f>
        <v/>
      </c>
      <c r="M338" s="6">
        <f>HYPERLINK("https://map.naver.com/p/search/고운동 2106-24", "지도Link")</f>
        <v/>
      </c>
      <c r="N338" s="6">
        <f>HYPERLINK("http://www.eum.go.kr/web/ar/lu/luLandDet.jsp?pnu=3611011200121060024&amp;isNoScr=script&amp;mode=search", "토지이음")</f>
        <v/>
      </c>
      <c r="O338" s="3" t="inlineStr">
        <is>
          <t>명품시티</t>
        </is>
      </c>
      <c r="P338" s="4" t="n">
        <v>1</v>
      </c>
      <c r="Q338" s="4" t="n">
        <v>371.1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2106-26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69000</v>
      </c>
      <c r="G339" s="4" t="n">
        <v>367</v>
      </c>
      <c r="H339" s="4" t="n">
        <v>111</v>
      </c>
      <c r="I339" s="5" t="n">
        <v>621.6</v>
      </c>
      <c r="J339" s="5" t="n">
        <v>285</v>
      </c>
      <c r="K339" s="3" t="inlineStr">
        <is>
          <t>급매 고급 타운하우스 파크힐즈 최저가</t>
        </is>
      </c>
      <c r="L339" s="6">
        <f>HYPERLINK("https://fin.land.naver.com/articles/2649812113", "매물Link")</f>
        <v/>
      </c>
      <c r="M339" s="6">
        <f>HYPERLINK("https://map.naver.com/p/search/고운동 2106-26", "지도Link")</f>
        <v/>
      </c>
      <c r="N339" s="6">
        <f>HYPERLINK("http://www.eum.go.kr/web/ar/lu/luLandDet.jsp?pnu=3611011200121060026&amp;isNoScr=script&amp;mode=search",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367.4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2106-8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120000</v>
      </c>
      <c r="G340" s="4" t="n">
        <v>386</v>
      </c>
      <c r="H340" s="4" t="n">
        <v>117</v>
      </c>
      <c r="I340" s="5" t="n">
        <v>1025.6</v>
      </c>
      <c r="J340" s="5" t="n">
        <v>282.1</v>
      </c>
      <c r="K340" s="3" t="inlineStr">
        <is>
          <t>총 117.2p, 고운동 고급 타운하우스 토지매매</t>
        </is>
      </c>
      <c r="L340" s="6">
        <f>HYPERLINK("https://fin.land.naver.com/articles/2654703193", "매물Link")</f>
        <v/>
      </c>
      <c r="M340" s="6">
        <f>HYPERLINK("https://map.naver.com/p/search/고운동 2106-8", "지도Link")</f>
        <v/>
      </c>
      <c r="N340" s="6">
        <f>HYPERLINK("http://www.eum.go.kr/web/ar/lu/luLandDet.jsp?pnu=3611011200121060008&amp;isNoScr=script&amp;mode=search", "토지이음")</f>
        <v/>
      </c>
      <c r="O340" s="3" t="inlineStr">
        <is>
          <t>명진</t>
        </is>
      </c>
      <c r="P340" s="4" t="n">
        <v>2</v>
      </c>
      <c r="Q340" s="4" t="n">
        <v>386.7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소로한면</t>
        </is>
      </c>
    </row>
    <row r="341">
      <c r="A341" s="3" t="inlineStr">
        <is>
          <t>고운동 2106-8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120000</v>
      </c>
      <c r="G341" s="4" t="n">
        <v>387</v>
      </c>
      <c r="H341" s="4" t="n">
        <v>117</v>
      </c>
      <c r="I341" s="5" t="n">
        <v>1025.6</v>
      </c>
      <c r="J341" s="5" t="n">
        <v>282.1</v>
      </c>
      <c r="K341" s="3" t="inlineStr">
        <is>
          <t>벙커형 주차장가능 최고로얄필지 사생활보호최고 뒷마당 넓은곳</t>
        </is>
      </c>
      <c r="L341" s="6">
        <f>HYPERLINK("https://fin.land.naver.com/articles/2652918007", "매물Link")</f>
        <v/>
      </c>
      <c r="M341" s="6">
        <f>HYPERLINK("https://map.naver.com/p/search/고운동 2106-8", "지도Link")</f>
        <v/>
      </c>
      <c r="N341" s="6">
        <f>HYPERLINK("http://www.eum.go.kr/web/ar/lu/luLandDet.jsp?pnu=3611011200121060008&amp;isNoScr=script&amp;mode=search",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386.7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고운동 2108-11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400</v>
      </c>
      <c r="H342" s="4" t="n">
        <v>121</v>
      </c>
      <c r="I342" s="5" t="n">
        <v>743.8</v>
      </c>
      <c r="J342" s="5" t="n">
        <v>271.2</v>
      </c>
      <c r="K342" s="3" t="inlineStr">
        <is>
          <t>리안비채 토지 매매, 벙커주차장가능, 입지 굿</t>
        </is>
      </c>
      <c r="L342" s="6">
        <f>HYPERLINK("https://fin.land.naver.com/articles/2654049762", "매물Link")</f>
        <v/>
      </c>
      <c r="M342" s="6">
        <f>HYPERLINK("https://map.naver.com/p/search/고운동 2108-11", "지도Link")</f>
        <v/>
      </c>
      <c r="N342" s="6">
        <f>HYPERLINK("http://www.eum.go.kr/web/ar/lu/luLandDet.jsp?pnu=3611011200121080011&amp;isNoScr=script&amp;mode=search",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400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고운동 2108-38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392</v>
      </c>
      <c r="H343" s="4" t="n">
        <v>119</v>
      </c>
      <c r="I343" s="5" t="n">
        <v>588.2</v>
      </c>
      <c r="J343" s="5" t="n">
        <v>284.7</v>
      </c>
      <c r="K343" s="3" t="inlineStr">
        <is>
          <t>생명나무,리안비체힐즈 타운하우스 부지</t>
        </is>
      </c>
      <c r="L343" s="6">
        <f>HYPERLINK("https://fin.land.naver.com/articles/2650736949", "매물Link")</f>
        <v/>
      </c>
      <c r="M343" s="6">
        <f>HYPERLINK("https://map.naver.com/p/search/고운동 2108-38", "지도Link")</f>
        <v/>
      </c>
      <c r="N343" s="6">
        <f>HYPERLINK("http://www.eum.go.kr/web/ar/lu/luLandDet.jsp?pnu=3611011200121080038&amp;isNoScr=script&amp;mode=search", "토지이음")</f>
        <v/>
      </c>
      <c r="O343" s="3" t="inlineStr">
        <is>
          <t>생명나무</t>
        </is>
      </c>
      <c r="P343" s="4" t="n">
        <v>1</v>
      </c>
      <c r="Q343" s="4" t="n">
        <v>392.1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소로각지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392</v>
      </c>
      <c r="H344" s="4" t="n">
        <v>119</v>
      </c>
      <c r="I344" s="5" t="n">
        <v>588.2</v>
      </c>
      <c r="J344" s="5" t="n">
        <v>284.7</v>
      </c>
      <c r="K344" s="3" t="inlineStr">
        <is>
          <t>118.8p, 비안비채힐즈 블록형 타운하우스 단독주택 토지매매</t>
        </is>
      </c>
      <c r="L344" s="6">
        <f>HYPERLINK("https://fin.land.naver.com/articles/2650427238",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392.1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소로각지</t>
        </is>
      </c>
    </row>
    <row r="345">
      <c r="A345" s="3" t="inlineStr">
        <is>
          <t>고운동 2108-38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392</v>
      </c>
      <c r="H345" s="4" t="n">
        <v>119</v>
      </c>
      <c r="I345" s="5" t="n">
        <v>588.2</v>
      </c>
      <c r="J345" s="5" t="n">
        <v>284.7</v>
      </c>
      <c r="K345" s="3" t="inlineStr">
        <is>
          <t>세종시 블록형 리안비채힐즈 단독택지</t>
        </is>
      </c>
      <c r="L345" s="6">
        <f>HYPERLINK("https://fin.land.naver.com/articles/2651559979", "매물Link")</f>
        <v/>
      </c>
      <c r="M345" s="6">
        <f>HYPERLINK("https://map.naver.com/p/search/고운동 2108-38", "지도Link")</f>
        <v/>
      </c>
      <c r="N345" s="6">
        <f>HYPERLINK("http://www.eum.go.kr/web/ar/lu/luLandDet.jsp?pnu=3611011200121080038&amp;isNoScr=script&amp;mode=search", "토지이음")</f>
        <v/>
      </c>
      <c r="O345" s="3" t="inlineStr">
        <is>
          <t>부엉이</t>
        </is>
      </c>
      <c r="P345" s="4" t="n">
        <v>1</v>
      </c>
      <c r="Q345" s="4" t="n">
        <v>392.1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소로각지</t>
        </is>
      </c>
    </row>
    <row r="346">
      <c r="A346" s="3" t="inlineStr">
        <is>
          <t>고운동 2108-38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392</v>
      </c>
      <c r="H346" s="4" t="n">
        <v>119</v>
      </c>
      <c r="I346" s="5" t="n">
        <v>588.2</v>
      </c>
      <c r="J346" s="5" t="n">
        <v>284.7</v>
      </c>
      <c r="K346" s="3" t="inlineStr">
        <is>
          <t>총 118.8p, 리안비체힐즈 단독주택 토지매매</t>
        </is>
      </c>
      <c r="L346" s="6">
        <f>HYPERLINK("https://fin.land.naver.com/articles/2654920808", "매물Link")</f>
        <v/>
      </c>
      <c r="M346" s="6">
        <f>HYPERLINK("https://map.naver.com/p/search/고운동 2108-38", "지도Link")</f>
        <v/>
      </c>
      <c r="N346" s="6">
        <f>HYPERLINK("http://www.eum.go.kr/web/ar/lu/luLandDet.jsp?pnu=3611011200121080038&amp;isNoScr=script&amp;mode=search",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392.1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소로각지</t>
        </is>
      </c>
    </row>
    <row r="347">
      <c r="A347" s="3" t="inlineStr">
        <is>
          <t>고운동 2108-45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85000</v>
      </c>
      <c r="G347" s="4" t="n">
        <v>380</v>
      </c>
      <c r="H347" s="4" t="n">
        <v>115</v>
      </c>
      <c r="I347" s="5" t="n">
        <v>739.1</v>
      </c>
      <c r="J347" s="5" t="n">
        <v>286.8</v>
      </c>
      <c r="K347" s="3" t="inlineStr">
        <is>
          <t>115.2p, 고운동 리안비체힐즈 단독주택 토지매매</t>
        </is>
      </c>
      <c r="L347" s="6">
        <f>HYPERLINK("https://fin.land.naver.com/articles/2654925656", "매물Link")</f>
        <v/>
      </c>
      <c r="M347" s="6">
        <f>HYPERLINK("https://map.naver.com/p/search/고운동 2108-45", "지도Link")</f>
        <v/>
      </c>
      <c r="N347" s="6">
        <f>HYPERLINK("http://www.eum.go.kr/web/ar/lu/luLandDet.jsp?pnu=3611011200121080045&amp;isNoScr=script&amp;mode=search",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380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중로각지</t>
        </is>
      </c>
    </row>
    <row r="348">
      <c r="A348" s="3" t="inlineStr">
        <is>
          <t>고운동 2108-45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85000</v>
      </c>
      <c r="G348" s="4" t="n">
        <v>380</v>
      </c>
      <c r="H348" s="4" t="n">
        <v>115</v>
      </c>
      <c r="I348" s="5" t="n">
        <v>739.1</v>
      </c>
      <c r="J348" s="5" t="n">
        <v>286.8</v>
      </c>
      <c r="K348" s="3" t="inlineStr">
        <is>
          <t>115.2p, 리안비채힐즈 토지, 조율가능, 앞쪽 위치</t>
        </is>
      </c>
      <c r="L348" s="6">
        <f>HYPERLINK("https://fin.land.naver.com/articles/2650427164", "매물Link")</f>
        <v/>
      </c>
      <c r="M348" s="6">
        <f>HYPERLINK("https://map.naver.com/p/search/고운동 2108-45", "지도Link")</f>
        <v/>
      </c>
      <c r="N348" s="6">
        <f>HYPERLINK("http://www.eum.go.kr/web/ar/lu/luLandDet.jsp?pnu=3611011200121080045&amp;isNoScr=script&amp;mode=search",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380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중로각지</t>
        </is>
      </c>
    </row>
    <row r="349">
      <c r="A349" s="3" t="inlineStr">
        <is>
          <t>고운동 2108-51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90000</v>
      </c>
      <c r="G349" s="4" t="n">
        <v>395</v>
      </c>
      <c r="H349" s="4" t="n">
        <v>119</v>
      </c>
      <c r="I349" s="5" t="n">
        <v>756.3</v>
      </c>
      <c r="J349" s="5" t="n">
        <v>286.8</v>
      </c>
      <c r="K349" s="3" t="inlineStr">
        <is>
          <t>119.7p, 리안비채힐즈 토지매매</t>
        </is>
      </c>
      <c r="L349" s="6">
        <f>HYPERLINK("https://fin.land.naver.com/articles/2650891441", "매물Link")</f>
        <v/>
      </c>
      <c r="M349" s="6">
        <f>HYPERLINK("https://map.naver.com/p/search/고운동 2108-51", "지도Link")</f>
        <v/>
      </c>
      <c r="N349" s="6">
        <f>HYPERLINK("http://www.eum.go.kr/web/ar/lu/luLandDet.jsp?pnu=3611011200121080051&amp;isNoScr=script&amp;mode=search",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중로각지</t>
        </is>
      </c>
    </row>
    <row r="350">
      <c r="A350" s="3" t="inlineStr">
        <is>
          <t>고운동 2110-36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376</v>
      </c>
      <c r="H350" s="4" t="n">
        <v>114</v>
      </c>
      <c r="I350" s="5" t="n">
        <v>438.6</v>
      </c>
      <c r="J350" s="5" t="n">
        <v>333.9</v>
      </c>
      <c r="K350" s="3" t="inlineStr">
        <is>
          <t>nan</t>
        </is>
      </c>
      <c r="L350" s="6">
        <f>HYPERLINK("https://fin.land.naver.com/articles/2654038772", "매물Link")</f>
        <v/>
      </c>
      <c r="M350" s="6">
        <f>HYPERLINK("https://map.naver.com/p/search/고운동 2110-36", "지도Link")</f>
        <v/>
      </c>
      <c r="N350" s="6">
        <f>HYPERLINK("http://www.eum.go.kr/web/ar/lu/luLandDet.jsp?pnu=3611011200121100036&amp;isNoScr=script&amp;mode=search", "토지이음")</f>
        <v/>
      </c>
      <c r="O350" s="3" t="inlineStr">
        <is>
          <t>세종스타</t>
        </is>
      </c>
      <c r="P350" s="4" t="n">
        <v>1</v>
      </c>
      <c r="Q350" s="4" t="n">
        <v>376.5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70000</v>
      </c>
      <c r="G351" s="4" t="n">
        <v>357</v>
      </c>
      <c r="H351" s="4" t="n">
        <v>108</v>
      </c>
      <c r="I351" s="5" t="n">
        <v>648.1</v>
      </c>
      <c r="J351" s="5" t="n">
        <v>357.7</v>
      </c>
      <c r="K351" s="3" t="inlineStr">
        <is>
          <t>108.3p, 노블테라스 토지매매, 분양가 이하</t>
        </is>
      </c>
      <c r="L351" s="6">
        <f>HYPERLINK("https://fin.land.naver.com/articles/2650890897",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73000</v>
      </c>
      <c r="G352" s="4" t="n">
        <v>357</v>
      </c>
      <c r="H352" s="4" t="n">
        <v>108</v>
      </c>
      <c r="I352" s="5" t="n">
        <v>675.9</v>
      </c>
      <c r="J352" s="5" t="n">
        <v>357.7</v>
      </c>
      <c r="K352" s="3" t="inlineStr">
        <is>
          <t>총 108.3p, 고운동 노블테라스 타운하우스 토지매매</t>
        </is>
      </c>
      <c r="L352" s="6">
        <f>HYPERLINK("https://fin.land.naver.com/articles/2654898356", "매물Link")</f>
        <v/>
      </c>
      <c r="M352" s="6">
        <f>HYPERLINK("https://map.naver.com/p/search/고운동 2110-6", "지도Link")</f>
        <v/>
      </c>
      <c r="N352" s="6">
        <f>HYPERLINK("http://www.eum.go.kr/web/ar/lu/luLandDet.jsp?pnu=3611011200121100006&amp;isNoScr=script&amp;mode=search",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70000</v>
      </c>
      <c r="G353" s="4" t="n">
        <v>357</v>
      </c>
      <c r="H353" s="4" t="n">
        <v>108</v>
      </c>
      <c r="I353" s="5" t="n">
        <v>648.1</v>
      </c>
      <c r="J353" s="5" t="n">
        <v>357.7</v>
      </c>
      <c r="K353" s="3" t="inlineStr">
        <is>
          <t>고운동 노블테라스 토지매매</t>
        </is>
      </c>
      <c r="L353" s="6">
        <f>HYPERLINK("https://fin.land.naver.com/articles/2650517055", "매물Link")</f>
        <v/>
      </c>
      <c r="M353" s="6">
        <f>HYPERLINK("https://map.naver.com/p/search/고운동 2110-6", "지도Link")</f>
        <v/>
      </c>
      <c r="N353" s="6">
        <f>HYPERLINK("http://www.eum.go.kr/web/ar/lu/luLandDet.jsp?pnu=3611011200121100006&amp;isNoScr=script&amp;mode=search",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357</v>
      </c>
      <c r="H354" s="4" t="n">
        <v>108</v>
      </c>
      <c r="I354" s="5" t="n">
        <v>555.6</v>
      </c>
      <c r="J354" s="5" t="n">
        <v>357.7</v>
      </c>
      <c r="K354" s="3" t="inlineStr">
        <is>
          <t>108.3p, 노블테라스, 단독주택 토지매매</t>
        </is>
      </c>
      <c r="L354" s="6">
        <f>HYPERLINK("https://fin.land.naver.com/articles/2650891045", "매물Link")</f>
        <v/>
      </c>
      <c r="M354" s="6">
        <f>HYPERLINK("https://map.naver.com/p/search/고운동 2110-7", "지도Link")</f>
        <v/>
      </c>
      <c r="N354" s="6">
        <f>HYPERLINK("http://www.eum.go.kr/web/ar/lu/luLandDet.jsp?pnu=3611011200121100007&amp;isNoScr=script&amp;mode=search",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2110-7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65000</v>
      </c>
      <c r="G355" s="4" t="n">
        <v>357</v>
      </c>
      <c r="H355" s="4" t="n">
        <v>108</v>
      </c>
      <c r="I355" s="5" t="n">
        <v>601.9</v>
      </c>
      <c r="J355" s="5" t="n">
        <v>357.7</v>
      </c>
      <c r="K355" s="3" t="inlineStr">
        <is>
          <t>전용108.3p, 노블테라스, 건축기한없음</t>
        </is>
      </c>
      <c r="L355" s="6">
        <f>HYPERLINK("https://fin.land.naver.com/articles/2654226084", "매물Link")</f>
        <v/>
      </c>
      <c r="M355" s="6">
        <f>HYPERLINK("https://map.naver.com/p/search/고운동 2110-7", "지도Link")</f>
        <v/>
      </c>
      <c r="N355" s="6">
        <f>HYPERLINK("http://www.eum.go.kr/web/ar/lu/luLandDet.jsp?pnu=3611011200121100007&amp;isNoScr=script&amp;mode=search",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357.5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중로각지</t>
        </is>
      </c>
    </row>
    <row r="356">
      <c r="A356" s="3" t="inlineStr">
        <is>
          <t>고운동 2110-9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357</v>
      </c>
      <c r="H356" s="4" t="n">
        <v>108</v>
      </c>
      <c r="I356" s="5" t="n">
        <v>509.3</v>
      </c>
      <c r="J356" s="5" t="n">
        <v>357.7</v>
      </c>
      <c r="K356" s="3" t="inlineStr">
        <is>
          <t>108.3P, 노블테라스, 도로변으로 앞쪽에 위치함</t>
        </is>
      </c>
      <c r="L356" s="6">
        <f>HYPERLINK("https://fin.land.naver.com/articles/2653681788", "매물Link")</f>
        <v/>
      </c>
      <c r="M356" s="6">
        <f>HYPERLINK("https://map.naver.com/p/search/고운동 2110-9", "지도Link")</f>
        <v/>
      </c>
      <c r="N356" s="6">
        <f>HYPERLINK("http://www.eum.go.kr/web/ar/lu/luLandDet.jsp?pnu=3611011200121100009&amp;isNoScr=script&amp;mode=search",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357.5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2128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49955</v>
      </c>
      <c r="G357" s="4" t="n">
        <v>300</v>
      </c>
      <c r="H357" s="4" t="n">
        <v>91</v>
      </c>
      <c r="I357" s="5" t="n">
        <v>549</v>
      </c>
      <c r="J357" s="5" t="n">
        <v>249.7</v>
      </c>
      <c r="K357" s="3" t="inlineStr">
        <is>
          <t>90.9p, 지대 높은 한옥 마을 토지매매</t>
        </is>
      </c>
      <c r="L357" s="6">
        <f>HYPERLINK("https://fin.land.naver.com/articles/2650891216", "매물Link")</f>
        <v/>
      </c>
      <c r="M357" s="6">
        <f>HYPERLINK("https://map.naver.com/p/search/고운동 2128", "지도Link")</f>
        <v/>
      </c>
      <c r="N357" s="6">
        <f>HYPERLINK("http://www.eum.go.kr/web/ar/lu/luLandDet.jsp?pnu=3611011200121280000&amp;isNoScr=script&amp;mode=search",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300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사다리형</t>
        </is>
      </c>
      <c r="V357" s="3" t="inlineStr">
        <is>
          <t>세로한면(가)</t>
        </is>
      </c>
    </row>
    <row r="358">
      <c r="A358" s="3" t="inlineStr">
        <is>
          <t>고운동 2128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49955</v>
      </c>
      <c r="G358" s="4" t="n">
        <v>300</v>
      </c>
      <c r="H358" s="4" t="n">
        <v>91</v>
      </c>
      <c r="I358" s="5" t="n">
        <v>549</v>
      </c>
      <c r="J358" s="5" t="n">
        <v>249.7</v>
      </c>
      <c r="K358" s="3" t="inlineStr">
        <is>
          <t>코너각지 지대높음 정자조망</t>
        </is>
      </c>
      <c r="L358" s="6">
        <f>HYPERLINK("https://fin.land.naver.com/articles/2652418949", "매물Link")</f>
        <v/>
      </c>
      <c r="M358" s="6">
        <f>HYPERLINK("https://map.naver.com/p/search/고운동 2128", "지도Link")</f>
        <v/>
      </c>
      <c r="N358" s="6">
        <f>HYPERLINK("http://www.eum.go.kr/web/ar/lu/luLandDet.jsp?pnu=3611011200121280000&amp;isNoScr=script&amp;mode=search",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300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289</v>
      </c>
      <c r="H359" s="4" t="n">
        <v>87</v>
      </c>
      <c r="I359" s="5" t="n">
        <v>574.7</v>
      </c>
      <c r="J359" s="5" t="n">
        <v>249.7</v>
      </c>
      <c r="K359" s="3" t="inlineStr">
        <is>
          <t>급매, 조율가능, 총 87.9p, 한옥마을 위치좋은 토지</t>
        </is>
      </c>
      <c r="L359" s="6">
        <f>HYPERLINK("https://fin.land.naver.com/articles/2654706849", "매물Link")</f>
        <v/>
      </c>
      <c r="M359" s="6">
        <f>HYPERLINK("https://map.naver.com/p/search/고운동 2137", "지도Link")</f>
        <v/>
      </c>
      <c r="N359" s="6">
        <f>HYPERLINK("http://www.eum.go.kr/web/ar/lu/luLandDet.jsp?pnu=3611011200121370000&amp;isNoScr=script&amp;mode=search",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295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290</v>
      </c>
      <c r="H360" s="4" t="n">
        <v>88</v>
      </c>
      <c r="I360" s="5" t="n">
        <v>568.2</v>
      </c>
      <c r="J360" s="5" t="n">
        <v>249.7</v>
      </c>
      <c r="K360" s="3" t="inlineStr">
        <is>
          <t>한옥마을토지 급매, 조율도 가능합니다</t>
        </is>
      </c>
      <c r="L360" s="6">
        <f>HYPERLINK("https://fin.land.naver.com/articles/2653573708",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295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2137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295</v>
      </c>
      <c r="H361" s="4" t="n">
        <v>89</v>
      </c>
      <c r="I361" s="5" t="n">
        <v>561.8</v>
      </c>
      <c r="J361" s="5" t="n">
        <v>249.7</v>
      </c>
      <c r="K361" s="3" t="inlineStr">
        <is>
          <t>급매 산접한 최상위치 건축하기 좋은 토지모양</t>
        </is>
      </c>
      <c r="L361" s="6">
        <f>HYPERLINK("https://fin.land.naver.com/articles/2655177060", "매물Link")</f>
        <v/>
      </c>
      <c r="M361" s="6">
        <f>HYPERLINK("https://map.naver.com/p/search/고운동 2137", "지도Link")</f>
        <v/>
      </c>
      <c r="N361" s="6">
        <f>HYPERLINK("http://www.eum.go.kr/web/ar/lu/luLandDet.jsp?pnu=3611011200121370000&amp;isNoScr=script&amp;mode=search", "토지이음")</f>
        <v/>
      </c>
      <c r="O361" s="3" t="inlineStr">
        <is>
          <t>세종스타</t>
        </is>
      </c>
      <c r="P361" s="4" t="n">
        <v>1</v>
      </c>
      <c r="Q361" s="4" t="n">
        <v>295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  <row r="362">
      <c r="A362" s="3" t="inlineStr">
        <is>
          <t>고운동 2162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150000</v>
      </c>
      <c r="G362" s="4" t="n">
        <v>317</v>
      </c>
      <c r="H362" s="4" t="n">
        <v>96</v>
      </c>
      <c r="I362" s="5" t="n">
        <v>1562.5</v>
      </c>
      <c r="J362" s="5" t="n">
        <v>735.5</v>
      </c>
      <c r="K362" s="3" t="inlineStr">
        <is>
          <t>한옥마을  귀한 근생 용지 .   커피숍 ,식당 등추천, 주변 아파트밀집</t>
        </is>
      </c>
      <c r="L362" s="6">
        <f>HYPERLINK("https://fin.land.naver.com/articles/2650760466", "매물Link")</f>
        <v/>
      </c>
      <c r="M362" s="6">
        <f>HYPERLINK("https://map.naver.com/p/search/고운동 2162", "지도Link")</f>
        <v/>
      </c>
      <c r="N362" s="6">
        <f>HYPERLINK("http://www.eum.go.kr/web/ar/lu/luLandDet.jsp?pnu=3611011200121620000&amp;isNoScr=script&amp;mode=search", "토지이음")</f>
        <v/>
      </c>
      <c r="O362" s="3" t="inlineStr">
        <is>
          <t>세종특별시</t>
        </is>
      </c>
      <c r="P362" s="4" t="n">
        <v>1</v>
      </c>
      <c r="Q362" s="4" t="n">
        <v>317.2</v>
      </c>
      <c r="R362" s="3" t="inlineStr">
        <is>
          <t>지정되지않음</t>
        </is>
      </c>
      <c r="S362" s="3" t="inlineStr">
        <is>
          <t>상업나지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소로각지</t>
        </is>
      </c>
    </row>
    <row r="363">
      <c r="A363" s="3" t="inlineStr">
        <is>
          <t>고운동 2162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150000</v>
      </c>
      <c r="G363" s="4" t="n">
        <v>317</v>
      </c>
      <c r="H363" s="4" t="n">
        <v>96</v>
      </c>
      <c r="I363" s="5" t="n">
        <v>1562.5</v>
      </c>
      <c r="J363" s="5" t="n">
        <v>735.5</v>
      </c>
      <c r="K363" s="3" t="inlineStr">
        <is>
          <t>고운동한옥마을 근생용지 도로변인접 노출이 잘되는 입지</t>
        </is>
      </c>
      <c r="L363" s="6">
        <f>HYPERLINK("https://fin.land.naver.com/articles/2651808448", "매물Link")</f>
        <v/>
      </c>
      <c r="M363" s="6">
        <f>HYPERLINK("https://map.naver.com/p/search/고운동 2162", "지도Link")</f>
        <v/>
      </c>
      <c r="N363" s="6">
        <f>HYPERLINK("http://www.eum.go.kr/web/ar/lu/luLandDet.jsp?pnu=3611011200121620000&amp;isNoScr=script&amp;mode=search", "토지이음")</f>
        <v/>
      </c>
      <c r="O363" s="3" t="inlineStr">
        <is>
          <t>고운동리치세종</t>
        </is>
      </c>
      <c r="P363" s="4" t="n">
        <v>1</v>
      </c>
      <c r="Q363" s="4" t="n">
        <v>317.2</v>
      </c>
      <c r="R363" s="3" t="inlineStr">
        <is>
          <t>지정되지않음</t>
        </is>
      </c>
      <c r="S363" s="3" t="inlineStr">
        <is>
          <t>상업나지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소로각지</t>
        </is>
      </c>
    </row>
    <row r="364">
      <c r="A364" s="3" t="inlineStr">
        <is>
          <t>고운동 2162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150000</v>
      </c>
      <c r="G364" s="4" t="n">
        <v>317</v>
      </c>
      <c r="H364" s="4" t="n">
        <v>96</v>
      </c>
      <c r="I364" s="5" t="n">
        <v>1562.5</v>
      </c>
      <c r="J364" s="5" t="n">
        <v>735.5</v>
      </c>
      <c r="K364" s="3" t="inlineStr">
        <is>
          <t>96.1p, 한옥마을 근생토지, 위치 좋고 노출 좋은 토지</t>
        </is>
      </c>
      <c r="L364" s="6">
        <f>HYPERLINK("https://fin.land.naver.com/articles/2649596569", "매물Link")</f>
        <v/>
      </c>
      <c r="M364" s="6">
        <f>HYPERLINK("https://map.naver.com/p/search/고운동 2162", "지도Link")</f>
        <v/>
      </c>
      <c r="N364" s="6">
        <f>HYPERLINK("http://www.eum.go.kr/web/ar/lu/luLandDet.jsp?pnu=3611011200121620000&amp;isNoScr=script&amp;mode=search",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317.2</v>
      </c>
      <c r="R364" s="3" t="inlineStr">
        <is>
          <t>지정되지않음</t>
        </is>
      </c>
      <c r="S364" s="3" t="inlineStr">
        <is>
          <t>상업나지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소로각지</t>
        </is>
      </c>
    </row>
    <row r="365">
      <c r="A365" s="3" t="inlineStr">
        <is>
          <t>고운동 2163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160000</v>
      </c>
      <c r="G365" s="4" t="n">
        <v>363</v>
      </c>
      <c r="H365" s="4" t="n">
        <v>110</v>
      </c>
      <c r="I365" s="5" t="n">
        <v>1454.5</v>
      </c>
      <c r="J365" s="5" t="n">
        <v>707.1</v>
      </c>
      <c r="K365" s="3" t="inlineStr">
        <is>
          <t>한옥마을내 상가부지 희소한 상업용지</t>
        </is>
      </c>
      <c r="L365" s="6">
        <f>HYPERLINK("https://fin.land.naver.com/articles/2653842345", "매물Link")</f>
        <v/>
      </c>
      <c r="M365" s="6">
        <f>HYPERLINK("https://map.naver.com/p/search/고운동 2163", "지도Link")</f>
        <v/>
      </c>
      <c r="N365" s="6">
        <f>HYPERLINK("http://www.eum.go.kr/web/ar/lu/luLandDet.jsp?pnu=3611011200121630000&amp;isNoScr=script&amp;mode=search",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362.8</v>
      </c>
      <c r="R365" s="3" t="inlineStr">
        <is>
          <t>지정되지않음</t>
        </is>
      </c>
      <c r="S365" s="3" t="inlineStr">
        <is>
          <t>상업나지</t>
        </is>
      </c>
      <c r="T365" s="3" t="inlineStr">
        <is>
          <t>평지</t>
        </is>
      </c>
      <c r="U365" s="3" t="inlineStr">
        <is>
          <t>사다리형</t>
        </is>
      </c>
      <c r="V365" s="3" t="inlineStr">
        <is>
          <t>소로각지</t>
        </is>
      </c>
    </row>
    <row r="366">
      <c r="A366" s="3" t="inlineStr">
        <is>
          <t>고운동 2202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50000</v>
      </c>
      <c r="G366" s="4" t="n">
        <v>322</v>
      </c>
      <c r="H366" s="4" t="n">
        <v>97</v>
      </c>
      <c r="I366" s="5" t="n">
        <v>515.5</v>
      </c>
      <c r="J366" s="5" t="n">
        <v>249.7</v>
      </c>
      <c r="K366" s="3" t="inlineStr">
        <is>
          <t>한옥마을토지, 위치 좋은곳</t>
        </is>
      </c>
      <c r="L366" s="6">
        <f>HYPERLINK("https://fin.land.naver.com/articles/2654695653", "매물Link")</f>
        <v/>
      </c>
      <c r="M366" s="6">
        <f>HYPERLINK("https://map.naver.com/p/search/고운동 2202", "지도Link")</f>
        <v/>
      </c>
      <c r="N366" s="6">
        <f>HYPERLINK("http://www.eum.go.kr/web/ar/lu/luLandDet.jsp?pnu=3611011200122020000&amp;isNoScr=script&amp;mode=search",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322.6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세로한면(가)</t>
        </is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56000</v>
      </c>
      <c r="G367" s="4" t="n">
        <v>374</v>
      </c>
      <c r="H367" s="4" t="n">
        <v>113</v>
      </c>
      <c r="I367" s="5" t="n">
        <v>495.6</v>
      </c>
      <c r="J367" s="5" t="n">
        <v>319.6</v>
      </c>
      <c r="K367" s="3" t="inlineStr">
        <is>
          <t>고운동 단독주택지</t>
        </is>
      </c>
      <c r="L367" s="6">
        <f>HYPERLINK("https://fin.land.naver.com/articles/2654024875", "매물Link")</f>
        <v/>
      </c>
      <c r="M367" s="6">
        <f>HYPERLINK("https://map.naver.com/p/search/고운동 893-10", "지도Link")</f>
        <v/>
      </c>
      <c r="N367" s="6">
        <f>HYPERLINK("http://www.eum.go.kr/web/ar/lu/luLandDet.jsp?pnu=3611011200108930010&amp;isNoScr=script&amp;mode=search", "토지이음")</f>
        <v/>
      </c>
      <c r="O367" s="3" t="inlineStr">
        <is>
          <t>현대파라곤</t>
        </is>
      </c>
      <c r="P367" s="4" t="n">
        <v>1</v>
      </c>
      <c r="Q367" s="4" t="n">
        <v>256.3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893-10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56000</v>
      </c>
      <c r="G368" s="4" t="n">
        <v>256</v>
      </c>
      <c r="H368" s="4" t="n">
        <v>77</v>
      </c>
      <c r="I368" s="5" t="n">
        <v>727.3</v>
      </c>
      <c r="J368" s="5" t="n">
        <v>319.6</v>
      </c>
      <c r="K368" s="3" t="inlineStr">
        <is>
          <t>타운하우스 내 단독주택 토지 매매</t>
        </is>
      </c>
      <c r="L368" s="6">
        <f>HYPERLINK("https://fin.land.naver.com/articles/2654237070", "매물Link")</f>
        <v/>
      </c>
      <c r="M368" s="6">
        <f>HYPERLINK("https://map.naver.com/p/search/고운동 893-10", "지도Link")</f>
        <v/>
      </c>
      <c r="N368" s="6">
        <f>HYPERLINK("http://www.eum.go.kr/web/ar/lu/luLandDet.jsp?pnu=3611011200108930010&amp;isNoScr=script&amp;mode=search", "토지이음")</f>
        <v/>
      </c>
      <c r="O368" s="3" t="inlineStr">
        <is>
          <t>찬스</t>
        </is>
      </c>
      <c r="P368" s="4" t="n">
        <v>1</v>
      </c>
      <c r="Q368" s="4" t="n">
        <v>256.3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893-10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56000</v>
      </c>
      <c r="G369" s="4" t="n">
        <v>256</v>
      </c>
      <c r="H369" s="4" t="n">
        <v>77</v>
      </c>
      <c r="I369" s="5" t="n">
        <v>727.3</v>
      </c>
      <c r="J369" s="5" t="n">
        <v>319.6</v>
      </c>
      <c r="K369" s="3" t="inlineStr">
        <is>
          <t>코지빌 단독주택지, 도로지분 별도</t>
        </is>
      </c>
      <c r="L369" s="6">
        <f>HYPERLINK("https://fin.land.naver.com/articles/2653683054", "매물Link")</f>
        <v/>
      </c>
      <c r="M369" s="6">
        <f>HYPERLINK("https://map.naver.com/p/search/고운동 893-10", "지도Link")</f>
        <v/>
      </c>
      <c r="N369" s="6">
        <f>HYPERLINK("http://www.eum.go.kr/web/ar/lu/luLandDet.jsp?pnu=3611011200108930010&amp;isNoScr=script&amp;mode=search",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256.3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893-10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56000</v>
      </c>
      <c r="G370" s="4" t="n">
        <v>256</v>
      </c>
      <c r="H370" s="4" t="n">
        <v>77</v>
      </c>
      <c r="I370" s="5" t="n">
        <v>727.3</v>
      </c>
      <c r="J370" s="5" t="n">
        <v>319.6</v>
      </c>
      <c r="K370" s="3" t="inlineStr">
        <is>
          <t>네이플리브 단독주택지 토지</t>
        </is>
      </c>
      <c r="L370" s="6">
        <f>HYPERLINK("https://fin.land.naver.com/articles/2654695790", "매물Link")</f>
        <v/>
      </c>
      <c r="M370" s="6">
        <f>HYPERLINK("https://map.naver.com/p/search/고운동 893-10", "지도Link")</f>
        <v/>
      </c>
      <c r="N370" s="6">
        <f>HYPERLINK("http://www.eum.go.kr/web/ar/lu/luLandDet.jsp?pnu=3611011200108930010&amp;isNoScr=script&amp;mode=search",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256.3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43000</v>
      </c>
      <c r="G371" s="4" t="n">
        <v>251</v>
      </c>
      <c r="H371" s="4" t="n">
        <v>76</v>
      </c>
      <c r="I371" s="5" t="n">
        <v>565.8</v>
      </c>
      <c r="J371" s="5" t="n">
        <v>319.6</v>
      </c>
      <c r="K371" s="3" t="inlineStr">
        <is>
          <t>급매, 조망 좋은 고운동에 있는 세종네이플리브 단독주택지 입니다</t>
        </is>
      </c>
      <c r="L371" s="6">
        <f>HYPERLINK("https://fin.land.naver.com/articles/2652193954", "매물Link")</f>
        <v/>
      </c>
      <c r="M371" s="6">
        <f>HYPERLINK("https://map.naver.com/p/search/고운동 893-20", "지도Link")</f>
        <v/>
      </c>
      <c r="N371" s="6">
        <f>HYPERLINK("http://www.eum.go.kr/web/ar/lu/luLandDet.jsp?pnu=3611011200108930020&amp;isNoScr=script&amp;mode=search", "토지이음")</f>
        <v/>
      </c>
      <c r="O371" s="3" t="inlineStr">
        <is>
          <t>스마일세종</t>
        </is>
      </c>
      <c r="P371" s="4" t="n">
        <v>1</v>
      </c>
      <c r="Q371" s="4" t="n">
        <v>251.1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소로한면</t>
        </is>
      </c>
    </row>
    <row r="372">
      <c r="A372" s="3" t="inlineStr">
        <is>
          <t>고운동 893-27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45000</v>
      </c>
      <c r="G372" s="4" t="n">
        <v>252</v>
      </c>
      <c r="H372" s="4" t="n">
        <v>76</v>
      </c>
      <c r="I372" s="5" t="n">
        <v>592.1</v>
      </c>
      <c r="J372" s="5" t="n">
        <v>319.6</v>
      </c>
      <c r="K372" s="3" t="inlineStr">
        <is>
          <t>네이플리브 토지매매, 76.3p 도로지분 35p 별도</t>
        </is>
      </c>
      <c r="L372" s="6">
        <f>HYPERLINK("https://fin.land.naver.com/articles/2652839705", "매물Link")</f>
        <v/>
      </c>
      <c r="M372" s="6">
        <f>HYPERLINK("https://map.naver.com/p/search/고운동 893-27", "지도Link")</f>
        <v/>
      </c>
      <c r="N372" s="6">
        <f>HYPERLINK("http://www.eum.go.kr/web/ar/lu/luLandDet.jsp?pnu=3611011200108930027&amp;isNoScr=script&amp;mode=search",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252.1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893-27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45000</v>
      </c>
      <c r="G373" s="4" t="n">
        <v>252</v>
      </c>
      <c r="H373" s="4" t="n">
        <v>76</v>
      </c>
      <c r="I373" s="5" t="n">
        <v>592.1</v>
      </c>
      <c r="J373" s="5" t="n">
        <v>319.6</v>
      </c>
      <c r="K373" s="3" t="inlineStr">
        <is>
          <t>급매, 네이플리브 토지 76.3p, 도로지분 35.1p 총 111.4p</t>
        </is>
      </c>
      <c r="L373" s="6">
        <f>HYPERLINK("https://fin.land.naver.com/articles/2654703024", "매물Link")</f>
        <v/>
      </c>
      <c r="M373" s="6">
        <f>HYPERLINK("https://map.naver.com/p/search/고운동 893-27", "지도Link")</f>
        <v/>
      </c>
      <c r="N373" s="6">
        <f>HYPERLINK("http://www.eum.go.kr/web/ar/lu/luLandDet.jsp?pnu=3611011200108930027&amp;isNoScr=script&amp;mode=search",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252.1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893-41</t>
        </is>
      </c>
      <c r="B374" s="3" t="inlineStr">
        <is>
          <t>제1종전용주거지역</t>
        </is>
      </c>
      <c r="C374" s="3" t="inlineStr">
        <is>
          <t>공원</t>
        </is>
      </c>
      <c r="D374" s="3" t="inlineStr">
        <is>
          <t>대</t>
        </is>
      </c>
      <c r="E374" s="3" t="inlineStr">
        <is>
          <t>매매</t>
        </is>
      </c>
      <c r="F374" s="4" t="n">
        <v>66000</v>
      </c>
      <c r="G374" s="4" t="n">
        <v>364</v>
      </c>
      <c r="H374" s="4" t="n">
        <v>110</v>
      </c>
      <c r="I374" s="5" t="n">
        <v>600</v>
      </c>
      <c r="J374" s="5" t="n">
        <v>223.7</v>
      </c>
      <c r="K374" s="3" t="inlineStr">
        <is>
          <t>nan</t>
        </is>
      </c>
      <c r="L374" s="6">
        <f>HYPERLINK("https://fin.land.naver.com/articles/2651025996", "매물Link")</f>
        <v/>
      </c>
      <c r="M374" s="6">
        <f>HYPERLINK("https://map.naver.com/p/search/고운동 893-41", "지도Link")</f>
        <v/>
      </c>
      <c r="N374" s="6">
        <f>HYPERLINK("http://www.eum.go.kr/web/ar/lu/luLandDet.jsp?pnu=3611011200108930041&amp;isNoScr=script&amp;mode=search",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286.7</v>
      </c>
      <c r="R374" s="3" t="inlineStr">
        <is>
          <t>지정되지않음</t>
        </is>
      </c>
      <c r="S374" s="3" t="inlineStr">
        <is>
          <t>주차장등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지정되지않음</t>
        </is>
      </c>
    </row>
    <row r="375">
      <c r="A375" s="3" t="inlineStr">
        <is>
          <t>고운동 893-7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49500</v>
      </c>
      <c r="G375" s="4" t="n">
        <v>256</v>
      </c>
      <c r="H375" s="4" t="n">
        <v>77</v>
      </c>
      <c r="I375" s="5" t="n">
        <v>642.9</v>
      </c>
      <c r="J375" s="5" t="n">
        <v>319.6</v>
      </c>
      <c r="K375" s="3" t="inlineStr">
        <is>
          <t>타운하우스부지 a타입 건축가능 합니다</t>
        </is>
      </c>
      <c r="L375" s="6">
        <f>HYPERLINK("https://fin.land.naver.com/articles/2651511916", "매물Link")</f>
        <v/>
      </c>
      <c r="M375" s="6">
        <f>HYPERLINK("https://map.naver.com/p/search/고운동 893-7", "지도Link")</f>
        <v/>
      </c>
      <c r="N375" s="6">
        <f>HYPERLINK("http://www.eum.go.kr/web/ar/lu/luLandDet.jsp?pnu=3611011200108930007&amp;isNoScr=script&amp;mode=search", "토지이음")</f>
        <v/>
      </c>
      <c r="O375" s="3" t="inlineStr">
        <is>
          <t>은성</t>
        </is>
      </c>
      <c r="P375" s="4" t="n">
        <v>1</v>
      </c>
      <c r="Q375" s="4" t="n">
        <v>256.8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894-1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38000</v>
      </c>
      <c r="G376" s="4" t="n">
        <v>250</v>
      </c>
      <c r="H376" s="4" t="n">
        <v>76</v>
      </c>
      <c r="I376" s="5" t="n">
        <v>500</v>
      </c>
      <c r="J376" s="5" t="n">
        <v>319.6</v>
      </c>
      <c r="K376" s="3" t="inlineStr">
        <is>
          <t>급매 남서향 타운하우스  A타입 단독주택지</t>
        </is>
      </c>
      <c r="L376" s="6">
        <f>HYPERLINK("https://fin.land.naver.com/articles/2653033687", "매물Link")</f>
        <v/>
      </c>
      <c r="M376" s="6">
        <f>HYPERLINK("https://map.naver.com/p/search/고운동 894-1", "지도Link")</f>
        <v/>
      </c>
      <c r="N376" s="6">
        <f>HYPERLINK("http://www.eum.go.kr/web/ar/lu/luLandDet.jsp?pnu=3611011200108940001&amp;isNoScr=script&amp;mode=search", "토지이음")</f>
        <v/>
      </c>
      <c r="O376" s="3" t="inlineStr">
        <is>
          <t>SD</t>
        </is>
      </c>
      <c r="P376" s="4" t="n">
        <v>1</v>
      </c>
      <c r="Q376" s="4" t="n">
        <v>250.2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38000</v>
      </c>
      <c r="G377" s="4" t="n">
        <v>250</v>
      </c>
      <c r="H377" s="4" t="n">
        <v>76</v>
      </c>
      <c r="I377" s="5" t="n">
        <v>500</v>
      </c>
      <c r="J377" s="5" t="n">
        <v>319.6</v>
      </c>
      <c r="K377" s="3" t="inlineStr">
        <is>
          <t>r급매 타운하우스부지 A타입 건축가능</t>
        </is>
      </c>
      <c r="L377" s="6">
        <f>HYPERLINK("https://fin.land.naver.com/articles/2654693509", "매물Link")</f>
        <v/>
      </c>
      <c r="M377" s="6">
        <f>HYPERLINK("https://map.naver.com/p/search/고운동 894-1", "지도Link")</f>
        <v/>
      </c>
      <c r="N377" s="6">
        <f>HYPERLINK("http://www.eum.go.kr/web/ar/lu/luLandDet.jsp?pnu=3611011200108940001&amp;isNoScr=script&amp;mode=search", "토지이음")</f>
        <v/>
      </c>
      <c r="O377" s="3" t="inlineStr">
        <is>
          <t>써니</t>
        </is>
      </c>
      <c r="P377" s="4" t="n">
        <v>2</v>
      </c>
      <c r="Q377" s="4" t="n">
        <v>250.2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894-17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53000</v>
      </c>
      <c r="G378" s="4" t="n">
        <v>244</v>
      </c>
      <c r="H378" s="4" t="n">
        <v>74</v>
      </c>
      <c r="I378" s="5" t="n">
        <v>716.2</v>
      </c>
      <c r="J378" s="5" t="n">
        <v>319.6</v>
      </c>
      <c r="K378" s="3" t="inlineStr">
        <is>
          <t>고운동 단독주택지 매매 합니다</t>
        </is>
      </c>
      <c r="L378" s="6">
        <f>HYPERLINK("https://fin.land.naver.com/articles/2653338048", "매물Link")</f>
        <v/>
      </c>
      <c r="M378" s="6">
        <f>HYPERLINK("https://map.naver.com/p/search/고운동 894-17", "지도Link")</f>
        <v/>
      </c>
      <c r="N378" s="6">
        <f>HYPERLINK("http://www.eum.go.kr/web/ar/lu/luLandDet.jsp?pnu=3611011200108940017&amp;isNoScr=script&amp;mode=search", "토지이음")</f>
        <v/>
      </c>
      <c r="O378" s="3" t="inlineStr">
        <is>
          <t>태양투</t>
        </is>
      </c>
      <c r="P378" s="4" t="n">
        <v>1</v>
      </c>
      <c r="Q378" s="4" t="n">
        <v>244.8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894-21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49000</v>
      </c>
      <c r="G379" s="4" t="n">
        <v>244</v>
      </c>
      <c r="H379" s="4" t="n">
        <v>74</v>
      </c>
      <c r="I379" s="5" t="n">
        <v>662.2</v>
      </c>
      <c r="J379" s="5" t="n">
        <v>319.6</v>
      </c>
      <c r="K379" s="3" t="inlineStr">
        <is>
          <t>고운동 코지빌 토지매매</t>
        </is>
      </c>
      <c r="L379" s="6">
        <f>HYPERLINK("https://fin.land.naver.com/articles/2649595000", "매물Link")</f>
        <v/>
      </c>
      <c r="M379" s="6">
        <f>HYPERLINK("https://map.naver.com/p/search/고운동 894-21", "지도Link")</f>
        <v/>
      </c>
      <c r="N379" s="6">
        <f>HYPERLINK("http://www.eum.go.kr/web/ar/lu/luLandDet.jsp?pnu=3611011200108940021&amp;isNoScr=script&amp;mode=search", "토지이음")</f>
        <v/>
      </c>
      <c r="O379" s="3" t="inlineStr">
        <is>
          <t>황금도장</t>
        </is>
      </c>
      <c r="P379" s="4" t="n">
        <v>1</v>
      </c>
      <c r="Q379" s="4" t="n">
        <v>244.8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894-25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49000</v>
      </c>
      <c r="G380" s="4" t="n">
        <v>244</v>
      </c>
      <c r="H380" s="4" t="n">
        <v>74</v>
      </c>
      <c r="I380" s="5" t="n">
        <v>662.2</v>
      </c>
      <c r="J380" s="5" t="n">
        <v>319.6</v>
      </c>
      <c r="K380" s="3" t="inlineStr">
        <is>
          <t>고운동타운하우스토지매매 가격조정가능</t>
        </is>
      </c>
      <c r="L380" s="6">
        <f>HYPERLINK("https://fin.land.naver.com/articles/2651892602", "매물Link")</f>
        <v/>
      </c>
      <c r="M380" s="6">
        <f>HYPERLINK("https://map.naver.com/p/search/고운동 894-25", "지도Link")</f>
        <v/>
      </c>
      <c r="N380" s="6">
        <f>HYPERLINK("http://www.eum.go.kr/web/ar/lu/luLandDet.jsp?pnu=3611011200108940025&amp;isNoScr=script&amp;mode=search", "토지이음")</f>
        <v/>
      </c>
      <c r="O380" s="3" t="inlineStr">
        <is>
          <t>고운동리치세종</t>
        </is>
      </c>
      <c r="P380" s="4" t="n">
        <v>1</v>
      </c>
      <c r="Q380" s="4" t="n">
        <v>244.8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894-26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50000</v>
      </c>
      <c r="G381" s="4" t="n">
        <v>244</v>
      </c>
      <c r="H381" s="4" t="n">
        <v>74</v>
      </c>
      <c r="I381" s="5" t="n">
        <v>675.7</v>
      </c>
      <c r="J381" s="5" t="n">
        <v>319.6</v>
      </c>
      <c r="K381" s="3" t="inlineStr">
        <is>
          <t>코지빌 토지매매, 74.18p, 도로지분 별도, 조율가능</t>
        </is>
      </c>
      <c r="L381" s="6">
        <f>HYPERLINK("https://fin.land.naver.com/articles/2652841596", "매물Link")</f>
        <v/>
      </c>
      <c r="M381" s="6">
        <f>HYPERLINK("https://map.naver.com/p/search/고운동 894-26", "지도Link")</f>
        <v/>
      </c>
      <c r="N381" s="6">
        <f>HYPERLINK("http://www.eum.go.kr/web/ar/lu/luLandDet.jsp?pnu=3611011200108940026&amp;isNoScr=script&amp;mode=search",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244.8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290</v>
      </c>
      <c r="H382" s="4" t="n">
        <v>88</v>
      </c>
      <c r="I382" s="5" t="n">
        <v>500</v>
      </c>
      <c r="J382" s="5" t="n">
        <v>319.6</v>
      </c>
      <c r="K382" s="3" t="inlineStr">
        <is>
          <t>코지빌 토지매매, 공원 옆, 앞쪽 입지 좋은 토지</t>
        </is>
      </c>
      <c r="L382" s="6">
        <f>HYPERLINK("https://fin.land.naver.com/articles/2651770499", "매물Link")</f>
        <v/>
      </c>
      <c r="M382" s="6">
        <f>HYPERLINK("https://map.naver.com/p/search/고운동 894-35", "지도Link")</f>
        <v/>
      </c>
      <c r="N382" s="6">
        <f>HYPERLINK("http://www.eum.go.kr/web/ar/lu/luLandDet.jsp?pnu=3611011200108940035&amp;isNoScr=script&amp;mode=search",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290.7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44000</v>
      </c>
      <c r="G383" s="4" t="n">
        <v>288</v>
      </c>
      <c r="H383" s="4" t="n">
        <v>87</v>
      </c>
      <c r="I383" s="5" t="n">
        <v>505.7</v>
      </c>
      <c r="J383" s="5" t="n">
        <v>319.6</v>
      </c>
      <c r="K383" s="3" t="inlineStr">
        <is>
          <t>급매, 코지빌 단독주택지 토지매매</t>
        </is>
      </c>
      <c r="L383" s="6">
        <f>HYPERLINK("https://fin.land.naver.com/articles/2651946502", "매물Link")</f>
        <v/>
      </c>
      <c r="M383" s="6">
        <f>HYPERLINK("https://map.naver.com/p/search/고운동 894-35", "지도Link")</f>
        <v/>
      </c>
      <c r="N383" s="6">
        <f>HYPERLINK("http://www.eum.go.kr/web/ar/lu/luLandDet.jsp?pnu=3611011200108940035&amp;isNoScr=script&amp;mode=search",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290.7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894-35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44000</v>
      </c>
      <c r="G384" s="4" t="n">
        <v>290</v>
      </c>
      <c r="H384" s="4" t="n">
        <v>88</v>
      </c>
      <c r="I384" s="5" t="n">
        <v>500</v>
      </c>
      <c r="J384" s="5" t="n">
        <v>319.6</v>
      </c>
      <c r="K384" s="3" t="inlineStr">
        <is>
          <t>nan</t>
        </is>
      </c>
      <c r="L384" s="6">
        <f>HYPERLINK("https://fin.land.naver.com/articles/2650960095", "매물Link")</f>
        <v/>
      </c>
      <c r="M384" s="6">
        <f>HYPERLINK("https://map.naver.com/p/search/고운동 894-35", "지도Link")</f>
        <v/>
      </c>
      <c r="N384" s="6">
        <f>HYPERLINK("http://www.eum.go.kr/web/ar/lu/luLandDet.jsp?pnu=3611011200108940035&amp;isNoScr=script&amp;mode=search", "토지이음")</f>
        <v/>
      </c>
      <c r="O384" s="3" t="inlineStr">
        <is>
          <t>고운동리치세종</t>
        </is>
      </c>
      <c r="P384" s="4" t="n">
        <v>1</v>
      </c>
      <c r="Q384" s="4" t="n">
        <v>290.7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894-37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66000</v>
      </c>
      <c r="G385" s="4" t="n">
        <v>290</v>
      </c>
      <c r="H385" s="4" t="n">
        <v>88</v>
      </c>
      <c r="I385" s="5" t="n">
        <v>750</v>
      </c>
      <c r="J385" s="5" t="n">
        <v>319.6</v>
      </c>
      <c r="K385" s="3" t="inlineStr">
        <is>
          <t>고운동 코지빌 입구쪽 코너 타운하우스 택지</t>
        </is>
      </c>
      <c r="L385" s="6">
        <f>HYPERLINK("https://fin.land.naver.com/articles/2650894171", "매물Link")</f>
        <v/>
      </c>
      <c r="M385" s="6">
        <f>HYPERLINK("https://map.naver.com/p/search/고운동 894-37", "지도Link")</f>
        <v/>
      </c>
      <c r="N385" s="6">
        <f>HYPERLINK("http://www.eum.go.kr/web/ar/lu/luLandDet.jsp?pnu=3611011200108940037&amp;isNoScr=script&amp;mode=search",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290.7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894-42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42000</v>
      </c>
      <c r="G386" s="4" t="n">
        <v>463</v>
      </c>
      <c r="H386" s="4" t="n">
        <v>140</v>
      </c>
      <c r="I386" s="5" t="n">
        <v>300</v>
      </c>
      <c r="J386" s="5" t="n">
        <v>319.6</v>
      </c>
      <c r="K386" s="3" t="inlineStr">
        <is>
          <t>고운동타운하스토지매매 가격조정가능</t>
        </is>
      </c>
      <c r="L386" s="6">
        <f>HYPERLINK("https://fin.land.naver.com/articles/2650003835", "매물Link")</f>
        <v/>
      </c>
      <c r="M386" s="6">
        <f>HYPERLINK("https://map.naver.com/p/search/고운동 894-42", "지도Link")</f>
        <v/>
      </c>
      <c r="N386" s="6">
        <f>HYPERLINK("http://www.eum.go.kr/web/ar/lu/luLandDet.jsp?pnu=3611011200108940042&amp;isNoScr=script&amp;mode=search", "토지이음")</f>
        <v/>
      </c>
      <c r="O386" s="3" t="inlineStr">
        <is>
          <t>고운동리치세종</t>
        </is>
      </c>
      <c r="P386" s="4" t="n">
        <v>2</v>
      </c>
      <c r="Q386" s="4" t="n">
        <v>463.1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고운동 894-42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42000</v>
      </c>
      <c r="G387" s="4" t="n">
        <v>463</v>
      </c>
      <c r="H387" s="4" t="n">
        <v>140</v>
      </c>
      <c r="I387" s="5" t="n">
        <v>300</v>
      </c>
      <c r="J387" s="5" t="n">
        <v>319.6</v>
      </c>
      <c r="K387" s="3" t="inlineStr">
        <is>
          <t>고운동 세종코지빌 타운하우스  투자하기 좋은</t>
        </is>
      </c>
      <c r="L387" s="6">
        <f>HYPERLINK("https://fin.land.naver.com/articles/2649937236", "매물Link")</f>
        <v/>
      </c>
      <c r="M387" s="6">
        <f>HYPERLINK("https://map.naver.com/p/search/고운동 894-42", "지도Link")</f>
        <v/>
      </c>
      <c r="N387" s="6">
        <f>HYPERLINK("http://www.eum.go.kr/web/ar/lu/luLandDet.jsp?pnu=3611011200108940042&amp;isNoScr=script&amp;mode=search", "토지이음")</f>
        <v/>
      </c>
      <c r="O387" s="3" t="inlineStr">
        <is>
          <t>은성</t>
        </is>
      </c>
      <c r="P387" s="4" t="n">
        <v>1</v>
      </c>
      <c r="Q387" s="4" t="n">
        <v>463.1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고운동 904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344</v>
      </c>
      <c r="H388" s="4" t="n">
        <v>104</v>
      </c>
      <c r="I388" s="5" t="n">
        <v>596.2</v>
      </c>
      <c r="J388" s="5" t="n">
        <v>354.4</v>
      </c>
      <c r="K388" s="3" t="inlineStr">
        <is>
          <t>완충녹지 접한 3면코너각지</t>
        </is>
      </c>
      <c r="L388" s="6">
        <f>HYPERLINK("https://fin.land.naver.com/articles/2652418819", "매물Link")</f>
        <v/>
      </c>
      <c r="M388" s="6">
        <f>HYPERLINK("https://map.naver.com/p/search/고운동 904", "지도Link")</f>
        <v/>
      </c>
      <c r="N388" s="6">
        <f>HYPERLINK("http://www.eum.go.kr/web/ar/lu/luLandDet.jsp?pnu=3611011200109040000&amp;isNoScr=script&amp;mode=search", "토지이음")</f>
        <v/>
      </c>
      <c r="O388" s="3" t="inlineStr">
        <is>
          <t>세종스타</t>
        </is>
      </c>
      <c r="P388" s="4" t="n">
        <v>1</v>
      </c>
      <c r="Q388" s="4" t="n">
        <v>344.9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912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334</v>
      </c>
      <c r="H389" s="4" t="n">
        <v>101</v>
      </c>
      <c r="I389" s="5" t="n">
        <v>544.6</v>
      </c>
      <c r="J389" s="5" t="n">
        <v>315.1</v>
      </c>
      <c r="K389" s="3" t="inlineStr">
        <is>
          <t>급매 시유지 넓게접함 단지내상가 상권편리</t>
        </is>
      </c>
      <c r="L389" s="6">
        <f>HYPERLINK("https://fin.land.naver.com/articles/2654857128", "매물Link")</f>
        <v/>
      </c>
      <c r="M389" s="6">
        <f>HYPERLINK("https://map.naver.com/p/search/고운동 912", "지도Link")</f>
        <v/>
      </c>
      <c r="N389" s="6">
        <f>HYPERLINK("http://www.eum.go.kr/web/ar/lu/luLandDet.jsp?pnu=3611011200109120000&amp;isNoScr=script&amp;mode=search",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334.1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916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52000</v>
      </c>
      <c r="G390" s="4" t="n">
        <v>344</v>
      </c>
      <c r="H390" s="4" t="n">
        <v>104</v>
      </c>
      <c r="I390" s="5" t="n">
        <v>500</v>
      </c>
      <c r="J390" s="5" t="n">
        <v>315.1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HYPERLINK("https://fin.land.naver.com/articles/2650943280", "매물Link")</f>
        <v/>
      </c>
      <c r="M390" s="6">
        <f>HYPERLINK("https://map.naver.com/p/search/고운동 916", "지도Link")</f>
        <v/>
      </c>
      <c r="N390" s="6">
        <f>HYPERLINK("http://www.eum.go.kr/web/ar/lu/luLandDet.jsp?pnu=3611011200109160000&amp;isNoScr=script&amp;mode=search",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344.7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916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52000</v>
      </c>
      <c r="G391" s="4" t="n">
        <v>344</v>
      </c>
      <c r="H391" s="4" t="n">
        <v>104</v>
      </c>
      <c r="I391" s="5" t="n">
        <v>500</v>
      </c>
      <c r="J391" s="5" t="n">
        <v>315.1</v>
      </c>
      <c r="K391" s="3" t="inlineStr">
        <is>
          <t>아파트 단지 바로 옆, 생활 인프라 좋은 토지매매</t>
        </is>
      </c>
      <c r="L391" s="6">
        <f>HYPERLINK("https://fin.land.naver.com/articles/2653683220", "매물Link")</f>
        <v/>
      </c>
      <c r="M391" s="6">
        <f>HYPERLINK("https://map.naver.com/p/search/고운동 916", "지도Link")</f>
        <v/>
      </c>
      <c r="N391" s="6">
        <f>HYPERLINK("http://www.eum.go.kr/web/ar/lu/luLandDet.jsp?pnu=3611011200109160000&amp;isNoScr=script&amp;mode=search", "토지이음")</f>
        <v/>
      </c>
      <c r="O391" s="3" t="inlineStr">
        <is>
          <t>명진</t>
        </is>
      </c>
      <c r="P391" s="4" t="n">
        <v>1</v>
      </c>
      <c r="Q391" s="4" t="n">
        <v>344.7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916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52000</v>
      </c>
      <c r="G392" s="4" t="n">
        <v>344</v>
      </c>
      <c r="H392" s="4" t="n">
        <v>104</v>
      </c>
      <c r="I392" s="5" t="n">
        <v>500</v>
      </c>
      <c r="J392" s="5" t="n">
        <v>315.1</v>
      </c>
      <c r="K392" s="3" t="inlineStr">
        <is>
          <t>고운동 인프라 활용편한 단독주택지, 입지 좋은 토지</t>
        </is>
      </c>
      <c r="L392" s="6">
        <f>HYPERLINK("https://fin.land.naver.com/articles/2653568386", "매물Link")</f>
        <v/>
      </c>
      <c r="M392" s="6">
        <f>HYPERLINK("https://map.naver.com/p/search/고운동 916", "지도Link")</f>
        <v/>
      </c>
      <c r="N392" s="6">
        <f>HYPERLINK("http://www.eum.go.kr/web/ar/lu/luLandDet.jsp?pnu=3611011200109160000&amp;isNoScr=script&amp;mode=search",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344.7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917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59000</v>
      </c>
      <c r="G393" s="4" t="n">
        <v>332</v>
      </c>
      <c r="H393" s="4" t="n">
        <v>100</v>
      </c>
      <c r="I393" s="5" t="n">
        <v>590</v>
      </c>
      <c r="J393" s="5" t="n">
        <v>328.2</v>
      </c>
      <c r="K393" s="3" t="inlineStr">
        <is>
          <t>삼거리 코너각지, 아파트단지 주변으로 생활 인프라 훌륭함</t>
        </is>
      </c>
      <c r="L393" s="6">
        <f>HYPERLINK("https://fin.land.naver.com/articles/2650428855", "매물Link")</f>
        <v/>
      </c>
      <c r="M393" s="6">
        <f>HYPERLINK("https://map.naver.com/p/search/고운동 917", "지도Link")</f>
        <v/>
      </c>
      <c r="N393" s="6">
        <f>HYPERLINK("http://www.eum.go.kr/web/ar/lu/luLandDet.jsp?pnu=3611011200109170000&amp;isNoScr=script&amp;mode=search",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332.7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소로각지</t>
        </is>
      </c>
    </row>
    <row r="394">
      <c r="A394" s="3" t="inlineStr">
        <is>
          <t>고운동 920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65000</v>
      </c>
      <c r="G394" s="4" t="n">
        <v>352</v>
      </c>
      <c r="H394" s="4" t="n">
        <v>106</v>
      </c>
      <c r="I394" s="5" t="n">
        <v>613.2</v>
      </c>
      <c r="J394" s="5" t="n">
        <v>315.1</v>
      </c>
      <c r="K394" s="3" t="inlineStr">
        <is>
          <t>총 106.8p, 아파트단지 바로 옆, 고운동 단독주택</t>
        </is>
      </c>
      <c r="L394" s="6">
        <f>HYPERLINK("https://fin.land.naver.com/articles/2654924876", "매물Link")</f>
        <v/>
      </c>
      <c r="M394" s="6">
        <f>HYPERLINK("https://map.naver.com/p/search/고운동 920", "지도Link")</f>
        <v/>
      </c>
      <c r="N394" s="6">
        <f>HYPERLINK("http://www.eum.go.kr/web/ar/lu/luLandDet.jsp?pnu=3611011200109200000&amp;isNoScr=script&amp;mode=search",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352.6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920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65000</v>
      </c>
      <c r="G395" s="4" t="n">
        <v>352</v>
      </c>
      <c r="H395" s="4" t="n">
        <v>106</v>
      </c>
      <c r="I395" s="5" t="n">
        <v>613.2</v>
      </c>
      <c r="J395" s="5" t="n">
        <v>315.1</v>
      </c>
      <c r="K395" s="3" t="inlineStr">
        <is>
          <t>총 106.85p, 고운동 공원인근</t>
        </is>
      </c>
      <c r="L395" s="6">
        <f>HYPERLINK("https://fin.land.naver.com/articles/2654715656", "매물Link")</f>
        <v/>
      </c>
      <c r="M395" s="6">
        <f>HYPERLINK("https://map.naver.com/p/search/고운동 920", "지도Link")</f>
        <v/>
      </c>
      <c r="N395" s="6">
        <f>HYPERLINK("http://www.eum.go.kr/web/ar/lu/luLandDet.jsp?pnu=3611011200109200000&amp;isNoScr=script&amp;mode=search",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352.6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65000</v>
      </c>
      <c r="G396" s="4" t="n">
        <v>345</v>
      </c>
      <c r="H396" s="4" t="n">
        <v>104</v>
      </c>
      <c r="I396" s="5" t="n">
        <v>625</v>
      </c>
      <c r="J396" s="5" t="n">
        <v>328.2</v>
      </c>
      <c r="K396" s="3" t="inlineStr">
        <is>
          <t>코너 입주 우수. 남향. 생활 편리.</t>
        </is>
      </c>
      <c r="L396" s="6">
        <f>HYPERLINK("https://fin.land.naver.com/articles/2654849383", "매물Link")</f>
        <v/>
      </c>
      <c r="M396" s="6">
        <f>HYPERLINK("https://map.naver.com/p/search/고운동 927", "지도Link")</f>
        <v/>
      </c>
      <c r="N396" s="6">
        <f>HYPERLINK("http://www.eum.go.kr/web/ar/lu/luLandDet.jsp?pnu=3611011200109270000&amp;isNoScr=script&amp;mode=search", "토지이음")</f>
        <v/>
      </c>
      <c r="O396" s="3" t="inlineStr">
        <is>
          <t>세종썬사사무소</t>
        </is>
      </c>
      <c r="P396" s="4" t="n">
        <v>2</v>
      </c>
      <c r="Q396" s="4" t="n">
        <v>344.9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소로각지</t>
        </is>
      </c>
    </row>
    <row r="397">
      <c r="A397" s="3" t="inlineStr">
        <is>
          <t>고운동 935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360</v>
      </c>
      <c r="H397" s="4" t="n">
        <v>109</v>
      </c>
      <c r="I397" s="5" t="n">
        <v>633</v>
      </c>
      <c r="J397" s="5" t="n">
        <v>315.1</v>
      </c>
      <c r="K397" s="3" t="inlineStr">
        <is>
          <t>학교 상가 대중교통이용편리,지하벙커주차장가능,측량완료</t>
        </is>
      </c>
      <c r="L397" s="6">
        <f>HYPERLINK("https://fin.land.naver.com/articles/2650885657", "매물Link")</f>
        <v/>
      </c>
      <c r="M397" s="6">
        <f>HYPERLINK("https://map.naver.com/p/search/고운동 935", "지도Link")</f>
        <v/>
      </c>
      <c r="N397" s="6">
        <f>HYPERLINK("http://www.eum.go.kr/web/ar/lu/luLandDet.jsp?pnu=3611011200109350000&amp;isNoScr=script&amp;mode=search", "토지이음")</f>
        <v/>
      </c>
      <c r="O397" s="3" t="inlineStr">
        <is>
          <t>세종제일</t>
        </is>
      </c>
      <c r="P397" s="4" t="n">
        <v>1</v>
      </c>
      <c r="Q397" s="4" t="n">
        <v>360.1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935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69000</v>
      </c>
      <c r="G398" s="4" t="n">
        <v>360</v>
      </c>
      <c r="H398" s="4" t="n">
        <v>109</v>
      </c>
      <c r="I398" s="5" t="n">
        <v>633</v>
      </c>
      <c r="J398" s="5" t="n">
        <v>315.1</v>
      </c>
      <c r="K398" s="3" t="inlineStr">
        <is>
          <t>명성공인, 고운동 18단지 옆 단독주택부지, 벙커주차장가능 추천 매물</t>
        </is>
      </c>
      <c r="L398" s="6">
        <f>HYPERLINK("https://fin.land.naver.com/articles/2654058087", "매물Link")</f>
        <v/>
      </c>
      <c r="M398" s="6">
        <f>HYPERLINK("https://map.naver.com/p/search/고운동 935", "지도Link")</f>
        <v/>
      </c>
      <c r="N398" s="6">
        <f>HYPERLINK("http://www.eum.go.kr/web/ar/lu/luLandDet.jsp?pnu=3611011200109350000&amp;isNoScr=script&amp;mode=search", "토지이음")</f>
        <v/>
      </c>
      <c r="O398" s="3" t="inlineStr">
        <is>
          <t>명성</t>
        </is>
      </c>
      <c r="P398" s="4" t="n">
        <v>4</v>
      </c>
      <c r="Q398" s="4" t="n">
        <v>360.1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고운동 935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69000</v>
      </c>
      <c r="G399" s="4" t="n">
        <v>360</v>
      </c>
      <c r="H399" s="4" t="n">
        <v>109</v>
      </c>
      <c r="I399" s="5" t="n">
        <v>633</v>
      </c>
      <c r="J399" s="5" t="n">
        <v>315.1</v>
      </c>
      <c r="K399" s="3" t="inlineStr">
        <is>
          <t>도로에서단차가있는토지로벙커주차장가능한귀한땅,측량완료,상가,학교가까움</t>
        </is>
      </c>
      <c r="L399" s="6">
        <f>HYPERLINK("https://fin.land.naver.com/articles/2654061300", "매물Link")</f>
        <v/>
      </c>
      <c r="M399" s="6">
        <f>HYPERLINK("https://map.naver.com/p/search/고운동 935", "지도Link")</f>
        <v/>
      </c>
      <c r="N399" s="6">
        <f>HYPERLINK("http://www.eum.go.kr/web/ar/lu/luLandDet.jsp?pnu=3611011200109350000&amp;isNoScr=script&amp;mode=search", "토지이음")</f>
        <v/>
      </c>
      <c r="O399" s="3" t="inlineStr">
        <is>
          <t>김하나</t>
        </is>
      </c>
      <c r="P399" s="4" t="n">
        <v>1</v>
      </c>
      <c r="Q399" s="4" t="n">
        <v>360.1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고운동 951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364</v>
      </c>
      <c r="H400" s="4" t="n">
        <v>110</v>
      </c>
      <c r="I400" s="5" t="n">
        <v>545.5</v>
      </c>
      <c r="J400" s="5" t="n">
        <v>358.7</v>
      </c>
      <c r="K400" s="3" t="inlineStr">
        <is>
          <t>접근성 좋은 위치, 고운동 북측 상권 이용 편리, 초중고 도보이용</t>
        </is>
      </c>
      <c r="L400" s="6">
        <f>HYPERLINK("https://fin.land.naver.com/articles/2653917538", "매물Link")</f>
        <v/>
      </c>
      <c r="M400" s="6">
        <f>HYPERLINK("https://map.naver.com/p/search/고운동 951", "지도Link")</f>
        <v/>
      </c>
      <c r="N400" s="6">
        <f>HYPERLINK("http://www.eum.go.kr/web/ar/lu/luLandDet.jsp?pnu=3611011200109510000&amp;isNoScr=script&amp;mode=search", "토지이음")</f>
        <v/>
      </c>
      <c r="O400" s="3" t="inlineStr">
        <is>
          <t>현대파라곤</t>
        </is>
      </c>
      <c r="P400" s="4" t="n">
        <v>3</v>
      </c>
      <c r="Q400" s="4" t="n">
        <v>364.1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고운동 954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367</v>
      </c>
      <c r="H401" s="4" t="n">
        <v>111</v>
      </c>
      <c r="I401" s="5" t="n">
        <v>540.5</v>
      </c>
      <c r="J401" s="5" t="n">
        <v>358.7</v>
      </c>
      <c r="K401" s="3" t="inlineStr">
        <is>
          <t>지대높아 전망좋은 토지</t>
        </is>
      </c>
      <c r="L401" s="6">
        <f>HYPERLINK("https://fin.land.naver.com/articles/2649578017", "매물Link")</f>
        <v/>
      </c>
      <c r="M401" s="6">
        <f>HYPERLINK("https://map.naver.com/p/search/고운동 954", "지도Link")</f>
        <v/>
      </c>
      <c r="N401" s="6">
        <f>HYPERLINK("http://www.eum.go.kr/web/ar/lu/luLandDet.jsp?pnu=3611011200109540000&amp;isNoScr=script&amp;mode=search", "토지이음")</f>
        <v/>
      </c>
      <c r="O401" s="3" t="inlineStr">
        <is>
          <t>킹세종</t>
        </is>
      </c>
      <c r="P401" s="4" t="n">
        <v>1</v>
      </c>
      <c r="Q401" s="4" t="n">
        <v>367.1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중로각지</t>
        </is>
      </c>
    </row>
    <row r="402">
      <c r="A402" s="3" t="inlineStr">
        <is>
          <t>고운동 954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367</v>
      </c>
      <c r="H402" s="4" t="n">
        <v>111</v>
      </c>
      <c r="I402" s="5" t="n">
        <v>540.5</v>
      </c>
      <c r="J402" s="5" t="n">
        <v>358.7</v>
      </c>
      <c r="K402" s="3" t="inlineStr">
        <is>
          <t>급매,넓은평수,복합커뮤니티센터,항아리중심상권 생활권 편리</t>
        </is>
      </c>
      <c r="L402" s="6">
        <f>HYPERLINK("https://fin.land.naver.com/articles/2650851671", "매물Link")</f>
        <v/>
      </c>
      <c r="M402" s="6">
        <f>HYPERLINK("https://map.naver.com/p/search/고운동 954", "지도Link")</f>
        <v/>
      </c>
      <c r="N402" s="6">
        <f>HYPERLINK("http://www.eum.go.kr/web/ar/lu/luLandDet.jsp?pnu=3611011200109540000&amp;isNoScr=script&amp;mode=search", "토지이음")</f>
        <v/>
      </c>
      <c r="O402" s="3" t="inlineStr">
        <is>
          <t>고운맘</t>
        </is>
      </c>
      <c r="P402" s="4" t="n">
        <v>1</v>
      </c>
      <c r="Q402" s="4" t="n">
        <v>367.1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고운동 954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367</v>
      </c>
      <c r="H403" s="4" t="n">
        <v>111</v>
      </c>
      <c r="I403" s="5" t="n">
        <v>540.5</v>
      </c>
      <c r="J403" s="5" t="n">
        <v>358.7</v>
      </c>
      <c r="K403" s="3" t="inlineStr">
        <is>
          <t>111.2p, 최대 조율가능한 대형평형 토지매매</t>
        </is>
      </c>
      <c r="L403" s="6">
        <f>HYPERLINK("https://fin.land.naver.com/articles/2649610616", "매물Link")</f>
        <v/>
      </c>
      <c r="M403" s="6">
        <f>HYPERLINK("https://map.naver.com/p/search/고운동 954", "지도Link")</f>
        <v/>
      </c>
      <c r="N403" s="6">
        <f>HYPERLINK("http://www.eum.go.kr/web/ar/lu/luLandDet.jsp?pnu=3611011200109540000&amp;isNoScr=script&amp;mode=search",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367.1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중로각지</t>
        </is>
      </c>
    </row>
    <row r="404">
      <c r="A404" s="3" t="inlineStr">
        <is>
          <t>고운동 954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366</v>
      </c>
      <c r="H404" s="4" t="n">
        <v>111</v>
      </c>
      <c r="I404" s="5" t="n">
        <v>540.5</v>
      </c>
      <c r="J404" s="5" t="n">
        <v>358.7</v>
      </c>
      <c r="K404" s="3" t="inlineStr">
        <is>
          <t>고운동 단독주택지, 최대 조율가능, 입지 좋은 넓은 평형</t>
        </is>
      </c>
      <c r="L404" s="6">
        <f>HYPERLINK("https://fin.land.naver.com/articles/2653682839", "매물Link")</f>
        <v/>
      </c>
      <c r="M404" s="6">
        <f>HYPERLINK("https://map.naver.com/p/search/고운동 954", "지도Link")</f>
        <v/>
      </c>
      <c r="N404" s="6">
        <f>HYPERLINK("http://www.eum.go.kr/web/ar/lu/luLandDet.jsp?pnu=3611011200109540000&amp;isNoScr=script&amp;mode=search", "토지이음")</f>
        <v/>
      </c>
      <c r="O404" s="3" t="inlineStr">
        <is>
          <t>명진</t>
        </is>
      </c>
      <c r="P404" s="4" t="n">
        <v>1</v>
      </c>
      <c r="Q404" s="4" t="n">
        <v>367.1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969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62000</v>
      </c>
      <c r="G405" s="4" t="n">
        <v>347</v>
      </c>
      <c r="H405" s="4" t="n">
        <v>105</v>
      </c>
      <c r="I405" s="5" t="n">
        <v>590.5</v>
      </c>
      <c r="J405" s="5" t="n">
        <v>329.9</v>
      </c>
      <c r="K405" s="3" t="inlineStr">
        <is>
          <t>코너각지,복합커뮤니티센터,항아리중심상권 생활권 편리,가격조정가능</t>
        </is>
      </c>
      <c r="L405" s="6">
        <f>HYPERLINK("https://fin.land.naver.com/articles/2650947653", "매물Link")</f>
        <v/>
      </c>
      <c r="M405" s="6">
        <f>HYPERLINK("https://map.naver.com/p/search/고운동 969", "지도Link")</f>
        <v/>
      </c>
      <c r="N405" s="6">
        <f>HYPERLINK("http://www.eum.go.kr/web/ar/lu/luLandDet.jsp?pnu=3611011200109690000&amp;isNoScr=script&amp;mode=search", "토지이음")</f>
        <v/>
      </c>
      <c r="O405" s="3" t="inlineStr">
        <is>
          <t>고운맘</t>
        </is>
      </c>
      <c r="P405" s="4" t="n">
        <v>1</v>
      </c>
      <c r="Q405" s="4" t="n">
        <v>347.6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소로각지</t>
        </is>
      </c>
    </row>
    <row r="406">
      <c r="A406" s="3" t="inlineStr">
        <is>
          <t>고운동 969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62000</v>
      </c>
      <c r="G406" s="4" t="n">
        <v>347</v>
      </c>
      <c r="H406" s="4" t="n">
        <v>105</v>
      </c>
      <c r="I406" s="5" t="n">
        <v>590.5</v>
      </c>
      <c r="J406" s="5" t="n">
        <v>329.9</v>
      </c>
      <c r="K406" s="3" t="inlineStr">
        <is>
          <t>삼거리 코너 각지, 입지 좋은 토지매매</t>
        </is>
      </c>
      <c r="L406" s="6">
        <f>HYPERLINK("https://fin.land.naver.com/articles/2651188999", "매물Link")</f>
        <v/>
      </c>
      <c r="M406" s="6">
        <f>HYPERLINK("https://map.naver.com/p/search/고운동 969", "지도Link")</f>
        <v/>
      </c>
      <c r="N406" s="6">
        <f>HYPERLINK("http://www.eum.go.kr/web/ar/lu/luLandDet.jsp?pnu=3611011200109690000&amp;isNoScr=script&amp;mode=search",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347.6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사다리형</t>
        </is>
      </c>
      <c r="V406" s="3" t="inlineStr">
        <is>
          <t>소로각지</t>
        </is>
      </c>
    </row>
    <row r="407">
      <c r="A407" s="3" t="inlineStr">
        <is>
          <t>고운동 969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345</v>
      </c>
      <c r="H407" s="4" t="n">
        <v>104</v>
      </c>
      <c r="I407" s="5" t="n">
        <v>596.2</v>
      </c>
      <c r="J407" s="5" t="n">
        <v>329.9</v>
      </c>
      <c r="K407" s="3" t="inlineStr">
        <is>
          <t>입지 좋은 고운동 토지매매, 코너 각지 위치</t>
        </is>
      </c>
      <c r="L407" s="6">
        <f>HYPERLINK("https://fin.land.naver.com/articles/2651905795", "매물Link")</f>
        <v/>
      </c>
      <c r="M407" s="6">
        <f>HYPERLINK("https://map.naver.com/p/search/고운동 969", "지도Link")</f>
        <v/>
      </c>
      <c r="N407" s="6">
        <f>HYPERLINK("http://www.eum.go.kr/web/ar/lu/luLandDet.jsp?pnu=3611011200109690000&amp;isNoScr=script&amp;mode=search",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347.6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사다리형</t>
        </is>
      </c>
      <c r="V407" s="3" t="inlineStr">
        <is>
          <t>소로각지</t>
        </is>
      </c>
    </row>
    <row r="408">
      <c r="A408" s="3" t="inlineStr">
        <is>
          <t>고운동 974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362</v>
      </c>
      <c r="H408" s="4" t="n">
        <v>110</v>
      </c>
      <c r="I408" s="5" t="n">
        <v>545.5</v>
      </c>
      <c r="J408" s="5" t="n">
        <v>329.9</v>
      </c>
      <c r="K408" s="3" t="inlineStr">
        <is>
          <t>코너각지   편의시설가까운 좋은위치   가격조율가능</t>
        </is>
      </c>
      <c r="L408" s="6">
        <f>HYPERLINK("https://fin.land.naver.com/articles/2655246785", "매물Link")</f>
        <v/>
      </c>
      <c r="M408" s="6">
        <f>HYPERLINK("https://map.naver.com/p/search/고운동 974", "지도Link")</f>
        <v/>
      </c>
      <c r="N408" s="6">
        <f>HYPERLINK("http://www.eum.go.kr/web/ar/lu/luLandDet.jsp?pnu=3611011200109740000&amp;isNoScr=script&amp;mode=search", "토지이음")</f>
        <v/>
      </c>
      <c r="O408" s="3" t="inlineStr">
        <is>
          <t>고운힐스테이트</t>
        </is>
      </c>
      <c r="P408" s="4" t="n">
        <v>2</v>
      </c>
      <c r="Q408" s="4" t="n">
        <v>362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사다리형</t>
        </is>
      </c>
      <c r="V408" s="3" t="inlineStr">
        <is>
          <t>소로각지</t>
        </is>
      </c>
    </row>
    <row r="409">
      <c r="A409" s="3" t="inlineStr">
        <is>
          <t>고운동 976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57000</v>
      </c>
      <c r="G409" s="4" t="n">
        <v>375</v>
      </c>
      <c r="H409" s="4" t="n">
        <v>113</v>
      </c>
      <c r="I409" s="5" t="n">
        <v>504.4</v>
      </c>
      <c r="J409" s="5" t="n">
        <v>317.5</v>
      </c>
      <c r="K409" s="3" t="inlineStr">
        <is>
          <t>면적 넓고 지대 높고 조용한 토지매매, 114p, 조율도 가능</t>
        </is>
      </c>
      <c r="L409" s="6">
        <f>HYPERLINK("https://fin.land.naver.com/articles/2654858452", "매물Link")</f>
        <v/>
      </c>
      <c r="M409" s="6">
        <f>HYPERLINK("https://map.naver.com/p/search/고운동 976", "지도Link")</f>
        <v/>
      </c>
      <c r="N409" s="6">
        <f>HYPERLINK("http://www.eum.go.kr/web/ar/lu/luLandDet.jsp?pnu=3611011200109760000&amp;isNoScr=script&amp;mode=search",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375.9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고운동 976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60000</v>
      </c>
      <c r="G410" s="4" t="n">
        <v>375</v>
      </c>
      <c r="H410" s="4" t="n">
        <v>113</v>
      </c>
      <c r="I410" s="5" t="n">
        <v>531</v>
      </c>
      <c r="J410" s="5" t="n">
        <v>317.5</v>
      </c>
      <c r="K410" s="3" t="inlineStr">
        <is>
          <t>nan</t>
        </is>
      </c>
      <c r="L410" s="6">
        <f>HYPERLINK("https://fin.land.naver.com/articles/2651977335", "매물Link")</f>
        <v/>
      </c>
      <c r="M410" s="6">
        <f>HYPERLINK("https://map.naver.com/p/search/고운동 976", "지도Link")</f>
        <v/>
      </c>
      <c r="N410" s="6">
        <f>HYPERLINK("http://www.eum.go.kr/web/ar/lu/luLandDet.jsp?pnu=3611011200109760000&amp;isNoScr=script&amp;mode=search", "토지이음")</f>
        <v/>
      </c>
      <c r="O410" s="3" t="inlineStr">
        <is>
          <t>세종올리브</t>
        </is>
      </c>
      <c r="P410" s="4" t="n">
        <v>2</v>
      </c>
      <c r="Q410" s="4" t="n">
        <v>375.9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소로한면</t>
        </is>
      </c>
    </row>
    <row r="411">
      <c r="A411" s="3" t="inlineStr">
        <is>
          <t>고운동 978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70000</v>
      </c>
      <c r="G411" s="4" t="n">
        <v>332</v>
      </c>
      <c r="H411" s="4" t="n">
        <v>100</v>
      </c>
      <c r="I411" s="5" t="n">
        <v>700</v>
      </c>
      <c r="J411" s="5" t="n">
        <v>358.7</v>
      </c>
      <c r="K411" s="3" t="inlineStr">
        <is>
          <t>세종시 고운동 주택지 매매</t>
        </is>
      </c>
      <c r="L411" s="6">
        <f>HYPERLINK("https://fin.land.naver.com/articles/2653862784", "매물Link")</f>
        <v/>
      </c>
      <c r="M411" s="6">
        <f>HYPERLINK("https://map.naver.com/p/search/고운동 978", "지도Link")</f>
        <v/>
      </c>
      <c r="N411" s="6">
        <f>HYPERLINK("http://www.eum.go.kr/web/ar/lu/luLandDet.jsp?pnu=3611011200109780000&amp;isNoScr=script&amp;mode=search", "토지이음")</f>
        <v/>
      </c>
      <c r="O411" s="3" t="inlineStr">
        <is>
          <t>길운</t>
        </is>
      </c>
      <c r="P411" s="4" t="n">
        <v>1</v>
      </c>
      <c r="Q411" s="4" t="n">
        <v>332.8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중로각지</t>
        </is>
      </c>
    </row>
    <row r="412">
      <c r="A412" s="3" t="inlineStr">
        <is>
          <t>고운동 984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69000</v>
      </c>
      <c r="G412" s="4" t="n">
        <v>338</v>
      </c>
      <c r="H412" s="4" t="n">
        <v>102</v>
      </c>
      <c r="I412" s="5" t="n">
        <v>676.5</v>
      </c>
      <c r="J412" s="5" t="n">
        <v>317.5</v>
      </c>
      <c r="K412" s="3" t="inlineStr">
        <is>
          <t>nan</t>
        </is>
      </c>
      <c r="L412" s="6">
        <f>HYPERLINK("https://fin.land.naver.com/articles/2651027546", "매물Link")</f>
        <v/>
      </c>
      <c r="M412" s="6">
        <f>HYPERLINK("https://map.naver.com/p/search/고운동 984", "지도Link")</f>
        <v/>
      </c>
      <c r="N412" s="6">
        <f>HYPERLINK("http://www.eum.go.kr/web/ar/lu/luLandDet.jsp?pnu=3611011200109840000&amp;isNoScr=script&amp;mode=search",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338.6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고운동 994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57000</v>
      </c>
      <c r="G413" s="4" t="n">
        <v>359</v>
      </c>
      <c r="H413" s="4" t="n">
        <v>109</v>
      </c>
      <c r="I413" s="5" t="n">
        <v>522.9</v>
      </c>
      <c r="J413" s="5" t="n">
        <v>358.7</v>
      </c>
      <c r="K413" s="3" t="inlineStr">
        <is>
          <t>nan</t>
        </is>
      </c>
      <c r="L413" s="6">
        <f>HYPERLINK("https://fin.land.naver.com/articles/2651029069", "매물Link")</f>
        <v/>
      </c>
      <c r="M413" s="6">
        <f>HYPERLINK("https://map.naver.com/p/search/고운동 994", "지도Link")</f>
        <v/>
      </c>
      <c r="N413" s="6">
        <f>HYPERLINK("http://www.eum.go.kr/web/ar/lu/luLandDet.jsp?pnu=3611011200109940000&amp;isNoScr=script&amp;mode=search",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359.7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중로각지</t>
        </is>
      </c>
    </row>
    <row r="414">
      <c r="A414" s="3" t="inlineStr">
        <is>
          <t>고운동 994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57000</v>
      </c>
      <c r="G414" s="4" t="n">
        <v>359</v>
      </c>
      <c r="H414" s="4" t="n">
        <v>109</v>
      </c>
      <c r="I414" s="5" t="n">
        <v>522.9</v>
      </c>
      <c r="J414" s="5" t="n">
        <v>358.7</v>
      </c>
      <c r="K414" s="3" t="inlineStr">
        <is>
          <t>코너각지  학교 근린생활시설 가까운 토지</t>
        </is>
      </c>
      <c r="L414" s="6">
        <f>HYPERLINK("https://fin.land.naver.com/articles/2654597621", "매물Link")</f>
        <v/>
      </c>
      <c r="M414" s="6">
        <f>HYPERLINK("https://map.naver.com/p/search/고운동 994", "지도Link")</f>
        <v/>
      </c>
      <c r="N414" s="6">
        <f>HYPERLINK("http://www.eum.go.kr/web/ar/lu/luLandDet.jsp?pnu=3611011200109940000&amp;isNoScr=script&amp;mode=search", "토지이음")</f>
        <v/>
      </c>
      <c r="O414" s="3" t="inlineStr">
        <is>
          <t>고운힐스테이트</t>
        </is>
      </c>
      <c r="P414" s="4" t="n">
        <v>4</v>
      </c>
      <c r="Q414" s="4" t="n">
        <v>359.7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중로각지</t>
        </is>
      </c>
    </row>
    <row r="415">
      <c r="A415" s="3" t="inlineStr">
        <is>
          <t>남이면 가마리 146-1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전</t>
        </is>
      </c>
      <c r="E415" s="3" t="inlineStr">
        <is>
          <t>매매</t>
        </is>
      </c>
      <c r="F415" s="4" t="n">
        <v>300000</v>
      </c>
      <c r="G415" s="4" t="n">
        <v>3752</v>
      </c>
      <c r="H415" s="4" t="n">
        <v>1135</v>
      </c>
      <c r="I415" s="5" t="n">
        <v>264.3</v>
      </c>
      <c r="J415" s="5" t="n">
        <v>96.40000000000001</v>
      </c>
      <c r="K415" s="3" t="inlineStr">
        <is>
          <t>4차선접토지.산남동 아파트단지인근</t>
        </is>
      </c>
      <c r="L415" s="6">
        <f>HYPERLINK("https://fin.land.naver.com/articles/2654609968", "매물Link")</f>
        <v/>
      </c>
      <c r="M415" s="6">
        <f>HYPERLINK("https://map.naver.com/p/search/남이면 가마리 146-1", "지도Link")</f>
        <v/>
      </c>
      <c r="N415" s="6">
        <f>HYPERLINK("http://www.eum.go.kr/web/ar/lu/luLandDet.jsp?pnu=4311231038101460001&amp;isNoScr=script&amp;mode=search", "토지이음")</f>
        <v/>
      </c>
      <c r="O415" s="3" t="inlineStr">
        <is>
          <t>둥지</t>
        </is>
      </c>
      <c r="P415" s="4" t="n">
        <v>2</v>
      </c>
      <c r="Q415" s="4" t="n">
        <v>3352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가마리 148-1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105000</v>
      </c>
      <c r="G416" s="4" t="n">
        <v>866</v>
      </c>
      <c r="H416" s="4" t="n">
        <v>262</v>
      </c>
      <c r="I416" s="5" t="n">
        <v>400.8</v>
      </c>
      <c r="J416" s="5" t="n">
        <v>113.5</v>
      </c>
      <c r="K416" s="3" t="inlineStr">
        <is>
          <t>가마리 4차선 대로변 토지매매</t>
        </is>
      </c>
      <c r="L416" s="6">
        <f>HYPERLINK("https://fin.land.naver.com/articles/2651766992", "매물Link")</f>
        <v/>
      </c>
      <c r="M416" s="6">
        <f>HYPERLINK("https://map.naver.com/p/search/남이면 가마리 148-1", "지도Link")</f>
        <v/>
      </c>
      <c r="N416" s="6">
        <f>HYPERLINK("http://www.eum.go.kr/web/ar/lu/luLandDet.jsp?pnu=4311231038101480001&amp;isNoScr=script&amp;mode=search", "토지이음")</f>
        <v/>
      </c>
      <c r="O416" s="3" t="inlineStr">
        <is>
          <t>한아름</t>
        </is>
      </c>
      <c r="P416" s="4" t="n">
        <v>1</v>
      </c>
      <c r="Q416" s="4" t="n">
        <v>781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중로한면</t>
        </is>
      </c>
    </row>
    <row r="417">
      <c r="A417" s="3" t="inlineStr">
        <is>
          <t>남이면 가마리 149-1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220000</v>
      </c>
      <c r="G417" s="4" t="n">
        <v>2103</v>
      </c>
      <c r="H417" s="4" t="n">
        <v>636</v>
      </c>
      <c r="I417" s="5" t="n">
        <v>345.9</v>
      </c>
      <c r="J417" s="5" t="n">
        <v>168.3</v>
      </c>
      <c r="K417" s="3" t="inlineStr">
        <is>
          <t>현재 화훼농원이며 건물신축 최적지</t>
        </is>
      </c>
      <c r="L417" s="6">
        <f>HYPERLINK("https://fin.land.naver.com/articles/2653881055", "매물Link")</f>
        <v/>
      </c>
      <c r="M417" s="6">
        <f>HYPERLINK("https://map.naver.com/p/search/남이면 가마리 149-1", "지도Link")</f>
        <v/>
      </c>
      <c r="N417" s="6">
        <f>HYPERLINK("http://www.eum.go.kr/web/ar/lu/luLandDet.jsp?pnu=4311231038101490001&amp;isNoScr=script&amp;mode=search", "토지이음")</f>
        <v/>
      </c>
      <c r="O417" s="3" t="inlineStr">
        <is>
          <t>산들</t>
        </is>
      </c>
      <c r="P417" s="4" t="n">
        <v>1</v>
      </c>
      <c r="Q417" s="4" t="n">
        <v>645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156</t>
        </is>
      </c>
      <c r="B418" s="3" t="inlineStr">
        <is>
          <t>자연녹지지역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250000</v>
      </c>
      <c r="G418" s="4" t="n">
        <v>5481</v>
      </c>
      <c r="H418" s="4" t="n">
        <v>1658</v>
      </c>
      <c r="I418" s="5" t="n">
        <v>150.8</v>
      </c>
      <c r="J418" s="5" t="n">
        <v>69.3</v>
      </c>
      <c r="K418" s="3" t="inlineStr">
        <is>
          <t>남이면 가마리에 위치한 토지 매매</t>
        </is>
      </c>
      <c r="L418" s="6">
        <f>HYPERLINK("https://fin.land.naver.com/articles/2651761333", "매물Link")</f>
        <v/>
      </c>
      <c r="M418" s="6">
        <f>HYPERLINK("https://map.naver.com/p/search/남이면 가마리 156", "지도Link")</f>
        <v/>
      </c>
      <c r="N418" s="6">
        <f>HYPERLINK("http://www.eum.go.kr/web/ar/lu/luLandDet.jsp?pnu=4311231038101560000&amp;isNoScr=script&amp;mode=search", "토지이음")</f>
        <v/>
      </c>
      <c r="O418" s="3" t="inlineStr">
        <is>
          <t>대지</t>
        </is>
      </c>
      <c r="P418" s="4" t="n">
        <v>1</v>
      </c>
      <c r="Q418" s="4" t="n">
        <v>2446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160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대</t>
        </is>
      </c>
      <c r="E419" s="3" t="inlineStr">
        <is>
          <t>매매</t>
        </is>
      </c>
      <c r="F419" s="4" t="n">
        <v>67000</v>
      </c>
      <c r="G419" s="4" t="n">
        <v>1124</v>
      </c>
      <c r="H419" s="4" t="n">
        <v>340</v>
      </c>
      <c r="I419" s="5" t="n">
        <v>197.1</v>
      </c>
      <c r="J419" s="5" t="n">
        <v>58.5</v>
      </c>
      <c r="K419" s="3" t="inlineStr">
        <is>
          <t>남이면 2순환로 인근, 토목완료, 2종근생가능, 제조업 창고 건축 용도</t>
        </is>
      </c>
      <c r="L419" s="6">
        <f>HYPERLINK("https://fin.land.naver.com/articles/2649540693", "매물Link")</f>
        <v/>
      </c>
      <c r="M419" s="6">
        <f>HYPERLINK("https://map.naver.com/p/search/남이면 가마리 160", "지도Link")</f>
        <v/>
      </c>
      <c r="N419" s="6">
        <f>HYPERLINK("http://www.eum.go.kr/web/ar/lu/luLandDet.jsp?pnu=4311231038101600000&amp;isNoScr=script&amp;mode=search", "토지이음")</f>
        <v/>
      </c>
      <c r="O419" s="3" t="inlineStr">
        <is>
          <t>라인</t>
        </is>
      </c>
      <c r="P419" s="4" t="n">
        <v>1</v>
      </c>
      <c r="Q419" s="4" t="n">
        <v>2787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남이면 가마리 160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공장용지</t>
        </is>
      </c>
      <c r="E420" s="3" t="inlineStr">
        <is>
          <t>매매</t>
        </is>
      </c>
      <c r="F420" s="4" t="n">
        <v>67000</v>
      </c>
      <c r="G420" s="4" t="n">
        <v>1104</v>
      </c>
      <c r="H420" s="4" t="n">
        <v>334</v>
      </c>
      <c r="I420" s="5" t="n">
        <v>200.6</v>
      </c>
      <c r="J420" s="5" t="n">
        <v>58.5</v>
      </c>
      <c r="K420" s="3" t="inlineStr">
        <is>
          <t>사진 有, 토목공사 일부 완료된 공장용지 334형 매매</t>
        </is>
      </c>
      <c r="L420" s="6">
        <f>HYPERLINK("https://fin.land.naver.com/articles/2651813817", "매물Link")</f>
        <v/>
      </c>
      <c r="M420" s="6">
        <f>HYPERLINK("https://map.naver.com/p/search/남이면 가마리 160", "지도Link")</f>
        <v/>
      </c>
      <c r="N420" s="6">
        <f>HYPERLINK("http://www.eum.go.kr/web/ar/lu/luLandDet.jsp?pnu=4311231038101600000&amp;isNoScr=script&amp;mode=search", "토지이음")</f>
        <v/>
      </c>
      <c r="O420" s="3" t="inlineStr">
        <is>
          <t>태성</t>
        </is>
      </c>
      <c r="P420" s="4" t="n">
        <v>1</v>
      </c>
      <c r="Q420" s="4" t="n">
        <v>2787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168</t>
        </is>
      </c>
      <c r="B421" s="3" t="inlineStr">
        <is>
          <t>자연녹지지역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48000</v>
      </c>
      <c r="G421" s="4" t="n">
        <v>1223</v>
      </c>
      <c r="H421" s="4" t="n">
        <v>370</v>
      </c>
      <c r="I421" s="5" t="n">
        <v>129.7</v>
      </c>
      <c r="J421" s="5" t="n">
        <v>46.8</v>
      </c>
      <c r="K421" s="3" t="inlineStr">
        <is>
          <t>자연녹지, 가마리 경지좋고 공기 좋아요, 주말농장으로 강추입니다.</t>
        </is>
      </c>
      <c r="L421" s="6">
        <f>HYPERLINK("https://fin.land.naver.com/articles/2654786841", "매물Link")</f>
        <v/>
      </c>
      <c r="M421" s="6">
        <f>HYPERLINK("https://map.naver.com/p/search/남이면 가마리 168", "지도Link")</f>
        <v/>
      </c>
      <c r="N421" s="6">
        <f>HYPERLINK("http://www.eum.go.kr/web/ar/lu/luLandDet.jsp?pnu=4311231038101680000&amp;isNoScr=script&amp;mode=search",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1223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168-3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47250</v>
      </c>
      <c r="G422" s="4" t="n">
        <v>1041</v>
      </c>
      <c r="H422" s="4" t="n">
        <v>315</v>
      </c>
      <c r="I422" s="5" t="n">
        <v>150</v>
      </c>
      <c r="J422" s="5" t="n">
        <v>46.8</v>
      </c>
      <c r="K422" s="3" t="inlineStr">
        <is>
          <t>투자용 농지로 추천드리며,도로접해있고 옆에 개울도 있습니다</t>
        </is>
      </c>
      <c r="L422" s="6">
        <f>HYPERLINK("https://fin.land.naver.com/articles/2653080924", "매물Link")</f>
        <v/>
      </c>
      <c r="M422" s="6">
        <f>HYPERLINK("https://map.naver.com/p/search/남이면 가마리 168-3", "지도Link")</f>
        <v/>
      </c>
      <c r="N422" s="6">
        <f>HYPERLINK("http://www.eum.go.kr/web/ar/lu/luLandDet.jsp?pnu=4311231038101680003&amp;isNoScr=script&amp;mode=search", "토지이음")</f>
        <v/>
      </c>
      <c r="O422" s="3" t="inlineStr">
        <is>
          <t>대성합동사무소</t>
        </is>
      </c>
      <c r="P422" s="4" t="n">
        <v>1</v>
      </c>
      <c r="Q422" s="4" t="n">
        <v>1041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남이면 가마리 180-2</t>
        </is>
      </c>
      <c r="B423" s="3" t="inlineStr">
        <is>
          <t>자연녹지지역</t>
        </is>
      </c>
      <c r="C423" s="3" t="inlineStr">
        <is>
          <t>답</t>
        </is>
      </c>
      <c r="D423" s="3" t="inlineStr">
        <is>
          <t>전</t>
        </is>
      </c>
      <c r="E423" s="3" t="inlineStr">
        <is>
          <t>매매</t>
        </is>
      </c>
      <c r="F423" s="4" t="n">
        <v>49100</v>
      </c>
      <c r="G423" s="4" t="n">
        <v>2701</v>
      </c>
      <c r="H423" s="4" t="n">
        <v>817</v>
      </c>
      <c r="I423" s="5" t="n">
        <v>60.1</v>
      </c>
      <c r="J423" s="5" t="n">
        <v>48.1</v>
      </c>
      <c r="K423" s="3" t="inlineStr">
        <is>
          <t>진입도로 있어  경작하기 좋습니다.</t>
        </is>
      </c>
      <c r="L423" s="6">
        <f>HYPERLINK("https://fin.land.naver.com/articles/2653260647", "매물Link")</f>
        <v/>
      </c>
      <c r="M423" s="6">
        <f>HYPERLINK("https://map.naver.com/p/search/남이면 가마리 180-2", "지도Link")</f>
        <v/>
      </c>
      <c r="N423" s="6">
        <f>HYPERLINK("http://www.eum.go.kr/web/ar/lu/luLandDet.jsp?pnu=4311231038101800002&amp;isNoScr=script&amp;mode=search", "토지이음")</f>
        <v/>
      </c>
      <c r="O423" s="3" t="inlineStr">
        <is>
          <t>파트너아이파크</t>
        </is>
      </c>
      <c r="P423" s="4" t="n">
        <v>1</v>
      </c>
      <c r="Q423" s="4" t="n">
        <v>2701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182-2</t>
        </is>
      </c>
      <c r="B424" s="3" t="inlineStr">
        <is>
          <t>보전녹지지역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29000</v>
      </c>
      <c r="G424" s="4" t="n">
        <v>1157</v>
      </c>
      <c r="H424" s="4" t="n">
        <v>350</v>
      </c>
      <c r="I424" s="5" t="n">
        <v>82.90000000000001</v>
      </c>
      <c r="J424" s="5" t="n">
        <v>26.1</v>
      </c>
      <c r="K424" s="3" t="inlineStr">
        <is>
          <t>2순환도로 가마삼거리에서 가까운 전원주택지</t>
        </is>
      </c>
      <c r="L424" s="6">
        <f>HYPERLINK("https://fin.land.naver.com/articles/2653497885", "매물Link")</f>
        <v/>
      </c>
      <c r="M424" s="6">
        <f>HYPERLINK("https://map.naver.com/p/search/남이면 가마리 182-2", "지도Link")</f>
        <v/>
      </c>
      <c r="N424" s="6">
        <f>HYPERLINK("http://www.eum.go.kr/web/ar/lu/luLandDet.jsp?pnu=4311231038101820002&amp;isNoScr=script&amp;mode=search", "토지이음")</f>
        <v/>
      </c>
      <c r="O424" s="3" t="inlineStr">
        <is>
          <t>청주114</t>
        </is>
      </c>
      <c r="P424" s="4" t="n">
        <v>1</v>
      </c>
      <c r="Q424" s="4" t="n">
        <v>1142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남이면 가마리 190-1</t>
        </is>
      </c>
      <c r="B425" s="3" t="inlineStr">
        <is>
          <t>자연녹지지역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107360</v>
      </c>
      <c r="G425" s="4" t="n">
        <v>4436</v>
      </c>
      <c r="H425" s="4" t="n">
        <v>1342</v>
      </c>
      <c r="I425" s="5" t="n">
        <v>80</v>
      </c>
      <c r="J425" s="5" t="n">
        <v>41.8</v>
      </c>
      <c r="K425" s="3" t="inlineStr">
        <is>
          <t>양촌jc 인근 시세보다 저렴한 투자용 토지</t>
        </is>
      </c>
      <c r="L425" s="6">
        <f>HYPERLINK("https://fin.land.naver.com/articles/2654622382", "매물Link")</f>
        <v/>
      </c>
      <c r="M425" s="6">
        <f>HYPERLINK("https://map.naver.com/p/search/남이면 가마리 190-1", "지도Link")</f>
        <v/>
      </c>
      <c r="N425" s="6">
        <f>HYPERLINK("http://www.eum.go.kr/web/ar/lu/luLandDet.jsp?pnu=4311231038101900001&amp;isNoScr=script&amp;mode=search", "토지이음")</f>
        <v/>
      </c>
      <c r="O425" s="3" t="inlineStr">
        <is>
          <t>토담</t>
        </is>
      </c>
      <c r="P425" s="4" t="n">
        <v>1</v>
      </c>
      <c r="Q425" s="4" t="n">
        <v>1355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남이면 가마리 234-2</t>
        </is>
      </c>
      <c r="B426" s="3" t="inlineStr">
        <is>
          <t>자연녹지지역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115000</v>
      </c>
      <c r="G426" s="4" t="n">
        <v>1061</v>
      </c>
      <c r="H426" s="4" t="n">
        <v>321</v>
      </c>
      <c r="I426" s="5" t="n">
        <v>358.3</v>
      </c>
      <c r="J426" s="5" t="n">
        <v>74.2</v>
      </c>
      <c r="K426" s="3" t="inlineStr">
        <is>
          <t>2차우회도로접   상가  근생용지</t>
        </is>
      </c>
      <c r="L426" s="6">
        <f>HYPERLINK("https://fin.land.naver.com/articles/2652150694", "매물Link")</f>
        <v/>
      </c>
      <c r="M426" s="6">
        <f>HYPERLINK("https://map.naver.com/p/search/남이면 가마리 234-2", "지도Link")</f>
        <v/>
      </c>
      <c r="N426" s="6">
        <f>HYPERLINK("http://www.eum.go.kr/web/ar/lu/luLandDet.jsp?pnu=4311231038102340002&amp;isNoScr=script&amp;mode=search", "토지이음")</f>
        <v/>
      </c>
      <c r="O426" s="3" t="inlineStr">
        <is>
          <t>대길</t>
        </is>
      </c>
      <c r="P426" s="4" t="n">
        <v>1</v>
      </c>
      <c r="Q426" s="4" t="n">
        <v>476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남이면 가마리 235-5</t>
        </is>
      </c>
      <c r="B427" s="3" t="inlineStr">
        <is>
          <t>자연녹지지역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55000</v>
      </c>
      <c r="G427" s="4" t="n">
        <v>585</v>
      </c>
      <c r="H427" s="4" t="n">
        <v>177</v>
      </c>
      <c r="I427" s="5" t="n">
        <v>310.7</v>
      </c>
      <c r="J427" s="5" t="n">
        <v>102.4</v>
      </c>
      <c r="K427" s="3" t="inlineStr">
        <is>
          <t>nan</t>
        </is>
      </c>
      <c r="L427" s="6">
        <f>HYPERLINK("https://fin.land.naver.com/articles/2651710388", "매물Link")</f>
        <v/>
      </c>
      <c r="M427" s="6">
        <f>HYPERLINK("https://map.naver.com/p/search/남이면 가마리 235-5", "지도Link")</f>
        <v/>
      </c>
      <c r="N427" s="6">
        <f>HYPERLINK("http://www.eum.go.kr/web/ar/lu/luLandDet.jsp?pnu=4311231038102350005&amp;isNoScr=script&amp;mode=search", "토지이음")</f>
        <v/>
      </c>
      <c r="O427" s="3" t="inlineStr">
        <is>
          <t>대길</t>
        </is>
      </c>
      <c r="P427" s="4" t="n">
        <v>1</v>
      </c>
      <c r="Q427" s="4" t="n">
        <v>355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광대로한면</t>
        </is>
      </c>
    </row>
    <row r="428">
      <c r="A428" s="3" t="inlineStr">
        <is>
          <t>남이면 가마리 24-2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230000</v>
      </c>
      <c r="G428" s="4" t="n">
        <v>1293</v>
      </c>
      <c r="H428" s="4" t="n">
        <v>391</v>
      </c>
      <c r="I428" s="5" t="n">
        <v>588.2</v>
      </c>
      <c r="J428" s="5" t="n">
        <v>100.9</v>
      </c>
      <c r="K428" s="3" t="inlineStr">
        <is>
          <t>가마리 가마교차로인근 6차선도로변접 대로변에 길게 접함</t>
        </is>
      </c>
      <c r="L428" s="6">
        <f>HYPERLINK("https://fin.land.naver.com/articles/2651209994", "매물Link")</f>
        <v/>
      </c>
      <c r="M428" s="6">
        <f>HYPERLINK("https://map.naver.com/p/search/남이면 가마리 24-2", "지도Link")</f>
        <v/>
      </c>
      <c r="N428" s="6">
        <f>HYPERLINK("http://www.eum.go.kr/web/ar/lu/luLandDet.jsp?pnu=4311231038100240002&amp;isNoScr=script&amp;mode=search", "토지이음")</f>
        <v/>
      </c>
      <c r="O428" s="3" t="inlineStr">
        <is>
          <t>프라임</t>
        </is>
      </c>
      <c r="P428" s="4" t="n">
        <v>1</v>
      </c>
      <c r="Q428" s="4" t="n">
        <v>1054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가로장방</t>
        </is>
      </c>
      <c r="V428" s="3" t="inlineStr">
        <is>
          <t>중로한면</t>
        </is>
      </c>
    </row>
    <row r="429">
      <c r="A429" s="3" t="inlineStr">
        <is>
          <t>남이면 가마리 24-2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230000</v>
      </c>
      <c r="G429" s="4" t="n">
        <v>1377</v>
      </c>
      <c r="H429" s="4" t="n">
        <v>417</v>
      </c>
      <c r="I429" s="5" t="n">
        <v>551.6</v>
      </c>
      <c r="J429" s="5" t="n">
        <v>100.9</v>
      </c>
      <c r="K429" s="3" t="inlineStr">
        <is>
          <t>최근 개발되고 있는 신분평지구인근으로 다양한 용도 가능한 귀한매물</t>
        </is>
      </c>
      <c r="L429" s="6">
        <f>HYPERLINK("https://fin.land.naver.com/articles/2655209726", "매물Link")</f>
        <v/>
      </c>
      <c r="M429" s="6">
        <f>HYPERLINK("https://map.naver.com/p/search/남이면 가마리 24-2", "지도Link")</f>
        <v/>
      </c>
      <c r="N429" s="6">
        <f>HYPERLINK("http://www.eum.go.kr/web/ar/lu/luLandDet.jsp?pnu=4311231038100240002&amp;isNoScr=script&amp;mode=search", "토지이음")</f>
        <v/>
      </c>
      <c r="O429" s="3" t="inlineStr">
        <is>
          <t>청주원</t>
        </is>
      </c>
      <c r="P429" s="4" t="n">
        <v>1</v>
      </c>
      <c r="Q429" s="4" t="n">
        <v>1054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평지</t>
        </is>
      </c>
      <c r="U429" s="3" t="inlineStr">
        <is>
          <t>가로장방</t>
        </is>
      </c>
      <c r="V429" s="3" t="inlineStr">
        <is>
          <t>중로한면</t>
        </is>
      </c>
    </row>
    <row r="430">
      <c r="A430" s="3" t="inlineStr">
        <is>
          <t>남이면 가마리 245</t>
        </is>
      </c>
      <c r="B430" s="3" t="inlineStr">
        <is>
          <t>자연녹지지역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322000</v>
      </c>
      <c r="G430" s="4" t="n">
        <v>3576</v>
      </c>
      <c r="H430" s="4" t="n">
        <v>1082</v>
      </c>
      <c r="I430" s="5" t="n">
        <v>297.6</v>
      </c>
      <c r="J430" s="5" t="n">
        <v>69.09999999999999</v>
      </c>
      <c r="K430" s="3" t="inlineStr">
        <is>
          <t>신설4차선접  2종근생허가득</t>
        </is>
      </c>
      <c r="L430" s="6">
        <f>HYPERLINK("https://fin.land.naver.com/articles/2652151003", "매물Link")</f>
        <v/>
      </c>
      <c r="M430" s="6">
        <f>HYPERLINK("https://map.naver.com/p/search/남이면 가마리 245", "지도Link")</f>
        <v/>
      </c>
      <c r="N430" s="6">
        <f>HYPERLINK("http://www.eum.go.kr/web/ar/lu/luLandDet.jsp?pnu=4311231038102450000&amp;isNoScr=script&amp;mode=search", "토지이음")</f>
        <v/>
      </c>
      <c r="O430" s="3" t="inlineStr">
        <is>
          <t>대길</t>
        </is>
      </c>
      <c r="P430" s="4" t="n">
        <v>1</v>
      </c>
      <c r="Q430" s="4" t="n">
        <v>1102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맹지</t>
        </is>
      </c>
    </row>
    <row r="431">
      <c r="A431" s="3" t="inlineStr">
        <is>
          <t>남이면 가마리 246</t>
        </is>
      </c>
      <c r="B431" s="3" t="inlineStr">
        <is>
          <t>자연녹지지역</t>
        </is>
      </c>
      <c r="C431" s="3" t="inlineStr">
        <is>
          <t>답</t>
        </is>
      </c>
      <c r="D431" s="3" t="inlineStr">
        <is>
          <t>전</t>
        </is>
      </c>
      <c r="E431" s="3" t="inlineStr">
        <is>
          <t>매매</t>
        </is>
      </c>
      <c r="F431" s="4" t="n">
        <v>260000</v>
      </c>
      <c r="G431" s="4" t="n">
        <v>2475</v>
      </c>
      <c r="H431" s="4" t="n">
        <v>749</v>
      </c>
      <c r="I431" s="5" t="n">
        <v>347.1</v>
      </c>
      <c r="J431" s="5" t="n">
        <v>69.09999999999999</v>
      </c>
      <c r="K431" s="3" t="inlineStr">
        <is>
          <t>신설4차선접, 2종근생허가득,토목완료</t>
        </is>
      </c>
      <c r="L431" s="6">
        <f>HYPERLINK("https://fin.land.naver.com/articles/2652150872", "매물Link")</f>
        <v/>
      </c>
      <c r="M431" s="6">
        <f>HYPERLINK("https://map.naver.com/p/search/남이면 가마리 246", "지도Link")</f>
        <v/>
      </c>
      <c r="N431" s="6">
        <f>HYPERLINK("http://www.eum.go.kr/web/ar/lu/luLandDet.jsp?pnu=4311231038102460000&amp;isNoScr=script&amp;mode=search", "토지이음")</f>
        <v/>
      </c>
      <c r="O431" s="3" t="inlineStr">
        <is>
          <t>대길</t>
        </is>
      </c>
      <c r="P431" s="4" t="n">
        <v>1</v>
      </c>
      <c r="Q431" s="4" t="n">
        <v>1222.2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맹지</t>
        </is>
      </c>
    </row>
    <row r="432">
      <c r="A432" s="3" t="inlineStr">
        <is>
          <t>남이면 가마리 264</t>
        </is>
      </c>
      <c r="B432" s="3" t="inlineStr">
        <is>
          <t>자연녹지지역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105000</v>
      </c>
      <c r="G432" s="4" t="n">
        <v>1739</v>
      </c>
      <c r="H432" s="4" t="n">
        <v>526</v>
      </c>
      <c r="I432" s="5" t="n">
        <v>199.6</v>
      </c>
      <c r="J432" s="5" t="n">
        <v>58.5</v>
      </c>
      <c r="K432" s="3" t="inlineStr">
        <is>
          <t>nan</t>
        </is>
      </c>
      <c r="L432" s="6">
        <f>HYPERLINK("https://fin.land.naver.com/articles/2651061295", "매물Link")</f>
        <v/>
      </c>
      <c r="M432" s="6">
        <f>HYPERLINK("https://map.naver.com/p/search/남이면 가마리 264", "지도Link")</f>
        <v/>
      </c>
      <c r="N432" s="6">
        <f>HYPERLINK("http://www.eum.go.kr/web/ar/lu/luLandDet.jsp?pnu=4311231038102640000&amp;isNoScr=script&amp;mode=search", "토지이음")</f>
        <v/>
      </c>
      <c r="O432" s="3" t="inlineStr">
        <is>
          <t>행복도시</t>
        </is>
      </c>
      <c r="P432" s="4" t="n">
        <v>1</v>
      </c>
      <c r="Q432" s="4" t="n">
        <v>1343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평지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가마리 296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31200</v>
      </c>
      <c r="G433" s="4" t="n">
        <v>863</v>
      </c>
      <c r="H433" s="4" t="n">
        <v>261</v>
      </c>
      <c r="I433" s="5" t="n">
        <v>119.5</v>
      </c>
      <c r="J433" s="5" t="n">
        <v>34.9</v>
      </c>
      <c r="K433" s="3" t="inlineStr">
        <is>
          <t>도심 가까운 최고의 입지, 자연녹지, 취락지구, 제2순환도로 인접</t>
        </is>
      </c>
      <c r="L433" s="6">
        <f>HYPERLINK("https://fin.land.naver.com/articles/2654786142", "매물Link")</f>
        <v/>
      </c>
      <c r="M433" s="6">
        <f>HYPERLINK("https://map.naver.com/p/search/남이면 가마리 296", "지도Link")</f>
        <v/>
      </c>
      <c r="N433" s="6">
        <f>HYPERLINK("http://www.eum.go.kr/web/ar/lu/luLandDet.jsp?pnu=4311231038102960000&amp;isNoScr=script&amp;mode=search", "토지이음")</f>
        <v/>
      </c>
      <c r="O433" s="3" t="inlineStr">
        <is>
          <t>지웰사랑합동사무소</t>
        </is>
      </c>
      <c r="P433" s="4" t="n">
        <v>1</v>
      </c>
      <c r="Q433" s="4" t="n">
        <v>863</v>
      </c>
      <c r="R433" s="3" t="inlineStr">
        <is>
          <t>보전녹지지역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세로한면(불)</t>
        </is>
      </c>
    </row>
    <row r="434">
      <c r="A434" s="3" t="inlineStr">
        <is>
          <t>남이면 가마리 301</t>
        </is>
      </c>
      <c r="B434" s="3" t="inlineStr">
        <is>
          <t>자연녹지지역</t>
        </is>
      </c>
      <c r="C434" s="3" t="inlineStr">
        <is>
          <t>답</t>
        </is>
      </c>
      <c r="D434" s="3" t="inlineStr">
        <is>
          <t>답</t>
        </is>
      </c>
      <c r="E434" s="3" t="inlineStr">
        <is>
          <t>매매</t>
        </is>
      </c>
      <c r="F434" s="4" t="n">
        <v>290000</v>
      </c>
      <c r="G434" s="4" t="n">
        <v>4720</v>
      </c>
      <c r="H434" s="4" t="n">
        <v>1428</v>
      </c>
      <c r="I434" s="5" t="n">
        <v>203.1</v>
      </c>
      <c r="J434" s="5" t="n">
        <v>59.7</v>
      </c>
      <c r="K434" s="3" t="inlineStr">
        <is>
          <t>제2순환로에서 250미터 인접한  자연녹지,자연취락지구</t>
        </is>
      </c>
      <c r="L434" s="6">
        <f>HYPERLINK("https://fin.land.naver.com/articles/2650856471", "매물Link")</f>
        <v/>
      </c>
      <c r="M434" s="6">
        <f>HYPERLINK("https://map.naver.com/p/search/남이면 가마리 301", "지도Link")</f>
        <v/>
      </c>
      <c r="N434" s="6">
        <f>HYPERLINK("http://www.eum.go.kr/web/ar/lu/luLandDet.jsp?pnu=4311231038103010000&amp;isNoScr=script&amp;mode=search", "토지이음")</f>
        <v/>
      </c>
      <c r="O434" s="3" t="inlineStr">
        <is>
          <t>강산</t>
        </is>
      </c>
      <c r="P434" s="4" t="n">
        <v>1</v>
      </c>
      <c r="Q434" s="4" t="n">
        <v>4720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세로각지(가)</t>
        </is>
      </c>
    </row>
    <row r="435">
      <c r="A435" s="3" t="inlineStr">
        <is>
          <t>남이면 가마리 338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104850</v>
      </c>
      <c r="G435" s="4" t="n">
        <v>2310</v>
      </c>
      <c r="H435" s="4" t="n">
        <v>699</v>
      </c>
      <c r="I435" s="5" t="n">
        <v>150</v>
      </c>
      <c r="J435" s="5" t="n">
        <v>98.09999999999999</v>
      </c>
      <c r="K435" s="3" t="inlineStr">
        <is>
          <t>양촌jc에서 반경1.6km이내 풀스윙배팅센터 인근 조용한곳</t>
        </is>
      </c>
      <c r="L435" s="6">
        <f>HYPERLINK("https://fin.land.naver.com/articles/2651484070", "매물Link")</f>
        <v/>
      </c>
      <c r="M435" s="6">
        <f>HYPERLINK("https://map.naver.com/p/search/남이면 가마리 338", "지도Link")</f>
        <v/>
      </c>
      <c r="N435" s="6">
        <f>HYPERLINK("http://www.eum.go.kr/web/ar/lu/luLandDet.jsp?pnu=4311231038103380000&amp;isNoScr=script&amp;mode=search", "토지이음")</f>
        <v/>
      </c>
      <c r="O435" s="3" t="inlineStr">
        <is>
          <t>윤슬</t>
        </is>
      </c>
      <c r="P435" s="4" t="n">
        <v>1</v>
      </c>
      <c r="Q435" s="4" t="n">
        <v>2311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자루형</t>
        </is>
      </c>
      <c r="V435" s="3" t="inlineStr">
        <is>
          <t>세로한면(가)</t>
        </is>
      </c>
    </row>
    <row r="436">
      <c r="A436" s="3" t="inlineStr">
        <is>
          <t>남이면 가마리 338</t>
        </is>
      </c>
      <c r="B436" s="3" t="inlineStr">
        <is>
          <t>자연녹지지역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68502</v>
      </c>
      <c r="G436" s="4" t="n">
        <v>2311</v>
      </c>
      <c r="H436" s="4" t="n">
        <v>699</v>
      </c>
      <c r="I436" s="5" t="n">
        <v>98</v>
      </c>
      <c r="J436" s="5" t="n">
        <v>98.09999999999999</v>
      </c>
      <c r="K436" s="3" t="inlineStr">
        <is>
          <t>가마리 자연취락지구, 대지</t>
        </is>
      </c>
      <c r="L436" s="6">
        <f>HYPERLINK("https://fin.land.naver.com/articles/2654622248", "매물Link")</f>
        <v/>
      </c>
      <c r="M436" s="6">
        <f>HYPERLINK("https://map.naver.com/p/search/남이면 가마리 338", "지도Link")</f>
        <v/>
      </c>
      <c r="N436" s="6">
        <f>HYPERLINK("http://www.eum.go.kr/web/ar/lu/luLandDet.jsp?pnu=4311231038103380000&amp;isNoScr=script&amp;mode=search", "토지이음")</f>
        <v/>
      </c>
      <c r="O436" s="3" t="inlineStr">
        <is>
          <t>토담</t>
        </is>
      </c>
      <c r="P436" s="4" t="n">
        <v>1</v>
      </c>
      <c r="Q436" s="4" t="n">
        <v>2311</v>
      </c>
      <c r="R436" s="3" t="inlineStr">
        <is>
          <t>지정되지않음</t>
        </is>
      </c>
      <c r="S436" s="3" t="inlineStr">
        <is>
          <t>단독</t>
        </is>
      </c>
      <c r="T436" s="3" t="inlineStr">
        <is>
          <t>평지</t>
        </is>
      </c>
      <c r="U436" s="3" t="inlineStr">
        <is>
          <t>자루형</t>
        </is>
      </c>
      <c r="V436" s="3" t="inlineStr">
        <is>
          <t>세로한면(가)</t>
        </is>
      </c>
    </row>
    <row r="437">
      <c r="A437" s="3" t="inlineStr">
        <is>
          <t>남이면 가마리 342-2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60000</v>
      </c>
      <c r="G437" s="4" t="n">
        <v>1288</v>
      </c>
      <c r="H437" s="4" t="n">
        <v>390</v>
      </c>
      <c r="I437" s="5" t="n">
        <v>153.8</v>
      </c>
      <c r="J437" s="5" t="n">
        <v>88.2</v>
      </c>
      <c r="K437" s="3" t="inlineStr">
        <is>
          <t>2순환로 접근성 좋은 토지매매</t>
        </is>
      </c>
      <c r="L437" s="6">
        <f>HYPERLINK("https://fin.land.naver.com/articles/2651121463", "매물Link")</f>
        <v/>
      </c>
      <c r="M437" s="6">
        <f>HYPERLINK("https://map.naver.com/p/search/남이면 가마리 342-2", "지도Link")</f>
        <v/>
      </c>
      <c r="N437" s="6">
        <f>HYPERLINK("http://www.eum.go.kr/web/ar/lu/luLandDet.jsp?pnu=4311231038103420002&amp;isNoScr=script&amp;mode=search", "토지이음")</f>
        <v/>
      </c>
      <c r="O437" s="3" t="inlineStr">
        <is>
          <t>원탑</t>
        </is>
      </c>
      <c r="P437" s="4" t="n">
        <v>1</v>
      </c>
      <c r="Q437" s="4" t="n">
        <v>1288</v>
      </c>
      <c r="R437" s="3" t="inlineStr">
        <is>
          <t>지정되지않음</t>
        </is>
      </c>
      <c r="S437" s="3" t="inlineStr">
        <is>
          <t>단독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가마리 산 6-2</t>
        </is>
      </c>
      <c r="B438" s="3" t="inlineStr">
        <is>
          <t>보전녹지지역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40000</v>
      </c>
      <c r="G438" s="4" t="n">
        <v>661</v>
      </c>
      <c r="H438" s="4" t="n">
        <v>200</v>
      </c>
      <c r="I438" s="5" t="n">
        <v>200</v>
      </c>
      <c r="J438" s="5" t="n">
        <v>57.1</v>
      </c>
      <c r="K438" s="3" t="inlineStr">
        <is>
          <t>nan</t>
        </is>
      </c>
      <c r="L438" s="6">
        <f>HYPERLINK("https://fin.land.naver.com/articles/2649939735", "매물Link")</f>
        <v/>
      </c>
      <c r="M438" s="6">
        <f>HYPERLINK("https://map.naver.com/p/search/남이면 가마리 산 6-2", "지도Link")</f>
        <v/>
      </c>
      <c r="N438" s="6">
        <f>HYPERLINK("http://www.eum.go.kr/web/ar/lu/luLandDet.jsp?pnu=4311231038200060002&amp;isNoScr=script&amp;mode=search", "토지이음")</f>
        <v/>
      </c>
      <c r="O438" s="3" t="inlineStr">
        <is>
          <t>일등</t>
        </is>
      </c>
      <c r="P438" s="4" t="n">
        <v>1</v>
      </c>
      <c r="Q438" s="4" t="n">
        <v>1065</v>
      </c>
      <c r="R438" s="3" t="inlineStr">
        <is>
          <t>자연녹지지역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가마리 산 6-7</t>
        </is>
      </c>
      <c r="B439" s="3" t="inlineStr">
        <is>
          <t>보전녹지지역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29750</v>
      </c>
      <c r="G439" s="4" t="n">
        <v>578</v>
      </c>
      <c r="H439" s="4" t="n">
        <v>175</v>
      </c>
      <c r="I439" s="5" t="n">
        <v>170</v>
      </c>
      <c r="J439" s="5" t="n">
        <v>50.9</v>
      </c>
      <c r="K439" s="3" t="inlineStr">
        <is>
          <t>건축허가및 토목이 완료된 전원주택지</t>
        </is>
      </c>
      <c r="L439" s="6">
        <f>HYPERLINK("https://fin.land.naver.com/articles/2655098316", "매물Link")</f>
        <v/>
      </c>
      <c r="M439" s="6">
        <f>HYPERLINK("https://map.naver.com/p/search/남이면 가마리 산 6-7", "지도Link")</f>
        <v/>
      </c>
      <c r="N439" s="6">
        <f>HYPERLINK("http://www.eum.go.kr/web/ar/lu/luLandDet.jsp?pnu=4311231038200060007&amp;isNoScr=script&amp;mode=search", "토지이음")</f>
        <v/>
      </c>
      <c r="O439" s="3" t="inlineStr">
        <is>
          <t>플러스태양</t>
        </is>
      </c>
      <c r="P439" s="4" t="n">
        <v>1</v>
      </c>
      <c r="Q439" s="4" t="n">
        <v>533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세로각지(가)</t>
        </is>
      </c>
    </row>
    <row r="440">
      <c r="A440" s="3" t="inlineStr">
        <is>
          <t>남이면 가마리 산6-6</t>
        </is>
      </c>
      <c r="B440" s="3" t="inlineStr">
        <is>
          <t>보전녹지지역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45000</v>
      </c>
      <c r="G440" s="4" t="n">
        <v>876</v>
      </c>
      <c r="H440" s="4" t="n">
        <v>265</v>
      </c>
      <c r="I440" s="5" t="n">
        <v>169.8</v>
      </c>
      <c r="J440" s="5" t="n">
        <v>41.7</v>
      </c>
      <c r="K440" s="3" t="inlineStr">
        <is>
          <t>청주 서원 남이 가마리 2순환로 인근 전원주택용지 매매, 다양한면적 보유</t>
        </is>
      </c>
      <c r="L440" s="6">
        <f>HYPERLINK("https://fin.land.naver.com/articles/2655195032", "매물Link")</f>
        <v/>
      </c>
      <c r="M440" s="6">
        <f>HYPERLINK("https://map.naver.com/p/search/남이면 가마리 산6-6", "지도Link")</f>
        <v/>
      </c>
      <c r="N440" s="6">
        <f>HYPERLINK("http://www.eum.go.kr/web/ar/lu/luLandDet.jsp?pnu=4311231038200060006&amp;isNoScr=script&amp;mode=search", "토지이음")</f>
        <v/>
      </c>
      <c r="O440" s="3" t="inlineStr">
        <is>
          <t>라인</t>
        </is>
      </c>
      <c r="P440" s="4" t="n">
        <v>1</v>
      </c>
      <c r="Q440" s="4" t="n">
        <v>678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세로한면(불)</t>
        </is>
      </c>
    </row>
    <row r="441">
      <c r="A441" s="3" t="inlineStr">
        <is>
          <t>남이면 가좌리 129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28400</v>
      </c>
      <c r="G441" s="4" t="n">
        <v>1174</v>
      </c>
      <c r="H441" s="4" t="n">
        <v>355</v>
      </c>
      <c r="I441" s="5" t="n">
        <v>80</v>
      </c>
      <c r="J441" s="5" t="n">
        <v>26.8</v>
      </c>
      <c r="K441" s="3" t="inlineStr">
        <is>
          <t>2차선 도로에 접한 자연녹지지역의 전원주택 및 근린생활용지</t>
        </is>
      </c>
      <c r="L441" s="6">
        <f>HYPERLINK("https://fin.land.naver.com/articles/2649508253", "매물Link")</f>
        <v/>
      </c>
      <c r="M441" s="6">
        <f>HYPERLINK("https://map.naver.com/p/search/남이면 가좌리 129", "지도Link")</f>
        <v/>
      </c>
      <c r="N441" s="6">
        <f>HYPERLINK("http://www.eum.go.kr/web/ar/lu/luLandDet.jsp?pnu=4311231036101290000&amp;isNoScr=script&amp;mode=search", "토지이음")</f>
        <v/>
      </c>
      <c r="O441" s="3" t="inlineStr">
        <is>
          <t>강문구</t>
        </is>
      </c>
      <c r="P441" s="4" t="n">
        <v>2</v>
      </c>
      <c r="Q441" s="4" t="n">
        <v>1092</v>
      </c>
      <c r="R441" s="3" t="inlineStr">
        <is>
          <t>지정되지않음</t>
        </is>
      </c>
      <c r="S441" s="3" t="inlineStr">
        <is>
          <t>전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129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37000</v>
      </c>
      <c r="G442" s="4" t="n">
        <v>1170</v>
      </c>
      <c r="H442" s="4" t="n">
        <v>354</v>
      </c>
      <c r="I442" s="5" t="n">
        <v>104.5</v>
      </c>
      <c r="J442" s="5" t="n">
        <v>26.8</v>
      </c>
      <c r="K442" s="3" t="inlineStr">
        <is>
          <t>시내 인접토지.창고, 공장. 주말농장</t>
        </is>
      </c>
      <c r="L442" s="6">
        <f>HYPERLINK("https://fin.land.naver.com/articles/2653502250", "매물Link")</f>
        <v/>
      </c>
      <c r="M442" s="6">
        <f>HYPERLINK("https://map.naver.com/p/search/남이면 가좌리 129", "지도Link")</f>
        <v/>
      </c>
      <c r="N442" s="6">
        <f>HYPERLINK("http://www.eum.go.kr/web/ar/lu/luLandDet.jsp?pnu=4311231036101290000&amp;isNoScr=script&amp;mode=search", "토지이음")</f>
        <v/>
      </c>
      <c r="O442" s="3" t="inlineStr">
        <is>
          <t>둥지</t>
        </is>
      </c>
      <c r="P442" s="4" t="n">
        <v>1</v>
      </c>
      <c r="Q442" s="4" t="n">
        <v>1092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남이면 가좌리 134-49</t>
        </is>
      </c>
      <c r="B443" s="3" t="inlineStr">
        <is>
          <t>보전녹지지역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120000</v>
      </c>
      <c r="G443" s="4" t="n">
        <v>6358</v>
      </c>
      <c r="H443" s="4" t="n">
        <v>1923</v>
      </c>
      <c r="I443" s="5" t="n">
        <v>62.4</v>
      </c>
      <c r="J443" s="5" t="n">
        <v>25.4</v>
      </c>
      <c r="K443" s="3" t="inlineStr">
        <is>
          <t>가좌리에 위치한 전원주택지 토지 급매</t>
        </is>
      </c>
      <c r="L443" s="6">
        <f>HYPERLINK("https://fin.land.naver.com/articles/2650047649", "매물Link")</f>
        <v/>
      </c>
      <c r="M443" s="6">
        <f>HYPERLINK("https://map.naver.com/p/search/남이면 가좌리 134-49", "지도Link")</f>
        <v/>
      </c>
      <c r="N443" s="6">
        <f>HYPERLINK("http://www.eum.go.kr/web/ar/lu/luLandDet.jsp?pnu=4311231036101340049&amp;isNoScr=script&amp;mode=search", "토지이음")</f>
        <v/>
      </c>
      <c r="O443" s="3" t="inlineStr">
        <is>
          <t>대지</t>
        </is>
      </c>
      <c r="P443" s="4" t="n">
        <v>1</v>
      </c>
      <c r="Q443" s="4" t="n">
        <v>1953</v>
      </c>
      <c r="R443" s="3" t="inlineStr">
        <is>
          <t>자연녹지지역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남이면 가좌리 134-49</t>
        </is>
      </c>
      <c r="B444" s="3" t="inlineStr">
        <is>
          <t>보전녹지지역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120000</v>
      </c>
      <c r="G444" s="4" t="n">
        <v>6357</v>
      </c>
      <c r="H444" s="4" t="n">
        <v>1923</v>
      </c>
      <c r="I444" s="5" t="n">
        <v>62.4</v>
      </c>
      <c r="J444" s="5" t="n">
        <v>25.4</v>
      </c>
      <c r="K444" s="3" t="inlineStr">
        <is>
          <t>17번 국도 가까운 부지(급매)</t>
        </is>
      </c>
      <c r="L444" s="6">
        <f>HYPERLINK("https://fin.land.naver.com/articles/2651877519", "매물Link")</f>
        <v/>
      </c>
      <c r="M444" s="6">
        <f>HYPERLINK("https://map.naver.com/p/search/남이면 가좌리 134-49", "지도Link")</f>
        <v/>
      </c>
      <c r="N444" s="6">
        <f>HYPERLINK("http://www.eum.go.kr/web/ar/lu/luLandDet.jsp?pnu=4311231036101340049&amp;isNoScr=script&amp;mode=search", "토지이음")</f>
        <v/>
      </c>
      <c r="O444" s="3" t="inlineStr">
        <is>
          <t>조은</t>
        </is>
      </c>
      <c r="P444" s="4" t="n">
        <v>1</v>
      </c>
      <c r="Q444" s="4" t="n">
        <v>1953</v>
      </c>
      <c r="R444" s="3" t="inlineStr">
        <is>
          <t>자연녹지지역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남이면 가좌리 191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64000</v>
      </c>
      <c r="G445" s="4" t="n">
        <v>1514</v>
      </c>
      <c r="H445" s="4" t="n">
        <v>458</v>
      </c>
      <c r="I445" s="5" t="n">
        <v>139.7</v>
      </c>
      <c r="J445" s="5" t="n">
        <v>34.5</v>
      </c>
      <c r="K445" s="3" t="inlineStr">
        <is>
          <t>남청주 IC 10분, 2차선 도로변, 성토 완료 공장창고 최적지</t>
        </is>
      </c>
      <c r="L445" s="6">
        <f>HYPERLINK("https://fin.land.naver.com/articles/2652919050", "매물Link")</f>
        <v/>
      </c>
      <c r="M445" s="6">
        <f>HYPERLINK("https://map.naver.com/p/search/남이면 가좌리 191", "지도Link")</f>
        <v/>
      </c>
      <c r="N445" s="6">
        <f>HYPERLINK("http://www.eum.go.kr/web/ar/lu/luLandDet.jsp?pnu=4311231036101910000&amp;isNoScr=script&amp;mode=search", "토지이음")</f>
        <v/>
      </c>
      <c r="O445" s="3" t="inlineStr">
        <is>
          <t>대성오투그란데</t>
        </is>
      </c>
      <c r="P445" s="4" t="n">
        <v>1</v>
      </c>
      <c r="Q445" s="4" t="n">
        <v>1514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191-2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98500</v>
      </c>
      <c r="G446" s="4" t="n">
        <v>993</v>
      </c>
      <c r="H446" s="4" t="n">
        <v>300</v>
      </c>
      <c r="I446" s="5" t="n">
        <v>328.3</v>
      </c>
      <c r="J446" s="5" t="n">
        <v>34.5</v>
      </c>
      <c r="K446" s="3" t="inlineStr">
        <is>
          <t>2차선 도로 접한 물류창고 최적 입지, 남청주IC 10분,</t>
        </is>
      </c>
      <c r="L446" s="6">
        <f>HYPERLINK("https://fin.land.naver.com/articles/2650782580", "매물Link")</f>
        <v/>
      </c>
      <c r="M446" s="6">
        <f>HYPERLINK("https://map.naver.com/p/search/남이면 가좌리 191-2", "지도Link")</f>
        <v/>
      </c>
      <c r="N446" s="6">
        <f>HYPERLINK("http://www.eum.go.kr/web/ar/lu/luLandDet.jsp?pnu=4311231036101910002&amp;isNoScr=script&amp;mode=search", "토지이음")</f>
        <v/>
      </c>
      <c r="O446" s="3" t="inlineStr">
        <is>
          <t>대성오투그란데</t>
        </is>
      </c>
      <c r="P446" s="4" t="n">
        <v>1</v>
      </c>
      <c r="Q446" s="4" t="n">
        <v>993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세로한면(가)</t>
        </is>
      </c>
    </row>
    <row r="447">
      <c r="A447" s="3" t="inlineStr">
        <is>
          <t>남이면 가좌리 219-1</t>
        </is>
      </c>
      <c r="B447" s="3" t="inlineStr">
        <is>
          <t>자연녹지지역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55000</v>
      </c>
      <c r="G447" s="4" t="n">
        <v>2922</v>
      </c>
      <c r="H447" s="4" t="n">
        <v>884</v>
      </c>
      <c r="I447" s="5" t="n">
        <v>62.2</v>
      </c>
      <c r="J447" s="5" t="n">
        <v>25.9</v>
      </c>
      <c r="K447" s="3" t="inlineStr">
        <is>
          <t>전원주택, 창고용지,미래가치,도시지역</t>
        </is>
      </c>
      <c r="L447" s="6">
        <f>HYPERLINK("https://fin.land.naver.com/articles/2653495797", "매물Link")</f>
        <v/>
      </c>
      <c r="M447" s="6">
        <f>HYPERLINK("https://map.naver.com/p/search/남이면 가좌리 219-1", "지도Link")</f>
        <v/>
      </c>
      <c r="N447" s="6">
        <f>HYPERLINK("http://www.eum.go.kr/web/ar/lu/luLandDet.jsp?pnu=4311231036102190001&amp;isNoScr=script&amp;mode=search", "토지이음")</f>
        <v/>
      </c>
      <c r="O447" s="3" t="inlineStr">
        <is>
          <t>이박사</t>
        </is>
      </c>
      <c r="P447" s="4" t="n">
        <v>1</v>
      </c>
      <c r="Q447" s="4" t="n">
        <v>2922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남이면 가좌리 223-160</t>
        </is>
      </c>
      <c r="B448" s="3" t="inlineStr">
        <is>
          <t>자연녹지지역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11000</v>
      </c>
      <c r="G448" s="4" t="n">
        <v>454</v>
      </c>
      <c r="H448" s="4" t="n">
        <v>137</v>
      </c>
      <c r="I448" s="5" t="n">
        <v>80.3</v>
      </c>
      <c r="J448" s="5" t="n">
        <v>70.40000000000001</v>
      </c>
      <c r="K448" s="3" t="inlineStr">
        <is>
          <t>청주 남이 가좌리 어덕마을 전원주택지</t>
        </is>
      </c>
      <c r="L448" s="6">
        <f>HYPERLINK("https://fin.land.naver.com/articles/2652455060", "매물Link")</f>
        <v/>
      </c>
      <c r="M448" s="6">
        <f>HYPERLINK("https://map.naver.com/p/search/남이면 가좌리 223-160", "지도Link")</f>
        <v/>
      </c>
      <c r="N448" s="6">
        <f>HYPERLINK("http://www.eum.go.kr/web/ar/lu/luLandDet.jsp?pnu=4311231036102230160&amp;isNoScr=script&amp;mode=search", "토지이음")</f>
        <v/>
      </c>
      <c r="O448" s="3" t="inlineStr">
        <is>
          <t>좋은선택</t>
        </is>
      </c>
      <c r="P448" s="4" t="n">
        <v>1</v>
      </c>
      <c r="Q448" s="4" t="n">
        <v>146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완경사</t>
        </is>
      </c>
      <c r="U448" s="3" t="inlineStr">
        <is>
          <t>사다리형</t>
        </is>
      </c>
      <c r="V448" s="3" t="inlineStr">
        <is>
          <t>세로한면(가)</t>
        </is>
      </c>
    </row>
    <row r="449">
      <c r="A449" s="3" t="inlineStr">
        <is>
          <t>남이면 가좌리 223-163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13000</v>
      </c>
      <c r="G449" s="4" t="n">
        <v>540</v>
      </c>
      <c r="H449" s="4" t="n">
        <v>163</v>
      </c>
      <c r="I449" s="5" t="n">
        <v>79.8</v>
      </c>
      <c r="J449" s="5" t="n">
        <v>69.2</v>
      </c>
      <c r="K449" s="3" t="inlineStr">
        <is>
          <t>청주시 서원구 남이면 가좌리 어덕마을 전원주택지내 전원주택용 토지</t>
        </is>
      </c>
      <c r="L449" s="6">
        <f>HYPERLINK("https://fin.land.naver.com/articles/2652455294", "매물Link")</f>
        <v/>
      </c>
      <c r="M449" s="6">
        <f>HYPERLINK("https://map.naver.com/p/search/남이면 가좌리 223-163", "지도Link")</f>
        <v/>
      </c>
      <c r="N449" s="6">
        <f>HYPERLINK("http://www.eum.go.kr/web/ar/lu/luLandDet.jsp?pnu=4311231036102230163&amp;isNoScr=script&amp;mode=search", "토지이음")</f>
        <v/>
      </c>
      <c r="O449" s="3" t="inlineStr">
        <is>
          <t>좋은선택</t>
        </is>
      </c>
      <c r="P449" s="4" t="n">
        <v>1</v>
      </c>
      <c r="Q449" s="4" t="n">
        <v>474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가좌리 223-28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18900</v>
      </c>
      <c r="G450" s="4" t="n">
        <v>126</v>
      </c>
      <c r="H450" s="4" t="n">
        <v>38</v>
      </c>
      <c r="I450" s="5" t="n">
        <v>497.4</v>
      </c>
      <c r="J450" s="5" t="n">
        <v>69.2</v>
      </c>
      <c r="K450" s="3" t="inlineStr">
        <is>
          <t>단독주택지 한가운데 위치한 토지, 탁트인 뷰, 카페자리추천</t>
        </is>
      </c>
      <c r="L450" s="6">
        <f>HYPERLINK("https://fin.land.naver.com/articles/2649972309", "매물Link")</f>
        <v/>
      </c>
      <c r="M450" s="6">
        <f>HYPERLINK("https://map.naver.com/p/search/남이면 가좌리 223-28", "지도Link")</f>
        <v/>
      </c>
      <c r="N450" s="6">
        <f>HYPERLINK("http://www.eum.go.kr/web/ar/lu/luLandDet.jsp?pnu=4311231036102230028&amp;isNoScr=script&amp;mode=search", "토지이음")</f>
        <v/>
      </c>
      <c r="O450" s="3" t="inlineStr">
        <is>
          <t>명진</t>
        </is>
      </c>
      <c r="P450" s="4" t="n">
        <v>1</v>
      </c>
      <c r="Q450" s="4" t="n">
        <v>416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세로한면(가)</t>
        </is>
      </c>
    </row>
    <row r="451">
      <c r="A451" s="3" t="inlineStr">
        <is>
          <t>남이면 가좌리 223-37</t>
        </is>
      </c>
      <c r="B451" s="3" t="inlineStr">
        <is>
          <t>자연녹지지역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16900</v>
      </c>
      <c r="G451" s="4" t="n">
        <v>538</v>
      </c>
      <c r="H451" s="4" t="n">
        <v>163</v>
      </c>
      <c r="I451" s="5" t="n">
        <v>103.7</v>
      </c>
      <c r="J451" s="5" t="n">
        <v>69.2</v>
      </c>
      <c r="K451" s="3" t="inlineStr">
        <is>
          <t>남이면 가좌리 어덕마을 전원주택부지 매매</t>
        </is>
      </c>
      <c r="L451" s="6">
        <f>HYPERLINK("https://fin.land.naver.com/articles/2649936591", "매물Link")</f>
        <v/>
      </c>
      <c r="M451" s="6">
        <f>HYPERLINK("https://map.naver.com/p/search/남이면 가좌리 223-37", "지도Link")</f>
        <v/>
      </c>
      <c r="N451" s="6">
        <f>HYPERLINK("http://www.eum.go.kr/web/ar/lu/luLandDet.jsp?pnu=4311231036102230037&amp;isNoScr=script&amp;mode=search", "토지이음")</f>
        <v/>
      </c>
      <c r="O451" s="3" t="inlineStr">
        <is>
          <t>탄탄</t>
        </is>
      </c>
      <c r="P451" s="4" t="n">
        <v>1</v>
      </c>
      <c r="Q451" s="4" t="n">
        <v>473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남이면 가좌리 235</t>
        </is>
      </c>
      <c r="B452" s="3" t="inlineStr">
        <is>
          <t>자연녹지지역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200000</v>
      </c>
      <c r="G452" s="4" t="n">
        <v>3130</v>
      </c>
      <c r="H452" s="4" t="n">
        <v>947</v>
      </c>
      <c r="I452" s="5" t="n">
        <v>211.2</v>
      </c>
      <c r="J452" s="5" t="n">
        <v>96.59999999999999</v>
      </c>
      <c r="K452" s="3" t="inlineStr">
        <is>
          <t>1층식당, 2층 주택, 대전 청주 17번 국도변에 위치</t>
        </is>
      </c>
      <c r="L452" s="6">
        <f>HYPERLINK("https://fin.land.naver.com/articles/2653353135", "매물Link")</f>
        <v/>
      </c>
      <c r="M452" s="6">
        <f>HYPERLINK("https://map.naver.com/p/search/남이면 가좌리 235", "지도Link")</f>
        <v/>
      </c>
      <c r="N452" s="6">
        <f>HYPERLINK("http://www.eum.go.kr/web/ar/lu/luLandDet.jsp?pnu=4311231036102350000&amp;isNoScr=script&amp;mode=search", "토지이음")</f>
        <v/>
      </c>
      <c r="O452" s="3" t="inlineStr">
        <is>
          <t>황제</t>
        </is>
      </c>
      <c r="P452" s="4" t="n">
        <v>1</v>
      </c>
      <c r="Q452" s="4" t="n">
        <v>3130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남이면 가좌리 259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130000</v>
      </c>
      <c r="G453" s="4" t="n">
        <v>1237</v>
      </c>
      <c r="H453" s="4" t="n">
        <v>374</v>
      </c>
      <c r="I453" s="5" t="n">
        <v>347.6</v>
      </c>
      <c r="J453" s="5" t="n">
        <v>31.6</v>
      </c>
      <c r="K453" s="3" t="inlineStr">
        <is>
          <t>가시성 뛰어난 토지. 4차선 도로접</t>
        </is>
      </c>
      <c r="L453" s="6">
        <f>HYPERLINK("https://fin.land.naver.com/articles/2655152383", "매물Link")</f>
        <v/>
      </c>
      <c r="M453" s="6">
        <f>HYPERLINK("https://map.naver.com/p/search/남이면 가좌리 259", "지도Link")</f>
        <v/>
      </c>
      <c r="N453" s="6">
        <f>HYPERLINK("http://www.eum.go.kr/web/ar/lu/luLandDet.jsp?pnu=4311231036102590000&amp;isNoScr=script&amp;mode=search", "토지이음")</f>
        <v/>
      </c>
      <c r="O453" s="3" t="inlineStr">
        <is>
          <t>터</t>
        </is>
      </c>
      <c r="P453" s="4" t="n">
        <v>2</v>
      </c>
      <c r="Q453" s="4" t="n">
        <v>1237</v>
      </c>
      <c r="R453" s="3" t="inlineStr">
        <is>
          <t>보전녹지지역</t>
        </is>
      </c>
      <c r="S453" s="3" t="inlineStr">
        <is>
          <t>전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중로한면</t>
        </is>
      </c>
    </row>
    <row r="454">
      <c r="A454" s="3" t="inlineStr">
        <is>
          <t>남이면 가좌리 259</t>
        </is>
      </c>
      <c r="B454" s="3" t="inlineStr">
        <is>
          <t>자연녹지지역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131000</v>
      </c>
      <c r="G454" s="4" t="n">
        <v>1237</v>
      </c>
      <c r="H454" s="4" t="n">
        <v>374</v>
      </c>
      <c r="I454" s="5" t="n">
        <v>350.3</v>
      </c>
      <c r="J454" s="5" t="n">
        <v>31.6</v>
      </c>
      <c r="K454" s="3" t="inlineStr">
        <is>
          <t>대도로변 위치했어요. 다용도 건축가능. 절충가능해요.</t>
        </is>
      </c>
      <c r="L454" s="6">
        <f>HYPERLINK("https://fin.land.naver.com/articles/2649503128", "매물Link")</f>
        <v/>
      </c>
      <c r="M454" s="6">
        <f>HYPERLINK("https://map.naver.com/p/search/남이면 가좌리 259", "지도Link")</f>
        <v/>
      </c>
      <c r="N454" s="6">
        <f>HYPERLINK("http://www.eum.go.kr/web/ar/lu/luLandDet.jsp?pnu=4311231036102590000&amp;isNoScr=script&amp;mode=search", "토지이음")</f>
        <v/>
      </c>
      <c r="O454" s="3" t="inlineStr">
        <is>
          <t>하니힐데스</t>
        </is>
      </c>
      <c r="P454" s="4" t="n">
        <v>1</v>
      </c>
      <c r="Q454" s="4" t="n">
        <v>1237</v>
      </c>
      <c r="R454" s="3" t="inlineStr">
        <is>
          <t>보전녹지지역</t>
        </is>
      </c>
      <c r="S454" s="3" t="inlineStr">
        <is>
          <t>전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중로한면</t>
        </is>
      </c>
    </row>
    <row r="455">
      <c r="A455" s="3" t="inlineStr">
        <is>
          <t>남이면 가좌리 259</t>
        </is>
      </c>
      <c r="B455" s="3" t="inlineStr">
        <is>
          <t>자연녹지지역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100000</v>
      </c>
      <c r="G455" s="4" t="n">
        <v>1237</v>
      </c>
      <c r="H455" s="4" t="n">
        <v>374</v>
      </c>
      <c r="I455" s="5" t="n">
        <v>267.4</v>
      </c>
      <c r="J455" s="5" t="n">
        <v>31.6</v>
      </c>
      <c r="K455" s="3" t="inlineStr">
        <is>
          <t>남이면 가좌리 광고효과 좋은 대로변 토지 매매.</t>
        </is>
      </c>
      <c r="L455" s="6">
        <f>HYPERLINK("https://fin.land.naver.com/articles/2654154168", "매물Link")</f>
        <v/>
      </c>
      <c r="M455" s="6">
        <f>HYPERLINK("https://map.naver.com/p/search/남이면 가좌리 259", "지도Link")</f>
        <v/>
      </c>
      <c r="N455" s="6">
        <f>HYPERLINK("http://www.eum.go.kr/web/ar/lu/luLandDet.jsp?pnu=4311231036102590000&amp;isNoScr=script&amp;mode=search", "토지이음")</f>
        <v/>
      </c>
      <c r="O455" s="3" t="inlineStr">
        <is>
          <t>방서에이스</t>
        </is>
      </c>
      <c r="P455" s="4" t="n">
        <v>2</v>
      </c>
      <c r="Q455" s="4" t="n">
        <v>1237</v>
      </c>
      <c r="R455" s="3" t="inlineStr">
        <is>
          <t>보전녹지지역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중로한면</t>
        </is>
      </c>
    </row>
    <row r="456">
      <c r="A456" s="3" t="inlineStr">
        <is>
          <t>남이면 가좌리 308</t>
        </is>
      </c>
      <c r="B456" s="3" t="inlineStr">
        <is>
          <t>자연녹지지역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110000</v>
      </c>
      <c r="G456" s="4" t="n">
        <v>4692</v>
      </c>
      <c r="H456" s="4" t="n">
        <v>1419</v>
      </c>
      <c r="I456" s="5" t="n">
        <v>77.5</v>
      </c>
      <c r="J456" s="5" t="n">
        <v>25.1</v>
      </c>
      <c r="K456" s="3" t="inlineStr">
        <is>
          <t>남이면 가좌리 토목공사 완료된 토지 매매.제조업가능.</t>
        </is>
      </c>
      <c r="L456" s="6">
        <f>HYPERLINK("https://fin.land.naver.com/articles/2649624673", "매물Link")</f>
        <v/>
      </c>
      <c r="M456" s="6">
        <f>HYPERLINK("https://map.naver.com/p/search/남이면 가좌리 308", "지도Link")</f>
        <v/>
      </c>
      <c r="N456" s="6">
        <f>HYPERLINK("http://www.eum.go.kr/web/ar/lu/luLandDet.jsp?pnu=4311231036103080000&amp;isNoScr=script&amp;mode=search", "토지이음")</f>
        <v/>
      </c>
      <c r="O456" s="3" t="inlineStr">
        <is>
          <t>방서에이스</t>
        </is>
      </c>
      <c r="P456" s="4" t="n">
        <v>1</v>
      </c>
      <c r="Q456" s="4" t="n">
        <v>1711</v>
      </c>
      <c r="R456" s="3" t="inlineStr">
        <is>
          <t>지정되지않음</t>
        </is>
      </c>
      <c r="S456" s="3" t="inlineStr">
        <is>
          <t>답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세로한면(불)</t>
        </is>
      </c>
    </row>
    <row r="457">
      <c r="A457" s="3" t="inlineStr">
        <is>
          <t>남이면 가좌리 54</t>
        </is>
      </c>
      <c r="B457" s="3" t="inlineStr">
        <is>
          <t>자연녹지지역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46600</v>
      </c>
      <c r="G457" s="4" t="n">
        <v>2371</v>
      </c>
      <c r="H457" s="4" t="n">
        <v>717</v>
      </c>
      <c r="I457" s="5" t="n">
        <v>65</v>
      </c>
      <c r="J457" s="5" t="n">
        <v>24</v>
      </c>
      <c r="K457" s="3" t="inlineStr">
        <is>
          <t>nan</t>
        </is>
      </c>
      <c r="L457" s="6">
        <f>HYPERLINK("https://fin.land.naver.com/articles/2651710438", "매물Link")</f>
        <v/>
      </c>
      <c r="M457" s="6">
        <f>HYPERLINK("https://map.naver.com/p/search/남이면 가좌리 54", "지도Link")</f>
        <v/>
      </c>
      <c r="N457" s="6">
        <f>HYPERLINK("http://www.eum.go.kr/web/ar/lu/luLandDet.jsp?pnu=4311231036100540000&amp;isNoScr=script&amp;mode=search", "토지이음")</f>
        <v/>
      </c>
      <c r="O457" s="3" t="inlineStr">
        <is>
          <t>대길</t>
        </is>
      </c>
      <c r="P457" s="4" t="n">
        <v>1</v>
      </c>
      <c r="Q457" s="4" t="n">
        <v>2371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남이면 가좌리 97-2</t>
        </is>
      </c>
      <c r="B458" s="3" t="inlineStr">
        <is>
          <t>자연녹지지역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35000</v>
      </c>
      <c r="G458" s="4" t="n">
        <v>655</v>
      </c>
      <c r="H458" s="4" t="n">
        <v>198</v>
      </c>
      <c r="I458" s="5" t="n">
        <v>176.8</v>
      </c>
      <c r="J458" s="5" t="n">
        <v>69.7</v>
      </c>
      <c r="K458" s="3" t="inlineStr">
        <is>
          <t>2차선 도로접한 나대지 토지로 활용도 높음</t>
        </is>
      </c>
      <c r="L458" s="6">
        <f>HYPERLINK("https://fin.land.naver.com/articles/2655210183", "매물Link")</f>
        <v/>
      </c>
      <c r="M458" s="6">
        <f>HYPERLINK("https://map.naver.com/p/search/남이면 가좌리 97-2", "지도Link")</f>
        <v/>
      </c>
      <c r="N458" s="6">
        <f>HYPERLINK("http://www.eum.go.kr/web/ar/lu/luLandDet.jsp?pnu=4311231036100970002&amp;isNoScr=script&amp;mode=search", "토지이음")</f>
        <v/>
      </c>
      <c r="O458" s="3" t="inlineStr">
        <is>
          <t>청주원</t>
        </is>
      </c>
      <c r="P458" s="4" t="n">
        <v>2</v>
      </c>
      <c r="Q458" s="4" t="n">
        <v>655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소로각지</t>
        </is>
      </c>
    </row>
    <row r="459">
      <c r="A459" s="3" t="inlineStr">
        <is>
          <t>남이면 가좌리 산 70-3</t>
        </is>
      </c>
      <c r="B459" s="3" t="inlineStr">
        <is>
          <t>보전녹지지역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131800</v>
      </c>
      <c r="G459" s="4" t="n">
        <v>4990</v>
      </c>
      <c r="H459" s="4" t="n">
        <v>1509</v>
      </c>
      <c r="I459" s="5" t="n">
        <v>87.3</v>
      </c>
      <c r="J459" s="5" t="n">
        <v>3.7</v>
      </c>
      <c r="K459" s="3" t="inlineStr">
        <is>
          <t>사진 有 남청주ic구 청원ic 8분 접근성 좋은 창고부지</t>
        </is>
      </c>
      <c r="L459" s="6">
        <f>HYPERLINK("https://fin.land.naver.com/articles/2650890338", "매물Link")</f>
        <v/>
      </c>
      <c r="M459" s="6">
        <f>HYPERLINK("https://map.naver.com/p/search/남이면 가좌리 산 70-3", "지도Link")</f>
        <v/>
      </c>
      <c r="N459" s="6">
        <f>HYPERLINK("http://www.eum.go.kr/web/ar/lu/luLandDet.jsp?pnu=4311231036200700003&amp;isNoScr=script&amp;mode=search", "토지이음")</f>
        <v/>
      </c>
      <c r="O459" s="3" t="inlineStr">
        <is>
          <t>청주대장</t>
        </is>
      </c>
      <c r="P459" s="4" t="n">
        <v>1</v>
      </c>
      <c r="Q459" s="4" t="n">
        <v>2483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급경사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가좌리 산63-22</t>
        </is>
      </c>
      <c r="B460" s="3" t="inlineStr">
        <is>
          <t>보전녹지지역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11000</v>
      </c>
      <c r="G460" s="4" t="n">
        <v>409</v>
      </c>
      <c r="H460" s="4" t="n">
        <v>124</v>
      </c>
      <c r="I460" s="5" t="n">
        <v>88.7</v>
      </c>
      <c r="J460" s="5" t="n">
        <v>19.5</v>
      </c>
      <c r="K460" s="3" t="inlineStr">
        <is>
          <t>nan</t>
        </is>
      </c>
      <c r="L460" s="6">
        <f>HYPERLINK("https://fin.land.naver.com/articles/2652058035", "매물Link")</f>
        <v/>
      </c>
      <c r="M460" s="6">
        <f>HYPERLINK("https://map.naver.com/p/search/남이면 가좌리 산63-22", "지도Link")</f>
        <v/>
      </c>
      <c r="N460" s="6">
        <f>HYPERLINK("http://www.eum.go.kr/web/ar/lu/luLandDet.jsp?pnu=4311231036200630022&amp;isNoScr=script&amp;mode=search", "토지이음")</f>
        <v/>
      </c>
      <c r="O460" s="3" t="inlineStr">
        <is>
          <t>거림</t>
        </is>
      </c>
      <c r="P460" s="4" t="n">
        <v>1</v>
      </c>
      <c r="Q460" s="4" t="n">
        <v>282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갈원리 207-3</t>
        </is>
      </c>
      <c r="B461" s="3" t="inlineStr">
        <is>
          <t>계획관리지역</t>
        </is>
      </c>
      <c r="C461" s="3" t="inlineStr">
        <is>
          <t>주유소용지</t>
        </is>
      </c>
      <c r="D461" s="3" t="inlineStr">
        <is>
          <t>주유소용지</t>
        </is>
      </c>
      <c r="E461" s="3" t="inlineStr">
        <is>
          <t>매매</t>
        </is>
      </c>
      <c r="F461" s="4" t="n">
        <v>180000</v>
      </c>
      <c r="G461" s="4" t="n">
        <v>1805</v>
      </c>
      <c r="H461" s="4" t="n">
        <v>546</v>
      </c>
      <c r="I461" s="5" t="n">
        <v>329.7</v>
      </c>
      <c r="J461" s="5" t="n">
        <v>66.2</v>
      </c>
      <c r="K461" s="3" t="inlineStr">
        <is>
          <t>갈원리 계획관리지역의 위치 좋은 주유소용지 매매이예요</t>
        </is>
      </c>
      <c r="L461" s="6">
        <f>HYPERLINK("https://fin.land.naver.com/articles/2651068722", "매물Link")</f>
        <v/>
      </c>
      <c r="M461" s="6">
        <f>HYPERLINK("https://map.naver.com/p/search/남이면 갈원리 207-3", "지도Link")</f>
        <v/>
      </c>
      <c r="N461" s="6">
        <f>HYPERLINK("http://www.eum.go.kr/web/ar/lu/luLandDet.jsp?pnu=4311231029102070003&amp;isNoScr=script&amp;mode=search", "토지이음")</f>
        <v/>
      </c>
      <c r="O461" s="3" t="inlineStr">
        <is>
          <t>4989명품</t>
        </is>
      </c>
      <c r="P461" s="4" t="n">
        <v>1</v>
      </c>
      <c r="Q461" s="4" t="n">
        <v>1484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갈원리 276</t>
        </is>
      </c>
      <c r="B462" s="3" t="inlineStr">
        <is>
          <t>생산관리지역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15000</v>
      </c>
      <c r="G462" s="4" t="n">
        <v>1033</v>
      </c>
      <c r="H462" s="4" t="n">
        <v>312</v>
      </c>
      <c r="I462" s="5" t="n">
        <v>48.1</v>
      </c>
      <c r="J462" s="5" t="n">
        <v>12.8</v>
      </c>
      <c r="K462" s="3" t="inlineStr">
        <is>
          <t>전, 생산관리, 갈원초 남쪽 길건너 인근, 접근성 양호</t>
        </is>
      </c>
      <c r="L462" s="6">
        <f>HYPERLINK("https://fin.land.naver.com/articles/2654355044", "매물Link")</f>
        <v/>
      </c>
      <c r="M462" s="6">
        <f>HYPERLINK("https://map.naver.com/p/search/남이면 갈원리 276", "지도Link")</f>
        <v/>
      </c>
      <c r="N462" s="6">
        <f>HYPERLINK("http://www.eum.go.kr/web/ar/lu/luLandDet.jsp?pnu=4311231029102760000&amp;isNoScr=script&amp;mode=search", "토지이음")</f>
        <v/>
      </c>
      <c r="O462" s="3" t="inlineStr">
        <is>
          <t>서일</t>
        </is>
      </c>
      <c r="P462" s="4" t="n">
        <v>1</v>
      </c>
      <c r="Q462" s="4" t="n">
        <v>1033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남이면 갈원리 6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30000</v>
      </c>
      <c r="G463" s="4" t="n">
        <v>1907</v>
      </c>
      <c r="H463" s="4" t="n">
        <v>577</v>
      </c>
      <c r="I463" s="5" t="n">
        <v>52</v>
      </c>
      <c r="J463" s="5" t="n">
        <v>21.8</v>
      </c>
      <c r="K463" s="3" t="inlineStr">
        <is>
          <t>남이면 주말농장 소개해드립니다</t>
        </is>
      </c>
      <c r="L463" s="6">
        <f>HYPERLINK("https://fin.land.naver.com/articles/2651733436", "매물Link")</f>
        <v/>
      </c>
      <c r="M463" s="6">
        <f>HYPERLINK("https://map.naver.com/p/search/남이면 갈원리 6", "지도Link")</f>
        <v/>
      </c>
      <c r="N463" s="6">
        <f>HYPERLINK("http://www.eum.go.kr/web/ar/lu/luLandDet.jsp?pnu=4311231029100060000&amp;isNoScr=script&amp;mode=search", "토지이음")</f>
        <v/>
      </c>
      <c r="O463" s="3" t="inlineStr">
        <is>
          <t>이로운 사무소</t>
        </is>
      </c>
      <c r="P463" s="4" t="n">
        <v>1</v>
      </c>
      <c r="Q463" s="4" t="n">
        <v>1907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갈원리 산 39-8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40000</v>
      </c>
      <c r="G464" s="4" t="n">
        <v>3300</v>
      </c>
      <c r="H464" s="4" t="n">
        <v>998</v>
      </c>
      <c r="I464" s="5" t="n">
        <v>40.1</v>
      </c>
      <c r="J464" s="5" t="n">
        <v>2.9</v>
      </c>
      <c r="K464" s="3" t="inlineStr">
        <is>
          <t>2차선 대로변 낮은 임야</t>
        </is>
      </c>
      <c r="L464" s="6">
        <f>HYPERLINK("https://fin.land.naver.com/articles/2654696842", "매물Link")</f>
        <v/>
      </c>
      <c r="M464" s="6">
        <f>HYPERLINK("https://map.naver.com/p/search/남이면 갈원리 산 39-8", "지도Link")</f>
        <v/>
      </c>
      <c r="N464" s="6">
        <f>HYPERLINK("http://www.eum.go.kr/web/ar/lu/luLandDet.jsp?pnu=4311231029200390008&amp;isNoScr=script&amp;mode=search", "토지이음")</f>
        <v/>
      </c>
      <c r="O464" s="3" t="inlineStr">
        <is>
          <t>수풀림</t>
        </is>
      </c>
      <c r="P464" s="4" t="n">
        <v>2</v>
      </c>
      <c r="Q464" s="4" t="n">
        <v>3300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소로한면</t>
        </is>
      </c>
    </row>
    <row r="465">
      <c r="A465" s="3" t="inlineStr">
        <is>
          <t>남이면 구미리 189</t>
        </is>
      </c>
      <c r="B465" s="3" t="inlineStr">
        <is>
          <t>계획관리지역</t>
        </is>
      </c>
      <c r="C465" s="3" t="inlineStr">
        <is>
          <t>답</t>
        </is>
      </c>
      <c r="D465" s="3" t="inlineStr">
        <is>
          <t>대</t>
        </is>
      </c>
      <c r="E465" s="3" t="inlineStr">
        <is>
          <t>매매</t>
        </is>
      </c>
      <c r="F465" s="4" t="n">
        <v>205000</v>
      </c>
      <c r="G465" s="4" t="n">
        <v>4159</v>
      </c>
      <c r="H465" s="4" t="n">
        <v>1258</v>
      </c>
      <c r="I465" s="5" t="n">
        <v>163</v>
      </c>
      <c r="J465" s="5" t="n">
        <v>21.5</v>
      </c>
      <c r="K465" s="3" t="inlineStr">
        <is>
          <t>청주시 남이면 구미리 2차선도로변 근린생활시설허가 토지</t>
        </is>
      </c>
      <c r="L465" s="6">
        <f>HYPERLINK("https://fin.land.naver.com/articles/2650771236", "매물Link")</f>
        <v/>
      </c>
      <c r="M465" s="6">
        <f>HYPERLINK("https://map.naver.com/p/search/남이면 구미리 189", "지도Link")</f>
        <v/>
      </c>
      <c r="N465" s="6">
        <f>HYPERLINK("http://www.eum.go.kr/web/ar/lu/luLandDet.jsp?pnu=4311231027101890000&amp;isNoScr=script&amp;mode=search", "토지이음")</f>
        <v/>
      </c>
      <c r="O465" s="3" t="inlineStr">
        <is>
          <t>좋은선택</t>
        </is>
      </c>
      <c r="P465" s="4" t="n">
        <v>1</v>
      </c>
      <c r="Q465" s="4" t="n">
        <v>2144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구미리 189</t>
        </is>
      </c>
      <c r="B466" s="3" t="inlineStr">
        <is>
          <t>계획관리지역</t>
        </is>
      </c>
      <c r="C466" s="3" t="inlineStr">
        <is>
          <t>답</t>
        </is>
      </c>
      <c r="D466" s="3" t="inlineStr">
        <is>
          <t>공장용지</t>
        </is>
      </c>
      <c r="E466" s="3" t="inlineStr">
        <is>
          <t>매매</t>
        </is>
      </c>
      <c r="F466" s="4" t="n">
        <v>544000</v>
      </c>
      <c r="G466" s="4" t="n">
        <v>11240</v>
      </c>
      <c r="H466" s="4" t="n">
        <v>3400</v>
      </c>
      <c r="I466" s="5" t="n">
        <v>160</v>
      </c>
      <c r="J466" s="5" t="n">
        <v>21.5</v>
      </c>
      <c r="K466" s="3" t="inlineStr">
        <is>
          <t>공장 인허가 완료된 토지매매</t>
        </is>
      </c>
      <c r="L466" s="6">
        <f>HYPERLINK("https://fin.land.naver.com/articles/2652774322", "매물Link")</f>
        <v/>
      </c>
      <c r="M466" s="6">
        <f>HYPERLINK("https://map.naver.com/p/search/남이면 구미리 189", "지도Link")</f>
        <v/>
      </c>
      <c r="N466" s="6">
        <f>HYPERLINK("http://www.eum.go.kr/web/ar/lu/luLandDet.jsp?pnu=4311231027101890000&amp;isNoScr=script&amp;mode=search", "토지이음")</f>
        <v/>
      </c>
      <c r="O466" s="3" t="inlineStr">
        <is>
          <t>금화랜드</t>
        </is>
      </c>
      <c r="P466" s="4" t="n">
        <v>1</v>
      </c>
      <c r="Q466" s="4" t="n">
        <v>2144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소로한면</t>
        </is>
      </c>
    </row>
    <row r="467">
      <c r="A467" s="3" t="inlineStr">
        <is>
          <t>남이면 구미리 192-3</t>
        </is>
      </c>
      <c r="B467" s="3" t="inlineStr">
        <is>
          <t>계획관리지역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736000</v>
      </c>
      <c r="G467" s="4" t="n">
        <v>18719</v>
      </c>
      <c r="H467" s="4" t="n">
        <v>5662</v>
      </c>
      <c r="I467" s="5" t="n">
        <v>130</v>
      </c>
      <c r="J467" s="5" t="n">
        <v>34.8</v>
      </c>
      <c r="K467" s="3" t="inlineStr">
        <is>
          <t>청주 남이면 구미리 2차선 도로접, 공장허가득한 토</t>
        </is>
      </c>
      <c r="L467" s="6">
        <f>HYPERLINK("https://fin.land.naver.com/articles/2652739615", "매물Link")</f>
        <v/>
      </c>
      <c r="M467" s="6">
        <f>HYPERLINK("https://map.naver.com/p/search/남이면 구미리 192-3", "지도Link")</f>
        <v/>
      </c>
      <c r="N467" s="6">
        <f>HYPERLINK("http://www.eum.go.kr/web/ar/lu/luLandDet.jsp?pnu=4311231027101920003&amp;isNoScr=script&amp;mode=search", "토지이음")</f>
        <v/>
      </c>
      <c r="O467" s="3" t="inlineStr">
        <is>
          <t>좋은선택</t>
        </is>
      </c>
      <c r="P467" s="4" t="n">
        <v>1</v>
      </c>
      <c r="Q467" s="4" t="n">
        <v>18455</v>
      </c>
      <c r="R467" s="3" t="inlineStr">
        <is>
          <t>농림지역</t>
        </is>
      </c>
      <c r="S467" s="3" t="inlineStr">
        <is>
          <t>공업나지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남이면 구미리 223-1</t>
        </is>
      </c>
      <c r="B468" s="3" t="inlineStr">
        <is>
          <t>농림지역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51000</v>
      </c>
      <c r="G468" s="4" t="n">
        <v>5058</v>
      </c>
      <c r="H468" s="4" t="n">
        <v>1530</v>
      </c>
      <c r="I468" s="5" t="n">
        <v>33.3</v>
      </c>
      <c r="J468" s="5" t="n">
        <v>13.1</v>
      </c>
      <c r="K468" s="3" t="inlineStr">
        <is>
          <t>nan</t>
        </is>
      </c>
      <c r="L468" s="6">
        <f>HYPERLINK("https://fin.land.naver.com/articles/2650538806", "매물Link")</f>
        <v/>
      </c>
      <c r="M468" s="6">
        <f>HYPERLINK("https://map.naver.com/p/search/남이면 구미리 223-1", "지도Link")</f>
        <v/>
      </c>
      <c r="N468" s="6">
        <f>HYPERLINK("http://www.eum.go.kr/web/ar/lu/luLandDet.jsp?pnu=4311231027102230001&amp;isNoScr=script&amp;mode=search", "토지이음")</f>
        <v/>
      </c>
      <c r="O468" s="3" t="inlineStr">
        <is>
          <t>세종큰길</t>
        </is>
      </c>
      <c r="P468" s="4" t="n">
        <v>1</v>
      </c>
      <c r="Q468" s="4" t="n">
        <v>5058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평지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구미리 223-1</t>
        </is>
      </c>
      <c r="B469" s="3" t="inlineStr">
        <is>
          <t>농림지역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50000</v>
      </c>
      <c r="G469" s="4" t="n">
        <v>5058</v>
      </c>
      <c r="H469" s="4" t="n">
        <v>1530</v>
      </c>
      <c r="I469" s="5" t="n">
        <v>32.7</v>
      </c>
      <c r="J469" s="5" t="n">
        <v>13.1</v>
      </c>
      <c r="K469" s="3" t="inlineStr">
        <is>
          <t>농막, 지하수, 전기 인입된 투자용 토지</t>
        </is>
      </c>
      <c r="L469" s="6">
        <f>HYPERLINK("https://fin.land.naver.com/articles/2653240662", "매물Link")</f>
        <v/>
      </c>
      <c r="M469" s="6">
        <f>HYPERLINK("https://map.naver.com/p/search/남이면 구미리 223-1", "지도Link")</f>
        <v/>
      </c>
      <c r="N469" s="6">
        <f>HYPERLINK("http://www.eum.go.kr/web/ar/lu/luLandDet.jsp?pnu=4311231027102230001&amp;isNoScr=script&amp;mode=search", "토지이음")</f>
        <v/>
      </c>
      <c r="O469" s="3" t="inlineStr">
        <is>
          <t>산들</t>
        </is>
      </c>
      <c r="P469" s="4" t="n">
        <v>2</v>
      </c>
      <c r="Q469" s="4" t="n">
        <v>5058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남이면 구미리 302</t>
        </is>
      </c>
      <c r="B470" s="3" t="inlineStr">
        <is>
          <t>계획관리지역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439600</v>
      </c>
      <c r="G470" s="4" t="n">
        <v>7276</v>
      </c>
      <c r="H470" s="4" t="n">
        <v>2201</v>
      </c>
      <c r="I470" s="5" t="n">
        <v>199.7</v>
      </c>
      <c r="J470" s="5" t="n">
        <v>20.2</v>
      </c>
      <c r="K470" s="3" t="inlineStr">
        <is>
          <t>남이면 구미리 토지매매 왕복2차선 도로접</t>
        </is>
      </c>
      <c r="L470" s="6">
        <f>HYPERLINK("https://fin.land.naver.com/articles/2652822357", "매물Link")</f>
        <v/>
      </c>
      <c r="M470" s="6">
        <f>HYPERLINK("https://map.naver.com/p/search/남이면 구미리 302", "지도Link")</f>
        <v/>
      </c>
      <c r="N470" s="6">
        <f>HYPERLINK("http://www.eum.go.kr/web/ar/lu/luLandDet.jsp?pnu=4311231027103020000&amp;isNoScr=script&amp;mode=search", "토지이음")</f>
        <v/>
      </c>
      <c r="O470" s="3" t="inlineStr">
        <is>
          <t>탄탄</t>
        </is>
      </c>
      <c r="P470" s="4" t="n">
        <v>1</v>
      </c>
      <c r="Q470" s="4" t="n">
        <v>668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남이면 구미리 35</t>
        </is>
      </c>
      <c r="B471" s="3" t="inlineStr">
        <is>
          <t>계획관리지역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200000</v>
      </c>
      <c r="G471" s="4" t="n">
        <v>4553</v>
      </c>
      <c r="H471" s="4" t="n">
        <v>1377</v>
      </c>
      <c r="I471" s="5" t="n">
        <v>145.2</v>
      </c>
      <c r="J471" s="5" t="n">
        <v>20</v>
      </c>
      <c r="K471" s="3" t="inlineStr">
        <is>
          <t>2차선도로접. 분할가능. 연정교차로 인근.공장.창고추천</t>
        </is>
      </c>
      <c r="L471" s="6">
        <f>HYPERLINK("https://fin.land.naver.com/articles/2654897822", "매물Link")</f>
        <v/>
      </c>
      <c r="M471" s="6">
        <f>HYPERLINK("https://map.naver.com/p/search/남이면 구미리 35", "지도Link")</f>
        <v/>
      </c>
      <c r="N471" s="6">
        <f>HYPERLINK("http://www.eum.go.kr/web/ar/lu/luLandDet.jsp?pnu=4311231027100350000&amp;isNoScr=script&amp;mode=search", "토지이음")</f>
        <v/>
      </c>
      <c r="O471" s="3" t="inlineStr">
        <is>
          <t>플러스자이합동</t>
        </is>
      </c>
      <c r="P471" s="4" t="n">
        <v>1</v>
      </c>
      <c r="Q471" s="4" t="n">
        <v>4553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구미리 산19-9</t>
        </is>
      </c>
      <c r="B472" s="3" t="inlineStr">
        <is>
          <t>계획관리지역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62000</v>
      </c>
      <c r="G472" s="4" t="n">
        <v>2357</v>
      </c>
      <c r="H472" s="4" t="n">
        <v>713</v>
      </c>
      <c r="I472" s="5" t="n">
        <v>87</v>
      </c>
      <c r="J472" s="5" t="n">
        <v>8.5</v>
      </c>
      <c r="K472" s="3" t="inlineStr">
        <is>
          <t>계획관리지역 공장,창고 추천</t>
        </is>
      </c>
      <c r="L472" s="6">
        <f>HYPERLINK("https://fin.land.naver.com/articles/2651068418", "매물Link")</f>
        <v/>
      </c>
      <c r="M472" s="6">
        <f>HYPERLINK("https://map.naver.com/p/search/남이면 구미리 산19-9", "지도Link")</f>
        <v/>
      </c>
      <c r="N472" s="6">
        <f>HYPERLINK("http://www.eum.go.kr/web/ar/lu/luLandDet.jsp?pnu=4311231027200190009&amp;isNoScr=script&amp;mode=search", "토지이음")</f>
        <v/>
      </c>
      <c r="O472" s="3" t="inlineStr">
        <is>
          <t>새로이</t>
        </is>
      </c>
      <c r="P472" s="4" t="n">
        <v>1</v>
      </c>
      <c r="Q472" s="4" t="n">
        <v>2262</v>
      </c>
      <c r="R472" s="3" t="inlineStr">
        <is>
          <t>지정되지않음</t>
        </is>
      </c>
      <c r="S472" s="3" t="inlineStr">
        <is>
          <t>임야기타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남이면 구암리 103-2</t>
        </is>
      </c>
      <c r="B473" s="3" t="inlineStr">
        <is>
          <t>자연녹지지역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105000</v>
      </c>
      <c r="G473" s="4" t="n">
        <v>2354</v>
      </c>
      <c r="H473" s="4" t="n">
        <v>712</v>
      </c>
      <c r="I473" s="5" t="n">
        <v>147.5</v>
      </c>
      <c r="J473" s="5" t="n">
        <v>42.8</v>
      </c>
      <c r="K473" s="3" t="inlineStr">
        <is>
          <t>급매추천 세종청주 잇는 골든라인, 남이면 구암리 토지 매매</t>
        </is>
      </c>
      <c r="L473" s="6">
        <f>HYPERLINK("https://fin.land.naver.com/articles/2649862899", "매물Link")</f>
        <v/>
      </c>
      <c r="M473" s="6">
        <f>HYPERLINK("https://map.naver.com/p/search/남이면 구암리 103-2", "지도Link")</f>
        <v/>
      </c>
      <c r="N473" s="6">
        <f>HYPERLINK("http://www.eum.go.kr/web/ar/lu/luLandDet.jsp?pnu=4311231032101030002&amp;isNoScr=script&amp;mode=search", "토지이음")</f>
        <v/>
      </c>
      <c r="O473" s="3" t="inlineStr">
        <is>
          <t>그랜드사무소</t>
        </is>
      </c>
      <c r="P473" s="4" t="n">
        <v>1</v>
      </c>
      <c r="Q473" s="4" t="n">
        <v>2095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세로한면(가)</t>
        </is>
      </c>
    </row>
    <row r="474">
      <c r="A474" s="3" t="inlineStr">
        <is>
          <t>남이면 구암리 103-2</t>
        </is>
      </c>
      <c r="B474" s="3" t="inlineStr">
        <is>
          <t>자연녹지지역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107000</v>
      </c>
      <c r="G474" s="4" t="n">
        <v>2354</v>
      </c>
      <c r="H474" s="4" t="n">
        <v>712</v>
      </c>
      <c r="I474" s="5" t="n">
        <v>150.3</v>
      </c>
      <c r="J474" s="5" t="n">
        <v>42.8</v>
      </c>
      <c r="K474" s="3" t="inlineStr">
        <is>
          <t>청주 세종간 4차선도로변 공장부지 근린생활시설</t>
        </is>
      </c>
      <c r="L474" s="6">
        <f>HYPERLINK("https://fin.land.naver.com/articles/2650505679", "매물Link")</f>
        <v/>
      </c>
      <c r="M474" s="6">
        <f>HYPERLINK("https://map.naver.com/p/search/남이면 구암리 103-2", "지도Link")</f>
        <v/>
      </c>
      <c r="N474" s="6">
        <f>HYPERLINK("http://www.eum.go.kr/web/ar/lu/luLandDet.jsp?pnu=4311231032101030002&amp;isNoScr=script&amp;mode=search", "토지이음")</f>
        <v/>
      </c>
      <c r="O474" s="3" t="inlineStr">
        <is>
          <t>두원</t>
        </is>
      </c>
      <c r="P474" s="4" t="n">
        <v>1</v>
      </c>
      <c r="Q474" s="4" t="n">
        <v>2095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구암리 11-1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103560</v>
      </c>
      <c r="G475" s="4" t="n">
        <v>2848</v>
      </c>
      <c r="H475" s="4" t="n">
        <v>862</v>
      </c>
      <c r="I475" s="5" t="n">
        <v>120.1</v>
      </c>
      <c r="J475" s="5" t="n">
        <v>17.3</v>
      </c>
      <c r="K475" s="3" t="inlineStr">
        <is>
          <t>석곡사거리 진입편리한 창고부지</t>
        </is>
      </c>
      <c r="L475" s="6">
        <f>HYPERLINK("https://fin.land.naver.com/articles/2649483994", "매물Link")</f>
        <v/>
      </c>
      <c r="M475" s="6">
        <f>HYPERLINK("https://map.naver.com/p/search/남이면 구암리 11-1", "지도Link")</f>
        <v/>
      </c>
      <c r="N475" s="6">
        <f>HYPERLINK("http://www.eum.go.kr/web/ar/lu/luLandDet.jsp?pnu=4311231032100110001&amp;isNoScr=script&amp;mode=search", "토지이음")</f>
        <v/>
      </c>
      <c r="O475" s="3" t="inlineStr">
        <is>
          <t>토담</t>
        </is>
      </c>
      <c r="P475" s="4" t="n">
        <v>1</v>
      </c>
      <c r="Q475" s="4" t="n">
        <v>2758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세로한면(불)</t>
        </is>
      </c>
    </row>
    <row r="476">
      <c r="A476" s="3" t="inlineStr">
        <is>
          <t>남이면 구암리 123-1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대</t>
        </is>
      </c>
      <c r="E476" s="3" t="inlineStr">
        <is>
          <t>매매</t>
        </is>
      </c>
      <c r="F476" s="4" t="n">
        <v>178800</v>
      </c>
      <c r="G476" s="4" t="n">
        <v>3940</v>
      </c>
      <c r="H476" s="4" t="n">
        <v>1192</v>
      </c>
      <c r="I476" s="5" t="n">
        <v>150</v>
      </c>
      <c r="J476" s="5" t="n">
        <v>46.1</v>
      </c>
      <c r="K476" s="3" t="inlineStr">
        <is>
          <t>nan</t>
        </is>
      </c>
      <c r="L476" s="6">
        <f>HYPERLINK("https://fin.land.naver.com/articles/2652111791", "매물Link")</f>
        <v/>
      </c>
      <c r="M476" s="6">
        <f>HYPERLINK("https://map.naver.com/p/search/남이면 구암리 123-1", "지도Link")</f>
        <v/>
      </c>
      <c r="N476" s="6">
        <f>HYPERLINK("http://www.eum.go.kr/web/ar/lu/luLandDet.jsp?pnu=4311231032101230001&amp;isNoScr=script&amp;mode=search", "토지이음")</f>
        <v/>
      </c>
      <c r="O476" s="3" t="inlineStr">
        <is>
          <t>교차로</t>
        </is>
      </c>
      <c r="P476" s="4" t="n">
        <v>1</v>
      </c>
      <c r="Q476" s="4" t="n">
        <v>3011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구암리 143-3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60000</v>
      </c>
      <c r="G477" s="4" t="n">
        <v>2791</v>
      </c>
      <c r="H477" s="4" t="n">
        <v>844</v>
      </c>
      <c r="I477" s="5" t="n">
        <v>71.09999999999999</v>
      </c>
      <c r="J477" s="5" t="n">
        <v>30.6</v>
      </c>
      <c r="K477" s="3" t="inlineStr">
        <is>
          <t>혜화학교 인근 자연녹지 토지로 활용도 많은 땅임.</t>
        </is>
      </c>
      <c r="L477" s="6">
        <f>HYPERLINK("https://fin.land.naver.com/articles/2654382340", "매물Link")</f>
        <v/>
      </c>
      <c r="M477" s="6">
        <f>HYPERLINK("https://map.naver.com/p/search/남이면 구암리 143-3", "지도Link")</f>
        <v/>
      </c>
      <c r="N477" s="6">
        <f>HYPERLINK("http://www.eum.go.kr/web/ar/lu/luLandDet.jsp?pnu=4311231032101430003&amp;isNoScr=script&amp;mode=search", "토지이음")</f>
        <v/>
      </c>
      <c r="O477" s="3" t="inlineStr">
        <is>
          <t>포시즌</t>
        </is>
      </c>
      <c r="P477" s="4" t="n">
        <v>1</v>
      </c>
      <c r="Q477" s="4" t="n">
        <v>2791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구암리 232-31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19000</v>
      </c>
      <c r="G478" s="4" t="n">
        <v>431</v>
      </c>
      <c r="H478" s="4" t="n">
        <v>130</v>
      </c>
      <c r="I478" s="5" t="n">
        <v>146.2</v>
      </c>
      <c r="J478" s="5" t="n">
        <v>7.1</v>
      </c>
      <c r="K478" s="3" t="inlineStr">
        <is>
          <t>신축하기 좋은 전원주택 부지를 저렴하게 매매합니다.</t>
        </is>
      </c>
      <c r="L478" s="6">
        <f>HYPERLINK("https://fin.land.naver.com/articles/2651905087", "매물Link")</f>
        <v/>
      </c>
      <c r="M478" s="6">
        <f>HYPERLINK("https://map.naver.com/p/search/남이면 구암리 232-31", "지도Link")</f>
        <v/>
      </c>
      <c r="N478" s="6">
        <f>HYPERLINK("http://www.eum.go.kr/web/ar/lu/luLandDet.jsp?pnu=4311231032102320031&amp;isNoScr=script&amp;mode=search", "토지이음")</f>
        <v/>
      </c>
      <c r="O478" s="3" t="inlineStr">
        <is>
          <t>대전</t>
        </is>
      </c>
      <c r="P478" s="4" t="n">
        <v>1</v>
      </c>
      <c r="Q478" s="4" t="n">
        <v>4771</v>
      </c>
      <c r="R478" s="3" t="inlineStr">
        <is>
          <t>지정되지않음</t>
        </is>
      </c>
      <c r="S478" s="3" t="inlineStr">
        <is>
          <t>임야기타</t>
        </is>
      </c>
      <c r="T478" s="3" t="inlineStr">
        <is>
          <t>완경사</t>
        </is>
      </c>
      <c r="U478" s="3" t="inlineStr">
        <is>
          <t>사다리형</t>
        </is>
      </c>
      <c r="V478" s="3" t="inlineStr">
        <is>
          <t>세로한면(가)</t>
        </is>
      </c>
    </row>
    <row r="479">
      <c r="A479" s="3" t="inlineStr">
        <is>
          <t>남이면 구암리 272-3</t>
        </is>
      </c>
      <c r="B479" s="3" t="inlineStr">
        <is>
          <t>자연녹지지역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33000</v>
      </c>
      <c r="G479" s="4" t="n">
        <v>842</v>
      </c>
      <c r="H479" s="4" t="n">
        <v>255</v>
      </c>
      <c r="I479" s="5" t="n">
        <v>129.4</v>
      </c>
      <c r="J479" s="5" t="n">
        <v>60.6</v>
      </c>
      <c r="K479" s="3" t="inlineStr">
        <is>
          <t>2차선 도로에 접한 대지임,분할매매 가능함</t>
        </is>
      </c>
      <c r="L479" s="6">
        <f>HYPERLINK("https://fin.land.naver.com/articles/2652673956", "매물Link")</f>
        <v/>
      </c>
      <c r="M479" s="6">
        <f>HYPERLINK("https://map.naver.com/p/search/남이면 구암리 272-3", "지도Link")</f>
        <v/>
      </c>
      <c r="N479" s="6">
        <f>HYPERLINK("http://www.eum.go.kr/web/ar/lu/luLandDet.jsp?pnu=4311231032102720003&amp;isNoScr=script&amp;mode=search", "토지이음")</f>
        <v/>
      </c>
      <c r="O479" s="3" t="inlineStr">
        <is>
          <t>포시즌</t>
        </is>
      </c>
      <c r="P479" s="4" t="n">
        <v>2</v>
      </c>
      <c r="Q479" s="4" t="n">
        <v>842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308-16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1400000</v>
      </c>
      <c r="G480" s="4" t="n">
        <v>23228</v>
      </c>
      <c r="H480" s="4" t="n">
        <v>7026</v>
      </c>
      <c r="I480" s="5" t="n">
        <v>199.3</v>
      </c>
      <c r="J480" s="5" t="n">
        <v>49.5</v>
      </c>
      <c r="K480" s="3" t="inlineStr">
        <is>
          <t>고속도로  광고 가능</t>
        </is>
      </c>
      <c r="L480" s="6">
        <f>HYPERLINK("https://fin.land.naver.com/articles/2655081257", "매물Link")</f>
        <v/>
      </c>
      <c r="M480" s="6">
        <f>HYPERLINK("https://map.naver.com/p/search/남이면 구암리 308-16", "지도Link")</f>
        <v/>
      </c>
      <c r="N480" s="6">
        <f>HYPERLINK("http://www.eum.go.kr/web/ar/lu/luLandDet.jsp?pnu=4311231032103080016&amp;isNoScr=script&amp;mode=search", "토지이음")</f>
        <v/>
      </c>
      <c r="O480" s="3" t="inlineStr">
        <is>
          <t>조은</t>
        </is>
      </c>
      <c r="P480" s="4" t="n">
        <v>1</v>
      </c>
      <c r="Q480" s="4" t="n">
        <v>3524</v>
      </c>
      <c r="R480" s="3" t="inlineStr">
        <is>
          <t>지정되지않음</t>
        </is>
      </c>
      <c r="S480" s="3" t="inlineStr">
        <is>
          <t>주거기타</t>
        </is>
      </c>
      <c r="T480" s="3" t="inlineStr">
        <is>
          <t>완경사</t>
        </is>
      </c>
      <c r="U480" s="3" t="inlineStr">
        <is>
          <t>사다리형</t>
        </is>
      </c>
      <c r="V480" s="3" t="inlineStr">
        <is>
          <t>세로각지(가)</t>
        </is>
      </c>
    </row>
    <row r="481">
      <c r="A481" s="3" t="inlineStr">
        <is>
          <t>남이면 구암리 93-2</t>
        </is>
      </c>
      <c r="B481" s="3" t="inlineStr">
        <is>
          <t>자연녹지지역</t>
        </is>
      </c>
      <c r="C481" s="3" t="inlineStr">
        <is>
          <t>답</t>
        </is>
      </c>
      <c r="D481" s="3" t="inlineStr">
        <is>
          <t>전</t>
        </is>
      </c>
      <c r="E481" s="3" t="inlineStr">
        <is>
          <t>매매</t>
        </is>
      </c>
      <c r="F481" s="4" t="n">
        <v>17500</v>
      </c>
      <c r="G481" s="4" t="n">
        <v>1448</v>
      </c>
      <c r="H481" s="4" t="n">
        <v>438</v>
      </c>
      <c r="I481" s="5" t="n">
        <v>40</v>
      </c>
      <c r="J481" s="5" t="n">
        <v>35.5</v>
      </c>
      <c r="K481" s="3" t="inlineStr">
        <is>
          <t>전원 주택지 적합</t>
        </is>
      </c>
      <c r="L481" s="6">
        <f>HYPERLINK("https://fin.land.naver.com/articles/2651956458", "매물Link")</f>
        <v/>
      </c>
      <c r="M481" s="6">
        <f>HYPERLINK("https://map.naver.com/p/search/남이면 구암리 93-2", "지도Link")</f>
        <v/>
      </c>
      <c r="N481" s="6">
        <f>HYPERLINK("http://www.eum.go.kr/web/ar/lu/luLandDet.jsp?pnu=4311231032100930002&amp;isNoScr=script&amp;mode=search", "토지이음")</f>
        <v/>
      </c>
      <c r="O481" s="3" t="inlineStr">
        <is>
          <t>효성</t>
        </is>
      </c>
      <c r="P481" s="4" t="n">
        <v>2</v>
      </c>
      <c r="Q481" s="4" t="n">
        <v>1448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세로한면(불)</t>
        </is>
      </c>
    </row>
    <row r="482">
      <c r="A482" s="3" t="inlineStr">
        <is>
          <t>남이면 구암리 산 14-1</t>
        </is>
      </c>
      <c r="B482" s="3" t="inlineStr">
        <is>
          <t>보전녹지지역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80000</v>
      </c>
      <c r="G482" s="4" t="n">
        <v>41068</v>
      </c>
      <c r="H482" s="4" t="n">
        <v>12423</v>
      </c>
      <c r="I482" s="5" t="n">
        <v>6.4</v>
      </c>
      <c r="J482" s="5" t="n">
        <v>2.6</v>
      </c>
      <c r="K482" s="3" t="inlineStr">
        <is>
          <t>도시지역.보전녹지. 전.있음</t>
        </is>
      </c>
      <c r="L482" s="6">
        <f>HYPERLINK("https://fin.land.naver.com/articles/2654581431", "매물Link")</f>
        <v/>
      </c>
      <c r="M482" s="6">
        <f>HYPERLINK("https://map.naver.com/p/search/남이면 구암리 산 14-1", "지도Link")</f>
        <v/>
      </c>
      <c r="N482" s="6">
        <f>HYPERLINK("http://www.eum.go.kr/web/ar/lu/luLandDet.jsp?pnu=4311231032200140001&amp;isNoScr=script&amp;mode=search", "토지이음")</f>
        <v/>
      </c>
      <c r="O482" s="3" t="inlineStr">
        <is>
          <t>단지내 구현대</t>
        </is>
      </c>
      <c r="P482" s="4" t="n">
        <v>1</v>
      </c>
      <c r="Q482" s="4" t="n">
        <v>39372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남이면 구암리 산 14-1</t>
        </is>
      </c>
      <c r="B483" s="3" t="inlineStr">
        <is>
          <t>보전녹지지역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74500</v>
      </c>
      <c r="G483" s="4" t="n">
        <v>41068</v>
      </c>
      <c r="H483" s="4" t="n">
        <v>12423</v>
      </c>
      <c r="I483" s="5" t="n">
        <v>6</v>
      </c>
      <c r="J483" s="5" t="n">
        <v>2.6</v>
      </c>
      <c r="K483" s="3" t="inlineStr">
        <is>
          <t>지목  임야     전</t>
        </is>
      </c>
      <c r="L483" s="6">
        <f>HYPERLINK("https://fin.land.naver.com/articles/2653746352", "매물Link")</f>
        <v/>
      </c>
      <c r="M483" s="6">
        <f>HYPERLINK("https://map.naver.com/p/search/남이면 구암리 산 14-1", "지도Link")</f>
        <v/>
      </c>
      <c r="N483" s="6">
        <f>HYPERLINK("http://www.eum.go.kr/web/ar/lu/luLandDet.jsp?pnu=4311231032200140001&amp;isNoScr=script&amp;mode=search", "토지이음")</f>
        <v/>
      </c>
      <c r="O483" s="3" t="inlineStr">
        <is>
          <t>단지내 구현대</t>
        </is>
      </c>
      <c r="P483" s="4" t="n">
        <v>1</v>
      </c>
      <c r="Q483" s="4" t="n">
        <v>39372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남이면 구암리 산 23-2</t>
        </is>
      </c>
      <c r="B484" s="3" t="inlineStr">
        <is>
          <t>보전녹지지역</t>
        </is>
      </c>
      <c r="C484" s="3" t="inlineStr">
        <is>
          <t>임야</t>
        </is>
      </c>
      <c r="D484" s="3" t="inlineStr">
        <is>
          <t>임야</t>
        </is>
      </c>
      <c r="E484" s="3" t="inlineStr">
        <is>
          <t>매매</t>
        </is>
      </c>
      <c r="F484" s="4" t="n">
        <v>18700</v>
      </c>
      <c r="G484" s="4" t="n">
        <v>2470</v>
      </c>
      <c r="H484" s="4" t="n">
        <v>747</v>
      </c>
      <c r="I484" s="5" t="n">
        <v>25</v>
      </c>
      <c r="J484" s="5" t="n">
        <v>3.1</v>
      </c>
      <c r="K484" s="3" t="inlineStr">
        <is>
          <t>남이면 구암리 임야 매매</t>
        </is>
      </c>
      <c r="L484" s="6">
        <f>HYPERLINK("https://fin.land.naver.com/articles/2651762000", "매물Link")</f>
        <v/>
      </c>
      <c r="M484" s="6">
        <f>HYPERLINK("https://map.naver.com/p/search/남이면 구암리 산 23-2", "지도Link")</f>
        <v/>
      </c>
      <c r="N484" s="6">
        <f>HYPERLINK("http://www.eum.go.kr/web/ar/lu/luLandDet.jsp?pnu=4311231032200230002&amp;isNoScr=script&amp;mode=search", "토지이음")</f>
        <v/>
      </c>
      <c r="O484" s="3" t="inlineStr">
        <is>
          <t>대지</t>
        </is>
      </c>
      <c r="P484" s="4" t="n">
        <v>1</v>
      </c>
      <c r="Q484" s="4" t="n">
        <v>2470</v>
      </c>
      <c r="R484" s="3" t="inlineStr">
        <is>
          <t>지정되지않음</t>
        </is>
      </c>
      <c r="S484" s="3" t="inlineStr">
        <is>
          <t>임야기타</t>
        </is>
      </c>
      <c r="T484" s="3" t="inlineStr">
        <is>
          <t>완경사</t>
        </is>
      </c>
      <c r="U484" s="3" t="inlineStr">
        <is>
          <t>사다리형</t>
        </is>
      </c>
      <c r="V484" s="3" t="inlineStr">
        <is>
          <t>세로한면(불)</t>
        </is>
      </c>
    </row>
    <row r="485">
      <c r="A485" s="3" t="inlineStr">
        <is>
          <t>남이면 구암리 산 65-2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182000</v>
      </c>
      <c r="G485" s="4" t="n">
        <v>4628</v>
      </c>
      <c r="H485" s="4" t="n">
        <v>1400</v>
      </c>
      <c r="I485" s="5" t="n">
        <v>130</v>
      </c>
      <c r="J485" s="5" t="n">
        <v>2.7</v>
      </c>
      <c r="K485" s="3" t="inlineStr">
        <is>
          <t>사진有.청주 서부권 산업물류우수지, 토목완료된 개발사업지. 대형차량가능.</t>
        </is>
      </c>
      <c r="L485" s="6">
        <f>HYPERLINK("https://fin.land.naver.com/articles/2650206505", "매물Link")</f>
        <v/>
      </c>
      <c r="M485" s="6">
        <f>HYPERLINK("https://map.naver.com/p/search/남이면 구암리 산 65-2", "지도Link")</f>
        <v/>
      </c>
      <c r="N485" s="6">
        <f>HYPERLINK("http://www.eum.go.kr/web/ar/lu/luLandDet.jsp?pnu=4311231032200650002&amp;isNoScr=script&amp;mode=search", "토지이음")</f>
        <v/>
      </c>
      <c r="O485" s="3" t="inlineStr">
        <is>
          <t>오너스</t>
        </is>
      </c>
      <c r="P485" s="4" t="n">
        <v>1</v>
      </c>
      <c r="Q485" s="4" t="n">
        <v>6080</v>
      </c>
      <c r="R485" s="3" t="inlineStr">
        <is>
          <t>자연녹지지역</t>
        </is>
      </c>
      <c r="S485" s="3" t="inlineStr">
        <is>
          <t>자연림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구암리 산21</t>
        </is>
      </c>
      <c r="B486" s="3" t="inlineStr">
        <is>
          <t>자연녹지지역</t>
        </is>
      </c>
      <c r="C486" s="3" t="inlineStr">
        <is>
          <t>임야</t>
        </is>
      </c>
      <c r="D486" s="3" t="inlineStr">
        <is>
          <t>임야</t>
        </is>
      </c>
      <c r="E486" s="3" t="inlineStr">
        <is>
          <t>매매</t>
        </is>
      </c>
      <c r="F486" s="4" t="n">
        <v>38000</v>
      </c>
      <c r="G486" s="4" t="n">
        <v>1665</v>
      </c>
      <c r="H486" s="4" t="n">
        <v>504</v>
      </c>
      <c r="I486" s="5" t="n">
        <v>75.40000000000001</v>
      </c>
      <c r="J486" s="5" t="n">
        <v>17.8</v>
      </c>
      <c r="K486" s="3" t="inlineStr">
        <is>
          <t>2차선도로접,석곡사거리에서2km로 5분거리,토목공사완료</t>
        </is>
      </c>
      <c r="L486" s="6">
        <f>HYPERLINK("https://fin.land.naver.com/articles/2653652351", "매물Link")</f>
        <v/>
      </c>
      <c r="M486" s="6">
        <f>HYPERLINK("https://map.naver.com/p/search/남이면 구암리 산21", "지도Link")</f>
        <v/>
      </c>
      <c r="N486" s="6">
        <f>HYPERLINK("http://www.eum.go.kr/web/ar/lu/luLandDet.jsp?pnu=4311231032200210000&amp;isNoScr=script&amp;mode=search", "토지이음")</f>
        <v/>
      </c>
      <c r="O486" s="3" t="inlineStr">
        <is>
          <t>GS자이</t>
        </is>
      </c>
      <c r="P486" s="4" t="n">
        <v>1</v>
      </c>
      <c r="Q486" s="4" t="n">
        <v>1667</v>
      </c>
      <c r="R486" s="3" t="inlineStr">
        <is>
          <t>지정되지않음</t>
        </is>
      </c>
      <c r="S486" s="3" t="inlineStr">
        <is>
          <t>자연림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구암리 산21</t>
        </is>
      </c>
      <c r="B487" s="3" t="inlineStr">
        <is>
          <t>자연녹지지역</t>
        </is>
      </c>
      <c r="C487" s="3" t="inlineStr">
        <is>
          <t>임야</t>
        </is>
      </c>
      <c r="D487" s="3" t="inlineStr">
        <is>
          <t>임야</t>
        </is>
      </c>
      <c r="E487" s="3" t="inlineStr">
        <is>
          <t>매매</t>
        </is>
      </c>
      <c r="F487" s="4" t="n">
        <v>38000</v>
      </c>
      <c r="G487" s="4" t="n">
        <v>1667</v>
      </c>
      <c r="H487" s="4" t="n">
        <v>504</v>
      </c>
      <c r="I487" s="5" t="n">
        <v>75.40000000000001</v>
      </c>
      <c r="J487" s="5" t="n">
        <v>17.8</v>
      </c>
      <c r="K487" s="3" t="inlineStr">
        <is>
          <t>남청주 IC 인근, 청주 외곽순환로 접근성 최상 입지 토지 급매</t>
        </is>
      </c>
      <c r="L487" s="6">
        <f>HYPERLINK("https://fin.land.naver.com/articles/2653087489", "매물Link")</f>
        <v/>
      </c>
      <c r="M487" s="6">
        <f>HYPERLINK("https://map.naver.com/p/search/남이면 구암리 산21", "지도Link")</f>
        <v/>
      </c>
      <c r="N487" s="6">
        <f>HYPERLINK("http://www.eum.go.kr/web/ar/lu/luLandDet.jsp?pnu=4311231032200210000&amp;isNoScr=script&amp;mode=search", "토지이음")</f>
        <v/>
      </c>
      <c r="O487" s="3" t="inlineStr">
        <is>
          <t>대지</t>
        </is>
      </c>
      <c r="P487" s="4" t="n">
        <v>4</v>
      </c>
      <c r="Q487" s="4" t="n">
        <v>1667</v>
      </c>
      <c r="R487" s="3" t="inlineStr">
        <is>
          <t>지정되지않음</t>
        </is>
      </c>
      <c r="S487" s="3" t="inlineStr">
        <is>
          <t>자연림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소로한면</t>
        </is>
      </c>
    </row>
    <row r="488">
      <c r="A488" s="3" t="inlineStr">
        <is>
          <t>남이면 구암리 산21</t>
        </is>
      </c>
      <c r="B488" s="3" t="inlineStr">
        <is>
          <t>자연녹지지역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50000</v>
      </c>
      <c r="G488" s="4" t="n">
        <v>1667</v>
      </c>
      <c r="H488" s="4" t="n">
        <v>504</v>
      </c>
      <c r="I488" s="5" t="n">
        <v>99.2</v>
      </c>
      <c r="J488" s="5" t="n">
        <v>17.8</v>
      </c>
      <c r="K488" s="3" t="inlineStr">
        <is>
          <t>급매,추천,도로접함,위치좋음</t>
        </is>
      </c>
      <c r="L488" s="6">
        <f>HYPERLINK("https://fin.land.naver.com/articles/2651876026", "매물Link")</f>
        <v/>
      </c>
      <c r="M488" s="6">
        <f>HYPERLINK("https://map.naver.com/p/search/남이면 구암리 산21", "지도Link")</f>
        <v/>
      </c>
      <c r="N488" s="6">
        <f>HYPERLINK("http://www.eum.go.kr/web/ar/lu/luLandDet.jsp?pnu=4311231032200210000&amp;isNoScr=script&amp;mode=search", "토지이음")</f>
        <v/>
      </c>
      <c r="O488" s="3" t="inlineStr">
        <is>
          <t>가경아이파크5단지일타</t>
        </is>
      </c>
      <c r="P488" s="4" t="n">
        <v>1</v>
      </c>
      <c r="Q488" s="4" t="n">
        <v>1667</v>
      </c>
      <c r="R488" s="3" t="inlineStr">
        <is>
          <t>지정되지않음</t>
        </is>
      </c>
      <c r="S488" s="3" t="inlineStr">
        <is>
          <t>자연림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남이면 구암리 산65</t>
        </is>
      </c>
      <c r="B489" s="3" t="inlineStr">
        <is>
          <t>보전녹지지역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117000</v>
      </c>
      <c r="G489" s="4" t="n">
        <v>2975</v>
      </c>
      <c r="H489" s="4" t="n">
        <v>900</v>
      </c>
      <c r="I489" s="5" t="n">
        <v>130</v>
      </c>
      <c r="J489" s="5" t="n">
        <v>2.8</v>
      </c>
      <c r="K489" s="3" t="inlineStr">
        <is>
          <t>석곡4거리 4분거리, 제1종근생허가득, 창고추천</t>
        </is>
      </c>
      <c r="L489" s="6">
        <f>HYPERLINK("https://fin.land.naver.com/articles/2649887116", "매물Link")</f>
        <v/>
      </c>
      <c r="M489" s="6">
        <f>HYPERLINK("https://map.naver.com/p/search/남이면 구암리 산65", "지도Link")</f>
        <v/>
      </c>
      <c r="N489" s="6">
        <f>HYPERLINK("http://www.eum.go.kr/web/ar/lu/luLandDet.jsp?pnu=4311231032200650000&amp;isNoScr=script&amp;mode=search", "토지이음")</f>
        <v/>
      </c>
      <c r="O489" s="3" t="inlineStr">
        <is>
          <t>플러스자이합동</t>
        </is>
      </c>
      <c r="P489" s="4" t="n">
        <v>1</v>
      </c>
      <c r="Q489" s="4" t="n">
        <v>956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남이면 대련리 105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대</t>
        </is>
      </c>
      <c r="E490" s="3" t="inlineStr">
        <is>
          <t>매매</t>
        </is>
      </c>
      <c r="F490" s="4" t="n">
        <v>10700</v>
      </c>
      <c r="G490" s="4" t="n">
        <v>806</v>
      </c>
      <c r="H490" s="4" t="n">
        <v>244</v>
      </c>
      <c r="I490" s="5" t="n">
        <v>43.9</v>
      </c>
      <c r="J490" s="5" t="n">
        <v>17.5</v>
      </c>
      <c r="K490" s="3" t="inlineStr">
        <is>
          <t>도심근교 전원주택지에 있는  대지와 밭이 있는 땅임 .</t>
        </is>
      </c>
      <c r="L490" s="6">
        <f>HYPERLINK("https://fin.land.naver.com/articles/2649496090", "매물Link")</f>
        <v/>
      </c>
      <c r="M490" s="6">
        <f>HYPERLINK("https://map.naver.com/p/search/남이면 대련리 105", "지도Link")</f>
        <v/>
      </c>
      <c r="N490" s="6">
        <f>HYPERLINK("http://www.eum.go.kr/web/ar/lu/luLandDet.jsp?pnu=4311231035101050000&amp;isNoScr=script&amp;mode=search",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446</v>
      </c>
      <c r="R490" s="3" t="inlineStr">
        <is>
          <t>보전녹지지역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맹지</t>
        </is>
      </c>
    </row>
    <row r="491">
      <c r="A491" s="3" t="inlineStr">
        <is>
          <t>남이면 대련리 129-2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39000</v>
      </c>
      <c r="G491" s="4" t="n">
        <v>2324</v>
      </c>
      <c r="H491" s="4" t="n">
        <v>703</v>
      </c>
      <c r="I491" s="5" t="n">
        <v>55.5</v>
      </c>
      <c r="J491" s="5" t="n">
        <v>24.5</v>
      </c>
      <c r="K491" s="3" t="inlineStr">
        <is>
          <t>도심근교에 있는, 자연녹지 지역 토지이며,  물류창고,등 추천함.</t>
        </is>
      </c>
      <c r="L491" s="6">
        <f>HYPERLINK("https://fin.land.naver.com/articles/2654703688", "매물Link")</f>
        <v/>
      </c>
      <c r="M491" s="6">
        <f>HYPERLINK("https://map.naver.com/p/search/남이면 대련리 129-2", "지도Link")</f>
        <v/>
      </c>
      <c r="N491" s="6">
        <f>HYPERLINK("http://www.eum.go.kr/web/ar/lu/luLandDet.jsp?pnu=4311231035101290002&amp;isNoScr=script&amp;mode=search", "토지이음")</f>
        <v/>
      </c>
      <c r="O491" s="3" t="inlineStr">
        <is>
          <t>포시즌</t>
        </is>
      </c>
      <c r="P491" s="4" t="n">
        <v>1</v>
      </c>
      <c r="Q491" s="4" t="n">
        <v>1663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대련리 2-1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전</t>
        </is>
      </c>
      <c r="E492" s="3" t="inlineStr">
        <is>
          <t>매매</t>
        </is>
      </c>
      <c r="F492" s="4" t="n">
        <v>56300</v>
      </c>
      <c r="G492" s="4" t="n">
        <v>3722</v>
      </c>
      <c r="H492" s="4" t="n">
        <v>1126</v>
      </c>
      <c r="I492" s="5" t="n">
        <v>50</v>
      </c>
      <c r="J492" s="5" t="n">
        <v>25.1</v>
      </c>
      <c r="K492" s="3" t="inlineStr">
        <is>
          <t>현황도로 있음 지적상은 맹지 매매가 절충가능</t>
        </is>
      </c>
      <c r="L492" s="6">
        <f>HYPERLINK("https://fin.land.naver.com/articles/2654659554", "매물Link")</f>
        <v/>
      </c>
      <c r="M492" s="6">
        <f>HYPERLINK("https://map.naver.com/p/search/남이면 대련리 2-1", "지도Link")</f>
        <v/>
      </c>
      <c r="N492" s="6">
        <f>HYPERLINK("http://www.eum.go.kr/web/ar/lu/luLandDet.jsp?pnu=4311231035100020001&amp;isNoScr=script&amp;mode=search", "토지이음")</f>
        <v/>
      </c>
      <c r="O492" s="3" t="inlineStr">
        <is>
          <t>세종</t>
        </is>
      </c>
      <c r="P492" s="4" t="n">
        <v>1</v>
      </c>
      <c r="Q492" s="4" t="n">
        <v>2297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남이면 대련리 201-2</t>
        </is>
      </c>
      <c r="B493" s="3" t="inlineStr">
        <is>
          <t>자연녹지지역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59702</v>
      </c>
      <c r="G493" s="4" t="n">
        <v>1974</v>
      </c>
      <c r="H493" s="4" t="n">
        <v>597</v>
      </c>
      <c r="I493" s="5" t="n">
        <v>100</v>
      </c>
      <c r="J493" s="5" t="n">
        <v>17</v>
      </c>
      <c r="K493" s="3" t="inlineStr">
        <is>
          <t>4m도로접, 민원소지 없는 공장 ,창고 추천</t>
        </is>
      </c>
      <c r="L493" s="6">
        <f>HYPERLINK("https://fin.land.naver.com/articles/2654897511", "매물Link")</f>
        <v/>
      </c>
      <c r="M493" s="6">
        <f>HYPERLINK("https://map.naver.com/p/search/남이면 대련리 201-2", "지도Link")</f>
        <v/>
      </c>
      <c r="N493" s="6">
        <f>HYPERLINK("http://www.eum.go.kr/web/ar/lu/luLandDet.jsp?pnu=4311231035102010002&amp;isNoScr=script&amp;mode=search", "토지이음")</f>
        <v/>
      </c>
      <c r="O493" s="3" t="inlineStr">
        <is>
          <t>플러스자이합동</t>
        </is>
      </c>
      <c r="P493" s="4" t="n">
        <v>2</v>
      </c>
      <c r="Q493" s="4" t="n">
        <v>1974</v>
      </c>
      <c r="R493" s="3" t="inlineStr">
        <is>
          <t>보전녹지지역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세로한면(불)</t>
        </is>
      </c>
    </row>
    <row r="494">
      <c r="A494" s="3" t="inlineStr">
        <is>
          <t>남이면 대련리 224-3</t>
        </is>
      </c>
      <c r="B494" s="3" t="inlineStr">
        <is>
          <t>자연녹지지역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27000</v>
      </c>
      <c r="G494" s="4" t="n">
        <v>1001</v>
      </c>
      <c r="H494" s="4" t="n">
        <v>303</v>
      </c>
      <c r="I494" s="5" t="n">
        <v>89.09999999999999</v>
      </c>
      <c r="J494" s="5" t="n">
        <v>23.6</v>
      </c>
      <c r="K494" s="3" t="inlineStr">
        <is>
          <t>남이초 인근 대련리 토지매매</t>
        </is>
      </c>
      <c r="L494" s="6">
        <f>HYPERLINK("https://fin.land.naver.com/articles/2653467124", "매물Link")</f>
        <v/>
      </c>
      <c r="M494" s="6">
        <f>HYPERLINK("https://map.naver.com/p/search/남이면 대련리 224-3", "지도Link")</f>
        <v/>
      </c>
      <c r="N494" s="6">
        <f>HYPERLINK("http://www.eum.go.kr/web/ar/lu/luLandDet.jsp?pnu=4311231035102240003&amp;isNoScr=script&amp;mode=search", "토지이음")</f>
        <v/>
      </c>
      <c r="O494" s="3" t="inlineStr">
        <is>
          <t>원탑</t>
        </is>
      </c>
      <c r="P494" s="4" t="n">
        <v>2</v>
      </c>
      <c r="Q494" s="4" t="n">
        <v>1001</v>
      </c>
      <c r="R494" s="3" t="inlineStr">
        <is>
          <t>지정되지않음</t>
        </is>
      </c>
      <c r="S494" s="3" t="inlineStr">
        <is>
          <t>전기타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대련리 25</t>
        </is>
      </c>
      <c r="B495" s="3" t="inlineStr">
        <is>
          <t>자연녹지지역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29500</v>
      </c>
      <c r="G495" s="4" t="n">
        <v>771</v>
      </c>
      <c r="H495" s="4" t="n">
        <v>233</v>
      </c>
      <c r="I495" s="5" t="n">
        <v>126.6</v>
      </c>
      <c r="J495" s="5" t="n">
        <v>57.3</v>
      </c>
      <c r="K495" s="3" t="inlineStr">
        <is>
          <t>토지뒷편으로 마을동산이 있어요  전원주택지 자주좋아요</t>
        </is>
      </c>
      <c r="L495" s="6">
        <f>HYPERLINK("https://fin.land.naver.com/articles/2654711773", "매물Link")</f>
        <v/>
      </c>
      <c r="M495" s="6">
        <f>HYPERLINK("https://map.naver.com/p/search/남이면 대련리 25", "지도Link")</f>
        <v/>
      </c>
      <c r="N495" s="6">
        <f>HYPERLINK("http://www.eum.go.kr/web/ar/lu/luLandDet.jsp?pnu=4311231035100250000&amp;isNoScr=script&amp;mode=search", "토지이음")</f>
        <v/>
      </c>
      <c r="O495" s="3" t="inlineStr">
        <is>
          <t>신화</t>
        </is>
      </c>
      <c r="P495" s="4" t="n">
        <v>1</v>
      </c>
      <c r="Q495" s="4" t="n">
        <v>717.7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남이면 대련리 270-1</t>
        </is>
      </c>
      <c r="B496" s="3" t="inlineStr">
        <is>
          <t>자연녹지지역</t>
        </is>
      </c>
      <c r="C496" s="3" t="inlineStr">
        <is>
          <t>잡종지</t>
        </is>
      </c>
      <c r="D496" s="3" t="inlineStr">
        <is>
          <t>잡종지</t>
        </is>
      </c>
      <c r="E496" s="3" t="inlineStr">
        <is>
          <t>매매</t>
        </is>
      </c>
      <c r="F496" s="4" t="n">
        <v>220000</v>
      </c>
      <c r="G496" s="4" t="n">
        <v>2062</v>
      </c>
      <c r="H496" s="4" t="n">
        <v>624</v>
      </c>
      <c r="I496" s="5" t="n">
        <v>352.6</v>
      </c>
      <c r="J496" s="5" t="n">
        <v>86</v>
      </c>
      <c r="K496" s="3" t="inlineStr">
        <is>
          <t>nan</t>
        </is>
      </c>
      <c r="L496" s="6">
        <f>HYPERLINK("https://fin.land.naver.com/articles/2651957545", "매물Link")</f>
        <v/>
      </c>
      <c r="M496" s="6">
        <f>HYPERLINK("https://map.naver.com/p/search/남이면 대련리 270-1", "지도Link")</f>
        <v/>
      </c>
      <c r="N496" s="6">
        <f>HYPERLINK("http://www.eum.go.kr/web/ar/lu/luLandDet.jsp?pnu=4311231035102700001&amp;isNoScr=script&amp;mode=search", "토지이음")</f>
        <v/>
      </c>
      <c r="O496" s="3" t="inlineStr">
        <is>
          <t>청주 합동</t>
        </is>
      </c>
      <c r="P496" s="4" t="n">
        <v>1</v>
      </c>
      <c r="Q496" s="4" t="n">
        <v>987</v>
      </c>
      <c r="R496" s="3" t="inlineStr">
        <is>
          <t>지정되지않음</t>
        </is>
      </c>
      <c r="S496" s="3" t="inlineStr">
        <is>
          <t>공업용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중로한면</t>
        </is>
      </c>
    </row>
    <row r="497">
      <c r="A497" s="3" t="inlineStr">
        <is>
          <t>남이면 대련리 270-1</t>
        </is>
      </c>
      <c r="B497" s="3" t="inlineStr">
        <is>
          <t>자연녹지지역</t>
        </is>
      </c>
      <c r="C497" s="3" t="inlineStr">
        <is>
          <t>잡종지</t>
        </is>
      </c>
      <c r="D497" s="3" t="inlineStr">
        <is>
          <t>잡종지</t>
        </is>
      </c>
      <c r="E497" s="3" t="inlineStr">
        <is>
          <t>매매</t>
        </is>
      </c>
      <c r="F497" s="4" t="n">
        <v>270000</v>
      </c>
      <c r="G497" s="4" t="n">
        <v>2062</v>
      </c>
      <c r="H497" s="4" t="n">
        <v>624</v>
      </c>
      <c r="I497" s="5" t="n">
        <v>432.7</v>
      </c>
      <c r="J497" s="5" t="n">
        <v>86</v>
      </c>
      <c r="K497" s="3" t="inlineStr">
        <is>
          <t>대도로변 접, 다용도 활용가능한 잡종지, 유통 물류, 광고효과</t>
        </is>
      </c>
      <c r="L497" s="6">
        <f>HYPERLINK("https://fin.land.naver.com/articles/2650955489", "매물Link")</f>
        <v/>
      </c>
      <c r="M497" s="6">
        <f>HYPERLINK("https://map.naver.com/p/search/남이면 대련리 270-1", "지도Link")</f>
        <v/>
      </c>
      <c r="N497" s="6">
        <f>HYPERLINK("http://www.eum.go.kr/web/ar/lu/luLandDet.jsp?pnu=4311231035102700001&amp;isNoScr=script&amp;mode=search", "토지이음")</f>
        <v/>
      </c>
      <c r="O497" s="3" t="inlineStr">
        <is>
          <t>두진하트</t>
        </is>
      </c>
      <c r="P497" s="4" t="n">
        <v>1</v>
      </c>
      <c r="Q497" s="4" t="n">
        <v>987</v>
      </c>
      <c r="R497" s="3" t="inlineStr">
        <is>
          <t>지정되지않음</t>
        </is>
      </c>
      <c r="S497" s="3" t="inlineStr">
        <is>
          <t>공업용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중로한면</t>
        </is>
      </c>
    </row>
    <row r="498">
      <c r="A498" s="3" t="inlineStr">
        <is>
          <t>남이면 대련리 270-1</t>
        </is>
      </c>
      <c r="B498" s="3" t="inlineStr">
        <is>
          <t>자연녹지지역</t>
        </is>
      </c>
      <c r="C498" s="3" t="inlineStr">
        <is>
          <t>잡종지</t>
        </is>
      </c>
      <c r="D498" s="3" t="inlineStr">
        <is>
          <t>잡종지</t>
        </is>
      </c>
      <c r="E498" s="3" t="inlineStr">
        <is>
          <t>매매</t>
        </is>
      </c>
      <c r="F498" s="4" t="n">
        <v>260000</v>
      </c>
      <c r="G498" s="4" t="n">
        <v>2066</v>
      </c>
      <c r="H498" s="4" t="n">
        <v>625</v>
      </c>
      <c r="I498" s="5" t="n">
        <v>416</v>
      </c>
      <c r="J498" s="5" t="n">
        <v>86</v>
      </c>
      <c r="K498" s="3" t="inlineStr">
        <is>
          <t>청주에서 대전가는 대도로변  가격조정가능</t>
        </is>
      </c>
      <c r="L498" s="6">
        <f>HYPERLINK("https://fin.land.naver.com/articles/2649614716", "매물Link")</f>
        <v/>
      </c>
      <c r="M498" s="6">
        <f>HYPERLINK("https://map.naver.com/p/search/남이면 대련리 270-1", "지도Link")</f>
        <v/>
      </c>
      <c r="N498" s="6">
        <f>HYPERLINK("http://www.eum.go.kr/web/ar/lu/luLandDet.jsp?pnu=4311231035102700001&amp;isNoScr=script&amp;mode=search", "토지이음")</f>
        <v/>
      </c>
      <c r="O498" s="3" t="inlineStr">
        <is>
          <t>청산</t>
        </is>
      </c>
      <c r="P498" s="4" t="n">
        <v>1</v>
      </c>
      <c r="Q498" s="4" t="n">
        <v>987</v>
      </c>
      <c r="R498" s="3" t="inlineStr">
        <is>
          <t>지정되지않음</t>
        </is>
      </c>
      <c r="S498" s="3" t="inlineStr">
        <is>
          <t>공업용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중로한면</t>
        </is>
      </c>
    </row>
    <row r="499">
      <c r="A499" s="3" t="inlineStr">
        <is>
          <t>남이면 대련리 75</t>
        </is>
      </c>
      <c r="B499" s="3" t="inlineStr">
        <is>
          <t>자연녹지지역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137020</v>
      </c>
      <c r="G499" s="4" t="n">
        <v>3487</v>
      </c>
      <c r="H499" s="4" t="n">
        <v>1055</v>
      </c>
      <c r="I499" s="5" t="n">
        <v>129.9</v>
      </c>
      <c r="J499" s="5" t="n">
        <v>35.5</v>
      </c>
      <c r="K499" s="3" t="inlineStr">
        <is>
          <t>도로와 접한 모양 좋은 토지, 주변에 소규모공장 산재,공장,창고 등 추천</t>
        </is>
      </c>
      <c r="L499" s="6">
        <f>HYPERLINK("https://fin.land.naver.com/articles/2654599913", "매물Link")</f>
        <v/>
      </c>
      <c r="M499" s="6">
        <f>HYPERLINK("https://map.naver.com/p/search/남이면 대련리 75", "지도Link")</f>
        <v/>
      </c>
      <c r="N499" s="6">
        <f>HYPERLINK("http://www.eum.go.kr/web/ar/lu/luLandDet.jsp?pnu=4311231035100750000&amp;isNoScr=script&amp;mode=search", "토지이음")</f>
        <v/>
      </c>
      <c r="O499" s="3" t="inlineStr">
        <is>
          <t>바로그</t>
        </is>
      </c>
      <c r="P499" s="4" t="n">
        <v>1</v>
      </c>
      <c r="Q499" s="4" t="n">
        <v>3487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자루형</t>
        </is>
      </c>
      <c r="V499" s="3" t="inlineStr">
        <is>
          <t>세로한면(가)</t>
        </is>
      </c>
    </row>
    <row r="500">
      <c r="A500" s="3" t="inlineStr">
        <is>
          <t>남이면 대련리 75</t>
        </is>
      </c>
      <c r="B500" s="3" t="inlineStr">
        <is>
          <t>자연녹지지역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168800</v>
      </c>
      <c r="G500" s="4" t="n">
        <v>3487</v>
      </c>
      <c r="H500" s="4" t="n">
        <v>1055</v>
      </c>
      <c r="I500" s="5" t="n">
        <v>160</v>
      </c>
      <c r="J500" s="5" t="n">
        <v>35.5</v>
      </c>
      <c r="K500" s="3" t="inlineStr">
        <is>
          <t>nan</t>
        </is>
      </c>
      <c r="L500" s="6">
        <f>HYPERLINK("https://fin.land.naver.com/articles/2652941172", "매물Link")</f>
        <v/>
      </c>
      <c r="M500" s="6">
        <f>HYPERLINK("https://map.naver.com/p/search/남이면 대련리 75", "지도Link")</f>
        <v/>
      </c>
      <c r="N500" s="6">
        <f>HYPERLINK("http://www.eum.go.kr/web/ar/lu/luLandDet.jsp?pnu=4311231035100750000&amp;isNoScr=script&amp;mode=search", "토지이음")</f>
        <v/>
      </c>
      <c r="O500" s="3" t="inlineStr">
        <is>
          <t>신화</t>
        </is>
      </c>
      <c r="P500" s="4" t="n">
        <v>1</v>
      </c>
      <c r="Q500" s="4" t="n">
        <v>3487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자루형</t>
        </is>
      </c>
      <c r="V500" s="3" t="inlineStr">
        <is>
          <t>세로한면(가)</t>
        </is>
      </c>
    </row>
    <row r="501">
      <c r="A501" s="3" t="inlineStr">
        <is>
          <t>남이면 대련리 88-1</t>
        </is>
      </c>
      <c r="B501" s="3" t="inlineStr">
        <is>
          <t>자연녹지지역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10650</v>
      </c>
      <c r="G501" s="4" t="n">
        <v>236</v>
      </c>
      <c r="H501" s="4" t="n">
        <v>71</v>
      </c>
      <c r="I501" s="5" t="n">
        <v>150</v>
      </c>
      <c r="J501" s="5" t="n">
        <v>33.4</v>
      </c>
      <c r="K501" s="3" t="inlineStr">
        <is>
          <t>모든 건축행위 가능한 2차선 접한 귀한 소액물건</t>
        </is>
      </c>
      <c r="L501" s="6">
        <f>HYPERLINK("https://fin.land.naver.com/articles/2654659609", "매물Link")</f>
        <v/>
      </c>
      <c r="M501" s="6">
        <f>HYPERLINK("https://map.naver.com/p/search/남이면 대련리 88-1", "지도Link")</f>
        <v/>
      </c>
      <c r="N501" s="6">
        <f>HYPERLINK("http://www.eum.go.kr/web/ar/lu/luLandDet.jsp?pnu=4311231035100880001&amp;isNoScr=script&amp;mode=search", "토지이음")</f>
        <v/>
      </c>
      <c r="O501" s="3" t="inlineStr">
        <is>
          <t>세종</t>
        </is>
      </c>
      <c r="P501" s="4" t="n">
        <v>1</v>
      </c>
      <c r="Q501" s="4" t="n">
        <v>236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소로한면</t>
        </is>
      </c>
    </row>
    <row r="502">
      <c r="A502" s="3" t="inlineStr">
        <is>
          <t>남이면 대련리 98-2</t>
        </is>
      </c>
      <c r="B502" s="3" t="inlineStr">
        <is>
          <t>자연녹지지역</t>
        </is>
      </c>
      <c r="C502" s="3" t="inlineStr">
        <is>
          <t>답</t>
        </is>
      </c>
      <c r="D502" s="3" t="inlineStr">
        <is>
          <t>전</t>
        </is>
      </c>
      <c r="E502" s="3" t="inlineStr">
        <is>
          <t>매매</t>
        </is>
      </c>
      <c r="F502" s="4" t="n">
        <v>40000</v>
      </c>
      <c r="G502" s="4" t="n">
        <v>1884</v>
      </c>
      <c r="H502" s="4" t="n">
        <v>570</v>
      </c>
      <c r="I502" s="5" t="n">
        <v>70.2</v>
      </c>
      <c r="J502" s="5" t="n">
        <v>24.5</v>
      </c>
      <c r="K502" s="3" t="inlineStr">
        <is>
          <t>시내권  다양한용도 개발가능 급매</t>
        </is>
      </c>
      <c r="L502" s="6">
        <f>HYPERLINK("https://fin.land.naver.com/articles/2654005871", "매물Link")</f>
        <v/>
      </c>
      <c r="M502" s="6">
        <f>HYPERLINK("https://map.naver.com/p/search/남이면 대련리 98-2", "지도Link")</f>
        <v/>
      </c>
      <c r="N502" s="6">
        <f>HYPERLINK("http://www.eum.go.kr/web/ar/lu/luLandDet.jsp?pnu=4311231035100980002&amp;isNoScr=script&amp;mode=search", "토지이음")</f>
        <v/>
      </c>
      <c r="O502" s="3" t="inlineStr">
        <is>
          <t>청주지웰프로</t>
        </is>
      </c>
      <c r="P502" s="4" t="n">
        <v>1</v>
      </c>
      <c r="Q502" s="4" t="n">
        <v>1884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남이면 대련리 산 56-3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40000</v>
      </c>
      <c r="G503" s="4" t="n">
        <v>6557</v>
      </c>
      <c r="H503" s="4" t="n">
        <v>1983</v>
      </c>
      <c r="I503" s="5" t="n">
        <v>20.2</v>
      </c>
      <c r="J503" s="5" t="n">
        <v>3.3</v>
      </c>
      <c r="K503" s="3" t="inlineStr">
        <is>
          <t>남이면 대련리 임야 매매 차량 진입 원활 일부 밭 사용 가능 도시공원</t>
        </is>
      </c>
      <c r="L503" s="6">
        <f>HYPERLINK("https://fin.land.naver.com/articles/2652211222", "매물Link")</f>
        <v/>
      </c>
      <c r="M503" s="6">
        <f>HYPERLINK("https://map.naver.com/p/search/남이면 대련리 산 56-3", "지도Link")</f>
        <v/>
      </c>
      <c r="N503" s="6">
        <f>HYPERLINK("http://www.eum.go.kr/web/ar/lu/luLandDet.jsp?pnu=4311231035200560003&amp;isNoScr=script&amp;mode=search",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6557</v>
      </c>
      <c r="R503" s="3" t="inlineStr">
        <is>
          <t>자연녹지지역</t>
        </is>
      </c>
      <c r="S503" s="3" t="inlineStr">
        <is>
          <t>자연림</t>
        </is>
      </c>
      <c r="T503" s="3" t="inlineStr">
        <is>
          <t>급경사</t>
        </is>
      </c>
      <c r="U503" s="3" t="inlineStr">
        <is>
          <t>부정형</t>
        </is>
      </c>
      <c r="V503" s="3" t="inlineStr">
        <is>
          <t>세로한면(불)</t>
        </is>
      </c>
    </row>
    <row r="504">
      <c r="A504" s="3" t="inlineStr">
        <is>
          <t>남이면 문동리 143-1</t>
        </is>
      </c>
      <c r="B504" s="3" t="inlineStr">
        <is>
          <t>생산관리지역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29500</v>
      </c>
      <c r="G504" s="4" t="n">
        <v>978</v>
      </c>
      <c r="H504" s="4" t="n">
        <v>296</v>
      </c>
      <c r="I504" s="5" t="n">
        <v>99.7</v>
      </c>
      <c r="J504" s="5" t="n">
        <v>14.7</v>
      </c>
      <c r="K504" s="3" t="inlineStr">
        <is>
          <t>문동리 2차선도로 접합, 세리모텔근처, 충청살수환경옆</t>
        </is>
      </c>
      <c r="L504" s="6">
        <f>HYPERLINK("https://fin.land.naver.com/articles/2652439169", "매물Link")</f>
        <v/>
      </c>
      <c r="M504" s="6">
        <f>HYPERLINK("https://map.naver.com/p/search/남이면 문동리 143-1", "지도Link")</f>
        <v/>
      </c>
      <c r="N504" s="6">
        <f>HYPERLINK("http://www.eum.go.kr/web/ar/lu/luLandDet.jsp?pnu=4311231023101430001&amp;isNoScr=script&amp;mode=search", "토지이음")</f>
        <v/>
      </c>
      <c r="O504" s="3" t="inlineStr">
        <is>
          <t>길</t>
        </is>
      </c>
      <c r="P504" s="4" t="n">
        <v>1</v>
      </c>
      <c r="Q504" s="4" t="n">
        <v>978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소로한면</t>
        </is>
      </c>
    </row>
    <row r="505">
      <c r="A505" s="3" t="inlineStr">
        <is>
          <t>남이면 문동리 192-1</t>
        </is>
      </c>
      <c r="B505" s="3" t="inlineStr">
        <is>
          <t>자연녹지지역</t>
        </is>
      </c>
      <c r="C505" s="3" t="inlineStr">
        <is>
          <t>잡종지</t>
        </is>
      </c>
      <c r="D505" s="3" t="inlineStr">
        <is>
          <t>잡종지</t>
        </is>
      </c>
      <c r="E505" s="3" t="inlineStr">
        <is>
          <t>매매</t>
        </is>
      </c>
      <c r="F505" s="4" t="n">
        <v>130000</v>
      </c>
      <c r="G505" s="4" t="n">
        <v>2395</v>
      </c>
      <c r="H505" s="4" t="n">
        <v>724</v>
      </c>
      <c r="I505" s="5" t="n">
        <v>179.6</v>
      </c>
      <c r="J505" s="5" t="n">
        <v>36.5</v>
      </c>
      <c r="K505" s="3" t="inlineStr">
        <is>
          <t>고물상, 쓰레기처리시설 추천</t>
        </is>
      </c>
      <c r="L505" s="6">
        <f>HYPERLINK("https://fin.land.naver.com/articles/2653577537", "매물Link")</f>
        <v/>
      </c>
      <c r="M505" s="6">
        <f>HYPERLINK("https://map.naver.com/p/search/남이면 문동리 192-1", "지도Link")</f>
        <v/>
      </c>
      <c r="N505" s="6">
        <f>HYPERLINK("http://www.eum.go.kr/web/ar/lu/luLandDet.jsp?pnu=4311231023101920001&amp;isNoScr=script&amp;mode=search", "토지이음")</f>
        <v/>
      </c>
      <c r="O505" s="3" t="inlineStr">
        <is>
          <t>노블</t>
        </is>
      </c>
      <c r="P505" s="4" t="n">
        <v>1</v>
      </c>
      <c r="Q505" s="4" t="n">
        <v>1520</v>
      </c>
      <c r="R505" s="3" t="inlineStr">
        <is>
          <t>지정되지않음</t>
        </is>
      </c>
      <c r="S505" s="3" t="inlineStr">
        <is>
          <t>주거기타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205</t>
        </is>
      </c>
      <c r="B506" s="3" t="inlineStr">
        <is>
          <t>생산관리지역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38000</v>
      </c>
      <c r="G506" s="4" t="n">
        <v>1300</v>
      </c>
      <c r="H506" s="4" t="n">
        <v>393</v>
      </c>
      <c r="I506" s="5" t="n">
        <v>96.7</v>
      </c>
      <c r="J506" s="5" t="n">
        <v>80.8</v>
      </c>
      <c r="K506" s="3" t="inlineStr">
        <is>
          <t>nan</t>
        </is>
      </c>
      <c r="L506" s="6">
        <f>HYPERLINK("https://fin.land.naver.com/articles/2650890944", "매물Link")</f>
        <v/>
      </c>
      <c r="M506" s="6">
        <f>HYPERLINK("https://map.naver.com/p/search/남이면 문동리 205", "지도Link")</f>
        <v/>
      </c>
      <c r="N506" s="6">
        <f>HYPERLINK("http://www.eum.go.kr/web/ar/lu/luLandDet.jsp?pnu=4311231023102050000&amp;isNoScr=script&amp;mode=search", "토지이음")</f>
        <v/>
      </c>
      <c r="O506" s="3" t="inlineStr">
        <is>
          <t>대웅</t>
        </is>
      </c>
      <c r="P506" s="4" t="n">
        <v>1</v>
      </c>
      <c r="Q506" s="4" t="n">
        <v>940</v>
      </c>
      <c r="R506" s="3" t="inlineStr">
        <is>
          <t>지정되지않음</t>
        </is>
      </c>
      <c r="S506" s="3" t="inlineStr">
        <is>
          <t>상업용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소로한면</t>
        </is>
      </c>
    </row>
    <row r="507">
      <c r="A507" s="3" t="inlineStr">
        <is>
          <t>남이면 문동리 21-1</t>
        </is>
      </c>
      <c r="B507" s="3" t="inlineStr">
        <is>
          <t>자연녹지지역</t>
        </is>
      </c>
      <c r="C507" s="3" t="inlineStr">
        <is>
          <t>전</t>
        </is>
      </c>
      <c r="D507" s="3" t="inlineStr">
        <is>
          <t>대</t>
        </is>
      </c>
      <c r="E507" s="3" t="inlineStr">
        <is>
          <t>매매</t>
        </is>
      </c>
      <c r="F507" s="4" t="n">
        <v>11500</v>
      </c>
      <c r="G507" s="4" t="n">
        <v>760</v>
      </c>
      <c r="H507" s="4" t="n">
        <v>230</v>
      </c>
      <c r="I507" s="5" t="n">
        <v>50</v>
      </c>
      <c r="J507" s="5" t="n">
        <v>15.7</v>
      </c>
      <c r="K507" s="3" t="inlineStr">
        <is>
          <t>정남향의 전원주택지.바로옆에 도랑이 사계절 흐름.</t>
        </is>
      </c>
      <c r="L507" s="6">
        <f>HYPERLINK("https://fin.land.naver.com/articles/2651081704", "매물Link")</f>
        <v/>
      </c>
      <c r="M507" s="6">
        <f>HYPERLINK("https://map.naver.com/p/search/남이면 문동리 21-1", "지도Link")</f>
        <v/>
      </c>
      <c r="N507" s="6">
        <f>HYPERLINK("http://www.eum.go.kr/web/ar/lu/luLandDet.jsp?pnu=4311231023100210001&amp;isNoScr=script&amp;mode=search", "토지이음")</f>
        <v/>
      </c>
      <c r="O507" s="3" t="inlineStr">
        <is>
          <t>청와대합동사무소</t>
        </is>
      </c>
      <c r="P507" s="4" t="n">
        <v>1</v>
      </c>
      <c r="Q507" s="4" t="n">
        <v>261</v>
      </c>
      <c r="R507" s="3" t="inlineStr">
        <is>
          <t>지정되지않음</t>
        </is>
      </c>
      <c r="S507" s="3" t="inlineStr">
        <is>
          <t>전기타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맹지</t>
        </is>
      </c>
    </row>
    <row r="508">
      <c r="A508" s="3" t="inlineStr">
        <is>
          <t>남이면 문동리 234</t>
        </is>
      </c>
      <c r="B508" s="3" t="inlineStr">
        <is>
          <t>생산관리지역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23000</v>
      </c>
      <c r="G508" s="4" t="n">
        <v>3492</v>
      </c>
      <c r="H508" s="4" t="n">
        <v>1056</v>
      </c>
      <c r="I508" s="5" t="n">
        <v>21.8</v>
      </c>
      <c r="J508" s="5" t="n">
        <v>8.5</v>
      </c>
      <c r="K508" s="3" t="inlineStr">
        <is>
          <t>문동1리 북측, 블루베리 470주, 농막 포함.</t>
        </is>
      </c>
      <c r="L508" s="6">
        <f>HYPERLINK("https://fin.land.naver.com/articles/2654633261", "매물Link")</f>
        <v/>
      </c>
      <c r="M508" s="6">
        <f>HYPERLINK("https://map.naver.com/p/search/남이면 문동리 234", "지도Link")</f>
        <v/>
      </c>
      <c r="N508" s="6">
        <f>HYPERLINK("http://www.eum.go.kr/web/ar/lu/luLandDet.jsp?pnu=4311231023102340000&amp;isNoScr=script&amp;mode=search", "토지이음")</f>
        <v/>
      </c>
      <c r="O508" s="3" t="inlineStr">
        <is>
          <t>청주모충주공사모1·2재개발명성</t>
        </is>
      </c>
      <c r="P508" s="4" t="n">
        <v>1</v>
      </c>
      <c r="Q508" s="4" t="n">
        <v>1980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남이면 문동리 259-2</t>
        </is>
      </c>
      <c r="B509" s="3" t="inlineStr">
        <is>
          <t>생산관리지역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12100</v>
      </c>
      <c r="G509" s="4" t="n">
        <v>800</v>
      </c>
      <c r="H509" s="4" t="n">
        <v>242</v>
      </c>
      <c r="I509" s="5" t="n">
        <v>50</v>
      </c>
      <c r="J509" s="5" t="n">
        <v>14.5</v>
      </c>
      <c r="K509" s="3" t="inlineStr">
        <is>
          <t>남이면 문동리 토지매매</t>
        </is>
      </c>
      <c r="L509" s="6">
        <f>HYPERLINK("https://fin.land.naver.com/articles/2654947651", "매물Link")</f>
        <v/>
      </c>
      <c r="M509" s="6">
        <f>HYPERLINK("https://map.naver.com/p/search/남이면 문동리 259-2", "지도Link")</f>
        <v/>
      </c>
      <c r="N509" s="6">
        <f>HYPERLINK("http://www.eum.go.kr/web/ar/lu/luLandDet.jsp?pnu=4311231023102590002&amp;isNoScr=script&amp;mode=search", "토지이음")</f>
        <v/>
      </c>
      <c r="O509" s="3" t="inlineStr">
        <is>
          <t>세원</t>
        </is>
      </c>
      <c r="P509" s="4" t="n">
        <v>1</v>
      </c>
      <c r="Q509" s="4" t="n">
        <v>800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문동리 262-1</t>
        </is>
      </c>
      <c r="B510" s="3" t="inlineStr">
        <is>
          <t>생산관리지역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12000</v>
      </c>
      <c r="G510" s="4" t="n">
        <v>629</v>
      </c>
      <c r="H510" s="4" t="n">
        <v>190</v>
      </c>
      <c r="I510" s="5" t="n">
        <v>63.2</v>
      </c>
      <c r="J510" s="5" t="n">
        <v>32.6</v>
      </c>
      <c r="K510" s="3" t="inlineStr">
        <is>
          <t>서원구 남이면 문동리 위치한 전원주택지입니다.</t>
        </is>
      </c>
      <c r="L510" s="6">
        <f>HYPERLINK("https://fin.land.naver.com/articles/2649649052", "매물Link")</f>
        <v/>
      </c>
      <c r="M510" s="6">
        <f>HYPERLINK("https://map.naver.com/p/search/남이면 문동리 262-1", "지도Link")</f>
        <v/>
      </c>
      <c r="N510" s="6">
        <f>HYPERLINK("http://www.eum.go.kr/web/ar/lu/luLandDet.jsp?pnu=4311231023102620001&amp;isNoScr=script&amp;mode=search", "토지이음")</f>
        <v/>
      </c>
      <c r="O510" s="3" t="inlineStr">
        <is>
          <t>세원</t>
        </is>
      </c>
      <c r="P510" s="4" t="n">
        <v>1</v>
      </c>
      <c r="Q510" s="4" t="n">
        <v>629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문동리 264-3</t>
        </is>
      </c>
      <c r="B511" s="3" t="inlineStr">
        <is>
          <t>생산관리지역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10000</v>
      </c>
      <c r="G511" s="4" t="n">
        <v>555</v>
      </c>
      <c r="H511" s="4" t="n">
        <v>168</v>
      </c>
      <c r="I511" s="5" t="n">
        <v>59.5</v>
      </c>
      <c r="J511" s="5" t="n">
        <v>32.9</v>
      </c>
      <c r="K511" s="3" t="inlineStr">
        <is>
          <t>남이면 문동리 토지매매</t>
        </is>
      </c>
      <c r="L511" s="6">
        <f>HYPERLINK("https://fin.land.naver.com/articles/2654947097", "매물Link")</f>
        <v/>
      </c>
      <c r="M511" s="6">
        <f>HYPERLINK("https://map.naver.com/p/search/남이면 문동리 264-3", "지도Link")</f>
        <v/>
      </c>
      <c r="N511" s="6">
        <f>HYPERLINK("http://www.eum.go.kr/web/ar/lu/luLandDet.jsp?pnu=4311231023102640003&amp;isNoScr=script&amp;mode=search", "토지이음")</f>
        <v/>
      </c>
      <c r="O511" s="3" t="inlineStr">
        <is>
          <t>세원</t>
        </is>
      </c>
      <c r="P511" s="4" t="n">
        <v>1</v>
      </c>
      <c r="Q511" s="4" t="n">
        <v>555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세로각지(가)</t>
        </is>
      </c>
    </row>
    <row r="512">
      <c r="A512" s="3" t="inlineStr">
        <is>
          <t>남이면 문동리 338-1</t>
        </is>
      </c>
      <c r="B512" s="3" t="inlineStr">
        <is>
          <t>생산관리지역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14000</v>
      </c>
      <c r="G512" s="4" t="n">
        <v>756</v>
      </c>
      <c r="H512" s="4" t="n">
        <v>229</v>
      </c>
      <c r="I512" s="5" t="n">
        <v>61.1</v>
      </c>
      <c r="J512" s="5" t="n">
        <v>13.6</v>
      </c>
      <c r="K512" s="3" t="inlineStr">
        <is>
          <t>2차선도로에 접한땅임.소매 물류창고추천</t>
        </is>
      </c>
      <c r="L512" s="6">
        <f>HYPERLINK("https://fin.land.naver.com/articles/2654708901", "매물Link")</f>
        <v/>
      </c>
      <c r="M512" s="6">
        <f>HYPERLINK("https://map.naver.com/p/search/남이면 문동리 338-1", "지도Link")</f>
        <v/>
      </c>
      <c r="N512" s="6">
        <f>HYPERLINK("http://www.eum.go.kr/web/ar/lu/luLandDet.jsp?pnu=4311231023103380001&amp;isNoScr=script&amp;mode=search", "토지이음")</f>
        <v/>
      </c>
      <c r="O512" s="3" t="inlineStr">
        <is>
          <t>포시즌</t>
        </is>
      </c>
      <c r="P512" s="4" t="n">
        <v>1</v>
      </c>
      <c r="Q512" s="4" t="n">
        <v>756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남이면 문동리 344</t>
        </is>
      </c>
      <c r="B513" s="3" t="inlineStr">
        <is>
          <t>자연환경보전지역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17000</v>
      </c>
      <c r="G513" s="4" t="n">
        <v>2939</v>
      </c>
      <c r="H513" s="4" t="n">
        <v>889</v>
      </c>
      <c r="I513" s="5" t="n">
        <v>19.1</v>
      </c>
      <c r="J513" s="5" t="n">
        <v>8.9</v>
      </c>
      <c r="K513" s="3" t="inlineStr">
        <is>
          <t>남이면 문동리 전 매매</t>
        </is>
      </c>
      <c r="L513" s="6">
        <f>HYPERLINK("https://fin.land.naver.com/articles/2650251867", "매물Link")</f>
        <v/>
      </c>
      <c r="M513" s="6">
        <f>HYPERLINK("https://map.naver.com/p/search/남이면 문동리 344", "지도Link")</f>
        <v/>
      </c>
      <c r="N513" s="6">
        <f>HYPERLINK("http://www.eum.go.kr/web/ar/lu/luLandDet.jsp?pnu=4311231023103440000&amp;isNoScr=script&amp;mode=search", "토지이음")</f>
        <v/>
      </c>
      <c r="O513" s="3" t="inlineStr">
        <is>
          <t>터와뜰</t>
        </is>
      </c>
      <c r="P513" s="4" t="n">
        <v>1</v>
      </c>
      <c r="Q513" s="4" t="n">
        <v>2939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맹지</t>
        </is>
      </c>
    </row>
    <row r="514">
      <c r="A514" s="3" t="inlineStr">
        <is>
          <t>남이면 문동리 477</t>
        </is>
      </c>
      <c r="B514" s="3" t="inlineStr">
        <is>
          <t>자연환경보전지역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</v>
      </c>
      <c r="G514" s="4" t="n">
        <v>734</v>
      </c>
      <c r="H514" s="4" t="n">
        <v>222</v>
      </c>
      <c r="I514" s="5" t="n">
        <v>40.5</v>
      </c>
      <c r="J514" s="5" t="n">
        <v>23</v>
      </c>
      <c r="K514" s="3" t="inlineStr">
        <is>
          <t>남청주 iC 에서 차로 15분 내 진입가능 토목공사 완료 됨 건축가능</t>
        </is>
      </c>
      <c r="L514" s="6">
        <f>HYPERLINK("https://fin.land.naver.com/articles/2650931497", "매물Link")</f>
        <v/>
      </c>
      <c r="M514" s="6">
        <f>HYPERLINK("https://map.naver.com/p/search/남이면 문동리 477", "지도Link")</f>
        <v/>
      </c>
      <c r="N514" s="6">
        <f>HYPERLINK("http://www.eum.go.kr/web/ar/lu/luLandDet.jsp?pnu=4311231023104770000&amp;isNoScr=script&amp;mode=search", "토지이음")</f>
        <v/>
      </c>
      <c r="O514" s="3" t="inlineStr">
        <is>
          <t>하나</t>
        </is>
      </c>
      <c r="P514" s="4" t="n">
        <v>1</v>
      </c>
      <c r="Q514" s="4" t="n">
        <v>734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완경사</t>
        </is>
      </c>
      <c r="U514" s="3" t="inlineStr">
        <is>
          <t>자루형</t>
        </is>
      </c>
      <c r="V514" s="3" t="inlineStr">
        <is>
          <t>세로한면(불)</t>
        </is>
      </c>
    </row>
    <row r="515">
      <c r="A515" s="3" t="inlineStr">
        <is>
          <t>남이면 문동리 산 26</t>
        </is>
      </c>
      <c r="B515" s="3" t="inlineStr">
        <is>
          <t>보전녹지지역</t>
        </is>
      </c>
      <c r="C515" s="3" t="inlineStr">
        <is>
          <t>임야</t>
        </is>
      </c>
      <c r="D515" s="3" t="inlineStr">
        <is>
          <t>임야</t>
        </is>
      </c>
      <c r="E515" s="3" t="inlineStr">
        <is>
          <t>매매</t>
        </is>
      </c>
      <c r="F515" s="4" t="n">
        <v>78000</v>
      </c>
      <c r="G515" s="4" t="n">
        <v>3224</v>
      </c>
      <c r="H515" s="4" t="n">
        <v>975</v>
      </c>
      <c r="I515" s="5" t="n">
        <v>80</v>
      </c>
      <c r="J515" s="5" t="n">
        <v>30</v>
      </c>
      <c r="K515" s="3" t="inlineStr">
        <is>
          <t>nan</t>
        </is>
      </c>
      <c r="L515" s="6">
        <f>HYPERLINK("https://fin.land.naver.com/articles/2650275971", "매물Link")</f>
        <v/>
      </c>
      <c r="M515" s="6">
        <f>HYPERLINK("https://map.naver.com/p/search/남이면 문동리 산 26", "지도Link")</f>
        <v/>
      </c>
      <c r="N515" s="6">
        <f>HYPERLINK("http://www.eum.go.kr/web/ar/lu/luLandDet.jsp?pnu=4311231023200260000&amp;isNoScr=script&amp;mode=search", "토지이음")</f>
        <v/>
      </c>
      <c r="O515" s="3" t="inlineStr">
        <is>
          <t>일등</t>
        </is>
      </c>
      <c r="P515" s="4" t="n">
        <v>1</v>
      </c>
      <c r="Q515" s="4" t="n">
        <v>772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완경사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남이면 문동리 산 26-51</t>
        </is>
      </c>
      <c r="B516" s="3" t="inlineStr">
        <is>
          <t>보전녹지지역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17000</v>
      </c>
      <c r="G516" s="4" t="n">
        <v>718</v>
      </c>
      <c r="H516" s="4" t="n">
        <v>217</v>
      </c>
      <c r="I516" s="5" t="n">
        <v>78.3</v>
      </c>
      <c r="J516" s="5" t="n">
        <v>30</v>
      </c>
      <c r="K516" s="3" t="inlineStr">
        <is>
          <t>남이면 문동리 토목공사 완료된 택지 매매 주택 세컨드하우스등 추천</t>
        </is>
      </c>
      <c r="L516" s="6">
        <f>HYPERLINK("https://fin.land.naver.com/articles/2652464628", "매물Link")</f>
        <v/>
      </c>
      <c r="M516" s="6">
        <f>HYPERLINK("https://map.naver.com/p/search/남이면 문동리 산 26-51", "지도Link")</f>
        <v/>
      </c>
      <c r="N516" s="6">
        <f>HYPERLINK("http://www.eum.go.kr/web/ar/lu/luLandDet.jsp?pnu=4311231023200260051&amp;isNoScr=script&amp;mode=search", "토지이음")</f>
        <v/>
      </c>
      <c r="O516" s="3" t="inlineStr">
        <is>
          <t>그린</t>
        </is>
      </c>
      <c r="P516" s="4" t="n">
        <v>1</v>
      </c>
      <c r="Q516" s="4" t="n">
        <v>652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완경사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남이면 문동리 산26-20</t>
        </is>
      </c>
      <c r="B517" s="3" t="inlineStr">
        <is>
          <t>보전녹지지역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25000</v>
      </c>
      <c r="G517" s="4" t="n">
        <v>1528</v>
      </c>
      <c r="H517" s="4" t="n">
        <v>462</v>
      </c>
      <c r="I517" s="5" t="n">
        <v>54.1</v>
      </c>
      <c r="J517" s="5" t="n">
        <v>29.7</v>
      </c>
      <c r="K517" s="3" t="inlineStr">
        <is>
          <t>문동리 토목공사 완료된 전원주택지 매매, 1종근생가능</t>
        </is>
      </c>
      <c r="L517" s="6">
        <f>HYPERLINK("https://fin.land.naver.com/articles/2653456144", "매물Link")</f>
        <v/>
      </c>
      <c r="M517" s="6">
        <f>HYPERLINK("https://map.naver.com/p/search/남이면 문동리 산26-20", "지도Link")</f>
        <v/>
      </c>
      <c r="N517" s="6">
        <f>HYPERLINK("http://www.eum.go.kr/web/ar/lu/luLandDet.jsp?pnu=4311231023200260020&amp;isNoScr=script&amp;mode=search", "토지이음")</f>
        <v/>
      </c>
      <c r="O517" s="3" t="inlineStr">
        <is>
          <t>원탑</t>
        </is>
      </c>
      <c r="P517" s="4" t="n">
        <v>1</v>
      </c>
      <c r="Q517" s="4" t="n">
        <v>1528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문동리 산26-20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25000</v>
      </c>
      <c r="G518" s="4" t="n">
        <v>1749</v>
      </c>
      <c r="H518" s="4" t="n">
        <v>529</v>
      </c>
      <c r="I518" s="5" t="n">
        <v>47.3</v>
      </c>
      <c r="J518" s="5" t="n">
        <v>29.7</v>
      </c>
      <c r="K518" s="3" t="inlineStr">
        <is>
          <t>남이면 문동리 택지 매매 토목공사 완료 주택지 창고 근생등</t>
        </is>
      </c>
      <c r="L518" s="6">
        <f>HYPERLINK("https://fin.land.naver.com/articles/2652463956", "매물Link")</f>
        <v/>
      </c>
      <c r="M518" s="6">
        <f>HYPERLINK("https://map.naver.com/p/search/남이면 문동리 산26-20", "지도Link")</f>
        <v/>
      </c>
      <c r="N518" s="6">
        <f>HYPERLINK("http://www.eum.go.kr/web/ar/lu/luLandDet.jsp?pnu=4311231023200260020&amp;isNoScr=script&amp;mode=search", "토지이음")</f>
        <v/>
      </c>
      <c r="O518" s="3" t="inlineStr">
        <is>
          <t>그린</t>
        </is>
      </c>
      <c r="P518" s="4" t="n">
        <v>1</v>
      </c>
      <c r="Q518" s="4" t="n">
        <v>1528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완경사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1069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대</t>
        </is>
      </c>
      <c r="E519" s="3" t="inlineStr">
        <is>
          <t>매매</t>
        </is>
      </c>
      <c r="F519" s="4" t="n">
        <v>170000</v>
      </c>
      <c r="G519" s="4" t="n">
        <v>4513</v>
      </c>
      <c r="H519" s="4" t="n">
        <v>1365</v>
      </c>
      <c r="I519" s="5" t="n">
        <v>124.5</v>
      </c>
      <c r="J519" s="5" t="n">
        <v>45.3</v>
      </c>
      <c r="K519" s="3" t="inlineStr">
        <is>
          <t>nan</t>
        </is>
      </c>
      <c r="L519" s="6">
        <f>HYPERLINK("https://fin.land.naver.com/articles/2655019421", "매물Link")</f>
        <v/>
      </c>
      <c r="M519" s="6">
        <f>HYPERLINK("https://map.naver.com/p/search/남이면 부용외천리 1069", "지도Link")</f>
        <v/>
      </c>
      <c r="N519" s="6">
        <f>HYPERLINK("http://www.eum.go.kr/web/ar/lu/luLandDet.jsp?pnu=4311231040110690000&amp;isNoScr=script&amp;mode=search", "토지이음")</f>
        <v/>
      </c>
      <c r="O519" s="3" t="inlineStr">
        <is>
          <t>포도</t>
        </is>
      </c>
      <c r="P519" s="4" t="n">
        <v>1</v>
      </c>
      <c r="Q519" s="4" t="n">
        <v>2801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세로장방</t>
        </is>
      </c>
      <c r="V519" s="3" t="inlineStr">
        <is>
          <t>세로한면(가)</t>
        </is>
      </c>
    </row>
    <row r="520">
      <c r="A520" s="3" t="inlineStr">
        <is>
          <t>남이면 부용외천리 1069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대</t>
        </is>
      </c>
      <c r="E520" s="3" t="inlineStr">
        <is>
          <t>매매</t>
        </is>
      </c>
      <c r="F520" s="4" t="n">
        <v>170000</v>
      </c>
      <c r="G520" s="4" t="n">
        <v>4513</v>
      </c>
      <c r="H520" s="4" t="n">
        <v>1365</v>
      </c>
      <c r="I520" s="5" t="n">
        <v>124.5</v>
      </c>
      <c r="J520" s="5" t="n">
        <v>45.3</v>
      </c>
      <c r="K520" s="3" t="inlineStr">
        <is>
          <t>즉시 건축 가능한 계획 관리 공장 및 창고부지 매매, 4차선 도로 인접</t>
        </is>
      </c>
      <c r="L520" s="6">
        <f>HYPERLINK("https://fin.land.naver.com/articles/2650884786", "매물Link")</f>
        <v/>
      </c>
      <c r="M520" s="6">
        <f>HYPERLINK("https://map.naver.com/p/search/남이면 부용외천리 1069", "지도Link")</f>
        <v/>
      </c>
      <c r="N520" s="6">
        <f>HYPERLINK("http://www.eum.go.kr/web/ar/lu/luLandDet.jsp?pnu=4311231040110690000&amp;isNoScr=script&amp;mode=search", "토지이음")</f>
        <v/>
      </c>
      <c r="O520" s="3" t="inlineStr">
        <is>
          <t>대전토지로무소</t>
        </is>
      </c>
      <c r="P520" s="4" t="n">
        <v>1</v>
      </c>
      <c r="Q520" s="4" t="n">
        <v>2801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세로장방</t>
        </is>
      </c>
      <c r="V520" s="3" t="inlineStr">
        <is>
          <t>세로한면(가)</t>
        </is>
      </c>
    </row>
    <row r="521">
      <c r="A521" s="3" t="inlineStr">
        <is>
          <t>남이면 부용외천리 254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49700</v>
      </c>
      <c r="G521" s="4" t="n">
        <v>607</v>
      </c>
      <c r="H521" s="4" t="n">
        <v>184</v>
      </c>
      <c r="I521" s="5" t="n">
        <v>270.1</v>
      </c>
      <c r="J521" s="5" t="n">
        <v>67.09999999999999</v>
      </c>
      <c r="K521" s="3" t="inlineStr">
        <is>
          <t>남청주IC 인근 대로 접한 계획관리 토지</t>
        </is>
      </c>
      <c r="L521" s="6">
        <f>HYPERLINK("https://fin.land.naver.com/articles/2650137056", "매물Link")</f>
        <v/>
      </c>
      <c r="M521" s="6">
        <f>HYPERLINK("https://map.naver.com/p/search/남이면 부용외천리 254", "지도Link")</f>
        <v/>
      </c>
      <c r="N521" s="6">
        <f>HYPERLINK("http://www.eum.go.kr/web/ar/lu/luLandDet.jsp?pnu=4311231040102540000&amp;isNoScr=script&amp;mode=search", "토지이음")</f>
        <v/>
      </c>
      <c r="O521" s="3" t="inlineStr">
        <is>
          <t>정민</t>
        </is>
      </c>
      <c r="P521" s="4" t="n">
        <v>1</v>
      </c>
      <c r="Q521" s="4" t="n">
        <v>607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중로한면</t>
        </is>
      </c>
    </row>
    <row r="522">
      <c r="A522" s="3" t="inlineStr">
        <is>
          <t>남이면 부용외천리 63-1</t>
        </is>
      </c>
      <c r="B522" s="3" t="inlineStr">
        <is>
          <t>계획관리지역</t>
        </is>
      </c>
      <c r="C522" s="3" t="inlineStr">
        <is>
          <t>창고용지</t>
        </is>
      </c>
      <c r="D522" s="3" t="inlineStr">
        <is>
          <t>창고용지</t>
        </is>
      </c>
      <c r="E522" s="3" t="inlineStr">
        <is>
          <t>매매</t>
        </is>
      </c>
      <c r="F522" s="4" t="n">
        <v>250000</v>
      </c>
      <c r="G522" s="4" t="n">
        <v>5703</v>
      </c>
      <c r="H522" s="4" t="n">
        <v>1725</v>
      </c>
      <c r="I522" s="5" t="n">
        <v>144.9</v>
      </c>
      <c r="J522" s="5" t="n">
        <v>33.1</v>
      </c>
      <c r="K522" s="3" t="inlineStr">
        <is>
          <t>남청주IC 인근, 토지 및 건축물 매매, 가격절충가능</t>
        </is>
      </c>
      <c r="L522" s="6">
        <f>HYPERLINK("https://fin.land.naver.com/articles/2651985023", "매물Link")</f>
        <v/>
      </c>
      <c r="M522" s="6">
        <f>HYPERLINK("https://map.naver.com/p/search/남이면 부용외천리 63-1", "지도Link")</f>
        <v/>
      </c>
      <c r="N522" s="6">
        <f>HYPERLINK("http://www.eum.go.kr/web/ar/lu/luLandDet.jsp?pnu=4311231040100630001&amp;isNoScr=script&amp;mode=search", "토지이음")</f>
        <v/>
      </c>
      <c r="O522" s="3" t="inlineStr">
        <is>
          <t>라인</t>
        </is>
      </c>
      <c r="P522" s="4" t="n">
        <v>1</v>
      </c>
      <c r="Q522" s="4" t="n">
        <v>4923</v>
      </c>
      <c r="R522" s="3" t="inlineStr">
        <is>
          <t>지정되지않음</t>
        </is>
      </c>
      <c r="S522" s="3" t="inlineStr">
        <is>
          <t>주거기타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부용외천리 825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90000</v>
      </c>
      <c r="G523" s="4" t="n">
        <v>2192</v>
      </c>
      <c r="H523" s="4" t="n">
        <v>663</v>
      </c>
      <c r="I523" s="5" t="n">
        <v>135.7</v>
      </c>
      <c r="J523" s="5" t="n">
        <v>39.6</v>
      </c>
      <c r="K523" s="3" t="inlineStr">
        <is>
          <t>남청주IC 100M 이내,  토지 매매</t>
        </is>
      </c>
      <c r="L523" s="6">
        <f>HYPERLINK("https://fin.land.naver.com/articles/2649569513", "매물Link")</f>
        <v/>
      </c>
      <c r="M523" s="6">
        <f>HYPERLINK("https://map.naver.com/p/search/남이면 부용외천리 825", "지도Link")</f>
        <v/>
      </c>
      <c r="N523" s="6">
        <f>HYPERLINK("http://www.eum.go.kr/web/ar/lu/luLandDet.jsp?pnu=4311231040108250000&amp;isNoScr=script&amp;mode=search", "토지이음")</f>
        <v/>
      </c>
      <c r="O523" s="3" t="inlineStr">
        <is>
          <t>금화랜드</t>
        </is>
      </c>
      <c r="P523" s="4" t="n">
        <v>1</v>
      </c>
      <c r="Q523" s="4" t="n">
        <v>2192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자루형</t>
        </is>
      </c>
      <c r="V523" s="3" t="inlineStr">
        <is>
          <t>세로한면(가)</t>
        </is>
      </c>
    </row>
    <row r="524">
      <c r="A524" s="3" t="inlineStr">
        <is>
          <t>남이면 부용외천리 866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대</t>
        </is>
      </c>
      <c r="E524" s="3" t="inlineStr">
        <is>
          <t>매매</t>
        </is>
      </c>
      <c r="F524" s="4" t="n">
        <v>200000</v>
      </c>
      <c r="G524" s="4" t="n">
        <v>4423</v>
      </c>
      <c r="H524" s="4" t="n">
        <v>1338</v>
      </c>
      <c r="I524" s="5" t="n">
        <v>149.5</v>
      </c>
      <c r="J524" s="5" t="n">
        <v>37.3</v>
      </c>
      <c r="K524" s="3" t="inlineStr">
        <is>
          <t>남청주IC 삼거리 부근으로 접근성 좋고, 투자가치 좋은 부지</t>
        </is>
      </c>
      <c r="L524" s="6">
        <f>HYPERLINK("https://fin.land.naver.com/articles/2650347215", "매물Link")</f>
        <v/>
      </c>
      <c r="M524" s="6">
        <f>HYPERLINK("https://map.naver.com/p/search/남이면 부용외천리 866", "지도Link")</f>
        <v/>
      </c>
      <c r="N524" s="6">
        <f>HYPERLINK("http://www.eum.go.kr/web/ar/lu/luLandDet.jsp?pnu=4311231040108660000&amp;isNoScr=script&amp;mode=search", "토지이음")</f>
        <v/>
      </c>
      <c r="O524" s="3" t="inlineStr">
        <is>
          <t>(주)미르</t>
        </is>
      </c>
      <c r="P524" s="4" t="n">
        <v>1</v>
      </c>
      <c r="Q524" s="4" t="n">
        <v>1656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부용외천리 866-3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170000</v>
      </c>
      <c r="G525" s="4" t="n">
        <v>4410</v>
      </c>
      <c r="H525" s="4" t="n">
        <v>1334</v>
      </c>
      <c r="I525" s="5" t="n">
        <v>127.4</v>
      </c>
      <c r="J525" s="5" t="n">
        <v>75.09999999999999</v>
      </c>
      <c r="K525" s="3" t="inlineStr">
        <is>
          <t>남청주IC 인근 계획관리  공장 창고, 회사사옥 등 투자가치 높은땅</t>
        </is>
      </c>
      <c r="L525" s="6">
        <f>HYPERLINK("https://fin.land.naver.com/articles/2650688603", "매물Link")</f>
        <v/>
      </c>
      <c r="M525" s="6">
        <f>HYPERLINK("https://map.naver.com/p/search/남이면 부용외천리 866-3", "지도Link")</f>
        <v/>
      </c>
      <c r="N525" s="6">
        <f>HYPERLINK("http://www.eum.go.kr/web/ar/lu/luLandDet.jsp?pnu=4311231040108660003&amp;isNoScr=script&amp;mode=search", "토지이음")</f>
        <v/>
      </c>
      <c r="O525" s="3" t="inlineStr">
        <is>
          <t>대전토지로무소</t>
        </is>
      </c>
      <c r="P525" s="4" t="n">
        <v>1</v>
      </c>
      <c r="Q525" s="4" t="n">
        <v>556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남이면 부용외천리 866-3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170000</v>
      </c>
      <c r="G526" s="4" t="n">
        <v>4423</v>
      </c>
      <c r="H526" s="4" t="n">
        <v>1338</v>
      </c>
      <c r="I526" s="5" t="n">
        <v>127.1</v>
      </c>
      <c r="J526" s="5" t="n">
        <v>75.09999999999999</v>
      </c>
      <c r="K526" s="3" t="inlineStr">
        <is>
          <t>공장,창고 추천,계획관리지역,차량진출입 용이,남청주IC 바로 앞</t>
        </is>
      </c>
      <c r="L526" s="6">
        <f>HYPERLINK("https://fin.land.naver.com/articles/2651579592", "매물Link")</f>
        <v/>
      </c>
      <c r="M526" s="6">
        <f>HYPERLINK("https://map.naver.com/p/search/남이면 부용외천리 866-3", "지도Link")</f>
        <v/>
      </c>
      <c r="N526" s="6">
        <f>HYPERLINK("http://www.eum.go.kr/web/ar/lu/luLandDet.jsp?pnu=4311231040108660003&amp;isNoScr=script&amp;mode=search", "토지이음")</f>
        <v/>
      </c>
      <c r="O526" s="3" t="inlineStr">
        <is>
          <t>금화랜드</t>
        </is>
      </c>
      <c r="P526" s="4" t="n">
        <v>1</v>
      </c>
      <c r="Q526" s="4" t="n">
        <v>556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남이면 부용외천리 90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63540</v>
      </c>
      <c r="G527" s="4" t="n">
        <v>2334</v>
      </c>
      <c r="H527" s="4" t="n">
        <v>706</v>
      </c>
      <c r="I527" s="5" t="n">
        <v>90</v>
      </c>
      <c r="J527" s="5" t="n">
        <v>37</v>
      </c>
      <c r="K527" s="3" t="inlineStr">
        <is>
          <t>남이면 부용외천리 공장용지 매매 철거후신축추천</t>
        </is>
      </c>
      <c r="L527" s="6">
        <f>HYPERLINK("https://fin.land.naver.com/articles/2649649104", "매물Link")</f>
        <v/>
      </c>
      <c r="M527" s="6">
        <f>HYPERLINK("https://map.naver.com/p/search/남이면 부용외천리 90", "지도Link")</f>
        <v/>
      </c>
      <c r="N527" s="6">
        <f>HYPERLINK("http://www.eum.go.kr/web/ar/lu/luLandDet.jsp?pnu=4311231040100900000&amp;isNoScr=script&amp;mode=search", "토지이음")</f>
        <v/>
      </c>
      <c r="O527" s="3" t="inlineStr">
        <is>
          <t>탄탄</t>
        </is>
      </c>
      <c r="P527" s="4" t="n">
        <v>1</v>
      </c>
      <c r="Q527" s="4" t="n">
        <v>221</v>
      </c>
      <c r="R527" s="3" t="inlineStr">
        <is>
          <t>지정되지않음</t>
        </is>
      </c>
      <c r="S527" s="3" t="inlineStr">
        <is>
          <t>공업용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부용외천리 산 153-24</t>
        </is>
      </c>
      <c r="B528" s="3" t="inlineStr">
        <is>
          <t>계획관리지역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749999</v>
      </c>
      <c r="G528" s="4" t="n">
        <v>22318</v>
      </c>
      <c r="H528" s="4" t="n">
        <v>6751</v>
      </c>
      <c r="I528" s="5" t="n">
        <v>111.1</v>
      </c>
      <c r="J528" s="5" t="n">
        <v>4.6</v>
      </c>
      <c r="K528" s="3" t="inlineStr">
        <is>
          <t>nan</t>
        </is>
      </c>
      <c r="L528" s="6">
        <f>HYPERLINK("https://fin.land.naver.com/articles/2653531052", "매물Link")</f>
        <v/>
      </c>
      <c r="M528" s="6">
        <f>HYPERLINK("https://map.naver.com/p/search/남이면 부용외천리 산 153-24", "지도Link")</f>
        <v/>
      </c>
      <c r="N528" s="6">
        <f>HYPERLINK("http://www.eum.go.kr/web/ar/lu/luLandDet.jsp?pnu=4311231040201530024&amp;isNoScr=script&amp;mode=search", "토지이음")</f>
        <v/>
      </c>
      <c r="O528" s="3" t="inlineStr">
        <is>
          <t>황제</t>
        </is>
      </c>
      <c r="P528" s="4" t="n">
        <v>1</v>
      </c>
      <c r="Q528" s="4" t="n">
        <v>20281</v>
      </c>
      <c r="R528" s="3" t="inlineStr">
        <is>
          <t>지정되지않음</t>
        </is>
      </c>
      <c r="S528" s="3" t="inlineStr">
        <is>
          <t>자연림</t>
        </is>
      </c>
      <c r="T528" s="3" t="inlineStr">
        <is>
          <t>급경사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부용외천리 산 224-4</t>
        </is>
      </c>
      <c r="B529" s="3" t="inlineStr">
        <is>
          <t>생산관리지역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6800</v>
      </c>
      <c r="G529" s="4" t="n">
        <v>454</v>
      </c>
      <c r="H529" s="4" t="n">
        <v>137</v>
      </c>
      <c r="I529" s="5" t="n">
        <v>49.6</v>
      </c>
      <c r="J529" s="5" t="n">
        <v>2.5</v>
      </c>
      <c r="K529" s="3" t="inlineStr">
        <is>
          <t>도심인근 숲속 전원주택지임.토목공사완료및 진입도로,수도,전기 인입</t>
        </is>
      </c>
      <c r="L529" s="6">
        <f>HYPERLINK("https://fin.land.naver.com/articles/2654698858", "매물Link")</f>
        <v/>
      </c>
      <c r="M529" s="6">
        <f>HYPERLINK("https://map.naver.com/p/search/남이면 부용외천리 산 224-4", "지도Link")</f>
        <v/>
      </c>
      <c r="N529" s="6">
        <f>HYPERLINK("http://www.eum.go.kr/web/ar/lu/luLandDet.jsp?pnu=4311231040202240004&amp;isNoScr=script&amp;mode=search", "토지이음")</f>
        <v/>
      </c>
      <c r="O529" s="3" t="inlineStr">
        <is>
          <t>포시즌</t>
        </is>
      </c>
      <c r="P529" s="4" t="n">
        <v>1</v>
      </c>
      <c r="Q529" s="4" t="n">
        <v>386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남이면 부용외천리 산183-3</t>
        </is>
      </c>
      <c r="B530" s="3" t="inlineStr">
        <is>
          <t>농림지역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400000</v>
      </c>
      <c r="G530" s="4" t="n">
        <v>76991</v>
      </c>
      <c r="H530" s="4" t="n">
        <v>23290</v>
      </c>
      <c r="I530" s="5" t="n">
        <v>17.2</v>
      </c>
      <c r="J530" s="5" t="n">
        <v>1.1</v>
      </c>
      <c r="K530" s="3" t="inlineStr">
        <is>
          <t>공장허가 완료, 토목공사 90</t>
        </is>
      </c>
      <c r="L530" s="6">
        <f>HYPERLINK("https://fin.land.naver.com/articles/2653353121", "매물Link")</f>
        <v/>
      </c>
      <c r="M530" s="6">
        <f>HYPERLINK("https://map.naver.com/p/search/남이면 부용외천리 산183-3", "지도Link")</f>
        <v/>
      </c>
      <c r="N530" s="6">
        <f>HYPERLINK("http://www.eum.go.kr/web/ar/lu/luLandDet.jsp?pnu=4311231040201830003&amp;isNoScr=script&amp;mode=search",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76991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남이면 비룡리 181-1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32050</v>
      </c>
      <c r="G531" s="4" t="n">
        <v>4238</v>
      </c>
      <c r="H531" s="4" t="n">
        <v>1282</v>
      </c>
      <c r="I531" s="5" t="n">
        <v>25</v>
      </c>
      <c r="J531" s="5" t="n">
        <v>9.4</v>
      </c>
      <c r="K531" s="3" t="inlineStr">
        <is>
          <t>nan</t>
        </is>
      </c>
      <c r="L531" s="6">
        <f>HYPERLINK("https://fin.land.naver.com/articles/2649834524", "매물Link")</f>
        <v/>
      </c>
      <c r="M531" s="6">
        <f>HYPERLINK("https://map.naver.com/p/search/남이면 비룡리 181-1", "지도Link")</f>
        <v/>
      </c>
      <c r="N531" s="6">
        <f>HYPERLINK("http://www.eum.go.kr/web/ar/lu/luLandDet.jsp?pnu=4311231026101810001&amp;isNoScr=script&amp;mode=search", "토지이음")</f>
        <v/>
      </c>
      <c r="O531" s="3" t="inlineStr">
        <is>
          <t>소소사무소</t>
        </is>
      </c>
      <c r="P531" s="4" t="n">
        <v>1</v>
      </c>
      <c r="Q531" s="4" t="n">
        <v>516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남이면 비룡리 218-3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답</t>
        </is>
      </c>
      <c r="E532" s="3" t="inlineStr">
        <is>
          <t>매매</t>
        </is>
      </c>
      <c r="F532" s="4" t="n">
        <v>105000</v>
      </c>
      <c r="G532" s="4" t="n">
        <v>2038</v>
      </c>
      <c r="H532" s="4" t="n">
        <v>616</v>
      </c>
      <c r="I532" s="5" t="n">
        <v>170.5</v>
      </c>
      <c r="J532" s="5" t="n">
        <v>14.3</v>
      </c>
      <c r="K532" s="3" t="inlineStr">
        <is>
          <t>토지급매 세종청주 고속도로 강내IC2030년 예정 최대 수혜</t>
        </is>
      </c>
      <c r="L532" s="6">
        <f>HYPERLINK("https://fin.land.naver.com/articles/2651661050", "매물Link")</f>
        <v/>
      </c>
      <c r="M532" s="6">
        <f>HYPERLINK("https://map.naver.com/p/search/남이면 비룡리 218-3", "지도Link")</f>
        <v/>
      </c>
      <c r="N532" s="6">
        <f>HYPERLINK("http://www.eum.go.kr/web/ar/lu/luLandDet.jsp?pnu=4311231026102180003&amp;isNoScr=script&amp;mode=search", "토지이음")</f>
        <v/>
      </c>
      <c r="O532" s="3" t="inlineStr">
        <is>
          <t>타임합동사무소</t>
        </is>
      </c>
      <c r="P532" s="4" t="n">
        <v>1</v>
      </c>
      <c r="Q532" s="4" t="n">
        <v>147</v>
      </c>
      <c r="R532" s="3" t="inlineStr">
        <is>
          <t>지정되지않음</t>
        </is>
      </c>
      <c r="S532" s="3" t="inlineStr">
        <is>
          <t>도로등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비룡리 32</t>
        </is>
      </c>
      <c r="B533" s="3" t="inlineStr">
        <is>
          <t>생산관리지역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15000</v>
      </c>
      <c r="G533" s="4" t="n">
        <v>2160</v>
      </c>
      <c r="H533" s="4" t="n">
        <v>653</v>
      </c>
      <c r="I533" s="5" t="n">
        <v>23</v>
      </c>
      <c r="J533" s="5" t="n">
        <v>10</v>
      </c>
      <c r="K533" s="3" t="inlineStr">
        <is>
          <t>공기좋은 비룡리토지 비닐하우스 안 컨테이너농막 풍부한지하수 주말농장추천</t>
        </is>
      </c>
      <c r="L533" s="6">
        <f>HYPERLINK("https://fin.land.naver.com/articles/2653069463", "매물Link")</f>
        <v/>
      </c>
      <c r="M533" s="6">
        <f>HYPERLINK("https://map.naver.com/p/search/남이면 비룡리 32", "지도Link")</f>
        <v/>
      </c>
      <c r="N533" s="6">
        <f>HYPERLINK("http://www.eum.go.kr/web/ar/lu/luLandDet.jsp?pnu=4311231026100320000&amp;isNoScr=script&amp;mode=search", "토지이음")</f>
        <v/>
      </c>
      <c r="O533" s="3" t="inlineStr">
        <is>
          <t>행복도시</t>
        </is>
      </c>
      <c r="P533" s="4" t="n">
        <v>2</v>
      </c>
      <c r="Q533" s="4" t="n">
        <v>2160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남이면 비룡리 325-3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185000</v>
      </c>
      <c r="G534" s="4" t="n">
        <v>585</v>
      </c>
      <c r="H534" s="4" t="n">
        <v>177</v>
      </c>
      <c r="I534" s="5" t="n">
        <v>1045.2</v>
      </c>
      <c r="J534" s="5" t="n">
        <v>28.9</v>
      </c>
      <c r="K534" s="3" t="inlineStr">
        <is>
          <t>o사진o 계획관리 도로접한 공장용지</t>
        </is>
      </c>
      <c r="L534" s="6">
        <f>HYPERLINK("https://fin.land.naver.com/articles/2654399449", "매물Link")</f>
        <v/>
      </c>
      <c r="M534" s="6">
        <f>HYPERLINK("https://map.naver.com/p/search/남이면 비룡리 325-3", "지도Link")</f>
        <v/>
      </c>
      <c r="N534" s="6">
        <f>HYPERLINK("http://www.eum.go.kr/web/ar/lu/luLandDet.jsp?pnu=4311231026103250003&amp;isNoScr=script&amp;mode=search", "토지이음")</f>
        <v/>
      </c>
      <c r="O534" s="3" t="inlineStr">
        <is>
          <t>서초만땅</t>
        </is>
      </c>
      <c r="P534" s="4" t="n">
        <v>1</v>
      </c>
      <c r="Q534" s="4" t="n">
        <v>2630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비룡리 325-3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185000</v>
      </c>
      <c r="G535" s="4" t="n">
        <v>4066</v>
      </c>
      <c r="H535" s="4" t="n">
        <v>1230</v>
      </c>
      <c r="I535" s="5" t="n">
        <v>150.4</v>
      </c>
      <c r="J535" s="5" t="n">
        <v>28.9</v>
      </c>
      <c r="K535" s="3" t="inlineStr">
        <is>
          <t>만땅 1230 p 개발행위 득한 도로접한 나대지 계획관리</t>
        </is>
      </c>
      <c r="L535" s="6">
        <f>HYPERLINK("https://fin.land.naver.com/articles/2654561971", "매물Link")</f>
        <v/>
      </c>
      <c r="M535" s="6">
        <f>HYPERLINK("https://map.naver.com/p/search/남이면 비룡리 325-3", "지도Link")</f>
        <v/>
      </c>
      <c r="N535" s="6">
        <f>HYPERLINK("http://www.eum.go.kr/web/ar/lu/luLandDet.jsp?pnu=4311231026103250003&amp;isNoScr=script&amp;mode=search", "토지이음")</f>
        <v/>
      </c>
      <c r="O535" s="3" t="inlineStr">
        <is>
          <t>서초만땅</t>
        </is>
      </c>
      <c r="P535" s="4" t="n">
        <v>1</v>
      </c>
      <c r="Q535" s="4" t="n">
        <v>2630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비룡리 463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27000</v>
      </c>
      <c r="G536" s="4" t="n">
        <v>2441</v>
      </c>
      <c r="H536" s="4" t="n">
        <v>738</v>
      </c>
      <c r="I536" s="5" t="n">
        <v>36.6</v>
      </c>
      <c r="J536" s="5" t="n">
        <v>19.9</v>
      </c>
      <c r="K536" s="3" t="inlineStr">
        <is>
          <t>생산관리 토지 매매</t>
        </is>
      </c>
      <c r="L536" s="6">
        <f>HYPERLINK("https://fin.land.naver.com/articles/2653037411", "매물Link")</f>
        <v/>
      </c>
      <c r="M536" s="6">
        <f>HYPERLINK("https://map.naver.com/p/search/남이면 비룡리 463", "지도Link")</f>
        <v/>
      </c>
      <c r="N536" s="6">
        <f>HYPERLINK("http://www.eum.go.kr/web/ar/lu/luLandDet.jsp?pnu=4311231026104630000&amp;isNoScr=script&amp;mode=search", "토지이음")</f>
        <v/>
      </c>
      <c r="O536" s="3" t="inlineStr">
        <is>
          <t>정민</t>
        </is>
      </c>
      <c r="P536" s="4" t="n">
        <v>1</v>
      </c>
      <c r="Q536" s="4" t="n">
        <v>2441.7</v>
      </c>
      <c r="R536" s="3" t="inlineStr">
        <is>
          <t>농림지역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사동리 128-1</t>
        </is>
      </c>
      <c r="B537" s="3" t="inlineStr">
        <is>
          <t>보전녹지지역</t>
        </is>
      </c>
      <c r="C537" s="3" t="inlineStr">
        <is>
          <t>답</t>
        </is>
      </c>
      <c r="D537" s="3" t="inlineStr">
        <is>
          <t>전</t>
        </is>
      </c>
      <c r="E537" s="3" t="inlineStr">
        <is>
          <t>매매</t>
        </is>
      </c>
      <c r="F537" s="4" t="n">
        <v>15000</v>
      </c>
      <c r="G537" s="4" t="n">
        <v>960</v>
      </c>
      <c r="H537" s="4" t="n">
        <v>290</v>
      </c>
      <c r="I537" s="5" t="n">
        <v>51.7</v>
      </c>
      <c r="J537" s="5" t="n">
        <v>17</v>
      </c>
      <c r="K537" s="3" t="inlineStr">
        <is>
          <t>2필지(전,답)으로 구성된 토지로 투자용 매매 적극 추천 합니다</t>
        </is>
      </c>
      <c r="L537" s="6">
        <f>HYPERLINK("https://fin.land.naver.com/articles/2653019296", "매물Link")</f>
        <v/>
      </c>
      <c r="M537" s="6">
        <f>HYPERLINK("https://map.naver.com/p/search/남이면 사동리 128-1", "지도Link")</f>
        <v/>
      </c>
      <c r="N537" s="6">
        <f>HYPERLINK("http://www.eum.go.kr/web/ar/lu/luLandDet.jsp?pnu=4311231028101280001&amp;isNoScr=script&amp;mode=search", "토지이음")</f>
        <v/>
      </c>
      <c r="O537" s="3" t="inlineStr">
        <is>
          <t>투자</t>
        </is>
      </c>
      <c r="P537" s="4" t="n">
        <v>1</v>
      </c>
      <c r="Q537" s="4" t="n">
        <v>250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남이면 산막리 247-1</t>
        </is>
      </c>
      <c r="B538" s="3" t="inlineStr">
        <is>
          <t>생산관리지역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18000</v>
      </c>
      <c r="G538" s="4" t="n">
        <v>1464</v>
      </c>
      <c r="H538" s="4" t="n">
        <v>443</v>
      </c>
      <c r="I538" s="5" t="n">
        <v>40.6</v>
      </c>
      <c r="J538" s="5" t="n">
        <v>12.3</v>
      </c>
      <c r="K538" s="3" t="inlineStr">
        <is>
          <t>남이면 산막리 도로접한 토지 매매</t>
        </is>
      </c>
      <c r="L538" s="6">
        <f>HYPERLINK("https://fin.land.naver.com/articles/2651762335", "매물Link")</f>
        <v/>
      </c>
      <c r="M538" s="6">
        <f>HYPERLINK("https://map.naver.com/p/search/남이면 산막리 247-1", "지도Link")</f>
        <v/>
      </c>
      <c r="N538" s="6">
        <f>HYPERLINK("http://www.eum.go.kr/web/ar/lu/luLandDet.jsp?pnu=4311231025102470001&amp;isNoScr=script&amp;mode=search", "토지이음")</f>
        <v/>
      </c>
      <c r="O538" s="3" t="inlineStr">
        <is>
          <t>대지</t>
        </is>
      </c>
      <c r="P538" s="4" t="n">
        <v>1</v>
      </c>
      <c r="Q538" s="4" t="n">
        <v>1464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산막리 263-2</t>
        </is>
      </c>
      <c r="B539" s="3" t="inlineStr">
        <is>
          <t>생산관리지역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16000</v>
      </c>
      <c r="G539" s="4" t="n">
        <v>1326</v>
      </c>
      <c r="H539" s="4" t="n">
        <v>401</v>
      </c>
      <c r="I539" s="5" t="n">
        <v>39.9</v>
      </c>
      <c r="J539" s="5" t="n">
        <v>12.3</v>
      </c>
      <c r="K539" s="3" t="inlineStr">
        <is>
          <t>남이면 산막리 시도21호선 접한 토지 매매</t>
        </is>
      </c>
      <c r="L539" s="6">
        <f>HYPERLINK("https://fin.land.naver.com/articles/2651761606", "매물Link")</f>
        <v/>
      </c>
      <c r="M539" s="6">
        <f>HYPERLINK("https://map.naver.com/p/search/남이면 산막리 263-2", "지도Link")</f>
        <v/>
      </c>
      <c r="N539" s="6">
        <f>HYPERLINK("http://www.eum.go.kr/web/ar/lu/luLandDet.jsp?pnu=4311231025102630002&amp;isNoScr=script&amp;mode=search",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1326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남이면 산막리 37</t>
        </is>
      </c>
      <c r="B540" s="3" t="inlineStr">
        <is>
          <t>농림지역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1360</v>
      </c>
      <c r="G540" s="4" t="n">
        <v>450</v>
      </c>
      <c r="H540" s="4" t="n">
        <v>136</v>
      </c>
      <c r="I540" s="5" t="n">
        <v>10</v>
      </c>
      <c r="J540" s="5" t="n">
        <v>8.800000000000001</v>
      </c>
      <c r="K540" s="3" t="inlineStr">
        <is>
          <t>농업진흥구역의 농림지역 주말농장으로추천함. 구거접함</t>
        </is>
      </c>
      <c r="L540" s="6">
        <f>HYPERLINK("https://fin.land.naver.com/articles/2651088390", "매물Link")</f>
        <v/>
      </c>
      <c r="M540" s="6">
        <f>HYPERLINK("https://map.naver.com/p/search/남이면 산막리 37", "지도Link")</f>
        <v/>
      </c>
      <c r="N540" s="6">
        <f>HYPERLINK("http://www.eum.go.kr/web/ar/lu/luLandDet.jsp?pnu=4311231025100370000&amp;isNoScr=script&amp;mode=search", "토지이음")</f>
        <v/>
      </c>
      <c r="O540" s="3" t="inlineStr">
        <is>
          <t>청주원</t>
        </is>
      </c>
      <c r="P540" s="4" t="n">
        <v>1</v>
      </c>
      <c r="Q540" s="4" t="n">
        <v>414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남이면 산막리 52-2</t>
        </is>
      </c>
      <c r="B541" s="3" t="inlineStr">
        <is>
          <t>생산관리지역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25000</v>
      </c>
      <c r="G541" s="4" t="n">
        <v>1515</v>
      </c>
      <c r="H541" s="4" t="n">
        <v>458</v>
      </c>
      <c r="I541" s="5" t="n">
        <v>54.6</v>
      </c>
      <c r="J541" s="5" t="n">
        <v>16.5</v>
      </c>
      <c r="K541" s="3" t="inlineStr">
        <is>
          <t>한적한 곳에 전원주택및부지, 인접 전,도로용지 포 3필지,주말농장 활용</t>
        </is>
      </c>
      <c r="L541" s="6">
        <f>HYPERLINK("https://fin.land.naver.com/articles/2654411697", "매물Link")</f>
        <v/>
      </c>
      <c r="M541" s="6">
        <f>HYPERLINK("https://map.naver.com/p/search/남이면 산막리 52-2", "지도Link")</f>
        <v/>
      </c>
      <c r="N541" s="6">
        <f>HYPERLINK("http://www.eum.go.kr/web/ar/lu/luLandDet.jsp?pnu=4311231025100520002&amp;isNoScr=script&amp;mode=search", "토지이음")</f>
        <v/>
      </c>
      <c r="O541" s="3" t="inlineStr">
        <is>
          <t>우리</t>
        </is>
      </c>
      <c r="P541" s="4" t="n">
        <v>1</v>
      </c>
      <c r="Q541" s="4" t="n">
        <v>980</v>
      </c>
      <c r="R541" s="3" t="inlineStr">
        <is>
          <t>지정되지않음</t>
        </is>
      </c>
      <c r="S541" s="3" t="inlineStr">
        <is>
          <t>단독</t>
        </is>
      </c>
      <c r="T541" s="3" t="inlineStr">
        <is>
          <t>완경사</t>
        </is>
      </c>
      <c r="U541" s="3" t="inlineStr">
        <is>
          <t>사다리형</t>
        </is>
      </c>
      <c r="V541" s="3" t="inlineStr">
        <is>
          <t>세로한면(불)</t>
        </is>
      </c>
    </row>
    <row r="542">
      <c r="A542" s="3" t="inlineStr">
        <is>
          <t>남이면 상발리 108</t>
        </is>
      </c>
      <c r="B542" s="3" t="inlineStr">
        <is>
          <t>자연녹지지역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55090</v>
      </c>
      <c r="G542" s="4" t="n">
        <v>2603</v>
      </c>
      <c r="H542" s="4" t="n">
        <v>787</v>
      </c>
      <c r="I542" s="5" t="n">
        <v>70</v>
      </c>
      <c r="J542" s="5" t="n">
        <v>16.7</v>
      </c>
      <c r="K542" s="3" t="inlineStr">
        <is>
          <t>남이면 상발리 토지매매</t>
        </is>
      </c>
      <c r="L542" s="6">
        <f>HYPERLINK("https://fin.land.naver.com/articles/2649645214", "매물Link")</f>
        <v/>
      </c>
      <c r="M542" s="6">
        <f>HYPERLINK("https://map.naver.com/p/search/남이면 상발리 108", "지도Link")</f>
        <v/>
      </c>
      <c r="N542" s="6">
        <f>HYPERLINK("http://www.eum.go.kr/web/ar/lu/luLandDet.jsp?pnu=4311231031101080000&amp;isNoScr=script&amp;mode=search", "토지이음")</f>
        <v/>
      </c>
      <c r="O542" s="3" t="inlineStr">
        <is>
          <t>탄탄</t>
        </is>
      </c>
      <c r="P542" s="4" t="n">
        <v>1</v>
      </c>
      <c r="Q542" s="4" t="n">
        <v>2603</v>
      </c>
      <c r="R542" s="3" t="inlineStr">
        <is>
          <t>보전녹지지역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상발리 108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55000</v>
      </c>
      <c r="G543" s="4" t="n">
        <v>2603</v>
      </c>
      <c r="H543" s="4" t="n">
        <v>787</v>
      </c>
      <c r="I543" s="5" t="n">
        <v>69.90000000000001</v>
      </c>
      <c r="J543" s="5" t="n">
        <v>16.7</v>
      </c>
      <c r="K543" s="3" t="inlineStr">
        <is>
          <t>남이면 상발리에 위치한 도로 접한 토지 매매</t>
        </is>
      </c>
      <c r="L543" s="6">
        <f>HYPERLINK("https://fin.land.naver.com/articles/2651110651", "매물Link")</f>
        <v/>
      </c>
      <c r="M543" s="6">
        <f>HYPERLINK("https://map.naver.com/p/search/남이면 상발리 108", "지도Link")</f>
        <v/>
      </c>
      <c r="N543" s="6">
        <f>HYPERLINK("http://www.eum.go.kr/web/ar/lu/luLandDet.jsp?pnu=4311231031101080000&amp;isNoScr=script&amp;mode=search", "토지이음")</f>
        <v/>
      </c>
      <c r="O543" s="3" t="inlineStr">
        <is>
          <t>대지</t>
        </is>
      </c>
      <c r="P543" s="4" t="n">
        <v>5</v>
      </c>
      <c r="Q543" s="4" t="n">
        <v>2603</v>
      </c>
      <c r="R543" s="3" t="inlineStr">
        <is>
          <t>보전녹지지역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남이면 상발리 108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55000</v>
      </c>
      <c r="G544" s="4" t="n">
        <v>2603</v>
      </c>
      <c r="H544" s="4" t="n">
        <v>787</v>
      </c>
      <c r="I544" s="5" t="n">
        <v>69.90000000000001</v>
      </c>
      <c r="J544" s="5" t="n">
        <v>16.7</v>
      </c>
      <c r="K544" s="3" t="inlineStr">
        <is>
          <t>상발리 토지매매</t>
        </is>
      </c>
      <c r="L544" s="6">
        <f>HYPERLINK("https://fin.land.naver.com/articles/2653622570", "매물Link")</f>
        <v/>
      </c>
      <c r="M544" s="6">
        <f>HYPERLINK("https://map.naver.com/p/search/남이면 상발리 108", "지도Link")</f>
        <v/>
      </c>
      <c r="N544" s="6">
        <f>HYPERLINK("http://www.eum.go.kr/web/ar/lu/luLandDet.jsp?pnu=4311231031101080000&amp;isNoScr=script&amp;mode=search", "토지이음")</f>
        <v/>
      </c>
      <c r="O544" s="3" t="inlineStr">
        <is>
          <t>스피드</t>
        </is>
      </c>
      <c r="P544" s="4" t="n">
        <v>1</v>
      </c>
      <c r="Q544" s="4" t="n">
        <v>2603</v>
      </c>
      <c r="R544" s="3" t="inlineStr">
        <is>
          <t>보전녹지지역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상발리 16-2</t>
        </is>
      </c>
      <c r="B545" s="3" t="inlineStr">
        <is>
          <t>자연녹지지역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245000</v>
      </c>
      <c r="G545" s="4" t="n">
        <v>8008</v>
      </c>
      <c r="H545" s="4" t="n">
        <v>2422</v>
      </c>
      <c r="I545" s="5" t="n">
        <v>101.2</v>
      </c>
      <c r="J545" s="5" t="n">
        <v>31.6</v>
      </c>
      <c r="K545" s="3" t="inlineStr">
        <is>
          <t>청주 남이면 상발리, 투자개발 최적지 토지 매매</t>
        </is>
      </c>
      <c r="L545" s="6">
        <f>HYPERLINK("https://fin.land.naver.com/articles/2650045640", "매물Link")</f>
        <v/>
      </c>
      <c r="M545" s="6">
        <f>HYPERLINK("https://map.naver.com/p/search/남이면 상발리 16-2", "지도Link")</f>
        <v/>
      </c>
      <c r="N545" s="6">
        <f>HYPERLINK("http://www.eum.go.kr/web/ar/lu/luLandDet.jsp?pnu=4311231031100160002&amp;isNoScr=script&amp;mode=search",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2865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세로각지(가)</t>
        </is>
      </c>
    </row>
    <row r="546">
      <c r="A546" s="3" t="inlineStr">
        <is>
          <t>남이면 상발리 27-1</t>
        </is>
      </c>
      <c r="B546" s="3" t="inlineStr">
        <is>
          <t>자연녹지지역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48000</v>
      </c>
      <c r="G546" s="4" t="n">
        <v>990</v>
      </c>
      <c r="H546" s="4" t="n">
        <v>299</v>
      </c>
      <c r="I546" s="5" t="n">
        <v>160.5</v>
      </c>
      <c r="J546" s="5" t="n">
        <v>37.7</v>
      </c>
      <c r="K546" s="3" t="inlineStr">
        <is>
          <t>남이면 상발리 2차선 도로접한 자연녹지 토지 매매</t>
        </is>
      </c>
      <c r="L546" s="6">
        <f>HYPERLINK("https://fin.land.naver.com/articles/2651764848", "매물Link")</f>
        <v/>
      </c>
      <c r="M546" s="6">
        <f>HYPERLINK("https://map.naver.com/p/search/남이면 상발리 27-1", "지도Link")</f>
        <v/>
      </c>
      <c r="N546" s="6">
        <f>HYPERLINK("http://www.eum.go.kr/web/ar/lu/luLandDet.jsp?pnu=4311231031100270001&amp;isNoScr=script&amp;mode=search", "토지이음")</f>
        <v/>
      </c>
      <c r="O546" s="3" t="inlineStr">
        <is>
          <t>대지</t>
        </is>
      </c>
      <c r="P546" s="4" t="n">
        <v>2</v>
      </c>
      <c r="Q546" s="4" t="n">
        <v>990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가로장방</t>
        </is>
      </c>
      <c r="V546" s="3" t="inlineStr">
        <is>
          <t>소로한면</t>
        </is>
      </c>
    </row>
    <row r="547">
      <c r="A547" s="3" t="inlineStr">
        <is>
          <t>남이면 상발리 산14-35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24200</v>
      </c>
      <c r="G547" s="4" t="n">
        <v>660</v>
      </c>
      <c r="H547" s="4" t="n">
        <v>200</v>
      </c>
      <c r="I547" s="5" t="n">
        <v>121</v>
      </c>
      <c r="J547" s="5" t="n">
        <v>2.9</v>
      </c>
      <c r="K547" s="3" t="inlineStr">
        <is>
          <t>전원주택 부지로 최적</t>
        </is>
      </c>
      <c r="L547" s="6">
        <f>HYPERLINK("https://fin.land.naver.com/articles/2654984064", "매물Link")</f>
        <v/>
      </c>
      <c r="M547" s="6">
        <f>HYPERLINK("https://map.naver.com/p/search/남이면 상발리 산14-35", "지도Link")</f>
        <v/>
      </c>
      <c r="N547" s="6">
        <f>HYPERLINK("http://www.eum.go.kr/web/ar/lu/luLandDet.jsp?pnu=4311231031200140035&amp;isNoScr=script&amp;mode=search", "토지이음")</f>
        <v/>
      </c>
      <c r="O547" s="3" t="inlineStr">
        <is>
          <t>다미</t>
        </is>
      </c>
      <c r="P547" s="4" t="n">
        <v>2</v>
      </c>
      <c r="Q547" s="4" t="n">
        <v>660</v>
      </c>
      <c r="R547" s="3" t="inlineStr">
        <is>
          <t>지정되지않음</t>
        </is>
      </c>
      <c r="S547" s="3" t="inlineStr">
        <is>
          <t>임야기타</t>
        </is>
      </c>
      <c r="T547" s="3" t="inlineStr">
        <is>
          <t>급경사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남이면 석실리 121-1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73780</v>
      </c>
      <c r="G548" s="4" t="n">
        <v>1745</v>
      </c>
      <c r="H548" s="4" t="n">
        <v>528</v>
      </c>
      <c r="I548" s="5" t="n">
        <v>139.7</v>
      </c>
      <c r="J548" s="5" t="n">
        <v>43.2</v>
      </c>
      <c r="K548" s="3" t="inlineStr">
        <is>
          <t>nan</t>
        </is>
      </c>
      <c r="L548" s="6">
        <f>HYPERLINK("https://fin.land.naver.com/articles/2654549139", "매물Link")</f>
        <v/>
      </c>
      <c r="M548" s="6">
        <f>HYPERLINK("https://map.naver.com/p/search/남이면 석실리 121-1", "지도Link")</f>
        <v/>
      </c>
      <c r="N548" s="6">
        <f>HYPERLINK("http://www.eum.go.kr/web/ar/lu/luLandDet.jsp?pnu=4311231033101210001&amp;isNoScr=script&amp;mode=search", "토지이음")</f>
        <v/>
      </c>
      <c r="O548" s="3" t="inlineStr">
        <is>
          <t>백양</t>
        </is>
      </c>
      <c r="P548" s="4" t="n">
        <v>1</v>
      </c>
      <c r="Q548" s="4" t="n">
        <v>1745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중로한면</t>
        </is>
      </c>
    </row>
    <row r="549">
      <c r="A549" s="3" t="inlineStr">
        <is>
          <t>남이면 석실리 198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25000</v>
      </c>
      <c r="G549" s="4" t="n">
        <v>591</v>
      </c>
      <c r="H549" s="4" t="n">
        <v>179</v>
      </c>
      <c r="I549" s="5" t="n">
        <v>139.7</v>
      </c>
      <c r="J549" s="5" t="n">
        <v>62.1</v>
      </c>
      <c r="K549" s="3" t="inlineStr">
        <is>
          <t>석실리  전원생활 꿈꾸시는분께 추천합니다.</t>
        </is>
      </c>
      <c r="L549" s="6">
        <f>HYPERLINK("https://fin.land.naver.com/articles/2650276733", "매물Link")</f>
        <v/>
      </c>
      <c r="M549" s="6">
        <f>HYPERLINK("https://map.naver.com/p/search/남이면 석실리 198", "지도Link")</f>
        <v/>
      </c>
      <c r="N549" s="6">
        <f>HYPERLINK("http://www.eum.go.kr/web/ar/lu/luLandDet.jsp?pnu=4311231033101980000&amp;isNoScr=script&amp;mode=search", "토지이음")</f>
        <v/>
      </c>
      <c r="O549" s="3" t="inlineStr">
        <is>
          <t>용암해온</t>
        </is>
      </c>
      <c r="P549" s="4" t="n">
        <v>1</v>
      </c>
      <c r="Q549" s="4" t="n">
        <v>591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남이면 석실리 222-2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102000</v>
      </c>
      <c r="G550" s="4" t="n">
        <v>2050</v>
      </c>
      <c r="H550" s="4" t="n">
        <v>620</v>
      </c>
      <c r="I550" s="5" t="n">
        <v>164.5</v>
      </c>
      <c r="J550" s="5" t="n">
        <v>43.6</v>
      </c>
      <c r="K550" s="3" t="inlineStr">
        <is>
          <t>nan</t>
        </is>
      </c>
      <c r="L550" s="6">
        <f>HYPERLINK("https://fin.land.naver.com/articles/2654684126", "매물Link")</f>
        <v/>
      </c>
      <c r="M550" s="6">
        <f>HYPERLINK("https://map.naver.com/p/search/남이면 석실리 222-2", "지도Link")</f>
        <v/>
      </c>
      <c r="N550" s="6">
        <f>HYPERLINK("http://www.eum.go.kr/web/ar/lu/luLandDet.jsp?pnu=4311231033102220002&amp;isNoScr=script&amp;mode=search", "토지이음")</f>
        <v/>
      </c>
      <c r="O550" s="3" t="inlineStr">
        <is>
          <t>대지</t>
        </is>
      </c>
      <c r="P550" s="4" t="n">
        <v>1</v>
      </c>
      <c r="Q550" s="4" t="n">
        <v>2050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남이면 석실리 222-6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월세</t>
        </is>
      </c>
      <c r="F551" s="4" t="n">
        <v>1000</v>
      </c>
      <c r="G551" s="4" t="n">
        <v>976</v>
      </c>
      <c r="H551" s="4" t="n">
        <v>295</v>
      </c>
      <c r="I551" s="5" t="n">
        <v>0.3</v>
      </c>
      <c r="J551" s="5" t="n">
        <v>94</v>
      </c>
      <c r="K551" s="3" t="inlineStr">
        <is>
          <t>2차로 접한 야적장 주차장, 대형차 진입</t>
        </is>
      </c>
      <c r="L551" s="6">
        <f>HYPERLINK("https://fin.land.naver.com/articles/2650307502", "매물Link")</f>
        <v/>
      </c>
      <c r="M551" s="6">
        <f>HYPERLINK("https://map.naver.com/p/search/남이면 석실리 222-6", "지도Link")</f>
        <v/>
      </c>
      <c r="N551" s="6">
        <f>HYPERLINK("http://www.eum.go.kr/web/ar/lu/luLandDet.jsp?pnu=4311231033102220006&amp;isNoScr=script&amp;mode=search", "토지이음")</f>
        <v/>
      </c>
      <c r="O551" s="3" t="inlineStr">
        <is>
          <t>노블</t>
        </is>
      </c>
      <c r="P551" s="4" t="n">
        <v>1</v>
      </c>
      <c r="Q551" s="4" t="n">
        <v>976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소로한면</t>
        </is>
      </c>
    </row>
    <row r="552">
      <c r="A552" s="3" t="inlineStr">
        <is>
          <t>남이면 석실리 261</t>
        </is>
      </c>
      <c r="B552" s="3" t="inlineStr">
        <is>
          <t>자연녹지지역</t>
        </is>
      </c>
      <c r="C552" s="3" t="inlineStr">
        <is>
          <t>전</t>
        </is>
      </c>
      <c r="D552" s="3" t="inlineStr">
        <is>
          <t>대</t>
        </is>
      </c>
      <c r="E552" s="3" t="inlineStr">
        <is>
          <t>매매</t>
        </is>
      </c>
      <c r="F552" s="4" t="n">
        <v>15000</v>
      </c>
      <c r="G552" s="4" t="n">
        <v>450</v>
      </c>
      <c r="H552" s="4" t="n">
        <v>136</v>
      </c>
      <c r="I552" s="5" t="n">
        <v>110.3</v>
      </c>
      <c r="J552" s="5" t="n">
        <v>37.9</v>
      </c>
      <c r="K552" s="3" t="inlineStr">
        <is>
          <t>비닐하우스에 전기 .화장실있음.농막사용가능</t>
        </is>
      </c>
      <c r="L552" s="6">
        <f>HYPERLINK("https://fin.land.naver.com/articles/2651478225", "매물Link")</f>
        <v/>
      </c>
      <c r="M552" s="6">
        <f>HYPERLINK("https://map.naver.com/p/search/남이면 석실리 261", "지도Link")</f>
        <v/>
      </c>
      <c r="N552" s="6">
        <f>HYPERLINK("http://www.eum.go.kr/web/ar/lu/luLandDet.jsp?pnu=4311231033102610000&amp;isNoScr=script&amp;mode=search", "토지이음")</f>
        <v/>
      </c>
      <c r="O552" s="3" t="inlineStr">
        <is>
          <t>주공3단지</t>
        </is>
      </c>
      <c r="P552" s="4" t="n">
        <v>1</v>
      </c>
      <c r="Q552" s="4" t="n">
        <v>450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남이면 석실리 339-2</t>
        </is>
      </c>
      <c r="B553" s="3" t="inlineStr">
        <is>
          <t>자연녹지지역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월세</t>
        </is>
      </c>
      <c r="F553" s="4" t="n">
        <v>1000</v>
      </c>
      <c r="G553" s="4" t="n">
        <v>873</v>
      </c>
      <c r="H553" s="4" t="n">
        <v>264</v>
      </c>
      <c r="I553" s="5" t="n">
        <v>0.5</v>
      </c>
      <c r="J553" s="5" t="n">
        <v>101.7</v>
      </c>
      <c r="K553" s="3" t="inlineStr">
        <is>
          <t>무인운영 천연잔디 애견카페 인테리어 최상 매매도 가능</t>
        </is>
      </c>
      <c r="L553" s="6">
        <f>HYPERLINK("https://fin.land.naver.com/articles/2652477469", "매물Link")</f>
        <v/>
      </c>
      <c r="M553" s="6">
        <f>HYPERLINK("https://map.naver.com/p/search/남이면 석실리 339-2", "지도Link")</f>
        <v/>
      </c>
      <c r="N553" s="6">
        <f>HYPERLINK("http://www.eum.go.kr/web/ar/lu/luLandDet.jsp?pnu=4311231033103390002&amp;isNoScr=script&amp;mode=search", "토지이음")</f>
        <v/>
      </c>
      <c r="O553" s="3" t="inlineStr">
        <is>
          <t>라라랜드  사무소</t>
        </is>
      </c>
      <c r="P553" s="4" t="n">
        <v>1</v>
      </c>
      <c r="Q553" s="4" t="n">
        <v>873</v>
      </c>
      <c r="R553" s="3" t="inlineStr">
        <is>
          <t>지정되지않음</t>
        </is>
      </c>
      <c r="S553" s="3" t="inlineStr">
        <is>
          <t>공업용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남이면 석실리 352-3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160000</v>
      </c>
      <c r="G554" s="4" t="n">
        <v>3300</v>
      </c>
      <c r="H554" s="4" t="n">
        <v>998</v>
      </c>
      <c r="I554" s="5" t="n">
        <v>160.3</v>
      </c>
      <c r="J554" s="5" t="n">
        <v>45.2</v>
      </c>
      <c r="K554" s="3" t="inlineStr">
        <is>
          <t>2차선도로접, 사무실,공장,창고 등 다용도활용가능</t>
        </is>
      </c>
      <c r="L554" s="6">
        <f>HYPERLINK("https://fin.land.naver.com/articles/2654898449", "매물Link")</f>
        <v/>
      </c>
      <c r="M554" s="6">
        <f>HYPERLINK("https://map.naver.com/p/search/남이면 석실리 352-3", "지도Link")</f>
        <v/>
      </c>
      <c r="N554" s="6">
        <f>HYPERLINK("http://www.eum.go.kr/web/ar/lu/luLandDet.jsp?pnu=4311231033103520003&amp;isNoScr=script&amp;mode=search", "토지이음")</f>
        <v/>
      </c>
      <c r="O554" s="3" t="inlineStr">
        <is>
          <t>플러스자이합동</t>
        </is>
      </c>
      <c r="P554" s="4" t="n">
        <v>2</v>
      </c>
      <c r="Q554" s="4" t="n">
        <v>3300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남이면 석실리 367-3</t>
        </is>
      </c>
      <c r="B555" s="3" t="inlineStr">
        <is>
          <t>자연녹지지역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17900</v>
      </c>
      <c r="G555" s="4" t="n">
        <v>1478</v>
      </c>
      <c r="H555" s="4" t="n">
        <v>447</v>
      </c>
      <c r="I555" s="5" t="n">
        <v>40</v>
      </c>
      <c r="J555" s="5" t="n">
        <v>16.6</v>
      </c>
      <c r="K555" s="3" t="inlineStr">
        <is>
          <t>대토용 토지, 주말농장으로 추천. 전기,농막있음</t>
        </is>
      </c>
      <c r="L555" s="6">
        <f>HYPERLINK("https://fin.land.naver.com/articles/2649835083", "매물Link")</f>
        <v/>
      </c>
      <c r="M555" s="6">
        <f>HYPERLINK("https://map.naver.com/p/search/남이면 석실리 367-3", "지도Link")</f>
        <v/>
      </c>
      <c r="N555" s="6">
        <f>HYPERLINK("http://www.eum.go.kr/web/ar/lu/luLandDet.jsp?pnu=4311231033103670003&amp;isNoScr=script&amp;mode=search", "토지이음")</f>
        <v/>
      </c>
      <c r="O555" s="3" t="inlineStr">
        <is>
          <t>소소사무소</t>
        </is>
      </c>
      <c r="P555" s="4" t="n">
        <v>1</v>
      </c>
      <c r="Q555" s="4" t="n">
        <v>1478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석실리 376</t>
        </is>
      </c>
      <c r="B556" s="3" t="inlineStr">
        <is>
          <t>자연녹지지역</t>
        </is>
      </c>
      <c r="C556" s="3" t="inlineStr">
        <is>
          <t>창고용지</t>
        </is>
      </c>
      <c r="D556" s="3" t="inlineStr">
        <is>
          <t>창고용지</t>
        </is>
      </c>
      <c r="E556" s="3" t="inlineStr">
        <is>
          <t>매매</t>
        </is>
      </c>
      <c r="F556" s="4" t="n">
        <v>230000</v>
      </c>
      <c r="G556" s="4" t="n">
        <v>5728</v>
      </c>
      <c r="H556" s="4" t="n">
        <v>1733</v>
      </c>
      <c r="I556" s="5" t="n">
        <v>132.7</v>
      </c>
      <c r="J556" s="5" t="n">
        <v>51.2</v>
      </c>
      <c r="K556" s="3" t="inlineStr">
        <is>
          <t>남이면 석실리 2차선 도로접한 광고효과 좋은 토지매매</t>
        </is>
      </c>
      <c r="L556" s="6">
        <f>HYPERLINK("https://fin.land.naver.com/articles/2651764275", "매물Link")</f>
        <v/>
      </c>
      <c r="M556" s="6">
        <f>HYPERLINK("https://map.naver.com/p/search/남이면 석실리 376", "지도Link")</f>
        <v/>
      </c>
      <c r="N556" s="6">
        <f>HYPERLINK("http://www.eum.go.kr/web/ar/lu/luLandDet.jsp?pnu=4311231033103760000&amp;isNoScr=script&amp;mode=search", "토지이음")</f>
        <v/>
      </c>
      <c r="O556" s="3" t="inlineStr">
        <is>
          <t>대지</t>
        </is>
      </c>
      <c r="P556" s="4" t="n">
        <v>1</v>
      </c>
      <c r="Q556" s="4" t="n">
        <v>705</v>
      </c>
      <c r="R556" s="3" t="inlineStr">
        <is>
          <t>지정되지않음</t>
        </is>
      </c>
      <c r="S556" s="3" t="inlineStr">
        <is>
          <t>전창고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남이면 석실리 산 2-1</t>
        </is>
      </c>
      <c r="B557" s="3" t="inlineStr">
        <is>
          <t>보전녹지지역</t>
        </is>
      </c>
      <c r="C557" s="3" t="inlineStr">
        <is>
          <t>임야</t>
        </is>
      </c>
      <c r="D557" s="3" t="inlineStr">
        <is>
          <t>전</t>
        </is>
      </c>
      <c r="E557" s="3" t="inlineStr">
        <is>
          <t>매매</t>
        </is>
      </c>
      <c r="F557" s="4" t="n">
        <v>150000</v>
      </c>
      <c r="G557" s="4" t="n">
        <v>4972</v>
      </c>
      <c r="H557" s="4" t="n">
        <v>1504</v>
      </c>
      <c r="I557" s="5" t="n">
        <v>99.7</v>
      </c>
      <c r="J557" s="5" t="n">
        <v>7.6</v>
      </c>
      <c r="K557" s="3" t="inlineStr">
        <is>
          <t>6m도로접,제2종근생제조업 허가득,공장,창고,등 다용도활용가능</t>
        </is>
      </c>
      <c r="L557" s="6">
        <f>HYPERLINK("https://fin.land.naver.com/articles/2651059878", "매물Link")</f>
        <v/>
      </c>
      <c r="M557" s="6">
        <f>HYPERLINK("https://map.naver.com/p/search/남이면 석실리 산 2-1", "지도Link")</f>
        <v/>
      </c>
      <c r="N557" s="6">
        <f>HYPERLINK("http://www.eum.go.kr/web/ar/lu/luLandDet.jsp?pnu=4311231033200020001&amp;isNoScr=script&amp;mode=search", "토지이음")</f>
        <v/>
      </c>
      <c r="O557" s="3" t="inlineStr">
        <is>
          <t>플러스자이합동</t>
        </is>
      </c>
      <c r="P557" s="4" t="n">
        <v>1</v>
      </c>
      <c r="Q557" s="4" t="n">
        <v>20887</v>
      </c>
      <c r="R557" s="3" t="inlineStr">
        <is>
          <t>자연녹지지역</t>
        </is>
      </c>
      <c r="S557" s="3" t="inlineStr">
        <is>
          <t>자연림</t>
        </is>
      </c>
      <c r="T557" s="3" t="inlineStr">
        <is>
          <t>급경사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남이면 석실리 산 78-8</t>
        </is>
      </c>
      <c r="B558" s="3" t="inlineStr">
        <is>
          <t>보전녹지지역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305000</v>
      </c>
      <c r="G558" s="4" t="n">
        <v>6740</v>
      </c>
      <c r="H558" s="4" t="n">
        <v>2039</v>
      </c>
      <c r="I558" s="5" t="n">
        <v>149.6</v>
      </c>
      <c r="J558" s="5" t="n">
        <v>2.4</v>
      </c>
      <c r="K558" s="3" t="inlineStr">
        <is>
          <t>nan</t>
        </is>
      </c>
      <c r="L558" s="6">
        <f>HYPERLINK("https://fin.land.naver.com/articles/2652140110", "매물Link")</f>
        <v/>
      </c>
      <c r="M558" s="6">
        <f>HYPERLINK("https://map.naver.com/p/search/남이면 석실리 산 78-8", "지도Link")</f>
        <v/>
      </c>
      <c r="N558" s="6">
        <f>HYPERLINK("http://www.eum.go.kr/web/ar/lu/luLandDet.jsp?pnu=4311231033200780008&amp;isNoScr=script&amp;mode=search", "토지이음")</f>
        <v/>
      </c>
      <c r="O558" s="3" t="inlineStr">
        <is>
          <t>정</t>
        </is>
      </c>
      <c r="P558" s="4" t="n">
        <v>1</v>
      </c>
      <c r="Q558" s="4" t="n">
        <v>3770</v>
      </c>
      <c r="R558" s="3" t="inlineStr">
        <is>
          <t>지정되지않음</t>
        </is>
      </c>
      <c r="S558" s="3" t="inlineStr">
        <is>
          <t>자연림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남이면 석실리 산78-7</t>
        </is>
      </c>
      <c r="B559" s="3" t="inlineStr">
        <is>
          <t>보전녹지지역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200000</v>
      </c>
      <c r="G559" s="4" t="n">
        <v>4238</v>
      </c>
      <c r="H559" s="4" t="n">
        <v>1282</v>
      </c>
      <c r="I559" s="5" t="n">
        <v>156</v>
      </c>
      <c r="J559" s="5" t="n">
        <v>2.5</v>
      </c>
      <c r="K559" s="3" t="inlineStr">
        <is>
          <t>청주시 서원구 남이면 석실리 2차선도로변토지매매</t>
        </is>
      </c>
      <c r="L559" s="6">
        <f>HYPERLINK("https://fin.land.naver.com/articles/2650376518", "매물Link")</f>
        <v/>
      </c>
      <c r="M559" s="6">
        <f>HYPERLINK("https://map.naver.com/p/search/남이면 석실리 산78-7", "지도Link")</f>
        <v/>
      </c>
      <c r="N559" s="6">
        <f>HYPERLINK("http://www.eum.go.kr/web/ar/lu/luLandDet.jsp?pnu=4311231033200780007&amp;isNoScr=script&amp;mode=search", "토지이음")</f>
        <v/>
      </c>
      <c r="O559" s="3" t="inlineStr">
        <is>
          <t>충대</t>
        </is>
      </c>
      <c r="P559" s="4" t="n">
        <v>1</v>
      </c>
      <c r="Q559" s="4" t="n">
        <v>2185</v>
      </c>
      <c r="R559" s="3" t="inlineStr">
        <is>
          <t>지정되지않음</t>
        </is>
      </c>
      <c r="S559" s="3" t="inlineStr">
        <is>
          <t>자연림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남이면 석판리 129-1</t>
        </is>
      </c>
      <c r="B560" s="3" t="inlineStr">
        <is>
          <t>자연녹지지역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88000</v>
      </c>
      <c r="G560" s="4" t="n">
        <v>1007</v>
      </c>
      <c r="H560" s="4" t="n">
        <v>305</v>
      </c>
      <c r="I560" s="5" t="n">
        <v>288.5</v>
      </c>
      <c r="J560" s="5" t="n">
        <v>47.5</v>
      </c>
      <c r="K560" s="3" t="inlineStr">
        <is>
          <t>사진有 석판리 2차선 도로옆 토지매매 공장창고 상가건물 추천</t>
        </is>
      </c>
      <c r="L560" s="6">
        <f>HYPERLINK("https://fin.land.naver.com/articles/2653063879", "매물Link")</f>
        <v/>
      </c>
      <c r="M560" s="6">
        <f>HYPERLINK("https://map.naver.com/p/search/남이면 석판리 129-1", "지도Link")</f>
        <v/>
      </c>
      <c r="N560" s="6">
        <f>HYPERLINK("http://www.eum.go.kr/web/ar/lu/luLandDet.jsp?pnu=4311231034101290001&amp;isNoScr=script&amp;mode=search", "토지이음")</f>
        <v/>
      </c>
      <c r="O560" s="3" t="inlineStr">
        <is>
          <t>행복도시</t>
        </is>
      </c>
      <c r="P560" s="4" t="n">
        <v>1</v>
      </c>
      <c r="Q560" s="4" t="n">
        <v>562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131-1</t>
        </is>
      </c>
      <c r="B561" s="3" t="inlineStr">
        <is>
          <t>자연녹지지역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403000</v>
      </c>
      <c r="G561" s="4" t="n">
        <v>5795</v>
      </c>
      <c r="H561" s="4" t="n">
        <v>1753</v>
      </c>
      <c r="I561" s="5" t="n">
        <v>229.9</v>
      </c>
      <c r="J561" s="5" t="n">
        <v>47.5</v>
      </c>
      <c r="K561" s="3" t="inlineStr">
        <is>
          <t>2차선도로접 성토완료 4필지매매 시세이하 투자및 공장추천</t>
        </is>
      </c>
      <c r="L561" s="6">
        <f>HYPERLINK("https://fin.land.naver.com/articles/2654056470", "매물Link")</f>
        <v/>
      </c>
      <c r="M561" s="6">
        <f>HYPERLINK("https://map.naver.com/p/search/남이면 석판리 131-1", "지도Link")</f>
        <v/>
      </c>
      <c r="N561" s="6">
        <f>HYPERLINK("http://www.eum.go.kr/web/ar/lu/luLandDet.jsp?pnu=4311231034101310001&amp;isNoScr=script&amp;mode=search", "토지이음")</f>
        <v/>
      </c>
      <c r="O561" s="3" t="inlineStr">
        <is>
          <t>플러스태양</t>
        </is>
      </c>
      <c r="P561" s="4" t="n">
        <v>1</v>
      </c>
      <c r="Q561" s="4" t="n">
        <v>1854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석판리 139-5</t>
        </is>
      </c>
      <c r="B562" s="3" t="inlineStr">
        <is>
          <t>자연녹지지역</t>
        </is>
      </c>
      <c r="C562" s="3" t="inlineStr">
        <is>
          <t>대</t>
        </is>
      </c>
      <c r="D562" s="3" t="inlineStr">
        <is>
          <t>답</t>
        </is>
      </c>
      <c r="E562" s="3" t="inlineStr">
        <is>
          <t>매매</t>
        </is>
      </c>
      <c r="F562" s="4" t="n">
        <v>438000</v>
      </c>
      <c r="G562" s="4" t="n">
        <v>5791</v>
      </c>
      <c r="H562" s="4" t="n">
        <v>1752</v>
      </c>
      <c r="I562" s="5" t="n">
        <v>250</v>
      </c>
      <c r="J562" s="5" t="n">
        <v>116.5</v>
      </c>
      <c r="K562" s="3" t="inlineStr">
        <is>
          <t>돈되는 투자처 모든 개발호재 독식 석판리 제2종근생 제조 개발허가득</t>
        </is>
      </c>
      <c r="L562" s="6">
        <f>HYPERLINK("https://fin.land.naver.com/articles/2652823732", "매물Link")</f>
        <v/>
      </c>
      <c r="M562" s="6">
        <f>HYPERLINK("https://map.naver.com/p/search/남이면 석판리 139-5", "지도Link")</f>
        <v/>
      </c>
      <c r="N562" s="6">
        <f>HYPERLINK("http://www.eum.go.kr/web/ar/lu/luLandDet.jsp?pnu=4311231034101390005&amp;isNoScr=script&amp;mode=search", "토지이음")</f>
        <v/>
      </c>
      <c r="O562" s="3" t="inlineStr">
        <is>
          <t>그랜드사무소</t>
        </is>
      </c>
      <c r="P562" s="4" t="n">
        <v>1</v>
      </c>
      <c r="Q562" s="4" t="n">
        <v>3120</v>
      </c>
      <c r="R562" s="3" t="inlineStr">
        <is>
          <t>지정되지않음</t>
        </is>
      </c>
      <c r="S562" s="3" t="inlineStr">
        <is>
          <t>주상기타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남이면 석판리 222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17000</v>
      </c>
      <c r="G563" s="4" t="n">
        <v>420</v>
      </c>
      <c r="H563" s="4" t="n">
        <v>127</v>
      </c>
      <c r="I563" s="5" t="n">
        <v>133.9</v>
      </c>
      <c r="J563" s="5" t="n">
        <v>38.7</v>
      </c>
      <c r="K563" s="3" t="inlineStr">
        <is>
          <t>밭, 포장도로 접, 가격 절충, 주말농장 하다가 전원주택 지을 분 환영</t>
        </is>
      </c>
      <c r="L563" s="6">
        <f>HYPERLINK("https://fin.land.naver.com/articles/2649852025", "매물Link")</f>
        <v/>
      </c>
      <c r="M563" s="6">
        <f>HYPERLINK("https://map.naver.com/p/search/남이면 석판리 222", "지도Link")</f>
        <v/>
      </c>
      <c r="N563" s="6">
        <f>HYPERLINK("http://www.eum.go.kr/web/ar/lu/luLandDet.jsp?pnu=4311231034102220000&amp;isNoScr=script&amp;mode=search", "토지이음")</f>
        <v/>
      </c>
      <c r="O563" s="3" t="inlineStr">
        <is>
          <t>큰터</t>
        </is>
      </c>
      <c r="P563" s="4" t="n">
        <v>1</v>
      </c>
      <c r="Q563" s="4" t="n">
        <v>420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남이면 석판리 248-1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49600</v>
      </c>
      <c r="G564" s="4" t="n">
        <v>1364</v>
      </c>
      <c r="H564" s="4" t="n">
        <v>413</v>
      </c>
      <c r="I564" s="5" t="n">
        <v>120.1</v>
      </c>
      <c r="J564" s="5" t="n">
        <v>23.1</v>
      </c>
      <c r="K564" s="3" t="inlineStr">
        <is>
          <t>nan</t>
        </is>
      </c>
      <c r="L564" s="6">
        <f>HYPERLINK("https://fin.land.naver.com/articles/2651049567", "매물Link")</f>
        <v/>
      </c>
      <c r="M564" s="6">
        <f>HYPERLINK("https://map.naver.com/p/search/남이면 석판리 248-1", "지도Link")</f>
        <v/>
      </c>
      <c r="N564" s="6">
        <f>HYPERLINK("http://www.eum.go.kr/web/ar/lu/luLandDet.jsp?pnu=4311231034102480001&amp;isNoScr=script&amp;mode=search", "토지이음")</f>
        <v/>
      </c>
      <c r="O564" s="3" t="inlineStr">
        <is>
          <t>오송파라곤하늘</t>
        </is>
      </c>
      <c r="P564" s="4" t="n">
        <v>1</v>
      </c>
      <c r="Q564" s="4" t="n">
        <v>1364.4</v>
      </c>
      <c r="R564" s="3" t="inlineStr">
        <is>
          <t>보전녹지지역</t>
        </is>
      </c>
      <c r="S564" s="3" t="inlineStr">
        <is>
          <t>전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맹지</t>
        </is>
      </c>
    </row>
    <row r="565">
      <c r="A565" s="3" t="inlineStr">
        <is>
          <t>남이면 석판리 26-1</t>
        </is>
      </c>
      <c r="B565" s="3" t="inlineStr">
        <is>
          <t>자연녹지지역</t>
        </is>
      </c>
      <c r="C565" s="3" t="inlineStr">
        <is>
          <t>잡종지</t>
        </is>
      </c>
      <c r="D565" s="3" t="inlineStr">
        <is>
          <t>잡종지</t>
        </is>
      </c>
      <c r="E565" s="3" t="inlineStr">
        <is>
          <t>매매</t>
        </is>
      </c>
      <c r="F565" s="4" t="n">
        <v>169400</v>
      </c>
      <c r="G565" s="4" t="n">
        <v>1600</v>
      </c>
      <c r="H565" s="4" t="n">
        <v>484</v>
      </c>
      <c r="I565" s="5" t="n">
        <v>350</v>
      </c>
      <c r="J565" s="5" t="n">
        <v>140.4</v>
      </c>
      <c r="K565" s="3" t="inlineStr">
        <is>
          <t>석판리 대로변 토지 매매 .광고효과 최고</t>
        </is>
      </c>
      <c r="L565" s="6">
        <f>HYPERLINK("https://fin.land.naver.com/articles/2653458319", "매물Link")</f>
        <v/>
      </c>
      <c r="M565" s="6">
        <f>HYPERLINK("https://map.naver.com/p/search/남이면 석판리 26-1", "지도Link")</f>
        <v/>
      </c>
      <c r="N565" s="6">
        <f>HYPERLINK("http://www.eum.go.kr/web/ar/lu/luLandDet.jsp?pnu=4311231034100260001&amp;isNoScr=script&amp;mode=search", "토지이음")</f>
        <v/>
      </c>
      <c r="O565" s="3" t="inlineStr">
        <is>
          <t>방서에이스</t>
        </is>
      </c>
      <c r="P565" s="4" t="n">
        <v>1</v>
      </c>
      <c r="Q565" s="4" t="n">
        <v>660</v>
      </c>
      <c r="R565" s="3" t="inlineStr">
        <is>
          <t>지정되지않음</t>
        </is>
      </c>
      <c r="S565" s="3" t="inlineStr">
        <is>
          <t>상업용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소로한면</t>
        </is>
      </c>
    </row>
    <row r="566">
      <c r="A566" s="3" t="inlineStr">
        <is>
          <t>남이면 석판리 26-11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170000</v>
      </c>
      <c r="G566" s="4" t="n">
        <v>1600</v>
      </c>
      <c r="H566" s="4" t="n">
        <v>484</v>
      </c>
      <c r="I566" s="5" t="n">
        <v>351.2</v>
      </c>
      <c r="J566" s="5" t="n">
        <v>43.9</v>
      </c>
      <c r="K566" s="3" t="inlineStr">
        <is>
          <t>남이면 석판리 왕복2차선 도로 접한 토지 매매</t>
        </is>
      </c>
      <c r="L566" s="6">
        <f>HYPERLINK("https://fin.land.naver.com/articles/2654683399", "매물Link")</f>
        <v/>
      </c>
      <c r="M566" s="6">
        <f>HYPERLINK("https://map.naver.com/p/search/남이면 석판리 26-11", "지도Link")</f>
        <v/>
      </c>
      <c r="N566" s="6">
        <f>HYPERLINK("http://www.eum.go.kr/web/ar/lu/luLandDet.jsp?pnu=4311231034100260011&amp;isNoScr=script&amp;mode=search", "토지이음")</f>
        <v/>
      </c>
      <c r="O566" s="3" t="inlineStr">
        <is>
          <t>대지</t>
        </is>
      </c>
      <c r="P566" s="4" t="n">
        <v>1</v>
      </c>
      <c r="Q566" s="4" t="n">
        <v>941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남이면 석판리 265-1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118800</v>
      </c>
      <c r="G567" s="4" t="n">
        <v>2453</v>
      </c>
      <c r="H567" s="4" t="n">
        <v>742</v>
      </c>
      <c r="I567" s="5" t="n">
        <v>160.1</v>
      </c>
      <c r="J567" s="5" t="n">
        <v>50.2</v>
      </c>
      <c r="K567" s="3" t="inlineStr">
        <is>
          <t>사진有 석판리 토지 매매. 주말농장, 전원주택부지 추천</t>
        </is>
      </c>
      <c r="L567" s="6">
        <f>HYPERLINK("https://fin.land.naver.com/articles/2654908264", "매물Link")</f>
        <v/>
      </c>
      <c r="M567" s="6">
        <f>HYPERLINK("https://map.naver.com/p/search/남이면 석판리 265-1", "지도Link")</f>
        <v/>
      </c>
      <c r="N567" s="6">
        <f>HYPERLINK("http://www.eum.go.kr/web/ar/lu/luLandDet.jsp?pnu=4311231034102650001&amp;isNoScr=script&amp;mode=search", "토지이음")</f>
        <v/>
      </c>
      <c r="O567" s="3" t="inlineStr">
        <is>
          <t>행복도시</t>
        </is>
      </c>
      <c r="P567" s="4" t="n">
        <v>1</v>
      </c>
      <c r="Q567" s="4" t="n">
        <v>2453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남이면 석판리 3-1</t>
        </is>
      </c>
      <c r="B568" s="3" t="inlineStr">
        <is>
          <t>자연녹지지역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220000</v>
      </c>
      <c r="G568" s="4" t="n">
        <v>1462</v>
      </c>
      <c r="H568" s="4" t="n">
        <v>442</v>
      </c>
      <c r="I568" s="5" t="n">
        <v>497.7</v>
      </c>
      <c r="J568" s="5" t="n">
        <v>210</v>
      </c>
      <c r="K568" s="3" t="inlineStr">
        <is>
          <t>2종 근생건물 토지 제조업 허가 매매 향후 투자가치 좋음</t>
        </is>
      </c>
      <c r="L568" s="6">
        <f>HYPERLINK("https://fin.land.naver.com/articles/2652729659", "매물Link")</f>
        <v/>
      </c>
      <c r="M568" s="6">
        <f>HYPERLINK("https://map.naver.com/p/search/남이면 석판리 3-1", "지도Link")</f>
        <v/>
      </c>
      <c r="N568" s="6">
        <f>HYPERLINK("http://www.eum.go.kr/web/ar/lu/luLandDet.jsp?pnu=4311231034100030001&amp;isNoScr=script&amp;mode=search", "토지이음")</f>
        <v/>
      </c>
      <c r="O568" s="3" t="inlineStr">
        <is>
          <t>반석</t>
        </is>
      </c>
      <c r="P568" s="4" t="n">
        <v>1</v>
      </c>
      <c r="Q568" s="4" t="n">
        <v>1462</v>
      </c>
      <c r="R568" s="3" t="inlineStr">
        <is>
          <t>지정되지않음</t>
        </is>
      </c>
      <c r="S568" s="3" t="inlineStr">
        <is>
          <t>상업기타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중로한면</t>
        </is>
      </c>
    </row>
    <row r="569">
      <c r="A569" s="3" t="inlineStr">
        <is>
          <t>남이면 석판리 313-2</t>
        </is>
      </c>
      <c r="B569" s="3" t="inlineStr">
        <is>
          <t>자연녹지지역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70000</v>
      </c>
      <c r="G569" s="4" t="n">
        <v>2014</v>
      </c>
      <c r="H569" s="4" t="n">
        <v>609</v>
      </c>
      <c r="I569" s="5" t="n">
        <v>114.9</v>
      </c>
      <c r="J569" s="5" t="n">
        <v>49.9</v>
      </c>
      <c r="K569" s="3" t="inlineStr">
        <is>
          <t>nan</t>
        </is>
      </c>
      <c r="L569" s="6">
        <f>HYPERLINK("https://fin.land.naver.com/articles/2649701405", "매물Link")</f>
        <v/>
      </c>
      <c r="M569" s="6">
        <f>HYPERLINK("https://map.naver.com/p/search/남이면 석판리 313-2", "지도Link")</f>
        <v/>
      </c>
      <c r="N569" s="6">
        <f>HYPERLINK("http://www.eum.go.kr/web/ar/lu/luLandDet.jsp?pnu=4311231034103130002&amp;isNoScr=script&amp;mode=search", "토지이음")</f>
        <v/>
      </c>
      <c r="O569" s="3" t="inlineStr">
        <is>
          <t>일품</t>
        </is>
      </c>
      <c r="P569" s="4" t="n">
        <v>1</v>
      </c>
      <c r="Q569" s="4" t="n">
        <v>2014.9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남이면 석판리 354-1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77000</v>
      </c>
      <c r="G570" s="4" t="n">
        <v>3266</v>
      </c>
      <c r="H570" s="4" t="n">
        <v>988</v>
      </c>
      <c r="I570" s="5" t="n">
        <v>77.90000000000001</v>
      </c>
      <c r="J570" s="5" t="n">
        <v>34.9</v>
      </c>
      <c r="K570" s="3" t="inlineStr">
        <is>
          <t>nan</t>
        </is>
      </c>
      <c r="L570" s="6">
        <f>HYPERLINK("https://fin.land.naver.com/articles/2649525018", "매물Link")</f>
        <v/>
      </c>
      <c r="M570" s="6">
        <f>HYPERLINK("https://map.naver.com/p/search/남이면 석판리 354-1", "지도Link")</f>
        <v/>
      </c>
      <c r="N570" s="6">
        <f>HYPERLINK("http://www.eum.go.kr/web/ar/lu/luLandDet.jsp?pnu=4311231034103540001&amp;isNoScr=script&amp;mode=search", "토지이음")</f>
        <v/>
      </c>
      <c r="O570" s="3" t="inlineStr">
        <is>
          <t>일등</t>
        </is>
      </c>
      <c r="P570" s="4" t="n">
        <v>1</v>
      </c>
      <c r="Q570" s="4" t="n">
        <v>3266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세로한면(불)</t>
        </is>
      </c>
    </row>
    <row r="571">
      <c r="A571" s="3" t="inlineStr">
        <is>
          <t>남이면 석판리 61</t>
        </is>
      </c>
      <c r="B571" s="3" t="inlineStr">
        <is>
          <t>자연녹지지역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45000</v>
      </c>
      <c r="G571" s="4" t="n">
        <v>946</v>
      </c>
      <c r="H571" s="4" t="n">
        <v>286</v>
      </c>
      <c r="I571" s="5" t="n">
        <v>157.3</v>
      </c>
      <c r="J571" s="5" t="n">
        <v>56.9</v>
      </c>
      <c r="K571" s="3" t="inlineStr">
        <is>
          <t>석판리 전원주택지 매매. 도로접.코너위치. 접근성 좋아요.</t>
        </is>
      </c>
      <c r="L571" s="6">
        <f>HYPERLINK("https://fin.land.naver.com/articles/2653458772", "매물Link")</f>
        <v/>
      </c>
      <c r="M571" s="6">
        <f>HYPERLINK("https://map.naver.com/p/search/남이면 석판리 61", "지도Link")</f>
        <v/>
      </c>
      <c r="N571" s="6">
        <f>HYPERLINK("http://www.eum.go.kr/web/ar/lu/luLandDet.jsp?pnu=4311231034100610000&amp;isNoScr=script&amp;mode=search", "토지이음")</f>
        <v/>
      </c>
      <c r="O571" s="3" t="inlineStr">
        <is>
          <t>방서에이스</t>
        </is>
      </c>
      <c r="P571" s="4" t="n">
        <v>3</v>
      </c>
      <c r="Q571" s="4" t="n">
        <v>946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석판리 산22-6</t>
        </is>
      </c>
      <c r="B572" s="3" t="inlineStr">
        <is>
          <t>자연녹지지역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25400</v>
      </c>
      <c r="G572" s="4" t="n">
        <v>560</v>
      </c>
      <c r="H572" s="4" t="n">
        <v>169</v>
      </c>
      <c r="I572" s="5" t="n">
        <v>150.3</v>
      </c>
      <c r="J572" s="5" t="n">
        <v>22.9</v>
      </c>
      <c r="K572" s="3" t="inlineStr">
        <is>
          <t>허가득한 토지로 바로 건축가능합니다.</t>
        </is>
      </c>
      <c r="L572" s="6">
        <f>HYPERLINK("https://fin.land.naver.com/articles/2651705689", "매물Link")</f>
        <v/>
      </c>
      <c r="M572" s="6">
        <f>HYPERLINK("https://map.naver.com/p/search/남이면 석판리 산22-6", "지도Link")</f>
        <v/>
      </c>
      <c r="N572" s="6">
        <f>HYPERLINK("http://www.eum.go.kr/web/ar/lu/luLandDet.jsp?pnu=4311231034200220006&amp;isNoScr=script&amp;mode=search", "토지이음")</f>
        <v/>
      </c>
      <c r="O572" s="3" t="inlineStr">
        <is>
          <t>터사랑</t>
        </is>
      </c>
      <c r="P572" s="4" t="n">
        <v>1</v>
      </c>
      <c r="Q572" s="4" t="n">
        <v>498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남이면 석판리 산22-9</t>
        </is>
      </c>
      <c r="B573" s="3" t="inlineStr">
        <is>
          <t>자연녹지지역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25900</v>
      </c>
      <c r="G573" s="4" t="n">
        <v>560</v>
      </c>
      <c r="H573" s="4" t="n">
        <v>169</v>
      </c>
      <c r="I573" s="5" t="n">
        <v>153.3</v>
      </c>
      <c r="J573" s="5" t="n">
        <v>22.9</v>
      </c>
      <c r="K573" s="3" t="inlineStr">
        <is>
          <t>석판리 전원주택지, 토목공사 완료, 바로건축가능</t>
        </is>
      </c>
      <c r="L573" s="6">
        <f>HYPERLINK("https://fin.land.naver.com/articles/2649893068", "매물Link")</f>
        <v/>
      </c>
      <c r="M573" s="6">
        <f>HYPERLINK("https://map.naver.com/p/search/남이면 석판리 산22-9", "지도Link")</f>
        <v/>
      </c>
      <c r="N573" s="6">
        <f>HYPERLINK("http://www.eum.go.kr/web/ar/lu/luLandDet.jsp?pnu=4311231034200220009&amp;isNoScr=script&amp;mode=search", "토지이음")</f>
        <v/>
      </c>
      <c r="O573" s="3" t="inlineStr">
        <is>
          <t>플러스자이합동</t>
        </is>
      </c>
      <c r="P573" s="4" t="n">
        <v>1</v>
      </c>
      <c r="Q573" s="4" t="n">
        <v>499</v>
      </c>
      <c r="R573" s="3" t="inlineStr">
        <is>
          <t>지정되지않음</t>
        </is>
      </c>
      <c r="S573" s="3" t="inlineStr">
        <is>
          <t>임야기타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남이면 석판리 산50</t>
        </is>
      </c>
      <c r="B574" s="3" t="inlineStr">
        <is>
          <t>자연녹지지역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49000</v>
      </c>
      <c r="G574" s="4" t="n">
        <v>1077</v>
      </c>
      <c r="H574" s="4" t="n">
        <v>326</v>
      </c>
      <c r="I574" s="5" t="n">
        <v>150.3</v>
      </c>
      <c r="J574" s="5" t="n">
        <v>22.9</v>
      </c>
      <c r="K574" s="3" t="inlineStr">
        <is>
          <t>석판리 전원주택부지로 최상,</t>
        </is>
      </c>
      <c r="L574" s="6">
        <f>HYPERLINK("https://fin.land.naver.com/articles/2649891548", "매물Link")</f>
        <v/>
      </c>
      <c r="M574" s="6">
        <f>HYPERLINK("https://map.naver.com/p/search/남이면 석판리 산50", "지도Link")</f>
        <v/>
      </c>
      <c r="N574" s="6">
        <f>HYPERLINK("http://www.eum.go.kr/web/ar/lu/luLandDet.jsp?pnu=4311231034200500000&amp;isNoScr=script&amp;mode=search", "토지이음")</f>
        <v/>
      </c>
      <c r="O574" s="3" t="inlineStr">
        <is>
          <t>플러스자이합동</t>
        </is>
      </c>
      <c r="P574" s="4" t="n">
        <v>1</v>
      </c>
      <c r="Q574" s="4" t="n">
        <v>893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수대리 1-29</t>
        </is>
      </c>
      <c r="B575" s="3" t="inlineStr">
        <is>
          <t>자연녹지지역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42000</v>
      </c>
      <c r="G575" s="4" t="n">
        <v>1000</v>
      </c>
      <c r="H575" s="4" t="n">
        <v>302</v>
      </c>
      <c r="I575" s="5" t="n">
        <v>139.1</v>
      </c>
      <c r="J575" s="5" t="n">
        <v>69.2</v>
      </c>
      <c r="K575" s="3" t="inlineStr">
        <is>
          <t>남이면수대리위치좋은토지저렴하게매매,금액협의</t>
        </is>
      </c>
      <c r="L575" s="6">
        <f>HYPERLINK("https://fin.land.naver.com/articles/2653463929", "매물Link")</f>
        <v/>
      </c>
      <c r="M575" s="6">
        <f>HYPERLINK("https://map.naver.com/p/search/남이면 수대리 1-29", "지도Link")</f>
        <v/>
      </c>
      <c r="N575" s="6">
        <f>HYPERLINK("http://www.eum.go.kr/web/ar/lu/luLandDet.jsp?pnu=4311231039100010029&amp;isNoScr=script&amp;mode=search", "토지이음")</f>
        <v/>
      </c>
      <c r="O575" s="3" t="inlineStr">
        <is>
          <t>금호스마트</t>
        </is>
      </c>
      <c r="P575" s="4" t="n">
        <v>1</v>
      </c>
      <c r="Q575" s="4" t="n">
        <v>584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남이면 수대리 1-29</t>
        </is>
      </c>
      <c r="B576" s="3" t="inlineStr">
        <is>
          <t>자연녹지지역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26500</v>
      </c>
      <c r="G576" s="4" t="n">
        <v>584</v>
      </c>
      <c r="H576" s="4" t="n">
        <v>177</v>
      </c>
      <c r="I576" s="5" t="n">
        <v>149.7</v>
      </c>
      <c r="J576" s="5" t="n">
        <v>69.2</v>
      </c>
      <c r="K576" s="3" t="inlineStr">
        <is>
          <t>단독주택지 한가운데 위치한 토지, 탁트인 뷰, 카페자리추천</t>
        </is>
      </c>
      <c r="L576" s="6">
        <f>HYPERLINK("https://fin.land.naver.com/articles/2649972551", "매물Link")</f>
        <v/>
      </c>
      <c r="M576" s="6">
        <f>HYPERLINK("https://map.naver.com/p/search/남이면 수대리 1-29", "지도Link")</f>
        <v/>
      </c>
      <c r="N576" s="6">
        <f>HYPERLINK("http://www.eum.go.kr/web/ar/lu/luLandDet.jsp?pnu=4311231039100010029&amp;isNoScr=script&amp;mode=search", "토지이음")</f>
        <v/>
      </c>
      <c r="O576" s="3" t="inlineStr">
        <is>
          <t>명진</t>
        </is>
      </c>
      <c r="P576" s="4" t="n">
        <v>1</v>
      </c>
      <c r="Q576" s="4" t="n">
        <v>584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수대리 11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66000</v>
      </c>
      <c r="G577" s="4" t="n">
        <v>731</v>
      </c>
      <c r="H577" s="4" t="n">
        <v>221</v>
      </c>
      <c r="I577" s="5" t="n">
        <v>298.6</v>
      </c>
      <c r="J577" s="5" t="n">
        <v>60.8</v>
      </c>
      <c r="K577" s="3" t="inlineStr">
        <is>
          <t>4차로변 광고효과 탁월, 상가건물 추천</t>
        </is>
      </c>
      <c r="L577" s="6">
        <f>HYPERLINK("https://fin.land.naver.com/articles/2650137179", "매물Link")</f>
        <v/>
      </c>
      <c r="M577" s="6">
        <f>HYPERLINK("https://map.naver.com/p/search/남이면 수대리 11", "지도Link")</f>
        <v/>
      </c>
      <c r="N577" s="6">
        <f>HYPERLINK("http://www.eum.go.kr/web/ar/lu/luLandDet.jsp?pnu=4311231039100110000&amp;isNoScr=script&amp;mode=search", "토지이음")</f>
        <v/>
      </c>
      <c r="O577" s="3" t="inlineStr">
        <is>
          <t>정민</t>
        </is>
      </c>
      <c r="P577" s="4" t="n">
        <v>1</v>
      </c>
      <c r="Q577" s="4" t="n">
        <v>560</v>
      </c>
      <c r="R577" s="3" t="inlineStr">
        <is>
          <t>지정되지않음</t>
        </is>
      </c>
      <c r="S577" s="3" t="inlineStr">
        <is>
          <t>전기타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중로한면</t>
        </is>
      </c>
    </row>
    <row r="578">
      <c r="A578" s="3" t="inlineStr">
        <is>
          <t>남이면 수대리 11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66000</v>
      </c>
      <c r="G578" s="4" t="n">
        <v>731</v>
      </c>
      <c r="H578" s="4" t="n">
        <v>221</v>
      </c>
      <c r="I578" s="5" t="n">
        <v>298.6</v>
      </c>
      <c r="J578" s="5" t="n">
        <v>60.8</v>
      </c>
      <c r="K578" s="3" t="inlineStr">
        <is>
          <t>남이면 수대리 대로변 자연녹지 매매 창고 근생 자동차관련등 추천</t>
        </is>
      </c>
      <c r="L578" s="6">
        <f>HYPERLINK("https://fin.land.naver.com/articles/2654131214", "매물Link")</f>
        <v/>
      </c>
      <c r="M578" s="6">
        <f>HYPERLINK("https://map.naver.com/p/search/남이면 수대리 11", "지도Link")</f>
        <v/>
      </c>
      <c r="N578" s="6">
        <f>HYPERLINK("http://www.eum.go.kr/web/ar/lu/luLandDet.jsp?pnu=4311231039100110000&amp;isNoScr=script&amp;mode=search", "토지이음")</f>
        <v/>
      </c>
      <c r="O578" s="3" t="inlineStr">
        <is>
          <t>그린</t>
        </is>
      </c>
      <c r="P578" s="4" t="n">
        <v>1</v>
      </c>
      <c r="Q578" s="4" t="n">
        <v>560</v>
      </c>
      <c r="R578" s="3" t="inlineStr">
        <is>
          <t>지정되지않음</t>
        </is>
      </c>
      <c r="S578" s="3" t="inlineStr">
        <is>
          <t>전기타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중로한면</t>
        </is>
      </c>
    </row>
    <row r="579">
      <c r="A579" s="3" t="inlineStr">
        <is>
          <t>남이면 수대리 114-7</t>
        </is>
      </c>
      <c r="B579" s="3" t="inlineStr">
        <is>
          <t>자연녹지지역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13000</v>
      </c>
      <c r="G579" s="4" t="n">
        <v>508</v>
      </c>
      <c r="H579" s="4" t="n">
        <v>154</v>
      </c>
      <c r="I579" s="5" t="n">
        <v>84.40000000000001</v>
      </c>
      <c r="J579" s="5" t="n">
        <v>25.3</v>
      </c>
      <c r="K579" s="3" t="inlineStr">
        <is>
          <t>도심근교  주말쉼터 , 세컨하우스 좋은곳임.</t>
        </is>
      </c>
      <c r="L579" s="6">
        <f>HYPERLINK("https://fin.land.naver.com/articles/2651814384", "매물Link")</f>
        <v/>
      </c>
      <c r="M579" s="6">
        <f>HYPERLINK("https://map.naver.com/p/search/남이면 수대리 114-7", "지도Link")</f>
        <v/>
      </c>
      <c r="N579" s="6">
        <f>HYPERLINK("http://www.eum.go.kr/web/ar/lu/luLandDet.jsp?pnu=4311231039101140007&amp;isNoScr=script&amp;mode=search", "토지이음")</f>
        <v/>
      </c>
      <c r="O579" s="3" t="inlineStr">
        <is>
          <t>포시즌</t>
        </is>
      </c>
      <c r="P579" s="4" t="n">
        <v>2</v>
      </c>
      <c r="Q579" s="4" t="n">
        <v>445.3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수대리 115-6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대</t>
        </is>
      </c>
      <c r="E580" s="3" t="inlineStr">
        <is>
          <t>매매</t>
        </is>
      </c>
      <c r="F580" s="4" t="n">
        <v>80200</v>
      </c>
      <c r="G580" s="4" t="n">
        <v>2283</v>
      </c>
      <c r="H580" s="4" t="n">
        <v>691</v>
      </c>
      <c r="I580" s="5" t="n">
        <v>116.1</v>
      </c>
      <c r="J580" s="5" t="n">
        <v>28.8</v>
      </c>
      <c r="K580" s="3" t="inlineStr">
        <is>
          <t>수대리 진입도로있음 산 밑햇볕잘들고 현재 비닐하우스농장으로사용중</t>
        </is>
      </c>
      <c r="L580" s="6">
        <f>HYPERLINK("https://fin.land.naver.com/articles/2649952440", "매물Link")</f>
        <v/>
      </c>
      <c r="M580" s="6">
        <f>HYPERLINK("https://map.naver.com/p/search/남이면 수대리 115-6", "지도Link")</f>
        <v/>
      </c>
      <c r="N580" s="6">
        <f>HYPERLINK("http://www.eum.go.kr/web/ar/lu/luLandDet.jsp?pnu=4311231039101150006&amp;isNoScr=script&amp;mode=search", "토지이음")</f>
        <v/>
      </c>
      <c r="O580" s="3" t="inlineStr">
        <is>
          <t>건우다솔무소</t>
        </is>
      </c>
      <c r="P580" s="4" t="n">
        <v>1</v>
      </c>
      <c r="Q580" s="4" t="n">
        <v>2283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수대리 170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27000</v>
      </c>
      <c r="G581" s="4" t="n">
        <v>1785</v>
      </c>
      <c r="H581" s="4" t="n">
        <v>540</v>
      </c>
      <c r="I581" s="5" t="n">
        <v>50</v>
      </c>
      <c r="J581" s="5" t="n">
        <v>22.4</v>
      </c>
      <c r="K581" s="3" t="inlineStr">
        <is>
          <t>청주 서원구 남이면 수대리 토지  매매</t>
        </is>
      </c>
      <c r="L581" s="6">
        <f>HYPERLINK("https://fin.land.naver.com/articles/2652888421", "매물Link")</f>
        <v/>
      </c>
      <c r="M581" s="6">
        <f>HYPERLINK("https://map.naver.com/p/search/남이면 수대리 170", "지도Link")</f>
        <v/>
      </c>
      <c r="N581" s="6">
        <f>HYPERLINK("http://www.eum.go.kr/web/ar/lu/luLandDet.jsp?pnu=4311231039101700000&amp;isNoScr=script&amp;mode=search", "토지이음")</f>
        <v/>
      </c>
      <c r="O581" s="3" t="inlineStr">
        <is>
          <t>일등무소</t>
        </is>
      </c>
      <c r="P581" s="4" t="n">
        <v>1</v>
      </c>
      <c r="Q581" s="4" t="n">
        <v>1785</v>
      </c>
      <c r="R581" s="3" t="inlineStr">
        <is>
          <t>보전녹지지역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맹지</t>
        </is>
      </c>
    </row>
    <row r="582">
      <c r="A582" s="3" t="inlineStr">
        <is>
          <t>남이면 수대리 186</t>
        </is>
      </c>
      <c r="B582" s="3" t="inlineStr">
        <is>
          <t>자연녹지지역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130000</v>
      </c>
      <c r="G582" s="4" t="n">
        <v>5031</v>
      </c>
      <c r="H582" s="4" t="n">
        <v>1522</v>
      </c>
      <c r="I582" s="5" t="n">
        <v>85.40000000000001</v>
      </c>
      <c r="J582" s="5" t="n">
        <v>32</v>
      </c>
      <c r="K582" s="3" t="inlineStr">
        <is>
          <t>수대리 도로접한 토지 매매.</t>
        </is>
      </c>
      <c r="L582" s="6">
        <f>HYPERLINK("https://fin.land.naver.com/articles/2653458378", "매물Link")</f>
        <v/>
      </c>
      <c r="M582" s="6">
        <f>HYPERLINK("https://map.naver.com/p/search/남이면 수대리 186", "지도Link")</f>
        <v/>
      </c>
      <c r="N582" s="6">
        <f>HYPERLINK("http://www.eum.go.kr/web/ar/lu/luLandDet.jsp?pnu=4311231039101860000&amp;isNoScr=script&amp;mode=search", "토지이음")</f>
        <v/>
      </c>
      <c r="O582" s="3" t="inlineStr">
        <is>
          <t>방서에이스</t>
        </is>
      </c>
      <c r="P582" s="4" t="n">
        <v>1</v>
      </c>
      <c r="Q582" s="4" t="n">
        <v>3233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수대리 20-1</t>
        </is>
      </c>
      <c r="B583" s="3" t="inlineStr">
        <is>
          <t>자연녹지지역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250000</v>
      </c>
      <c r="G583" s="4" t="n">
        <v>3048</v>
      </c>
      <c r="H583" s="4" t="n">
        <v>922</v>
      </c>
      <c r="I583" s="5" t="n">
        <v>271.1</v>
      </c>
      <c r="J583" s="5" t="n">
        <v>38.3</v>
      </c>
      <c r="K583" s="3" t="inlineStr">
        <is>
          <t>6차선도로바로옆 건물건축후임대수익또는직접사용가능 전시장,아울렛등추천</t>
        </is>
      </c>
      <c r="L583" s="6">
        <f>HYPERLINK("https://fin.land.naver.com/articles/2653653132", "매물Link")</f>
        <v/>
      </c>
      <c r="M583" s="6">
        <f>HYPERLINK("https://map.naver.com/p/search/남이면 수대리 20-1", "지도Link")</f>
        <v/>
      </c>
      <c r="N583" s="6">
        <f>HYPERLINK("http://www.eum.go.kr/web/ar/lu/luLandDet.jsp?pnu=4311231039100200001&amp;isNoScr=script&amp;mode=search", "토지이음")</f>
        <v/>
      </c>
      <c r="O583" s="3" t="inlineStr">
        <is>
          <t>하트리움</t>
        </is>
      </c>
      <c r="P583" s="4" t="n">
        <v>1</v>
      </c>
      <c r="Q583" s="4" t="n">
        <v>1831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남이면 수대리 229-1</t>
        </is>
      </c>
      <c r="B584" s="3" t="inlineStr">
        <is>
          <t>보전녹지지역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140000</v>
      </c>
      <c r="G584" s="4" t="n">
        <v>4423</v>
      </c>
      <c r="H584" s="4" t="n">
        <v>1338</v>
      </c>
      <c r="I584" s="5" t="n">
        <v>104.6</v>
      </c>
      <c r="J584" s="5" t="n">
        <v>3.2</v>
      </c>
      <c r="K584" s="3" t="inlineStr">
        <is>
          <t>4차선 도로접 토지</t>
        </is>
      </c>
      <c r="L584" s="6">
        <f>HYPERLINK("https://fin.land.naver.com/articles/2650759433", "매물Link")</f>
        <v/>
      </c>
      <c r="M584" s="6">
        <f>HYPERLINK("https://map.naver.com/p/search/남이면 수대리 229-1", "지도Link")</f>
        <v/>
      </c>
      <c r="N584" s="6">
        <f>HYPERLINK("http://www.eum.go.kr/web/ar/lu/luLandDet.jsp?pnu=4311231039102290001&amp;isNoScr=script&amp;mode=search", "토지이음")</f>
        <v/>
      </c>
      <c r="O584" s="3" t="inlineStr">
        <is>
          <t>김창수</t>
        </is>
      </c>
      <c r="P584" s="4" t="n">
        <v>1</v>
      </c>
      <c r="Q584" s="4" t="n">
        <v>3933</v>
      </c>
      <c r="R584" s="3" t="inlineStr">
        <is>
          <t>자연녹지지역</t>
        </is>
      </c>
      <c r="S584" s="3" t="inlineStr">
        <is>
          <t>자연림</t>
        </is>
      </c>
      <c r="T584" s="3" t="inlineStr">
        <is>
          <t>급경사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남이면 수대리 25-1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68000</v>
      </c>
      <c r="G585" s="4" t="n">
        <v>2988</v>
      </c>
      <c r="H585" s="4" t="n">
        <v>904</v>
      </c>
      <c r="I585" s="5" t="n">
        <v>75.2</v>
      </c>
      <c r="J585" s="5" t="n">
        <v>25.3</v>
      </c>
      <c r="K585" s="3" t="inlineStr">
        <is>
          <t>도시지역 자연녹지지역</t>
        </is>
      </c>
      <c r="L585" s="6">
        <f>HYPERLINK("https://fin.land.naver.com/articles/2652234500", "매물Link")</f>
        <v/>
      </c>
      <c r="M585" s="6">
        <f>HYPERLINK("https://map.naver.com/p/search/남이면 수대리 25-1", "지도Link")</f>
        <v/>
      </c>
      <c r="N585" s="6">
        <f>HYPERLINK("http://www.eum.go.kr/web/ar/lu/luLandDet.jsp?pnu=4311231039100250001&amp;isNoScr=script&amp;mode=search", "토지이음")</f>
        <v/>
      </c>
      <c r="O585" s="3" t="inlineStr">
        <is>
          <t>김창수</t>
        </is>
      </c>
      <c r="P585" s="4" t="n">
        <v>1</v>
      </c>
      <c r="Q585" s="4" t="n">
        <v>2988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남이면 수대리 282-1</t>
        </is>
      </c>
      <c r="B586" s="3" t="inlineStr">
        <is>
          <t>자연녹지지역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150000</v>
      </c>
      <c r="G586" s="4" t="n">
        <v>19500</v>
      </c>
      <c r="H586" s="4" t="n">
        <v>5899</v>
      </c>
      <c r="I586" s="5" t="n">
        <v>25.4</v>
      </c>
      <c r="J586" s="5" t="n">
        <v>37.1</v>
      </c>
      <c r="K586" s="3" t="inlineStr">
        <is>
          <t>남이면 수대리 전, 임야 2필지 매매</t>
        </is>
      </c>
      <c r="L586" s="6">
        <f>HYPERLINK("https://fin.land.naver.com/articles/2651321062", "매물Link")</f>
        <v/>
      </c>
      <c r="M586" s="6">
        <f>HYPERLINK("https://map.naver.com/p/search/남이면 수대리 282-1", "지도Link")</f>
        <v/>
      </c>
      <c r="N586" s="6">
        <f>HYPERLINK("http://www.eum.go.kr/web/ar/lu/luLandDet.jsp?pnu=4311231039102820001&amp;isNoScr=script&amp;mode=search", "토지이음")</f>
        <v/>
      </c>
      <c r="O586" s="3" t="inlineStr">
        <is>
          <t>서초</t>
        </is>
      </c>
      <c r="P586" s="4" t="n">
        <v>1</v>
      </c>
      <c r="Q586" s="4" t="n">
        <v>1622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남이면 수대리 95-2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34000</v>
      </c>
      <c r="G587" s="4" t="n">
        <v>1439</v>
      </c>
      <c r="H587" s="4" t="n">
        <v>435</v>
      </c>
      <c r="I587" s="5" t="n">
        <v>78.2</v>
      </c>
      <c r="J587" s="5" t="n">
        <v>20.4</v>
      </c>
      <c r="K587" s="3" t="inlineStr">
        <is>
          <t>수대리 자연녹지 밭 매매 주택 쉼터용 주말용등 추천</t>
        </is>
      </c>
      <c r="L587" s="6">
        <f>HYPERLINK("https://fin.land.naver.com/articles/2649621870", "매물Link")</f>
        <v/>
      </c>
      <c r="M587" s="6">
        <f>HYPERLINK("https://map.naver.com/p/search/남이면 수대리 95-2", "지도Link")</f>
        <v/>
      </c>
      <c r="N587" s="6">
        <f>HYPERLINK("http://www.eum.go.kr/web/ar/lu/luLandDet.jsp?pnu=4311231039100950002&amp;isNoScr=script&amp;mode=search", "토지이음")</f>
        <v/>
      </c>
      <c r="O587" s="3" t="inlineStr">
        <is>
          <t>그린</t>
        </is>
      </c>
      <c r="P587" s="4" t="n">
        <v>1</v>
      </c>
      <c r="Q587" s="4" t="n">
        <v>660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남이면 수대리 산 26-1</t>
        </is>
      </c>
      <c r="B588" s="3" t="inlineStr">
        <is>
          <t>보전녹지지역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33000</v>
      </c>
      <c r="G588" s="4" t="n">
        <v>3361</v>
      </c>
      <c r="H588" s="4" t="n">
        <v>1017</v>
      </c>
      <c r="I588" s="5" t="n">
        <v>32.4</v>
      </c>
      <c r="J588" s="5" t="n">
        <v>2.6</v>
      </c>
      <c r="K588" s="3" t="inlineStr">
        <is>
          <t>선산,물류센터,전원주택단지 추천</t>
        </is>
      </c>
      <c r="L588" s="6">
        <f>HYPERLINK("https://fin.land.naver.com/articles/2652445357", "매물Link")</f>
        <v/>
      </c>
      <c r="M588" s="6">
        <f>HYPERLINK("https://map.naver.com/p/search/남이면 수대리 산 26-1", "지도Link")</f>
        <v/>
      </c>
      <c r="N588" s="6">
        <f>HYPERLINK("http://www.eum.go.kr/web/ar/lu/luLandDet.jsp?pnu=4311231039200260001&amp;isNoScr=script&amp;mode=search", "토지이음")</f>
        <v/>
      </c>
      <c r="O588" s="3" t="inlineStr">
        <is>
          <t>건국</t>
        </is>
      </c>
      <c r="P588" s="4" t="n">
        <v>1</v>
      </c>
      <c r="Q588" s="4" t="n">
        <v>3361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급경사</t>
        </is>
      </c>
      <c r="U588" s="3" t="inlineStr">
        <is>
          <t>부정형</t>
        </is>
      </c>
      <c r="V588" s="3" t="inlineStr">
        <is>
          <t>맹지</t>
        </is>
      </c>
    </row>
    <row r="589">
      <c r="A589" s="3" t="inlineStr">
        <is>
          <t>남이면 수대리 산4</t>
        </is>
      </c>
      <c r="B589" s="3" t="inlineStr">
        <is>
          <t>보전녹지지역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63000</v>
      </c>
      <c r="G589" s="4" t="n">
        <v>5157</v>
      </c>
      <c r="H589" s="4" t="n">
        <v>1560</v>
      </c>
      <c r="I589" s="5" t="n">
        <v>40.4</v>
      </c>
      <c r="J589" s="5" t="n">
        <v>4.1</v>
      </c>
      <c r="K589" s="3" t="inlineStr">
        <is>
          <t>청주시 서원구 남이면 수대리 토지 매매</t>
        </is>
      </c>
      <c r="L589" s="6">
        <f>HYPERLINK("https://fin.land.naver.com/articles/2652887612", "매물Link")</f>
        <v/>
      </c>
      <c r="M589" s="6">
        <f>HYPERLINK("https://map.naver.com/p/search/남이면 수대리 산4", "지도Link")</f>
        <v/>
      </c>
      <c r="N589" s="6">
        <f>HYPERLINK("http://www.eum.go.kr/web/ar/lu/luLandDet.jsp?pnu=4311231039200040000&amp;isNoScr=script&amp;mode=search", "토지이음")</f>
        <v/>
      </c>
      <c r="O589" s="3" t="inlineStr">
        <is>
          <t>일등무소</t>
        </is>
      </c>
      <c r="P589" s="4" t="n">
        <v>1</v>
      </c>
      <c r="Q589" s="4" t="n">
        <v>5157</v>
      </c>
      <c r="R589" s="3" t="inlineStr">
        <is>
          <t>자연녹지지역</t>
        </is>
      </c>
      <c r="S589" s="3" t="inlineStr">
        <is>
          <t>자연림</t>
        </is>
      </c>
      <c r="T589" s="3" t="inlineStr">
        <is>
          <t>급경사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남이면 양촌리 125-3</t>
        </is>
      </c>
      <c r="B590" s="3" t="inlineStr">
        <is>
          <t>자연녹지지역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140000</v>
      </c>
      <c r="G590" s="4" t="n">
        <v>2099</v>
      </c>
      <c r="H590" s="4" t="n">
        <v>635</v>
      </c>
      <c r="I590" s="5" t="n">
        <v>220.5</v>
      </c>
      <c r="J590" s="5" t="n">
        <v>56.6</v>
      </c>
      <c r="K590" s="3" t="inlineStr">
        <is>
          <t>청주시내 접근성 좋은 남이면 양촌리 근생으로 개발하면 좋을 토지매매</t>
        </is>
      </c>
      <c r="L590" s="6">
        <f>HYPERLINK("https://fin.land.naver.com/articles/2649722883", "매물Link")</f>
        <v/>
      </c>
      <c r="M590" s="6">
        <f>HYPERLINK("https://map.naver.com/p/search/남이면 양촌리 125-3", "지도Link")</f>
        <v/>
      </c>
      <c r="N590" s="6">
        <f>HYPERLINK("http://www.eum.go.kr/web/ar/lu/luLandDet.jsp?pnu=4311231037101250003&amp;isNoScr=script&amp;mode=search",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남이면 양촌리 152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168000</v>
      </c>
      <c r="G591" s="4" t="n">
        <v>5293</v>
      </c>
      <c r="H591" s="4" t="n">
        <v>1601</v>
      </c>
      <c r="I591" s="5" t="n">
        <v>104.9</v>
      </c>
      <c r="J591" s="5" t="n">
        <v>65.40000000000001</v>
      </c>
      <c r="K591" s="3" t="inlineStr">
        <is>
          <t>3차 우회도로 인근 공장 및 창고부지로 추천함</t>
        </is>
      </c>
      <c r="L591" s="6">
        <f>HYPERLINK("https://fin.land.naver.com/articles/2651557248", "매물Link")</f>
        <v/>
      </c>
      <c r="M591" s="6">
        <f>HYPERLINK("https://map.naver.com/p/search/남이면 양촌리 152", "지도Link")</f>
        <v/>
      </c>
      <c r="N591" s="6">
        <f>HYPERLINK("http://www.eum.go.kr/web/ar/lu/luLandDet.jsp?pnu=4311231037101520000&amp;isNoScr=script&amp;mode=search", "토지이음")</f>
        <v/>
      </c>
      <c r="O591" s="3" t="inlineStr">
        <is>
          <t>청주원</t>
        </is>
      </c>
      <c r="P591" s="4" t="n">
        <v>1</v>
      </c>
      <c r="Q591" s="4" t="n">
        <v>2302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양촌리 165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12000</v>
      </c>
      <c r="G592" s="4" t="n">
        <v>394</v>
      </c>
      <c r="H592" s="4" t="n">
        <v>119</v>
      </c>
      <c r="I592" s="5" t="n">
        <v>100.8</v>
      </c>
      <c r="J592" s="5" t="n">
        <v>36.1</v>
      </c>
      <c r="K592" s="3" t="inlineStr">
        <is>
          <t>청주시내인근 주택지 쉼터용지 텃밭</t>
        </is>
      </c>
      <c r="L592" s="6">
        <f>HYPERLINK("https://fin.land.naver.com/articles/2654657241", "매물Link")</f>
        <v/>
      </c>
      <c r="M592" s="6">
        <f>HYPERLINK("https://map.naver.com/p/search/남이면 양촌리 165", "지도Link")</f>
        <v/>
      </c>
      <c r="N592" s="6">
        <f>HYPERLINK("http://www.eum.go.kr/web/ar/lu/luLandDet.jsp?pnu=4311231037101650000&amp;isNoScr=script&amp;mode=search", "토지이음")</f>
        <v/>
      </c>
      <c r="O592" s="3" t="inlineStr">
        <is>
          <t>원</t>
        </is>
      </c>
      <c r="P592" s="4" t="n">
        <v>2</v>
      </c>
      <c r="Q592" s="4" t="n">
        <v>394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268-6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70000</v>
      </c>
      <c r="G593" s="4" t="n">
        <v>626</v>
      </c>
      <c r="H593" s="4" t="n">
        <v>189</v>
      </c>
      <c r="I593" s="5" t="n">
        <v>370.4</v>
      </c>
      <c r="J593" s="5" t="n">
        <v>133.1</v>
      </c>
      <c r="K593" s="3" t="inlineStr">
        <is>
          <t>양촌카플주차장 인근, 인접토지건물 연계 매매23억원, 가격 절충</t>
        </is>
      </c>
      <c r="L593" s="6">
        <f>HYPERLINK("https://fin.land.naver.com/articles/2653650190", "매물Link")</f>
        <v/>
      </c>
      <c r="M593" s="6">
        <f>HYPERLINK("https://map.naver.com/p/search/남이면 양촌리 268-6", "지도Link")</f>
        <v/>
      </c>
      <c r="N593" s="6">
        <f>HYPERLINK("http://www.eum.go.kr/web/ar/lu/luLandDet.jsp?pnu=4311231037102680006&amp;isNoScr=script&amp;mode=search", "토지이음")</f>
        <v/>
      </c>
      <c r="O593" s="3" t="inlineStr">
        <is>
          <t>라인</t>
        </is>
      </c>
      <c r="P593" s="4" t="n">
        <v>1</v>
      </c>
      <c r="Q593" s="4" t="n">
        <v>626</v>
      </c>
      <c r="R593" s="3" t="inlineStr">
        <is>
          <t>지정되지않음</t>
        </is>
      </c>
      <c r="S593" s="3" t="inlineStr">
        <is>
          <t>상업용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양촌리 314-2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44000</v>
      </c>
      <c r="G594" s="4" t="n">
        <v>969</v>
      </c>
      <c r="H594" s="4" t="n">
        <v>293</v>
      </c>
      <c r="I594" s="5" t="n">
        <v>150.2</v>
      </c>
      <c r="J594" s="5" t="n">
        <v>68.8</v>
      </c>
      <c r="K594" s="3" t="inlineStr">
        <is>
          <t>도로접한 전원주택지 매매</t>
        </is>
      </c>
      <c r="L594" s="6">
        <f>HYPERLINK("https://fin.land.naver.com/articles/2654796113", "매물Link")</f>
        <v/>
      </c>
      <c r="M594" s="6">
        <f>HYPERLINK("https://map.naver.com/p/search/남이면 양촌리 314-2", "지도Link")</f>
        <v/>
      </c>
      <c r="N594" s="6">
        <f>HYPERLINK("http://www.eum.go.kr/web/ar/lu/luLandDet.jsp?pnu=4311231037103140002&amp;isNoScr=script&amp;mode=search", "토지이음")</f>
        <v/>
      </c>
      <c r="O594" s="3" t="inlineStr">
        <is>
          <t>원탑</t>
        </is>
      </c>
      <c r="P594" s="4" t="n">
        <v>1</v>
      </c>
      <c r="Q594" s="4" t="n">
        <v>969</v>
      </c>
      <c r="R594" s="3" t="inlineStr">
        <is>
          <t>보전녹지지역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317-2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53000</v>
      </c>
      <c r="G595" s="4" t="n">
        <v>1309</v>
      </c>
      <c r="H595" s="4" t="n">
        <v>396</v>
      </c>
      <c r="I595" s="5" t="n">
        <v>133.8</v>
      </c>
      <c r="J595" s="5" t="n">
        <v>48.1</v>
      </c>
      <c r="K595" s="3" t="inlineStr">
        <is>
          <t>남이면 양촌리 도로 접한 자연녹지 밭 매매 창고.근생등 추천</t>
        </is>
      </c>
      <c r="L595" s="6">
        <f>HYPERLINK("https://fin.land.naver.com/articles/2651924628", "매물Link")</f>
        <v/>
      </c>
      <c r="M595" s="6">
        <f>HYPERLINK("https://map.naver.com/p/search/남이면 양촌리 317-2", "지도Link")</f>
        <v/>
      </c>
      <c r="N595" s="6">
        <f>HYPERLINK("http://www.eum.go.kr/web/ar/lu/luLandDet.jsp?pnu=4311231037103170002&amp;isNoScr=script&amp;mode=search", "토지이음")</f>
        <v/>
      </c>
      <c r="O595" s="3" t="inlineStr">
        <is>
          <t>그린</t>
        </is>
      </c>
      <c r="P595" s="4" t="n">
        <v>1</v>
      </c>
      <c r="Q595" s="4" t="n">
        <v>1309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373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71000</v>
      </c>
      <c r="G596" s="4" t="n">
        <v>1993</v>
      </c>
      <c r="H596" s="4" t="n">
        <v>603</v>
      </c>
      <c r="I596" s="5" t="n">
        <v>117.7</v>
      </c>
      <c r="J596" s="5" t="n">
        <v>52.3</v>
      </c>
      <c r="K596" s="3" t="inlineStr">
        <is>
          <t>3순환로 인접  정남향 토지로 활용도 좋은 저렴한토지</t>
        </is>
      </c>
      <c r="L596" s="6">
        <f>HYPERLINK("https://fin.land.naver.com/articles/2655210050", "매물Link")</f>
        <v/>
      </c>
      <c r="M596" s="6">
        <f>HYPERLINK("https://map.naver.com/p/search/남이면 양촌리 373", "지도Link")</f>
        <v/>
      </c>
      <c r="N596" s="6">
        <f>HYPERLINK("http://www.eum.go.kr/web/ar/lu/luLandDet.jsp?pnu=4311231037103730000&amp;isNoScr=script&amp;mode=search", "토지이음")</f>
        <v/>
      </c>
      <c r="O596" s="3" t="inlineStr">
        <is>
          <t>청주원</t>
        </is>
      </c>
      <c r="P596" s="4" t="n">
        <v>1</v>
      </c>
      <c r="Q596" s="4" t="n">
        <v>1993</v>
      </c>
      <c r="R596" s="3" t="inlineStr">
        <is>
          <t>보전녹지지역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393</t>
        </is>
      </c>
      <c r="B597" s="3" t="inlineStr">
        <is>
          <t>자연녹지지역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61600</v>
      </c>
      <c r="G597" s="4" t="n">
        <v>2038</v>
      </c>
      <c r="H597" s="4" t="n">
        <v>616</v>
      </c>
      <c r="I597" s="5" t="n">
        <v>100</v>
      </c>
      <c r="J597" s="5" t="n">
        <v>38.5</v>
      </c>
      <c r="K597" s="3" t="inlineStr">
        <is>
          <t>넓은대지 평면지형 접근성 좋음</t>
        </is>
      </c>
      <c r="L597" s="6">
        <f>HYPERLINK("https://fin.land.naver.com/articles/2649743865", "매물Link")</f>
        <v/>
      </c>
      <c r="M597" s="6">
        <f>HYPERLINK("https://map.naver.com/p/search/남이면 양촌리 393", "지도Link")</f>
        <v/>
      </c>
      <c r="N597" s="6">
        <f>HYPERLINK("http://www.eum.go.kr/web/ar/lu/luLandDet.jsp?pnu=4311231037103930000&amp;isNoScr=script&amp;mode=search", "토지이음")</f>
        <v/>
      </c>
      <c r="O597" s="3" t="inlineStr">
        <is>
          <t>학사</t>
        </is>
      </c>
      <c r="P597" s="4" t="n">
        <v>1</v>
      </c>
      <c r="Q597" s="4" t="n">
        <v>2038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세로각지(가)</t>
        </is>
      </c>
    </row>
    <row r="598">
      <c r="A598" s="3" t="inlineStr">
        <is>
          <t>남이면 양촌리 395-1</t>
        </is>
      </c>
      <c r="B598" s="3" t="inlineStr">
        <is>
          <t>자연녹지지역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29000</v>
      </c>
      <c r="G598" s="4" t="n">
        <v>684</v>
      </c>
      <c r="H598" s="4" t="n">
        <v>207</v>
      </c>
      <c r="I598" s="5" t="n">
        <v>140.1</v>
      </c>
      <c r="J598" s="5" t="n">
        <v>42.1</v>
      </c>
      <c r="K598" s="3" t="inlineStr">
        <is>
          <t>남향토지로 접근성 우수</t>
        </is>
      </c>
      <c r="L598" s="6">
        <f>HYPERLINK("https://fin.land.naver.com/articles/2651705474", "매물Link")</f>
        <v/>
      </c>
      <c r="M598" s="6">
        <f>HYPERLINK("https://map.naver.com/p/search/남이면 양촌리 395-1", "지도Link")</f>
        <v/>
      </c>
      <c r="N598" s="6">
        <f>HYPERLINK("http://www.eum.go.kr/web/ar/lu/luLandDet.jsp?pnu=4311231037103950001&amp;isNoScr=script&amp;mode=search", "토지이음")</f>
        <v/>
      </c>
      <c r="O598" s="3" t="inlineStr">
        <is>
          <t>터사랑</t>
        </is>
      </c>
      <c r="P598" s="4" t="n">
        <v>2</v>
      </c>
      <c r="Q598" s="4" t="n">
        <v>684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양촌리 417-3</t>
        </is>
      </c>
      <c r="B599" s="3" t="inlineStr">
        <is>
          <t>자연녹지지역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220000</v>
      </c>
      <c r="G599" s="4" t="n">
        <v>4540</v>
      </c>
      <c r="H599" s="4" t="n">
        <v>1373</v>
      </c>
      <c r="I599" s="5" t="n">
        <v>160.2</v>
      </c>
      <c r="J599" s="5" t="n">
        <v>30.3</v>
      </c>
      <c r="K599" s="3" t="inlineStr">
        <is>
          <t>8m 아스팔트 포장도로에 접한 토지. 용도 다양함</t>
        </is>
      </c>
      <c r="L599" s="6">
        <f>HYPERLINK("https://fin.land.naver.com/articles/2655210508", "매물Link")</f>
        <v/>
      </c>
      <c r="M599" s="6">
        <f>HYPERLINK("https://map.naver.com/p/search/남이면 양촌리 417-3", "지도Link")</f>
        <v/>
      </c>
      <c r="N599" s="6">
        <f>HYPERLINK("http://www.eum.go.kr/web/ar/lu/luLandDet.jsp?pnu=4311231037104170003&amp;isNoScr=script&amp;mode=search", "토지이음")</f>
        <v/>
      </c>
      <c r="O599" s="3" t="inlineStr">
        <is>
          <t>청주원</t>
        </is>
      </c>
      <c r="P599" s="4" t="n">
        <v>1</v>
      </c>
      <c r="Q599" s="4" t="n">
        <v>1088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남이면 양촌리 419-4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220000</v>
      </c>
      <c r="G600" s="4" t="n">
        <v>4540</v>
      </c>
      <c r="H600" s="4" t="n">
        <v>1373</v>
      </c>
      <c r="I600" s="5" t="n">
        <v>160.2</v>
      </c>
      <c r="J600" s="5" t="n">
        <v>37.5</v>
      </c>
      <c r="K600" s="3" t="inlineStr">
        <is>
          <t>제2종근생 허가득,토목공사 완료,오폐수직관,3순환로인접,공장 음식점</t>
        </is>
      </c>
      <c r="L600" s="6">
        <f>HYPERLINK("https://fin.land.naver.com/articles/2651557955", "매물Link")</f>
        <v/>
      </c>
      <c r="M600" s="6">
        <f>HYPERLINK("https://map.naver.com/p/search/남이면 양촌리 419-4", "지도Link")</f>
        <v/>
      </c>
      <c r="N600" s="6">
        <f>HYPERLINK("http://www.eum.go.kr/web/ar/lu/luLandDet.jsp?pnu=4311231037104190004&amp;isNoScr=script&amp;mode=search", "토지이음")</f>
        <v/>
      </c>
      <c r="O600" s="3" t="inlineStr">
        <is>
          <t>라인</t>
        </is>
      </c>
      <c r="P600" s="4" t="n">
        <v>1</v>
      </c>
      <c r="Q600" s="4" t="n">
        <v>911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419-4</t>
        </is>
      </c>
      <c r="B601" s="3" t="inlineStr">
        <is>
          <t>자연녹지지역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234000</v>
      </c>
      <c r="G601" s="4" t="n">
        <v>4829</v>
      </c>
      <c r="H601" s="4" t="n">
        <v>1461</v>
      </c>
      <c r="I601" s="5" t="n">
        <v>160.2</v>
      </c>
      <c r="J601" s="5" t="n">
        <v>37.5</v>
      </c>
      <c r="K601" s="3" t="inlineStr">
        <is>
          <t>8m도로접, 제2종근생 제조압 허가득, 토목공사 완료</t>
        </is>
      </c>
      <c r="L601" s="6">
        <f>HYPERLINK("https://fin.land.naver.com/articles/2654897282", "매물Link")</f>
        <v/>
      </c>
      <c r="M601" s="6">
        <f>HYPERLINK("https://map.naver.com/p/search/남이면 양촌리 419-4", "지도Link")</f>
        <v/>
      </c>
      <c r="N601" s="6">
        <f>HYPERLINK("http://www.eum.go.kr/web/ar/lu/luLandDet.jsp?pnu=4311231037104190004&amp;isNoScr=script&amp;mode=search", "토지이음")</f>
        <v/>
      </c>
      <c r="O601" s="3" t="inlineStr">
        <is>
          <t>플러스자이합동</t>
        </is>
      </c>
      <c r="P601" s="4" t="n">
        <v>1</v>
      </c>
      <c r="Q601" s="4" t="n">
        <v>911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남이면 양촌리 53-69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33460</v>
      </c>
      <c r="G602" s="4" t="n">
        <v>791</v>
      </c>
      <c r="H602" s="4" t="n">
        <v>239</v>
      </c>
      <c r="I602" s="5" t="n">
        <v>140</v>
      </c>
      <c r="J602" s="5" t="n">
        <v>103.6</v>
      </c>
      <c r="K602" s="3" t="inlineStr">
        <is>
          <t>청주 서원구 남이면 양촌리 가마리 인근 전원마을 토목공사완료 주택건축</t>
        </is>
      </c>
      <c r="L602" s="6">
        <f>HYPERLINK("https://fin.land.naver.com/articles/2653517521", "매물Link")</f>
        <v/>
      </c>
      <c r="M602" s="6">
        <f>HYPERLINK("https://map.naver.com/p/search/남이면 양촌리 53-69", "지도Link")</f>
        <v/>
      </c>
      <c r="N602" s="6">
        <f>HYPERLINK("http://www.eum.go.kr/web/ar/lu/luLandDet.jsp?pnu=4311231037100530069&amp;isNoScr=script&amp;mode=search", "토지이음")</f>
        <v/>
      </c>
      <c r="O602" s="3" t="inlineStr">
        <is>
          <t>나침반</t>
        </is>
      </c>
      <c r="P602" s="4" t="n">
        <v>1</v>
      </c>
      <c r="Q602" s="4" t="n">
        <v>685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남이면 양촌리 53-96</t>
        </is>
      </c>
      <c r="B603" s="3" t="inlineStr">
        <is>
          <t>자연녹지지역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32300</v>
      </c>
      <c r="G603" s="4" t="n">
        <v>631</v>
      </c>
      <c r="H603" s="4" t="n">
        <v>191</v>
      </c>
      <c r="I603" s="5" t="n">
        <v>169.1</v>
      </c>
      <c r="J603" s="5" t="n">
        <v>43.5</v>
      </c>
      <c r="K603" s="3" t="inlineStr">
        <is>
          <t>nan</t>
        </is>
      </c>
      <c r="L603" s="6">
        <f>HYPERLINK("https://fin.land.naver.com/articles/2649723455", "매물Link")</f>
        <v/>
      </c>
      <c r="M603" s="6">
        <f>HYPERLINK("https://map.naver.com/p/search/남이면 양촌리 53-96", "지도Link")</f>
        <v/>
      </c>
      <c r="N603" s="6">
        <f>HYPERLINK("http://www.eum.go.kr/web/ar/lu/luLandDet.jsp?pnu=4311231037100530096&amp;isNoScr=script&amp;mode=search", "토지이음")</f>
        <v/>
      </c>
      <c r="O603" s="3" t="inlineStr">
        <is>
          <t>좋은선택</t>
        </is>
      </c>
      <c r="P603" s="4" t="n">
        <v>1</v>
      </c>
      <c r="Q603" s="4" t="n">
        <v>631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맹지</t>
        </is>
      </c>
    </row>
    <row r="604">
      <c r="A604" s="3" t="inlineStr">
        <is>
          <t>남이면 양촌리 64-4</t>
        </is>
      </c>
      <c r="B604" s="3" t="inlineStr">
        <is>
          <t>자연녹지지역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180000</v>
      </c>
      <c r="G604" s="4" t="n">
        <v>5731</v>
      </c>
      <c r="H604" s="4" t="n">
        <v>1734</v>
      </c>
      <c r="I604" s="5" t="n">
        <v>103.8</v>
      </c>
      <c r="J604" s="5" t="n">
        <v>76.40000000000001</v>
      </c>
      <c r="K604" s="3" t="inlineStr">
        <is>
          <t>nan</t>
        </is>
      </c>
      <c r="L604" s="6">
        <f>HYPERLINK("https://fin.land.naver.com/articles/2650045759", "매물Link")</f>
        <v/>
      </c>
      <c r="M604" s="6">
        <f>HYPERLINK("https://map.naver.com/p/search/남이면 양촌리 64-4", "지도Link")</f>
        <v/>
      </c>
      <c r="N604" s="6">
        <f>HYPERLINK("http://www.eum.go.kr/web/ar/lu/luLandDet.jsp?pnu=4311231037100640004&amp;isNoScr=script&amp;mode=search", "토지이음")</f>
        <v/>
      </c>
      <c r="O604" s="3" t="inlineStr">
        <is>
          <t>대지</t>
        </is>
      </c>
      <c r="P604" s="4" t="n">
        <v>1</v>
      </c>
      <c r="Q604" s="4" t="n">
        <v>460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양촌리 83-16</t>
        </is>
      </c>
      <c r="B605" s="3" t="inlineStr">
        <is>
          <t>자연녹지지역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130000</v>
      </c>
      <c r="G605" s="4" t="n">
        <v>2586</v>
      </c>
      <c r="H605" s="4" t="n">
        <v>782</v>
      </c>
      <c r="I605" s="5" t="n">
        <v>166.2</v>
      </c>
      <c r="J605" s="5" t="n">
        <v>56.6</v>
      </c>
      <c r="K605" s="3" t="inlineStr">
        <is>
          <t>주택을 품은 넓은토지 광고효과 좋음</t>
        </is>
      </c>
      <c r="L605" s="6">
        <f>HYPERLINK("https://fin.land.naver.com/articles/2649738597", "매물Link")</f>
        <v/>
      </c>
      <c r="M605" s="6">
        <f>HYPERLINK("https://map.naver.com/p/search/남이면 양촌리 83-16", "지도Link")</f>
        <v/>
      </c>
      <c r="N605" s="6">
        <f>HYPERLINK("http://www.eum.go.kr/web/ar/lu/luLandDet.jsp?pnu=4311231037100830016&amp;isNoScr=script&amp;mode=search", "토지이음")</f>
        <v/>
      </c>
      <c r="O605" s="3" t="inlineStr">
        <is>
          <t>학사</t>
        </is>
      </c>
      <c r="P605" s="4" t="n">
        <v>1</v>
      </c>
      <c r="Q605" s="4" t="n">
        <v>706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남이면 양촌리 산 12-5</t>
        </is>
      </c>
      <c r="B606" s="3" t="inlineStr">
        <is>
          <t>보전녹지지역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87800</v>
      </c>
      <c r="G606" s="4" t="n">
        <v>2233</v>
      </c>
      <c r="H606" s="4" t="n">
        <v>675</v>
      </c>
      <c r="I606" s="5" t="n">
        <v>130.1</v>
      </c>
      <c r="J606" s="5" t="n">
        <v>3.5</v>
      </c>
      <c r="K606" s="3" t="inlineStr">
        <is>
          <t>청주 시내뷰를 가진 시내권 전원주택</t>
        </is>
      </c>
      <c r="L606" s="6">
        <f>HYPERLINK("https://fin.land.naver.com/articles/2652742861", "매물Link")</f>
        <v/>
      </c>
      <c r="M606" s="6">
        <f>HYPERLINK("https://map.naver.com/p/search/남이면 양촌리 산 12-5", "지도Link")</f>
        <v/>
      </c>
      <c r="N606" s="6">
        <f>HYPERLINK("http://www.eum.go.kr/web/ar/lu/luLandDet.jsp?pnu=4311231037200120005&amp;isNoScr=script&amp;mode=search", "토지이음")</f>
        <v/>
      </c>
      <c r="O606" s="3" t="inlineStr">
        <is>
          <t>좋은선택</t>
        </is>
      </c>
      <c r="P606" s="4" t="n">
        <v>1</v>
      </c>
      <c r="Q606" s="4" t="n">
        <v>1910</v>
      </c>
      <c r="R606" s="3" t="inlineStr">
        <is>
          <t>지정되지않음</t>
        </is>
      </c>
      <c r="S606" s="3" t="inlineStr">
        <is>
          <t>자연림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남이면 양촌리 산8-26</t>
        </is>
      </c>
      <c r="B607" s="3" t="inlineStr">
        <is>
          <t>자연녹지지역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21000</v>
      </c>
      <c r="G607" s="4" t="n">
        <v>425</v>
      </c>
      <c r="H607" s="4" t="n">
        <v>129</v>
      </c>
      <c r="I607" s="5" t="n">
        <v>162.8</v>
      </c>
      <c r="J607" s="5" t="n">
        <v>74.3</v>
      </c>
      <c r="K607" s="3" t="inlineStr">
        <is>
          <t>도심 근교 주택부지</t>
        </is>
      </c>
      <c r="L607" s="6">
        <f>HYPERLINK("https://fin.land.naver.com/articles/2649630918", "매물Link")</f>
        <v/>
      </c>
      <c r="M607" s="6">
        <f>HYPERLINK("https://map.naver.com/p/search/남이면 양촌리 산8-26", "지도Link")</f>
        <v/>
      </c>
      <c r="N607" s="6">
        <f>HYPERLINK("http://www.eum.go.kr/web/ar/lu/luLandDet.jsp?pnu=4311231037200080026&amp;isNoScr=script&amp;mode=search", "토지이음")</f>
        <v/>
      </c>
      <c r="O607" s="3" t="inlineStr">
        <is>
          <t>조은</t>
        </is>
      </c>
      <c r="P607" s="4" t="n">
        <v>1</v>
      </c>
      <c r="Q607" s="4" t="n">
        <v>388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남이면 외천리 121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285000</v>
      </c>
      <c r="G608" s="4" t="n">
        <v>6282</v>
      </c>
      <c r="H608" s="4" t="n">
        <v>1900</v>
      </c>
      <c r="I608" s="5" t="n">
        <v>150</v>
      </c>
      <c r="J608" s="5" t="n">
        <v>18.5</v>
      </c>
      <c r="K608" s="3" t="inlineStr">
        <is>
          <t>청주시 남이면 경부,중부,당진영덕고속도로 ic,jc로 바로연결 가능</t>
        </is>
      </c>
      <c r="L608" s="6">
        <f>HYPERLINK("https://fin.land.naver.com/articles/2652451277", "매물Link")</f>
        <v/>
      </c>
      <c r="M608" s="6">
        <f>HYPERLINK("https://map.naver.com/p/search/남이면 외천리 121", "지도Link")</f>
        <v/>
      </c>
      <c r="N608" s="6">
        <f>HYPERLINK("http://www.eum.go.kr/web/ar/lu/luLandDet.jsp?pnu=4311231022101210000&amp;isNoScr=script&amp;mode=search", "토지이음")</f>
        <v/>
      </c>
      <c r="O608" s="3" t="inlineStr">
        <is>
          <t>좋은선택</t>
        </is>
      </c>
      <c r="P608" s="4" t="n">
        <v>1</v>
      </c>
      <c r="Q608" s="4" t="n">
        <v>2280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남이면 외천리 276-2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3700</v>
      </c>
      <c r="G609" s="4" t="n">
        <v>384</v>
      </c>
      <c r="H609" s="4" t="n">
        <v>116</v>
      </c>
      <c r="I609" s="5" t="n">
        <v>31.9</v>
      </c>
      <c r="J609" s="5" t="n">
        <v>30</v>
      </c>
      <c r="K609" s="3" t="inlineStr">
        <is>
          <t>외천리 계획관리지역내의 반듯한 모양의 작은 토지 매매이예요</t>
        </is>
      </c>
      <c r="L609" s="6">
        <f>HYPERLINK("https://fin.land.naver.com/articles/2651072689", "매물Link")</f>
        <v/>
      </c>
      <c r="M609" s="6">
        <f>HYPERLINK("https://map.naver.com/p/search/남이면 외천리 276-2", "지도Link")</f>
        <v/>
      </c>
      <c r="N609" s="6">
        <f>HYPERLINK("http://www.eum.go.kr/web/ar/lu/luLandDet.jsp?pnu=4311231022102760002&amp;isNoScr=script&amp;mode=search", "토지이음")</f>
        <v/>
      </c>
      <c r="O609" s="3" t="inlineStr">
        <is>
          <t>4989명품</t>
        </is>
      </c>
      <c r="P609" s="4" t="n">
        <v>1</v>
      </c>
      <c r="Q609" s="4" t="n">
        <v>384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외천리 276-2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3700</v>
      </c>
      <c r="G610" s="4" t="n">
        <v>384</v>
      </c>
      <c r="H610" s="4" t="n">
        <v>116</v>
      </c>
      <c r="I610" s="5" t="n">
        <v>31.9</v>
      </c>
      <c r="J610" s="5" t="n">
        <v>30</v>
      </c>
      <c r="K610" s="3" t="inlineStr">
        <is>
          <t>남이면 외천리 작은 밭 급매 지적도상 도로 접미개설 주말농장등</t>
        </is>
      </c>
      <c r="L610" s="6">
        <f>HYPERLINK("https://fin.land.naver.com/articles/2650746620", "매물Link")</f>
        <v/>
      </c>
      <c r="M610" s="6">
        <f>HYPERLINK("https://map.naver.com/p/search/남이면 외천리 276-2", "지도Link")</f>
        <v/>
      </c>
      <c r="N610" s="6">
        <f>HYPERLINK("http://www.eum.go.kr/web/ar/lu/luLandDet.jsp?pnu=4311231022102760002&amp;isNoScr=script&amp;mode=search", "토지이음")</f>
        <v/>
      </c>
      <c r="O610" s="3" t="inlineStr">
        <is>
          <t>그린</t>
        </is>
      </c>
      <c r="P610" s="4" t="n">
        <v>1</v>
      </c>
      <c r="Q610" s="4" t="n">
        <v>384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남이면 외천리 276-2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3700</v>
      </c>
      <c r="G611" s="4" t="n">
        <v>384</v>
      </c>
      <c r="H611" s="4" t="n">
        <v>116</v>
      </c>
      <c r="I611" s="5" t="n">
        <v>31.9</v>
      </c>
      <c r="J611" s="5" t="n">
        <v>30</v>
      </c>
      <c r="K611" s="3" t="inlineStr">
        <is>
          <t>nan</t>
        </is>
      </c>
      <c r="L611" s="6">
        <f>HYPERLINK("https://fin.land.naver.com/articles/2651009859", "매물Link")</f>
        <v/>
      </c>
      <c r="M611" s="6">
        <f>HYPERLINK("https://map.naver.com/p/search/남이면 외천리 276-2", "지도Link")</f>
        <v/>
      </c>
      <c r="N611" s="6">
        <f>HYPERLINK("http://www.eum.go.kr/web/ar/lu/luLandDet.jsp?pnu=4311231022102760002&amp;isNoScr=script&amp;mode=search", "토지이음")</f>
        <v/>
      </c>
      <c r="O611" s="3" t="inlineStr">
        <is>
          <t>노른자</t>
        </is>
      </c>
      <c r="P611" s="4" t="n">
        <v>1</v>
      </c>
      <c r="Q611" s="4" t="n">
        <v>384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외천리 279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31200</v>
      </c>
      <c r="G612" s="4" t="n">
        <v>687</v>
      </c>
      <c r="H612" s="4" t="n">
        <v>208</v>
      </c>
      <c r="I612" s="5" t="n">
        <v>150</v>
      </c>
      <c r="J612" s="5" t="n">
        <v>54.7</v>
      </c>
      <c r="K612" s="3" t="inlineStr">
        <is>
          <t>nan</t>
        </is>
      </c>
      <c r="L612" s="6">
        <f>HYPERLINK("https://fin.land.naver.com/articles/2649747219", "매물Link")</f>
        <v/>
      </c>
      <c r="M612" s="6">
        <f>HYPERLINK("https://map.naver.com/p/search/남이면 외천리 279", "지도Link")</f>
        <v/>
      </c>
      <c r="N612" s="6">
        <f>HYPERLINK("http://www.eum.go.kr/web/ar/lu/luLandDet.jsp?pnu=4311231022102790000&amp;isNoScr=script&amp;mode=search", "토지이음")</f>
        <v/>
      </c>
      <c r="O612" s="3" t="inlineStr">
        <is>
          <t>지웰선우</t>
        </is>
      </c>
      <c r="P612" s="4" t="n">
        <v>1</v>
      </c>
      <c r="Q612" s="4" t="n">
        <v>689</v>
      </c>
      <c r="R612" s="3" t="inlineStr">
        <is>
          <t>지정되지않음</t>
        </is>
      </c>
      <c r="S612" s="3" t="inlineStr">
        <is>
          <t>단독</t>
        </is>
      </c>
      <c r="T612" s="3" t="inlineStr">
        <is>
          <t>완경사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남이면 외천리 296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22500</v>
      </c>
      <c r="G613" s="4" t="n">
        <v>620</v>
      </c>
      <c r="H613" s="4" t="n">
        <v>188</v>
      </c>
      <c r="I613" s="5" t="n">
        <v>119.7</v>
      </c>
      <c r="J613" s="5" t="n">
        <v>55.7</v>
      </c>
      <c r="K613" s="3" t="inlineStr">
        <is>
          <t>계획관리. 나대지</t>
        </is>
      </c>
      <c r="L613" s="6">
        <f>HYPERLINK("https://fin.land.naver.com/articles/2650136996", "매물Link")</f>
        <v/>
      </c>
      <c r="M613" s="6">
        <f>HYPERLINK("https://map.naver.com/p/search/남이면 외천리 296", "지도Link")</f>
        <v/>
      </c>
      <c r="N613" s="6">
        <f>HYPERLINK("http://www.eum.go.kr/web/ar/lu/luLandDet.jsp?pnu=4311231022102960000&amp;isNoScr=script&amp;mode=search", "토지이음")</f>
        <v/>
      </c>
      <c r="O613" s="3" t="inlineStr">
        <is>
          <t>정민</t>
        </is>
      </c>
      <c r="P613" s="4" t="n">
        <v>1</v>
      </c>
      <c r="Q613" s="4" t="n">
        <v>620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세로각지(가)</t>
        </is>
      </c>
    </row>
    <row r="614">
      <c r="A614" s="3" t="inlineStr">
        <is>
          <t>남이면 외천리 296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20600</v>
      </c>
      <c r="G614" s="4" t="n">
        <v>620</v>
      </c>
      <c r="H614" s="4" t="n">
        <v>188</v>
      </c>
      <c r="I614" s="5" t="n">
        <v>109.6</v>
      </c>
      <c r="J614" s="5" t="n">
        <v>55.7</v>
      </c>
      <c r="K614" s="3" t="inlineStr">
        <is>
          <t>계획관리지역, 도로인접, 신탄진네거리에서 차량으로 20분 거리</t>
        </is>
      </c>
      <c r="L614" s="6">
        <f>HYPERLINK("https://fin.land.naver.com/articles/2654547410", "매물Link")</f>
        <v/>
      </c>
      <c r="M614" s="6">
        <f>HYPERLINK("https://map.naver.com/p/search/남이면 외천리 296", "지도Link")</f>
        <v/>
      </c>
      <c r="N614" s="6">
        <f>HYPERLINK("http://www.eum.go.kr/web/ar/lu/luLandDet.jsp?pnu=4311231022102960000&amp;isNoScr=script&amp;mode=search", "토지이음")</f>
        <v/>
      </c>
      <c r="O614" s="3" t="inlineStr">
        <is>
          <t>대지</t>
        </is>
      </c>
      <c r="P614" s="4" t="n">
        <v>2</v>
      </c>
      <c r="Q614" s="4" t="n">
        <v>620</v>
      </c>
      <c r="R614" s="3" t="inlineStr">
        <is>
          <t>지정되지않음</t>
        </is>
      </c>
      <c r="S614" s="3" t="inlineStr">
        <is>
          <t>단독</t>
        </is>
      </c>
      <c r="T614" s="3" t="inlineStr">
        <is>
          <t>완경사</t>
        </is>
      </c>
      <c r="U614" s="3" t="inlineStr">
        <is>
          <t>사다리형</t>
        </is>
      </c>
      <c r="V614" s="3" t="inlineStr">
        <is>
          <t>세로각지(가)</t>
        </is>
      </c>
    </row>
    <row r="615">
      <c r="A615" s="3" t="inlineStr">
        <is>
          <t>남이면 외천리 296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23000</v>
      </c>
      <c r="G615" s="4" t="n">
        <v>620</v>
      </c>
      <c r="H615" s="4" t="n">
        <v>188</v>
      </c>
      <c r="I615" s="5" t="n">
        <v>122.3</v>
      </c>
      <c r="J615" s="5" t="n">
        <v>55.7</v>
      </c>
      <c r="K615" s="3" t="inlineStr">
        <is>
          <t>남이면 코너 대지 매매</t>
        </is>
      </c>
      <c r="L615" s="6">
        <f>HYPERLINK("https://fin.land.naver.com/articles/2651167055", "매물Link")</f>
        <v/>
      </c>
      <c r="M615" s="6">
        <f>HYPERLINK("https://map.naver.com/p/search/남이면 외천리 296", "지도Link")</f>
        <v/>
      </c>
      <c r="N615" s="6">
        <f>HYPERLINK("http://www.eum.go.kr/web/ar/lu/luLandDet.jsp?pnu=4311231022102960000&amp;isNoScr=script&amp;mode=search", "토지이음")</f>
        <v/>
      </c>
      <c r="O615" s="3" t="inlineStr">
        <is>
          <t>더공감</t>
        </is>
      </c>
      <c r="P615" s="4" t="n">
        <v>1</v>
      </c>
      <c r="Q615" s="4" t="n">
        <v>620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세로각지(가)</t>
        </is>
      </c>
    </row>
    <row r="616">
      <c r="A616" s="3" t="inlineStr">
        <is>
          <t>남이면 외천리 37-5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310000</v>
      </c>
      <c r="G616" s="4" t="n">
        <v>6841</v>
      </c>
      <c r="H616" s="4" t="n">
        <v>2069</v>
      </c>
      <c r="I616" s="5" t="n">
        <v>149.8</v>
      </c>
      <c r="J616" s="5" t="n">
        <v>34.8</v>
      </c>
      <c r="K616" s="3" t="inlineStr">
        <is>
          <t>계획관리지역, 공장 및 창고, 물류센터용 토지 매매</t>
        </is>
      </c>
      <c r="L616" s="6">
        <f>HYPERLINK("https://fin.land.naver.com/articles/2649505546", "매물Link")</f>
        <v/>
      </c>
      <c r="M616" s="6">
        <f>HYPERLINK("https://map.naver.com/p/search/남이면 외천리 37-5", "지도Link")</f>
        <v/>
      </c>
      <c r="N616" s="6">
        <f>HYPERLINK("http://www.eum.go.kr/web/ar/lu/luLandDet.jsp?pnu=4311231022100370005&amp;isNoScr=script&amp;mode=search", "토지이음")</f>
        <v/>
      </c>
      <c r="O616" s="3" t="inlineStr">
        <is>
          <t>금화랜드</t>
        </is>
      </c>
      <c r="P616" s="4" t="n">
        <v>1</v>
      </c>
      <c r="Q616" s="4" t="n">
        <v>2790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남이면 외천리 428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146000</v>
      </c>
      <c r="G617" s="4" t="n">
        <v>3570</v>
      </c>
      <c r="H617" s="4" t="n">
        <v>1080</v>
      </c>
      <c r="I617" s="5" t="n">
        <v>135.2</v>
      </c>
      <c r="J617" s="5" t="n">
        <v>16.4</v>
      </c>
      <c r="K617" s="3" t="inlineStr">
        <is>
          <t>남청주IC 청남로 인근 토지  대, 전  계획관리지역, 성장관리계획.</t>
        </is>
      </c>
      <c r="L617" s="6">
        <f>HYPERLINK("https://fin.land.naver.com/articles/2651725704", "매물Link")</f>
        <v/>
      </c>
      <c r="M617" s="6">
        <f>HYPERLINK("https://map.naver.com/p/search/남이면 외천리 428", "지도Link")</f>
        <v/>
      </c>
      <c r="N617" s="6">
        <f>HYPERLINK("http://www.eum.go.kr/web/ar/lu/luLandDet.jsp?pnu=4311231022104280000&amp;isNoScr=script&amp;mode=search", "토지이음")</f>
        <v/>
      </c>
      <c r="O617" s="3" t="inlineStr">
        <is>
          <t>두꺼비</t>
        </is>
      </c>
      <c r="P617" s="4" t="n">
        <v>1</v>
      </c>
      <c r="Q617" s="4" t="n">
        <v>1613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세로한면(불)</t>
        </is>
      </c>
    </row>
    <row r="618">
      <c r="A618" s="3" t="inlineStr">
        <is>
          <t>남이면 외천리 93-3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282000</v>
      </c>
      <c r="G618" s="4" t="n">
        <v>6230</v>
      </c>
      <c r="H618" s="4" t="n">
        <v>1885</v>
      </c>
      <c r="I618" s="5" t="n">
        <v>149.6</v>
      </c>
      <c r="J618" s="5" t="n">
        <v>61.2</v>
      </c>
      <c r="K618" s="3" t="inlineStr">
        <is>
          <t>총10필지이며 대지 및 답으로 되어 있으나  현황은 전체 대지처럼 사용함</t>
        </is>
      </c>
      <c r="L618" s="6">
        <f>HYPERLINK("https://fin.land.naver.com/articles/2652762140", "매물Link")</f>
        <v/>
      </c>
      <c r="M618" s="6">
        <f>HYPERLINK("https://map.naver.com/p/search/남이면 외천리 93-3", "지도Link")</f>
        <v/>
      </c>
      <c r="N618" s="6">
        <f>HYPERLINK("http://www.eum.go.kr/web/ar/lu/luLandDet.jsp?pnu=4311231022100930003&amp;isNoScr=script&amp;mode=search", "토지이음")</f>
        <v/>
      </c>
      <c r="O618" s="3" t="inlineStr">
        <is>
          <t>포시즌</t>
        </is>
      </c>
      <c r="P618" s="4" t="n">
        <v>1</v>
      </c>
      <c r="Q618" s="4" t="n">
        <v>766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세로한면(가)</t>
        </is>
      </c>
    </row>
    <row r="619">
      <c r="A619" s="3" t="inlineStr">
        <is>
          <t>남이면 척북리 108-5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31000</v>
      </c>
      <c r="G619" s="4" t="n">
        <v>1018</v>
      </c>
      <c r="H619" s="4" t="n">
        <v>308</v>
      </c>
      <c r="I619" s="5" t="n">
        <v>100.6</v>
      </c>
      <c r="J619" s="5" t="n">
        <v>26.9</v>
      </c>
      <c r="K619" s="3" t="inlineStr">
        <is>
          <t>6M도로 코너접 공장 창고추천 민원없음</t>
        </is>
      </c>
      <c r="L619" s="6">
        <f>HYPERLINK("https://fin.land.naver.com/articles/2649833833", "매물Link")</f>
        <v/>
      </c>
      <c r="M619" s="6">
        <f>HYPERLINK("https://map.naver.com/p/search/남이면 척북리 108-5", "지도Link")</f>
        <v/>
      </c>
      <c r="N619" s="6">
        <f>HYPERLINK("http://www.eum.go.kr/web/ar/lu/luLandDet.jsp?pnu=4311231024101080005&amp;isNoScr=script&amp;mode=search", "토지이음")</f>
        <v/>
      </c>
      <c r="O619" s="3" t="inlineStr">
        <is>
          <t>플러스태양</t>
        </is>
      </c>
      <c r="P619" s="4" t="n">
        <v>1</v>
      </c>
      <c r="Q619" s="4" t="n">
        <v>1018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척북리 74-2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96000</v>
      </c>
      <c r="G620" s="4" t="n">
        <v>2268</v>
      </c>
      <c r="H620" s="4" t="n">
        <v>686</v>
      </c>
      <c r="I620" s="5" t="n">
        <v>139.9</v>
      </c>
      <c r="J620" s="5" t="n">
        <v>35.2</v>
      </c>
      <c r="K620" s="3" t="inlineStr">
        <is>
          <t>2차선 코너도로접 남청주ic 7분거리</t>
        </is>
      </c>
      <c r="L620" s="6">
        <f>HYPERLINK("https://fin.land.naver.com/articles/2654700849", "매물Link")</f>
        <v/>
      </c>
      <c r="M620" s="6">
        <f>HYPERLINK("https://map.naver.com/p/search/남이면 척북리 74-2", "지도Link")</f>
        <v/>
      </c>
      <c r="N620" s="6">
        <f>HYPERLINK("http://www.eum.go.kr/web/ar/lu/luLandDet.jsp?pnu=4311231024100740002&amp;isNoScr=script&amp;mode=search", "토지이음")</f>
        <v/>
      </c>
      <c r="O620" s="3" t="inlineStr">
        <is>
          <t>플러스태양</t>
        </is>
      </c>
      <c r="P620" s="4" t="n">
        <v>3</v>
      </c>
      <c r="Q620" s="4" t="n">
        <v>2268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소로각지</t>
        </is>
      </c>
    </row>
    <row r="621">
      <c r="A621" s="3" t="inlineStr">
        <is>
          <t>남이면 척북리 산 30-6</t>
        </is>
      </c>
      <c r="B621" s="3" t="inlineStr">
        <is>
          <t>계획관리지역</t>
        </is>
      </c>
      <c r="C621" s="3" t="inlineStr">
        <is>
          <t>임야</t>
        </is>
      </c>
      <c r="D621" s="3" t="inlineStr">
        <is>
          <t>임야</t>
        </is>
      </c>
      <c r="E621" s="3" t="inlineStr">
        <is>
          <t>매매</t>
        </is>
      </c>
      <c r="F621" s="4" t="n">
        <v>25000</v>
      </c>
      <c r="G621" s="4" t="n">
        <v>557</v>
      </c>
      <c r="H621" s="4" t="n">
        <v>168</v>
      </c>
      <c r="I621" s="5" t="n">
        <v>148.8</v>
      </c>
      <c r="J621" s="5" t="n">
        <v>18.8</v>
      </c>
      <c r="K621" s="3" t="inlineStr">
        <is>
          <t>2차선도접 성토및 옹벽공사완료</t>
        </is>
      </c>
      <c r="L621" s="6">
        <f>HYPERLINK("https://fin.land.naver.com/articles/2650429265", "매물Link")</f>
        <v/>
      </c>
      <c r="M621" s="6">
        <f>HYPERLINK("https://map.naver.com/p/search/남이면 척북리 산 30-6", "지도Link")</f>
        <v/>
      </c>
      <c r="N621" s="6">
        <f>HYPERLINK("http://www.eum.go.kr/web/ar/lu/luLandDet.jsp?pnu=4311231024200300006&amp;isNoScr=script&amp;mode=search", "토지이음")</f>
        <v/>
      </c>
      <c r="O621" s="3" t="inlineStr">
        <is>
          <t>플러스태양</t>
        </is>
      </c>
      <c r="P621" s="4" t="n">
        <v>1</v>
      </c>
      <c r="Q621" s="4" t="n">
        <v>557</v>
      </c>
      <c r="R621" s="3" t="inlineStr">
        <is>
          <t>지정되지않음</t>
        </is>
      </c>
      <c r="S621" s="3" t="inlineStr">
        <is>
          <t>도로등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척산리 241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105000</v>
      </c>
      <c r="G622" s="4" t="n">
        <v>3678</v>
      </c>
      <c r="H622" s="4" t="n">
        <v>1113</v>
      </c>
      <c r="I622" s="5" t="n">
        <v>94.3</v>
      </c>
      <c r="J622" s="5" t="n">
        <v>26.4</v>
      </c>
      <c r="K622" s="3" t="inlineStr">
        <is>
          <t>척산면 면사무소근처 분할매매가능 도로조건좋은 계획관리 토지</t>
        </is>
      </c>
      <c r="L622" s="6">
        <f>HYPERLINK("https://fin.land.naver.com/articles/2650997047", "매물Link")</f>
        <v/>
      </c>
      <c r="M622" s="6">
        <f>HYPERLINK("https://map.naver.com/p/search/남이면 척산리 241", "지도Link")</f>
        <v/>
      </c>
      <c r="N622" s="6">
        <f>HYPERLINK("http://www.eum.go.kr/web/ar/lu/luLandDet.jsp?pnu=4311231021102410000&amp;isNoScr=script&amp;mode=search", "토지이음")</f>
        <v/>
      </c>
      <c r="O622" s="3" t="inlineStr">
        <is>
          <t>두원</t>
        </is>
      </c>
      <c r="P622" s="4" t="n">
        <v>1</v>
      </c>
      <c r="Q622" s="4" t="n">
        <v>3678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세로한면(불)</t>
        </is>
      </c>
    </row>
    <row r="623">
      <c r="A623" s="3" t="inlineStr">
        <is>
          <t>남이면 척산리 41-2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공장용지</t>
        </is>
      </c>
      <c r="E623" s="3" t="inlineStr">
        <is>
          <t>매매</t>
        </is>
      </c>
      <c r="F623" s="4" t="n">
        <v>220000</v>
      </c>
      <c r="G623" s="4" t="n">
        <v>3761</v>
      </c>
      <c r="H623" s="4" t="n">
        <v>1138</v>
      </c>
      <c r="I623" s="5" t="n">
        <v>193.3</v>
      </c>
      <c r="J623" s="5" t="n">
        <v>65.7</v>
      </c>
      <c r="K623" s="3" t="inlineStr">
        <is>
          <t>청주 서원구 남이면 척산리 토지 매매</t>
        </is>
      </c>
      <c r="L623" s="6">
        <f>HYPERLINK("https://fin.land.naver.com/articles/2650405233", "매물Link")</f>
        <v/>
      </c>
      <c r="M623" s="6">
        <f>HYPERLINK("https://map.naver.com/p/search/남이면 척산리 41-2", "지도Link")</f>
        <v/>
      </c>
      <c r="N623" s="6">
        <f>HYPERLINK("http://www.eum.go.kr/web/ar/lu/luLandDet.jsp?pnu=4311231021100410002&amp;isNoScr=script&amp;mode=search", "토지이음")</f>
        <v/>
      </c>
      <c r="O623" s="3" t="inlineStr">
        <is>
          <t>일등무소</t>
        </is>
      </c>
      <c r="P623" s="4" t="n">
        <v>1</v>
      </c>
      <c r="Q623" s="4" t="n">
        <v>1648</v>
      </c>
      <c r="R623" s="3" t="inlineStr">
        <is>
          <t>지정되지않음</t>
        </is>
      </c>
      <c r="S623" s="3" t="inlineStr">
        <is>
          <t>공업용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소로한면</t>
        </is>
      </c>
    </row>
    <row r="624">
      <c r="A624" s="3" t="inlineStr">
        <is>
          <t>남이면 척산리 497-1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46700</v>
      </c>
      <c r="G624" s="4" t="n">
        <v>1544</v>
      </c>
      <c r="H624" s="4" t="n">
        <v>467</v>
      </c>
      <c r="I624" s="5" t="n">
        <v>100</v>
      </c>
      <c r="J624" s="5" t="n">
        <v>42</v>
      </c>
      <c r="K624" s="3" t="inlineStr">
        <is>
          <t>전남향 전원주택 주말농원 적합 버스정류장에서 약300미터</t>
        </is>
      </c>
      <c r="L624" s="6">
        <f>HYPERLINK("https://fin.land.naver.com/articles/2655100182", "매물Link")</f>
        <v/>
      </c>
      <c r="M624" s="6">
        <f>HYPERLINK("https://map.naver.com/p/search/남이면 척산리 497-1", "지도Link")</f>
        <v/>
      </c>
      <c r="N624" s="6">
        <f>HYPERLINK("http://www.eum.go.kr/web/ar/lu/luLandDet.jsp?pnu=4311231021104970001&amp;isNoScr=script&amp;mode=search", "토지이음")</f>
        <v/>
      </c>
      <c r="O624" s="3" t="inlineStr">
        <is>
          <t>한진인사무소</t>
        </is>
      </c>
      <c r="P624" s="4" t="n">
        <v>1</v>
      </c>
      <c r="Q624" s="4" t="n">
        <v>1544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척산리 528-4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21000</v>
      </c>
      <c r="G625" s="4" t="n">
        <v>635</v>
      </c>
      <c r="H625" s="4" t="n">
        <v>192</v>
      </c>
      <c r="I625" s="5" t="n">
        <v>109.4</v>
      </c>
      <c r="J625" s="5" t="n">
        <v>54.9</v>
      </c>
      <c r="K625" s="3" t="inlineStr">
        <is>
          <t>남이면 사무소근처 척산리 전원주택부지 대지 매매</t>
        </is>
      </c>
      <c r="L625" s="6">
        <f>HYPERLINK("https://fin.land.naver.com/articles/2651683218", "매물Link")</f>
        <v/>
      </c>
      <c r="M625" s="6">
        <f>HYPERLINK("https://map.naver.com/p/search/남이면 척산리 528-4", "지도Link")</f>
        <v/>
      </c>
      <c r="N625" s="6">
        <f>HYPERLINK("http://www.eum.go.kr/web/ar/lu/luLandDet.jsp?pnu=4311231021105280004&amp;isNoScr=script&amp;mode=search", "토지이음")</f>
        <v/>
      </c>
      <c r="O625" s="3" t="inlineStr">
        <is>
          <t>두원</t>
        </is>
      </c>
      <c r="P625" s="4" t="n">
        <v>1</v>
      </c>
      <c r="Q625" s="4" t="n">
        <v>635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남이면 척산리 693</t>
        </is>
      </c>
      <c r="B626" s="3" t="inlineStr">
        <is>
          <t>생산관리지역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16200</v>
      </c>
      <c r="G626" s="4" t="n">
        <v>1785</v>
      </c>
      <c r="H626" s="4" t="n">
        <v>540</v>
      </c>
      <c r="I626" s="5" t="n">
        <v>30</v>
      </c>
      <c r="J626" s="5" t="n">
        <v>11.9</v>
      </c>
      <c r="K626" s="3" t="inlineStr">
        <is>
          <t>nan</t>
        </is>
      </c>
      <c r="L626" s="6">
        <f>HYPERLINK("https://fin.land.naver.com/articles/2651478139", "매물Link")</f>
        <v/>
      </c>
      <c r="M626" s="6">
        <f>HYPERLINK("https://map.naver.com/p/search/남이면 척산리 693", "지도Link")</f>
        <v/>
      </c>
      <c r="N626" s="6">
        <f>HYPERLINK("http://www.eum.go.kr/web/ar/lu/luLandDet.jsp?pnu=4311231021106930000&amp;isNoScr=script&amp;mode=search", "토지이음")</f>
        <v/>
      </c>
      <c r="O626" s="3" t="inlineStr">
        <is>
          <t>주공3단지</t>
        </is>
      </c>
      <c r="P626" s="4" t="n">
        <v>1</v>
      </c>
      <c r="Q626" s="4" t="n">
        <v>1785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남이면 척산리 79</t>
        </is>
      </c>
      <c r="B627" s="3" t="inlineStr">
        <is>
          <t>생산관리지역</t>
        </is>
      </c>
      <c r="C627" s="3" t="inlineStr">
        <is>
          <t>전</t>
        </is>
      </c>
      <c r="D627" s="3" t="inlineStr">
        <is>
          <t>답</t>
        </is>
      </c>
      <c r="E627" s="3" t="inlineStr">
        <is>
          <t>매매</t>
        </is>
      </c>
      <c r="F627" s="4" t="n">
        <v>34600</v>
      </c>
      <c r="G627" s="4" t="n">
        <v>4241</v>
      </c>
      <c r="H627" s="4" t="n">
        <v>1283</v>
      </c>
      <c r="I627" s="5" t="n">
        <v>27</v>
      </c>
      <c r="J627" s="5" t="n">
        <v>12</v>
      </c>
      <c r="K627" s="3" t="inlineStr">
        <is>
          <t>주변 토지 매입 가능. 도로 확장 협의.</t>
        </is>
      </c>
      <c r="L627" s="6">
        <f>HYPERLINK("https://fin.land.naver.com/articles/2654682425", "매물Link")</f>
        <v/>
      </c>
      <c r="M627" s="6">
        <f>HYPERLINK("https://map.naver.com/p/search/남이면 척산리 79", "지도Link")</f>
        <v/>
      </c>
      <c r="N627" s="6">
        <f>HYPERLINK("http://www.eum.go.kr/web/ar/lu/luLandDet.jsp?pnu=4311231021100790000&amp;isNoScr=script&amp;mode=search", "토지이음")</f>
        <v/>
      </c>
      <c r="O627" s="3" t="inlineStr">
        <is>
          <t>태광</t>
        </is>
      </c>
      <c r="P627" s="4" t="n">
        <v>1</v>
      </c>
      <c r="Q627" s="4" t="n">
        <v>2188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남이면 척산리 산 117-1</t>
        </is>
      </c>
      <c r="B628" s="3" t="inlineStr">
        <is>
          <t>보전관리지역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174000</v>
      </c>
      <c r="G628" s="4" t="n">
        <v>11508</v>
      </c>
      <c r="H628" s="4" t="n">
        <v>3481</v>
      </c>
      <c r="I628" s="5" t="n">
        <v>50</v>
      </c>
      <c r="J628" s="5" t="n">
        <v>5.7</v>
      </c>
      <c r="K628" s="3" t="inlineStr">
        <is>
          <t>6M도로접 2필지매매 야산 대도로 인접함</t>
        </is>
      </c>
      <c r="L628" s="6">
        <f>HYPERLINK("https://fin.land.naver.com/articles/2653628121", "매물Link")</f>
        <v/>
      </c>
      <c r="M628" s="6">
        <f>HYPERLINK("https://map.naver.com/p/search/남이면 척산리 산 117-1", "지도Link")</f>
        <v/>
      </c>
      <c r="N628" s="6">
        <f>HYPERLINK("http://www.eum.go.kr/web/ar/lu/luLandDet.jsp?pnu=4311231021201170001&amp;isNoScr=script&amp;mode=search", "토지이음")</f>
        <v/>
      </c>
      <c r="O628" s="3" t="inlineStr">
        <is>
          <t>플러스태양</t>
        </is>
      </c>
      <c r="P628" s="4" t="n">
        <v>1</v>
      </c>
      <c r="Q628" s="4" t="n">
        <v>9534</v>
      </c>
      <c r="R628" s="3" t="inlineStr">
        <is>
          <t>계획관리지역</t>
        </is>
      </c>
      <c r="S628" s="3" t="inlineStr">
        <is>
          <t>자연림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세로한면(불)</t>
        </is>
      </c>
    </row>
    <row r="629">
      <c r="A629" s="3" t="inlineStr">
        <is>
          <t>남이면 척산리 산147-1</t>
        </is>
      </c>
      <c r="B629" s="3" t="inlineStr">
        <is>
          <t>보전관리지역</t>
        </is>
      </c>
      <c r="C629" s="3" t="inlineStr">
        <is>
          <t>묘지</t>
        </is>
      </c>
      <c r="D629" s="3" t="inlineStr">
        <is>
          <t>묘지</t>
        </is>
      </c>
      <c r="E629" s="3" t="inlineStr">
        <is>
          <t>매매</t>
        </is>
      </c>
      <c r="F629" s="4" t="n">
        <v>29320</v>
      </c>
      <c r="G629" s="4" t="n">
        <v>2425</v>
      </c>
      <c r="H629" s="4" t="n">
        <v>734</v>
      </c>
      <c r="I629" s="5" t="n">
        <v>39.9</v>
      </c>
      <c r="J629" s="5" t="n">
        <v>1.9</v>
      </c>
      <c r="K629" s="3" t="inlineStr">
        <is>
          <t>가족묘지조성하기에 적합한임야이며 민원소지가 전혀없음</t>
        </is>
      </c>
      <c r="L629" s="6">
        <f>HYPERLINK("https://fin.land.naver.com/articles/2649787057", "매물Link")</f>
        <v/>
      </c>
      <c r="M629" s="6">
        <f>HYPERLINK("https://map.naver.com/p/search/남이면 척산리 산147-1", "지도Link")</f>
        <v/>
      </c>
      <c r="N629" s="6">
        <f>HYPERLINK("http://www.eum.go.kr/web/ar/lu/luLandDet.jsp?pnu=4311231021201470001&amp;isNoScr=script&amp;mode=search", "토지이음")</f>
        <v/>
      </c>
      <c r="O629" s="3" t="inlineStr">
        <is>
          <t>호반2블럭</t>
        </is>
      </c>
      <c r="P629" s="4" t="n">
        <v>1</v>
      </c>
      <c r="Q629" s="4" t="n">
        <v>2425</v>
      </c>
      <c r="R629" s="3" t="inlineStr">
        <is>
          <t>지정되지않음</t>
        </is>
      </c>
      <c r="S629" s="3" t="inlineStr">
        <is>
          <t>임야기타</t>
        </is>
      </c>
      <c r="T629" s="3" t="inlineStr">
        <is>
          <t>급경사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남이면 척산리 산92</t>
        </is>
      </c>
      <c r="B630" s="3" t="inlineStr">
        <is>
          <t>보전관리지역</t>
        </is>
      </c>
      <c r="C630" s="3" t="inlineStr">
        <is>
          <t>임야</t>
        </is>
      </c>
      <c r="D630" s="3" t="inlineStr">
        <is>
          <t>임야</t>
        </is>
      </c>
      <c r="E630" s="3" t="inlineStr">
        <is>
          <t>매매</t>
        </is>
      </c>
      <c r="F630" s="4" t="n">
        <v>59000</v>
      </c>
      <c r="G630" s="4" t="n">
        <v>7008</v>
      </c>
      <c r="H630" s="4" t="n">
        <v>2120</v>
      </c>
      <c r="I630" s="5" t="n">
        <v>27.8</v>
      </c>
      <c r="J630" s="5" t="n">
        <v>3.2</v>
      </c>
      <c r="K630" s="3" t="inlineStr">
        <is>
          <t>도로접한 임야 매매 합니다</t>
        </is>
      </c>
      <c r="L630" s="6">
        <f>HYPERLINK("https://fin.land.naver.com/articles/2651026639", "매물Link")</f>
        <v/>
      </c>
      <c r="M630" s="6">
        <f>HYPERLINK("https://map.naver.com/p/search/남이면 척산리 산92", "지도Link")</f>
        <v/>
      </c>
      <c r="N630" s="6">
        <f>HYPERLINK("http://www.eum.go.kr/web/ar/lu/luLandDet.jsp?pnu=4311231021200920000&amp;isNoScr=script&amp;mode=search", "토지이음")</f>
        <v/>
      </c>
      <c r="O630" s="3" t="inlineStr">
        <is>
          <t>수피아</t>
        </is>
      </c>
      <c r="P630" s="4" t="n">
        <v>1</v>
      </c>
      <c r="Q630" s="4" t="n">
        <v>4400</v>
      </c>
      <c r="R630" s="3" t="inlineStr">
        <is>
          <t>지정되지않음</t>
        </is>
      </c>
      <c r="S630" s="3" t="inlineStr">
        <is>
          <t>자연림</t>
        </is>
      </c>
      <c r="T630" s="3" t="inlineStr">
        <is>
          <t>완경사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남이면 팔봉리 101-3</t>
        </is>
      </c>
      <c r="B631" s="3" t="inlineStr">
        <is>
          <t>자연녹지지역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83600</v>
      </c>
      <c r="G631" s="4" t="n">
        <v>3253</v>
      </c>
      <c r="H631" s="4" t="n">
        <v>984</v>
      </c>
      <c r="I631" s="5" t="n">
        <v>85</v>
      </c>
      <c r="J631" s="5" t="n">
        <v>22.4</v>
      </c>
      <c r="K631" s="3" t="inlineStr">
        <is>
          <t>8M 도로접 투자성 높은 토지매매</t>
        </is>
      </c>
      <c r="L631" s="6">
        <f>HYPERLINK("https://fin.land.naver.com/articles/2653630483", "매물Link")</f>
        <v/>
      </c>
      <c r="M631" s="6">
        <f>HYPERLINK("https://map.naver.com/p/search/남이면 팔봉리 101-3", "지도Link")</f>
        <v/>
      </c>
      <c r="N631" s="6">
        <f>HYPERLINK("http://www.eum.go.kr/web/ar/lu/luLandDet.jsp?pnu=4311231030101010003&amp;isNoScr=script&amp;mode=search", "토지이음")</f>
        <v/>
      </c>
      <c r="O631" s="3" t="inlineStr">
        <is>
          <t>학사</t>
        </is>
      </c>
      <c r="P631" s="4" t="n">
        <v>1</v>
      </c>
      <c r="Q631" s="4" t="n">
        <v>1775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남이면 팔봉리 122-1</t>
        </is>
      </c>
      <c r="B632" s="3" t="inlineStr">
        <is>
          <t>자연녹지지역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25000</v>
      </c>
      <c r="G632" s="4" t="n">
        <v>793</v>
      </c>
      <c r="H632" s="4" t="n">
        <v>240</v>
      </c>
      <c r="I632" s="5" t="n">
        <v>104.2</v>
      </c>
      <c r="J632" s="5" t="n">
        <v>25.2</v>
      </c>
      <c r="K632" s="3" t="inlineStr">
        <is>
          <t>자연녹지 도로접 주택지 창고부지등 추천</t>
        </is>
      </c>
      <c r="L632" s="6">
        <f>HYPERLINK("https://fin.land.naver.com/articles/2649941376", "매물Link")</f>
        <v/>
      </c>
      <c r="M632" s="6">
        <f>HYPERLINK("https://map.naver.com/p/search/남이면 팔봉리 122-1", "지도Link")</f>
        <v/>
      </c>
      <c r="N632" s="6">
        <f>HYPERLINK("http://www.eum.go.kr/web/ar/lu/luLandDet.jsp?pnu=4311231030101220001&amp;isNoScr=script&amp;mode=search", "토지이음")</f>
        <v/>
      </c>
      <c r="O632" s="3" t="inlineStr">
        <is>
          <t>명장</t>
        </is>
      </c>
      <c r="P632" s="4" t="n">
        <v>1</v>
      </c>
      <c r="Q632" s="4" t="n">
        <v>793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남이면 팔봉리 147-4</t>
        </is>
      </c>
      <c r="B633" s="3" t="inlineStr">
        <is>
          <t>자연녹지지역</t>
        </is>
      </c>
      <c r="C633" s="3" t="inlineStr">
        <is>
          <t>전</t>
        </is>
      </c>
      <c r="D633" s="3" t="inlineStr">
        <is>
          <t>전</t>
        </is>
      </c>
      <c r="E633" s="3" t="inlineStr">
        <is>
          <t>매매</t>
        </is>
      </c>
      <c r="F633" s="4" t="n">
        <v>59700</v>
      </c>
      <c r="G633" s="4" t="n">
        <v>2015</v>
      </c>
      <c r="H633" s="4" t="n">
        <v>610</v>
      </c>
      <c r="I633" s="5" t="n">
        <v>97.90000000000001</v>
      </c>
      <c r="J633" s="5" t="n">
        <v>15.3</v>
      </c>
      <c r="K633" s="3" t="inlineStr">
        <is>
          <t>2차선접 남향 활용도 높은 토지</t>
        </is>
      </c>
      <c r="L633" s="6">
        <f>HYPERLINK("https://fin.land.naver.com/articles/2649741316", "매물Link")</f>
        <v/>
      </c>
      <c r="M633" s="6">
        <f>HYPERLINK("https://map.naver.com/p/search/남이면 팔봉리 147-4", "지도Link")</f>
        <v/>
      </c>
      <c r="N633" s="6">
        <f>HYPERLINK("http://www.eum.go.kr/web/ar/lu/luLandDet.jsp?pnu=4311231030101470004&amp;isNoScr=script&amp;mode=search", "토지이음")</f>
        <v/>
      </c>
      <c r="O633" s="3" t="inlineStr">
        <is>
          <t>학사</t>
        </is>
      </c>
      <c r="P633" s="4" t="n">
        <v>1</v>
      </c>
      <c r="Q633" s="4" t="n">
        <v>1076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맹지</t>
        </is>
      </c>
    </row>
    <row r="634">
      <c r="A634" s="3" t="inlineStr">
        <is>
          <t>남이면 팔봉리 264-5</t>
        </is>
      </c>
      <c r="B634" s="3" t="inlineStr">
        <is>
          <t>자연녹지지역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45360</v>
      </c>
      <c r="G634" s="4" t="n">
        <v>1874</v>
      </c>
      <c r="H634" s="4" t="n">
        <v>567</v>
      </c>
      <c r="I634" s="5" t="n">
        <v>80</v>
      </c>
      <c r="J634" s="5" t="n">
        <v>20.4</v>
      </c>
      <c r="K634" s="3" t="inlineStr">
        <is>
          <t>팔봉리 2차선접 투자용 저렴한 토지매매</t>
        </is>
      </c>
      <c r="L634" s="6">
        <f>HYPERLINK("https://fin.land.naver.com/articles/2654843363", "매물Link")</f>
        <v/>
      </c>
      <c r="M634" s="6">
        <f>HYPERLINK("https://map.naver.com/p/search/남이면 팔봉리 264-5", "지도Link")</f>
        <v/>
      </c>
      <c r="N634" s="6">
        <f>HYPERLINK("http://www.eum.go.kr/web/ar/lu/luLandDet.jsp?pnu=4311231030102640005&amp;isNoScr=script&amp;mode=search", "토지이음")</f>
        <v/>
      </c>
      <c r="O634" s="3" t="inlineStr">
        <is>
          <t>학사</t>
        </is>
      </c>
      <c r="P634" s="4" t="n">
        <v>1</v>
      </c>
      <c r="Q634" s="4" t="n">
        <v>1874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소로한면</t>
        </is>
      </c>
    </row>
    <row r="635">
      <c r="A635" s="3" t="inlineStr">
        <is>
          <t>남이면 팔봉리 264-5</t>
        </is>
      </c>
      <c r="B635" s="3" t="inlineStr">
        <is>
          <t>자연녹지지역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45360</v>
      </c>
      <c r="G635" s="4" t="n">
        <v>1874</v>
      </c>
      <c r="H635" s="4" t="n">
        <v>567</v>
      </c>
      <c r="I635" s="5" t="n">
        <v>80</v>
      </c>
      <c r="J635" s="5" t="n">
        <v>20.4</v>
      </c>
      <c r="K635" s="3" t="inlineStr">
        <is>
          <t>급매,2차선 도로접함,투자,창고용도 추천</t>
        </is>
      </c>
      <c r="L635" s="6">
        <f>HYPERLINK("https://fin.land.naver.com/articles/2651873712", "매물Link")</f>
        <v/>
      </c>
      <c r="M635" s="6">
        <f>HYPERLINK("https://map.naver.com/p/search/남이면 팔봉리 264-5", "지도Link")</f>
        <v/>
      </c>
      <c r="N635" s="6">
        <f>HYPERLINK("http://www.eum.go.kr/web/ar/lu/luLandDet.jsp?pnu=4311231030102640005&amp;isNoScr=script&amp;mode=search", "토지이음")</f>
        <v/>
      </c>
      <c r="O635" s="3" t="inlineStr">
        <is>
          <t>가경아이파크5단지일타</t>
        </is>
      </c>
      <c r="P635" s="4" t="n">
        <v>1</v>
      </c>
      <c r="Q635" s="4" t="n">
        <v>1874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남이면 팔봉리 329</t>
        </is>
      </c>
      <c r="B636" s="3" t="inlineStr">
        <is>
          <t>자연녹지지역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33400</v>
      </c>
      <c r="G636" s="4" t="n">
        <v>1006</v>
      </c>
      <c r="H636" s="4" t="n">
        <v>304</v>
      </c>
      <c r="I636" s="5" t="n">
        <v>109.9</v>
      </c>
      <c r="J636" s="5" t="n">
        <v>20.4</v>
      </c>
      <c r="K636" s="3" t="inlineStr">
        <is>
          <t>청주 팔봉리 토지매매, 2차선 도로접합, 영농 주말농장, 개발, 투자용</t>
        </is>
      </c>
      <c r="L636" s="6">
        <f>HYPERLINK("https://fin.land.naver.com/articles/2652179682", "매물Link")</f>
        <v/>
      </c>
      <c r="M636" s="6">
        <f>HYPERLINK("https://map.naver.com/p/search/남이면 팔봉리 329", "지도Link")</f>
        <v/>
      </c>
      <c r="N636" s="6">
        <f>HYPERLINK("http://www.eum.go.kr/web/ar/lu/luLandDet.jsp?pnu=4311231030103290000&amp;isNoScr=script&amp;mode=search", "토지이음")</f>
        <v/>
      </c>
      <c r="O636" s="3" t="inlineStr">
        <is>
          <t>라인</t>
        </is>
      </c>
      <c r="P636" s="4" t="n">
        <v>1</v>
      </c>
      <c r="Q636" s="4" t="n">
        <v>591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남이면 팔봉리 376-1</t>
        </is>
      </c>
      <c r="B637" s="3" t="inlineStr">
        <is>
          <t>자연녹지지역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45000</v>
      </c>
      <c r="G637" s="4" t="n">
        <v>1544</v>
      </c>
      <c r="H637" s="4" t="n">
        <v>467</v>
      </c>
      <c r="I637" s="5" t="n">
        <v>96.40000000000001</v>
      </c>
      <c r="J637" s="5" t="n">
        <v>17.4</v>
      </c>
      <c r="K637" s="3" t="inlineStr">
        <is>
          <t>건축허가완료 제조업가능 저렴한 매물</t>
        </is>
      </c>
      <c r="L637" s="6">
        <f>HYPERLINK("https://fin.land.naver.com/articles/2654838437", "매물Link")</f>
        <v/>
      </c>
      <c r="M637" s="6">
        <f>HYPERLINK("https://map.naver.com/p/search/남이면 팔봉리 376-1", "지도Link")</f>
        <v/>
      </c>
      <c r="N637" s="6">
        <f>HYPERLINK("http://www.eum.go.kr/web/ar/lu/luLandDet.jsp?pnu=4311231030103760001&amp;isNoScr=script&amp;mode=search", "토지이음")</f>
        <v/>
      </c>
      <c r="O637" s="3" t="inlineStr">
        <is>
          <t>학사</t>
        </is>
      </c>
      <c r="P637" s="4" t="n">
        <v>2</v>
      </c>
      <c r="Q637" s="4" t="n">
        <v>1544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남이면 팔봉리 51-11</t>
        </is>
      </c>
      <c r="B638" s="3" t="inlineStr">
        <is>
          <t>자연녹지지역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22000</v>
      </c>
      <c r="G638" s="4" t="n">
        <v>840</v>
      </c>
      <c r="H638" s="4" t="n">
        <v>254</v>
      </c>
      <c r="I638" s="5" t="n">
        <v>86.59999999999999</v>
      </c>
      <c r="J638" s="5" t="n">
        <v>50.2</v>
      </c>
      <c r="K638" s="3" t="inlineStr">
        <is>
          <t>청주 팔봉리 전원주택용지 매매,시내접근성 우수,가격절충,도로지분포함</t>
        </is>
      </c>
      <c r="L638" s="6">
        <f>HYPERLINK("https://fin.land.naver.com/articles/2653376919", "매물Link")</f>
        <v/>
      </c>
      <c r="M638" s="6">
        <f>HYPERLINK("https://map.naver.com/p/search/남이면 팔봉리 51-11", "지도Link")</f>
        <v/>
      </c>
      <c r="N638" s="6">
        <f>HYPERLINK("http://www.eum.go.kr/web/ar/lu/luLandDet.jsp?pnu=4311231030100510011&amp;isNoScr=script&amp;mode=search", "토지이음")</f>
        <v/>
      </c>
      <c r="O638" s="3" t="inlineStr">
        <is>
          <t>라인</t>
        </is>
      </c>
      <c r="P638" s="4" t="n">
        <v>1</v>
      </c>
      <c r="Q638" s="4" t="n">
        <v>732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완경사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남이면 팔봉리 산 23-14</t>
        </is>
      </c>
      <c r="B639" s="3" t="inlineStr">
        <is>
          <t>보전녹지지역</t>
        </is>
      </c>
      <c r="C639" s="3" t="inlineStr">
        <is>
          <t>임야</t>
        </is>
      </c>
      <c r="D639" s="3" t="inlineStr">
        <is>
          <t>임야</t>
        </is>
      </c>
      <c r="E639" s="3" t="inlineStr">
        <is>
          <t>매매</t>
        </is>
      </c>
      <c r="F639" s="4" t="n">
        <v>22000</v>
      </c>
      <c r="G639" s="4" t="n">
        <v>865</v>
      </c>
      <c r="H639" s="4" t="n">
        <v>262</v>
      </c>
      <c r="I639" s="5" t="n">
        <v>84</v>
      </c>
      <c r="J639" s="5" t="n">
        <v>40.1</v>
      </c>
      <c r="K639" s="3" t="inlineStr">
        <is>
          <t>급매, 팔봉리 전원주택 토지매매</t>
        </is>
      </c>
      <c r="L639" s="6">
        <f>HYPERLINK("https://fin.land.naver.com/articles/2650589873", "매물Link")</f>
        <v/>
      </c>
      <c r="M639" s="6">
        <f>HYPERLINK("https://map.naver.com/p/search/남이면 팔봉리 산 23-14", "지도Link")</f>
        <v/>
      </c>
      <c r="N639" s="6">
        <f>HYPERLINK("http://www.eum.go.kr/web/ar/lu/luLandDet.jsp?pnu=4311231030200230014&amp;isNoScr=script&amp;mode=search", "토지이음")</f>
        <v/>
      </c>
      <c r="O639" s="3" t="inlineStr">
        <is>
          <t>강남하택</t>
        </is>
      </c>
      <c r="P639" s="4" t="n">
        <v>1</v>
      </c>
      <c r="Q639" s="4" t="n">
        <v>865</v>
      </c>
      <c r="R639" s="3" t="inlineStr">
        <is>
          <t>자연녹지지역</t>
        </is>
      </c>
      <c r="S639" s="3" t="inlineStr">
        <is>
          <t>주거나지</t>
        </is>
      </c>
      <c r="T639" s="3" t="inlineStr">
        <is>
          <t>완경사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남이면 팔봉리 산22-11</t>
        </is>
      </c>
      <c r="B640" s="3" t="inlineStr">
        <is>
          <t>보전녹지지역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18000</v>
      </c>
      <c r="G640" s="4" t="n">
        <v>650</v>
      </c>
      <c r="H640" s="4" t="n">
        <v>197</v>
      </c>
      <c r="I640" s="5" t="n">
        <v>91.40000000000001</v>
      </c>
      <c r="J640" s="5" t="n">
        <v>41</v>
      </c>
      <c r="K640" s="3" t="inlineStr">
        <is>
          <t>전원주택 최적지 매매 저렴한금액 가격조정가능 도로지분있음</t>
        </is>
      </c>
      <c r="L640" s="6">
        <f>HYPERLINK("https://fin.land.naver.com/articles/2651030939", "매물Link")</f>
        <v/>
      </c>
      <c r="M640" s="6">
        <f>HYPERLINK("https://map.naver.com/p/search/남이면 팔봉리 산22-11", "지도Link")</f>
        <v/>
      </c>
      <c r="N640" s="6">
        <f>HYPERLINK("http://www.eum.go.kr/web/ar/lu/luLandDet.jsp?pnu=4311231030200220011&amp;isNoScr=script&amp;mode=search", "토지이음")</f>
        <v/>
      </c>
      <c r="O640" s="3" t="inlineStr">
        <is>
          <t>고운동리치세종</t>
        </is>
      </c>
      <c r="P640" s="4" t="n">
        <v>1</v>
      </c>
      <c r="Q640" s="4" t="n">
        <v>650</v>
      </c>
      <c r="R640" s="3" t="inlineStr">
        <is>
          <t>자연녹지지역</t>
        </is>
      </c>
      <c r="S640" s="3" t="inlineStr">
        <is>
          <t>주거나지</t>
        </is>
      </c>
      <c r="T640" s="3" t="inlineStr">
        <is>
          <t>완경사</t>
        </is>
      </c>
      <c r="U640" s="3" t="inlineStr">
        <is>
          <t>사다리형</t>
        </is>
      </c>
      <c r="V640" s="3" t="inlineStr">
        <is>
          <t>세로각지(가)</t>
        </is>
      </c>
    </row>
    <row r="641">
      <c r="A641" s="3" t="inlineStr">
        <is>
          <t>남이면 팔봉리 산40-16</t>
        </is>
      </c>
      <c r="B641" s="3" t="inlineStr">
        <is>
          <t>보전녹지지역</t>
        </is>
      </c>
      <c r="C641" s="3" t="inlineStr">
        <is>
          <t>임야</t>
        </is>
      </c>
      <c r="D641" s="3" t="inlineStr">
        <is>
          <t>임야</t>
        </is>
      </c>
      <c r="E641" s="3" t="inlineStr">
        <is>
          <t>매매</t>
        </is>
      </c>
      <c r="F641" s="4" t="n">
        <v>60000</v>
      </c>
      <c r="G641" s="4" t="n">
        <v>35282</v>
      </c>
      <c r="H641" s="4" t="n">
        <v>10673</v>
      </c>
      <c r="I641" s="5" t="n">
        <v>5.6</v>
      </c>
      <c r="J641" s="5" t="n">
        <v>1.7</v>
      </c>
      <c r="K641" s="3" t="inlineStr">
        <is>
          <t>남이면 팔봉리에 위치한 임야 급매</t>
        </is>
      </c>
      <c r="L641" s="6">
        <f>HYPERLINK("https://fin.land.naver.com/articles/2653402243", "매물Link")</f>
        <v/>
      </c>
      <c r="M641" s="6">
        <f>HYPERLINK("https://map.naver.com/p/search/남이면 팔봉리 산40-16", "지도Link")</f>
        <v/>
      </c>
      <c r="N641" s="6">
        <f>HYPERLINK("http://www.eum.go.kr/web/ar/lu/luLandDet.jsp?pnu=4311231030200400016&amp;isNoScr=script&amp;mode=search", "토지이음")</f>
        <v/>
      </c>
      <c r="O641" s="3" t="inlineStr">
        <is>
          <t>대지</t>
        </is>
      </c>
      <c r="P641" s="4" t="n">
        <v>1</v>
      </c>
      <c r="Q641" s="4" t="n">
        <v>35282</v>
      </c>
      <c r="R641" s="3" t="inlineStr">
        <is>
          <t>지정되지않음</t>
        </is>
      </c>
      <c r="S641" s="3" t="inlineStr">
        <is>
          <t>자연림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다정동 641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60000</v>
      </c>
      <c r="G642" s="4" t="n">
        <v>409</v>
      </c>
      <c r="H642" s="4" t="n">
        <v>124</v>
      </c>
      <c r="I642" s="5" t="n">
        <v>483.9</v>
      </c>
      <c r="J642" s="5" t="n">
        <v>324.8</v>
      </c>
      <c r="K642" s="3" t="inlineStr">
        <is>
          <t>3면코너각지 대형필지 조율가능</t>
        </is>
      </c>
      <c r="L642" s="6">
        <f>HYPERLINK("https://fin.land.naver.com/articles/2653668178", "매물Link")</f>
        <v/>
      </c>
      <c r="M642" s="6">
        <f>HYPERLINK("https://map.naver.com/p/search/다정동 641", "지도Link")</f>
        <v/>
      </c>
      <c r="N642" s="6">
        <f>HYPERLINK("http://www.eum.go.kr/web/ar/lu/luLandDet.jsp?pnu=3611010900106410000&amp;isNoScr=script&amp;mode=search", "토지이음")</f>
        <v/>
      </c>
      <c r="O642" s="3" t="inlineStr">
        <is>
          <t>세종스타</t>
        </is>
      </c>
      <c r="P642" s="4" t="n">
        <v>1</v>
      </c>
      <c r="Q642" s="4" t="n">
        <v>408.8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중로각지</t>
        </is>
      </c>
    </row>
    <row r="643">
      <c r="A643" s="3" t="inlineStr">
        <is>
          <t>다정동 643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68000</v>
      </c>
      <c r="G643" s="4" t="n">
        <v>535</v>
      </c>
      <c r="H643" s="4" t="n">
        <v>162</v>
      </c>
      <c r="I643" s="5" t="n">
        <v>419.8</v>
      </c>
      <c r="J643" s="5" t="n">
        <v>278</v>
      </c>
      <c r="K643" s="3" t="inlineStr">
        <is>
          <t>162.1p, 평단가 낮은 다정동 급매 토지</t>
        </is>
      </c>
      <c r="L643" s="6">
        <f>HYPERLINK("https://fin.land.naver.com/articles/2654897667", "매물Link")</f>
        <v/>
      </c>
      <c r="M643" s="6">
        <f>HYPERLINK("https://map.naver.com/p/search/다정동 643", "지도Link")</f>
        <v/>
      </c>
      <c r="N643" s="6">
        <f>HYPERLINK("http://www.eum.go.kr/web/ar/lu/luLandDet.jsp?pnu=3611010900106430000&amp;isNoScr=script&amp;mode=search", "토지이음")</f>
        <v/>
      </c>
      <c r="O643" s="3" t="inlineStr">
        <is>
          <t>명진</t>
        </is>
      </c>
      <c r="P643" s="4" t="n">
        <v>1</v>
      </c>
      <c r="Q643" s="4" t="n">
        <v>535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소로한면</t>
        </is>
      </c>
    </row>
    <row r="644">
      <c r="A644" s="3" t="inlineStr">
        <is>
          <t>다정동 643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68000</v>
      </c>
      <c r="G644" s="4" t="n">
        <v>535</v>
      </c>
      <c r="H644" s="4" t="n">
        <v>162</v>
      </c>
      <c r="I644" s="5" t="n">
        <v>419.8</v>
      </c>
      <c r="J644" s="5" t="n">
        <v>278</v>
      </c>
      <c r="K644" s="3" t="inlineStr">
        <is>
          <t>급매 추가조율가능 161.5p 공원접함 프라이버시최상</t>
        </is>
      </c>
      <c r="L644" s="6">
        <f>HYPERLINK("https://fin.land.naver.com/articles/2654659639", "매물Link")</f>
        <v/>
      </c>
      <c r="M644" s="6">
        <f>HYPERLINK("https://map.naver.com/p/search/다정동 643", "지도Link")</f>
        <v/>
      </c>
      <c r="N644" s="6">
        <f>HYPERLINK("http://www.eum.go.kr/web/ar/lu/luLandDet.jsp?pnu=3611010900106430000&amp;isNoScr=script&amp;mode=search", "토지이음")</f>
        <v/>
      </c>
      <c r="O644" s="3" t="inlineStr">
        <is>
          <t>세종스타</t>
        </is>
      </c>
      <c r="P644" s="4" t="n">
        <v>2</v>
      </c>
      <c r="Q644" s="4" t="n">
        <v>535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소로한면</t>
        </is>
      </c>
    </row>
    <row r="645">
      <c r="A645" s="3" t="inlineStr">
        <is>
          <t>다정동 643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68000</v>
      </c>
      <c r="G645" s="4" t="n">
        <v>534</v>
      </c>
      <c r="H645" s="4" t="n">
        <v>162</v>
      </c>
      <c r="I645" s="5" t="n">
        <v>419.8</v>
      </c>
      <c r="J645" s="5" t="n">
        <v>278</v>
      </c>
      <c r="K645" s="3" t="inlineStr">
        <is>
          <t>공원 인근 다정동 단독주택지, 넓은 면적 추천</t>
        </is>
      </c>
      <c r="L645" s="6">
        <f>HYPERLINK("https://fin.land.naver.com/articles/2650427943", "매물Link")</f>
        <v/>
      </c>
      <c r="M645" s="6">
        <f>HYPERLINK("https://map.naver.com/p/search/다정동 643", "지도Link")</f>
        <v/>
      </c>
      <c r="N645" s="6">
        <f>HYPERLINK("http://www.eum.go.kr/web/ar/lu/luLandDet.jsp?pnu=3611010900106430000&amp;isNoScr=script&amp;mode=search", "토지이음")</f>
        <v/>
      </c>
      <c r="O645" s="3" t="inlineStr">
        <is>
          <t>세종무지개</t>
        </is>
      </c>
      <c r="P645" s="4" t="n">
        <v>1</v>
      </c>
      <c r="Q645" s="4" t="n">
        <v>535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소로한면</t>
        </is>
      </c>
    </row>
    <row r="646">
      <c r="A646" s="3" t="inlineStr">
        <is>
          <t>다정동 651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60000</v>
      </c>
      <c r="G646" s="4" t="n">
        <v>300</v>
      </c>
      <c r="H646" s="4" t="n">
        <v>91</v>
      </c>
      <c r="I646" s="5" t="n">
        <v>659.3</v>
      </c>
      <c r="J646" s="5" t="n">
        <v>292.7</v>
      </c>
      <c r="K646" s="3" t="inlineStr">
        <is>
          <t>총 90.9p, 다정동 조용한 단독주택지, 정남향</t>
        </is>
      </c>
      <c r="L646" s="6">
        <f>HYPERLINK("https://fin.land.naver.com/articles/2652842480", "매물Link")</f>
        <v/>
      </c>
      <c r="M646" s="6">
        <f>HYPERLINK("https://map.naver.com/p/search/다정동 651", "지도Link")</f>
        <v/>
      </c>
      <c r="N646" s="6">
        <f>HYPERLINK("http://www.eum.go.kr/web/ar/lu/luLandDet.jsp?pnu=3611010900106510000&amp;isNoScr=script&amp;mode=search",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300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소로한면</t>
        </is>
      </c>
    </row>
    <row r="647">
      <c r="A647" s="3" t="inlineStr">
        <is>
          <t>다정동 651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60000</v>
      </c>
      <c r="G647" s="4" t="n">
        <v>300</v>
      </c>
      <c r="H647" s="4" t="n">
        <v>91</v>
      </c>
      <c r="I647" s="5" t="n">
        <v>659.3</v>
      </c>
      <c r="J647" s="5" t="n">
        <v>292.7</v>
      </c>
      <c r="K647" s="3" t="inlineStr">
        <is>
          <t>가격조정가능 공원옆으로 남향 입지최고</t>
        </is>
      </c>
      <c r="L647" s="6">
        <f>HYPERLINK("https://fin.land.naver.com/articles/2654712768", "매물Link")</f>
        <v/>
      </c>
      <c r="M647" s="6">
        <f>HYPERLINK("https://map.naver.com/p/search/다정동 651", "지도Link")</f>
        <v/>
      </c>
      <c r="N647" s="6">
        <f>HYPERLINK("http://www.eum.go.kr/web/ar/lu/luLandDet.jsp?pnu=3611010900106510000&amp;isNoScr=script&amp;mode=search", "토지이음")</f>
        <v/>
      </c>
      <c r="O647" s="3" t="inlineStr">
        <is>
          <t>고운동리치세종</t>
        </is>
      </c>
      <c r="P647" s="4" t="n">
        <v>2</v>
      </c>
      <c r="Q647" s="4" t="n">
        <v>300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다정동 651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60000</v>
      </c>
      <c r="G648" s="4" t="n">
        <v>300</v>
      </c>
      <c r="H648" s="4" t="n">
        <v>91</v>
      </c>
      <c r="I648" s="5" t="n">
        <v>659.3</v>
      </c>
      <c r="J648" s="5" t="n">
        <v>292.7</v>
      </c>
      <c r="K648" s="3" t="inlineStr">
        <is>
          <t>총 90.9p, 다정동 가격좋은 조용한 위치 토지매매</t>
        </is>
      </c>
      <c r="L648" s="6">
        <f>HYPERLINK("https://fin.land.naver.com/articles/2654927950", "매물Link")</f>
        <v/>
      </c>
      <c r="M648" s="6">
        <f>HYPERLINK("https://map.naver.com/p/search/다정동 651", "지도Link")</f>
        <v/>
      </c>
      <c r="N648" s="6">
        <f>HYPERLINK("http://www.eum.go.kr/web/ar/lu/luLandDet.jsp?pnu=3611010900106510000&amp;isNoScr=script&amp;mode=search",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300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다정동 667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62000</v>
      </c>
      <c r="G649" s="4" t="n">
        <v>336</v>
      </c>
      <c r="H649" s="4" t="n">
        <v>102</v>
      </c>
      <c r="I649" s="5" t="n">
        <v>607.8</v>
      </c>
      <c r="J649" s="5" t="n">
        <v>324.8</v>
      </c>
      <c r="K649" s="3" t="inlineStr">
        <is>
          <t>다정동 단독상가 매매, 입지 좋은 조용한 위치</t>
        </is>
      </c>
      <c r="L649" s="6">
        <f>HYPERLINK("https://fin.land.naver.com/articles/2653565556", "매물Link")</f>
        <v/>
      </c>
      <c r="M649" s="6">
        <f>HYPERLINK("https://map.naver.com/p/search/다정동 667", "지도Link")</f>
        <v/>
      </c>
      <c r="N649" s="6">
        <f>HYPERLINK("http://www.eum.go.kr/web/ar/lu/luLandDet.jsp?pnu=3611010900106670000&amp;isNoScr=script&amp;mode=search", "토지이음")</f>
        <v/>
      </c>
      <c r="O649" s="3" t="inlineStr">
        <is>
          <t>세종무지개</t>
        </is>
      </c>
      <c r="P649" s="4" t="n">
        <v>1</v>
      </c>
      <c r="Q649" s="4" t="n">
        <v>336.3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중로각지</t>
        </is>
      </c>
    </row>
    <row r="650">
      <c r="A650" s="3" t="inlineStr">
        <is>
          <t>다정동 674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43000</v>
      </c>
      <c r="G650" s="4" t="n">
        <v>290</v>
      </c>
      <c r="H650" s="4" t="n">
        <v>88</v>
      </c>
      <c r="I650" s="5" t="n">
        <v>488.6</v>
      </c>
      <c r="J650" s="5" t="n">
        <v>292.7</v>
      </c>
      <c r="K650" s="3" t="inlineStr">
        <is>
          <t>총 87.9p, 다정동 저렴한 단독주택지 매매</t>
        </is>
      </c>
      <c r="L650" s="6">
        <f>HYPERLINK("https://fin.land.naver.com/articles/2652839084", "매물Link")</f>
        <v/>
      </c>
      <c r="M650" s="6">
        <f>HYPERLINK("https://map.naver.com/p/search/다정동 674", "지도Link")</f>
        <v/>
      </c>
      <c r="N650" s="6">
        <f>HYPERLINK("http://www.eum.go.kr/web/ar/lu/luLandDet.jsp?pnu=3611010900106740000&amp;isNoScr=script&amp;mode=search",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290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다정동 674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43000</v>
      </c>
      <c r="G651" s="4" t="n">
        <v>290</v>
      </c>
      <c r="H651" s="4" t="n">
        <v>88</v>
      </c>
      <c r="I651" s="5" t="n">
        <v>488.6</v>
      </c>
      <c r="J651" s="5" t="n">
        <v>292.7</v>
      </c>
      <c r="K651" s="3" t="inlineStr">
        <is>
          <t>저렴한매매 가격조정가능</t>
        </is>
      </c>
      <c r="L651" s="6">
        <f>HYPERLINK("https://fin.land.naver.com/articles/2654749132", "매물Link")</f>
        <v/>
      </c>
      <c r="M651" s="6">
        <f>HYPERLINK("https://map.naver.com/p/search/다정동 674", "지도Link")</f>
        <v/>
      </c>
      <c r="N651" s="6">
        <f>HYPERLINK("http://www.eum.go.kr/web/ar/lu/luLandDet.jsp?pnu=3611010900106740000&amp;isNoScr=script&amp;mode=search", "토지이음")</f>
        <v/>
      </c>
      <c r="O651" s="3" t="inlineStr">
        <is>
          <t>고운동리치세종</t>
        </is>
      </c>
      <c r="P651" s="4" t="n">
        <v>3</v>
      </c>
      <c r="Q651" s="4" t="n">
        <v>290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소로한면</t>
        </is>
      </c>
    </row>
    <row r="652">
      <c r="A652" s="3" t="inlineStr">
        <is>
          <t>다정동 674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43000</v>
      </c>
      <c r="G652" s="4" t="n">
        <v>290</v>
      </c>
      <c r="H652" s="4" t="n">
        <v>88</v>
      </c>
      <c r="I652" s="5" t="n">
        <v>488.6</v>
      </c>
      <c r="J652" s="5" t="n">
        <v>292.7</v>
      </c>
      <c r="K652" s="3" t="inlineStr">
        <is>
          <t>총 87.9p, 토지 초급매, 추천매물</t>
        </is>
      </c>
      <c r="L652" s="6">
        <f>HYPERLINK("https://fin.land.naver.com/articles/2654897202", "매물Link")</f>
        <v/>
      </c>
      <c r="M652" s="6">
        <f>HYPERLINK("https://map.naver.com/p/search/다정동 674", "지도Link")</f>
        <v/>
      </c>
      <c r="N652" s="6">
        <f>HYPERLINK("http://www.eum.go.kr/web/ar/lu/luLandDet.jsp?pnu=3611010900106740000&amp;isNoScr=script&amp;mode=search",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290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소로한면</t>
        </is>
      </c>
    </row>
    <row r="653">
      <c r="A653" s="3" t="inlineStr">
        <is>
          <t>다정동 677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62000</v>
      </c>
      <c r="G653" s="4" t="n">
        <v>270</v>
      </c>
      <c r="H653" s="4" t="n">
        <v>82</v>
      </c>
      <c r="I653" s="5" t="n">
        <v>756.1</v>
      </c>
      <c r="J653" s="5" t="n">
        <v>292.7</v>
      </c>
      <c r="K653" s="3" t="inlineStr">
        <is>
          <t>단독주택부지. 교통, 상권 편리한 귀한 필지</t>
        </is>
      </c>
      <c r="L653" s="6">
        <f>HYPERLINK("https://fin.land.naver.com/articles/2654913777", "매물Link")</f>
        <v/>
      </c>
      <c r="M653" s="6">
        <f>HYPERLINK("https://map.naver.com/p/search/다정동 677", "지도Link")</f>
        <v/>
      </c>
      <c r="N653" s="6">
        <f>HYPERLINK("http://www.eum.go.kr/web/ar/lu/luLandDet.jsp?pnu=3611010900106770000&amp;isNoScr=script&amp;mode=search", "토지이음")</f>
        <v/>
      </c>
      <c r="O653" s="3" t="inlineStr">
        <is>
          <t>라이프</t>
        </is>
      </c>
      <c r="P653" s="4" t="n">
        <v>2</v>
      </c>
      <c r="Q653" s="4" t="n">
        <v>270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소로한면</t>
        </is>
      </c>
    </row>
    <row r="654">
      <c r="A654" s="3" t="inlineStr">
        <is>
          <t>다정동 688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45000</v>
      </c>
      <c r="G654" s="4" t="n">
        <v>273</v>
      </c>
      <c r="H654" s="4" t="n">
        <v>83</v>
      </c>
      <c r="I654" s="5" t="n">
        <v>542.2</v>
      </c>
      <c r="J654" s="5" t="n">
        <v>313.1</v>
      </c>
      <c r="K654" s="3" t="inlineStr">
        <is>
          <t>조율가능 편의시설옆 건축하기 좋은 모양</t>
        </is>
      </c>
      <c r="L654" s="6">
        <f>HYPERLINK("https://fin.land.naver.com/articles/2651087752", "매물Link")</f>
        <v/>
      </c>
      <c r="M654" s="6">
        <f>HYPERLINK("https://map.naver.com/p/search/다정동 688", "지도Link")</f>
        <v/>
      </c>
      <c r="N654" s="6">
        <f>HYPERLINK("http://www.eum.go.kr/web/ar/lu/luLandDet.jsp?pnu=3611010900106880000&amp;isNoScr=script&amp;mode=search", "토지이음")</f>
        <v/>
      </c>
      <c r="O654" s="3" t="inlineStr">
        <is>
          <t>세종스타</t>
        </is>
      </c>
      <c r="P654" s="4" t="n">
        <v>1</v>
      </c>
      <c r="Q654" s="4" t="n">
        <v>273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가로장방</t>
        </is>
      </c>
      <c r="V654" s="3" t="inlineStr">
        <is>
          <t>중로한면</t>
        </is>
      </c>
    </row>
    <row r="655">
      <c r="A655" s="3" t="inlineStr">
        <is>
          <t>다정동 688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45000</v>
      </c>
      <c r="G655" s="4" t="n">
        <v>273</v>
      </c>
      <c r="H655" s="4" t="n">
        <v>83</v>
      </c>
      <c r="I655" s="5" t="n">
        <v>542.2</v>
      </c>
      <c r="J655" s="5" t="n">
        <v>313.1</v>
      </c>
      <c r="K655" s="3" t="inlineStr">
        <is>
          <t>조용한 단독주택지,급매</t>
        </is>
      </c>
      <c r="L655" s="6">
        <f>HYPERLINK("https://fin.land.naver.com/articles/2654512640", "매물Link")</f>
        <v/>
      </c>
      <c r="M655" s="6">
        <f>HYPERLINK("https://map.naver.com/p/search/다정동 688", "지도Link")</f>
        <v/>
      </c>
      <c r="N655" s="6">
        <f>HYPERLINK("http://www.eum.go.kr/web/ar/lu/luLandDet.jsp?pnu=3611010900106880000&amp;isNoScr=script&amp;mode=search", "토지이음")</f>
        <v/>
      </c>
      <c r="O655" s="3" t="inlineStr">
        <is>
          <t>세종금주</t>
        </is>
      </c>
      <c r="P655" s="4" t="n">
        <v>1</v>
      </c>
      <c r="Q655" s="4" t="n">
        <v>273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중로한면</t>
        </is>
      </c>
    </row>
    <row r="656">
      <c r="A656" s="3" t="inlineStr">
        <is>
          <t>다정동 728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55000</v>
      </c>
      <c r="G656" s="4" t="n">
        <v>351</v>
      </c>
      <c r="H656" s="4" t="n">
        <v>106</v>
      </c>
      <c r="I656" s="5" t="n">
        <v>518.9</v>
      </c>
      <c r="J656" s="5" t="n">
        <v>341.2</v>
      </c>
      <c r="K656" s="3" t="inlineStr">
        <is>
          <t>급매,위치 좋은곳</t>
        </is>
      </c>
      <c r="L656" s="6">
        <f>HYPERLINK("https://fin.land.naver.com/articles/2655225992", "매물Link")</f>
        <v/>
      </c>
      <c r="M656" s="6">
        <f>HYPERLINK("https://map.naver.com/p/search/다정동 728", "지도Link")</f>
        <v/>
      </c>
      <c r="N656" s="6">
        <f>HYPERLINK("http://www.eum.go.kr/web/ar/lu/luLandDet.jsp?pnu=3611010900107280000&amp;isNoScr=script&amp;mode=search", "토지이음")</f>
        <v/>
      </c>
      <c r="O656" s="3" t="inlineStr">
        <is>
          <t>힐데스하임</t>
        </is>
      </c>
      <c r="P656" s="4" t="n">
        <v>1</v>
      </c>
      <c r="Q656" s="4" t="n">
        <v>351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중로한면</t>
        </is>
      </c>
    </row>
    <row r="657">
      <c r="A657" s="3" t="inlineStr">
        <is>
          <t>다정동 729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67000</v>
      </c>
      <c r="G657" s="4" t="n">
        <v>369</v>
      </c>
      <c r="H657" s="4" t="n">
        <v>112</v>
      </c>
      <c r="I657" s="5" t="n">
        <v>598.2</v>
      </c>
      <c r="J657" s="5" t="n">
        <v>341.2</v>
      </c>
      <c r="K657" s="3" t="inlineStr">
        <is>
          <t>다정동 단독주택토지, 코너입지, 111.8p</t>
        </is>
      </c>
      <c r="L657" s="6">
        <f>HYPERLINK("https://fin.land.naver.com/articles/2652838896", "매물Link")</f>
        <v/>
      </c>
      <c r="M657" s="6">
        <f>HYPERLINK("https://map.naver.com/p/search/다정동 729", "지도Link")</f>
        <v/>
      </c>
      <c r="N657" s="6">
        <f>HYPERLINK("http://www.eum.go.kr/web/ar/lu/luLandDet.jsp?pnu=3611010900107290000&amp;isNoScr=script&amp;mode=search",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369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중로한면</t>
        </is>
      </c>
    </row>
    <row r="658">
      <c r="A658" s="3" t="inlineStr">
        <is>
          <t>다정동 729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67000</v>
      </c>
      <c r="G658" s="4" t="n">
        <v>368</v>
      </c>
      <c r="H658" s="4" t="n">
        <v>111</v>
      </c>
      <c r="I658" s="5" t="n">
        <v>603.6</v>
      </c>
      <c r="J658" s="5" t="n">
        <v>341.2</v>
      </c>
      <c r="K658" s="3" t="inlineStr">
        <is>
          <t>111.8p, 삼거리 코너, 정남향, 다정동 단독주택 토지매매</t>
        </is>
      </c>
      <c r="L658" s="6">
        <f>HYPERLINK("https://fin.land.naver.com/articles/2654225284", "매물Link")</f>
        <v/>
      </c>
      <c r="M658" s="6">
        <f>HYPERLINK("https://map.naver.com/p/search/다정동 729", "지도Link")</f>
        <v/>
      </c>
      <c r="N658" s="6">
        <f>HYPERLINK("http://www.eum.go.kr/web/ar/lu/luLandDet.jsp?pnu=3611010900107290000&amp;isNoScr=script&amp;mode=search",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369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중로한면</t>
        </is>
      </c>
    </row>
    <row r="659">
      <c r="A659" s="3" t="inlineStr">
        <is>
          <t>다정동 729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67000</v>
      </c>
      <c r="G659" s="4" t="n">
        <v>369</v>
      </c>
      <c r="H659" s="4" t="n">
        <v>112</v>
      </c>
      <c r="I659" s="5" t="n">
        <v>598.2</v>
      </c>
      <c r="J659" s="5" t="n">
        <v>341.2</v>
      </c>
      <c r="K659" s="3" t="inlineStr">
        <is>
          <t>남향이면서 코너자리 입지최고 가격조정가능</t>
        </is>
      </c>
      <c r="L659" s="6">
        <f>HYPERLINK("https://fin.land.naver.com/articles/2654733672", "매물Link")</f>
        <v/>
      </c>
      <c r="M659" s="6">
        <f>HYPERLINK("https://map.naver.com/p/search/다정동 729", "지도Link")</f>
        <v/>
      </c>
      <c r="N659" s="6">
        <f>HYPERLINK("http://www.eum.go.kr/web/ar/lu/luLandDet.jsp?pnu=3611010900107290000&amp;isNoScr=script&amp;mode=search", "토지이음")</f>
        <v/>
      </c>
      <c r="O659" s="3" t="inlineStr">
        <is>
          <t>고운동리치세종</t>
        </is>
      </c>
      <c r="P659" s="4" t="n">
        <v>2</v>
      </c>
      <c r="Q659" s="4" t="n">
        <v>369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중로한면</t>
        </is>
      </c>
    </row>
    <row r="660">
      <c r="A660" s="3" t="inlineStr">
        <is>
          <t>다정동 751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49000</v>
      </c>
      <c r="G660" s="4" t="n">
        <v>278</v>
      </c>
      <c r="H660" s="4" t="n">
        <v>84</v>
      </c>
      <c r="I660" s="5" t="n">
        <v>583.3</v>
      </c>
      <c r="J660" s="5" t="n">
        <v>337.9</v>
      </c>
      <c r="K660" s="3" t="inlineStr">
        <is>
          <t>코너각지, 가격조율가능, 위치좋음, 모양좋음, 전화주세요.</t>
        </is>
      </c>
      <c r="L660" s="6">
        <f>HYPERLINK("https://fin.land.naver.com/articles/2654035759", "매물Link")</f>
        <v/>
      </c>
      <c r="M660" s="6">
        <f>HYPERLINK("https://map.naver.com/p/search/다정동 751", "지도Link")</f>
        <v/>
      </c>
      <c r="N660" s="6">
        <f>HYPERLINK("http://www.eum.go.kr/web/ar/lu/luLandDet.jsp?pnu=3611010900107510000&amp;isNoScr=script&amp;mode=search",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278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중로각지</t>
        </is>
      </c>
    </row>
    <row r="661">
      <c r="A661" s="3" t="inlineStr">
        <is>
          <t>다정동 756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368</v>
      </c>
      <c r="H661" s="4" t="n">
        <v>111</v>
      </c>
      <c r="I661" s="5" t="n">
        <v>747.7</v>
      </c>
      <c r="J661" s="5" t="n">
        <v>326</v>
      </c>
      <c r="K661" s="3" t="inlineStr">
        <is>
          <t>다정동 조용한 위치 단독주택 매매, 코너위치</t>
        </is>
      </c>
      <c r="L661" s="6">
        <f>HYPERLINK("https://fin.land.naver.com/articles/2650890648", "매물Link")</f>
        <v/>
      </c>
      <c r="M661" s="6">
        <f>HYPERLINK("https://map.naver.com/p/search/다정동 756", "지도Link")</f>
        <v/>
      </c>
      <c r="N661" s="6">
        <f>HYPERLINK("http://www.eum.go.kr/web/ar/lu/luLandDet.jsp?pnu=3611010900107560000&amp;isNoScr=script&amp;mode=search",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368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중로한면</t>
        </is>
      </c>
    </row>
    <row r="662">
      <c r="A662" s="3" t="inlineStr">
        <is>
          <t>다정동 756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83625</v>
      </c>
      <c r="G662" s="4" t="n">
        <v>368</v>
      </c>
      <c r="H662" s="4" t="n">
        <v>111</v>
      </c>
      <c r="I662" s="5" t="n">
        <v>753.4</v>
      </c>
      <c r="J662" s="5" t="n">
        <v>326</v>
      </c>
      <c r="K662" s="3" t="inlineStr">
        <is>
          <t>코너자리 위치 좋음, 넓은토지</t>
        </is>
      </c>
      <c r="L662" s="6">
        <f>HYPERLINK("https://fin.land.naver.com/articles/2654222787", "매물Link")</f>
        <v/>
      </c>
      <c r="M662" s="6">
        <f>HYPERLINK("https://map.naver.com/p/search/다정동 756", "지도Link")</f>
        <v/>
      </c>
      <c r="N662" s="6">
        <f>HYPERLINK("http://www.eum.go.kr/web/ar/lu/luLandDet.jsp?pnu=3611010900107560000&amp;isNoScr=script&amp;mode=search", "토지이음")</f>
        <v/>
      </c>
      <c r="O662" s="3" t="inlineStr">
        <is>
          <t>명진</t>
        </is>
      </c>
      <c r="P662" s="4" t="n">
        <v>1</v>
      </c>
      <c r="Q662" s="4" t="n">
        <v>368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중로한면</t>
        </is>
      </c>
    </row>
    <row r="663">
      <c r="A663" s="3" t="inlineStr">
        <is>
          <t>다정동 769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50000</v>
      </c>
      <c r="G663" s="4" t="n">
        <v>269</v>
      </c>
      <c r="H663" s="4" t="n">
        <v>81</v>
      </c>
      <c r="I663" s="5" t="n">
        <v>617.3</v>
      </c>
      <c r="J663" s="5" t="n">
        <v>313.8</v>
      </c>
      <c r="K663" s="3" t="inlineStr">
        <is>
          <t>세종시 다정동 안쪽 코너각지 나대지</t>
        </is>
      </c>
      <c r="L663" s="6">
        <f>HYPERLINK("https://fin.land.naver.com/articles/2651425080", "매물Link")</f>
        <v/>
      </c>
      <c r="M663" s="6">
        <f>HYPERLINK("https://map.naver.com/p/search/다정동 769", "지도Link")</f>
        <v/>
      </c>
      <c r="N663" s="6">
        <f>HYPERLINK("http://www.eum.go.kr/web/ar/lu/luLandDet.jsp?pnu=3611010900107690000&amp;isNoScr=script&amp;mode=search", "토지이음")</f>
        <v/>
      </c>
      <c r="O663" s="3" t="inlineStr">
        <is>
          <t>청명</t>
        </is>
      </c>
      <c r="P663" s="4" t="n">
        <v>1</v>
      </c>
      <c r="Q663" s="4" t="n">
        <v>269.7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다정동 772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69700</v>
      </c>
      <c r="G664" s="4" t="n">
        <v>279</v>
      </c>
      <c r="H664" s="4" t="n">
        <v>84</v>
      </c>
      <c r="I664" s="5" t="n">
        <v>829.8</v>
      </c>
      <c r="J664" s="5" t="n">
        <v>304.6</v>
      </c>
      <c r="K664" s="3" t="inlineStr">
        <is>
          <t>다정동 접근성 좋은 주택지 매매</t>
        </is>
      </c>
      <c r="L664" s="6">
        <f>HYPERLINK("https://fin.land.naver.com/articles/2652651256", "매물Link")</f>
        <v/>
      </c>
      <c r="M664" s="6">
        <f>HYPERLINK("https://map.naver.com/p/search/다정동 772", "지도Link")</f>
        <v/>
      </c>
      <c r="N664" s="6">
        <f>HYPERLINK("http://www.eum.go.kr/web/ar/lu/luLandDet.jsp?pnu=3611010900107720000&amp;isNoScr=script&amp;mode=search", "토지이음")</f>
        <v/>
      </c>
      <c r="O664" s="3" t="inlineStr">
        <is>
          <t>태양</t>
        </is>
      </c>
      <c r="P664" s="4" t="n">
        <v>1</v>
      </c>
      <c r="Q664" s="4" t="n">
        <v>279.7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다정동 772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69500</v>
      </c>
      <c r="G665" s="4" t="n">
        <v>279</v>
      </c>
      <c r="H665" s="4" t="n">
        <v>84</v>
      </c>
      <c r="I665" s="5" t="n">
        <v>827.4</v>
      </c>
      <c r="J665" s="5" t="n">
        <v>304.6</v>
      </c>
      <c r="K665" s="3" t="inlineStr">
        <is>
          <t>총 84.8p, 다정동 입지 좋은 단독주태 토지</t>
        </is>
      </c>
      <c r="L665" s="6">
        <f>HYPERLINK("https://fin.land.naver.com/articles/2654927003", "매물Link")</f>
        <v/>
      </c>
      <c r="M665" s="6">
        <f>HYPERLINK("https://map.naver.com/p/search/다정동 772", "지도Link")</f>
        <v/>
      </c>
      <c r="N665" s="6">
        <f>HYPERLINK("http://www.eum.go.kr/web/ar/lu/luLandDet.jsp?pnu=3611010900107720000&amp;isNoScr=script&amp;mode=search",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279.7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소로한면</t>
        </is>
      </c>
    </row>
    <row r="666">
      <c r="A666" s="3" t="inlineStr">
        <is>
          <t>다정동 772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69500</v>
      </c>
      <c r="G666" s="4" t="n">
        <v>279</v>
      </c>
      <c r="H666" s="4" t="n">
        <v>84</v>
      </c>
      <c r="I666" s="5" t="n">
        <v>827.4</v>
      </c>
      <c r="J666" s="5" t="n">
        <v>304.6</v>
      </c>
      <c r="K666" s="3" t="inlineStr">
        <is>
          <t>84.8p, 정남향, 다정동 단독주택지</t>
        </is>
      </c>
      <c r="L666" s="6">
        <f>HYPERLINK("https://fin.land.naver.com/articles/2653565355", "매물Link")</f>
        <v/>
      </c>
      <c r="M666" s="6">
        <f>HYPERLINK("https://map.naver.com/p/search/다정동 772", "지도Link")</f>
        <v/>
      </c>
      <c r="N666" s="6">
        <f>HYPERLINK("http://www.eum.go.kr/web/ar/lu/luLandDet.jsp?pnu=3611010900107720000&amp;isNoScr=script&amp;mode=search", "토지이음")</f>
        <v/>
      </c>
      <c r="O666" s="3" t="inlineStr">
        <is>
          <t>세종무지개</t>
        </is>
      </c>
      <c r="P666" s="4" t="n">
        <v>1</v>
      </c>
      <c r="Q666" s="4" t="n">
        <v>279.7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소로한면</t>
        </is>
      </c>
    </row>
    <row r="667">
      <c r="A667" s="3" t="inlineStr">
        <is>
          <t>다정동 773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44000</v>
      </c>
      <c r="G667" s="4" t="n">
        <v>279</v>
      </c>
      <c r="H667" s="4" t="n">
        <v>84</v>
      </c>
      <c r="I667" s="5" t="n">
        <v>523.8</v>
      </c>
      <c r="J667" s="5" t="n">
        <v>304.6</v>
      </c>
      <c r="K667" s="3" t="inlineStr">
        <is>
          <t>급매 남향 택지 조용한위치 상권 학교 가까움</t>
        </is>
      </c>
      <c r="L667" s="6">
        <f>HYPERLINK("https://fin.land.naver.com/articles/2655177158", "매물Link")</f>
        <v/>
      </c>
      <c r="M667" s="6">
        <f>HYPERLINK("https://map.naver.com/p/search/다정동 773", "지도Link")</f>
        <v/>
      </c>
      <c r="N667" s="6">
        <f>HYPERLINK("http://www.eum.go.kr/web/ar/lu/luLandDet.jsp?pnu=3611010900107730000&amp;isNoScr=script&amp;mode=search", "토지이음")</f>
        <v/>
      </c>
      <c r="O667" s="3" t="inlineStr">
        <is>
          <t>세종스타</t>
        </is>
      </c>
      <c r="P667" s="4" t="n">
        <v>2</v>
      </c>
      <c r="Q667" s="4" t="n">
        <v>279.7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다정동 773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69500</v>
      </c>
      <c r="G668" s="4" t="n">
        <v>280</v>
      </c>
      <c r="H668" s="4" t="n">
        <v>85</v>
      </c>
      <c r="I668" s="5" t="n">
        <v>817.6</v>
      </c>
      <c r="J668" s="5" t="n">
        <v>304.6</v>
      </c>
      <c r="K668" s="3" t="inlineStr">
        <is>
          <t>nan</t>
        </is>
      </c>
      <c r="L668" s="6">
        <f>HYPERLINK("https://fin.land.naver.com/articles/2651035742", "매물Link")</f>
        <v/>
      </c>
      <c r="M668" s="6">
        <f>HYPERLINK("https://map.naver.com/p/search/다정동 773", "지도Link")</f>
        <v/>
      </c>
      <c r="N668" s="6">
        <f>HYPERLINK("http://www.eum.go.kr/web/ar/lu/luLandDet.jsp?pnu=3611010900107730000&amp;isNoScr=script&amp;mode=search", "토지이음")</f>
        <v/>
      </c>
      <c r="O668" s="3" t="inlineStr">
        <is>
          <t>디아트성심</t>
        </is>
      </c>
      <c r="P668" s="4" t="n">
        <v>1</v>
      </c>
      <c r="Q668" s="4" t="n">
        <v>279.7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774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69500</v>
      </c>
      <c r="G669" s="4" t="n">
        <v>280</v>
      </c>
      <c r="H669" s="4" t="n">
        <v>85</v>
      </c>
      <c r="I669" s="5" t="n">
        <v>817.6</v>
      </c>
      <c r="J669" s="5" t="n">
        <v>337.9</v>
      </c>
      <c r="K669" s="3" t="inlineStr">
        <is>
          <t>nan</t>
        </is>
      </c>
      <c r="L669" s="6">
        <f>HYPERLINK("https://fin.land.naver.com/articles/2655010750", "매물Link")</f>
        <v/>
      </c>
      <c r="M669" s="6">
        <f>HYPERLINK("https://map.naver.com/p/search/다정동 774", "지도Link")</f>
        <v/>
      </c>
      <c r="N669" s="6">
        <f>HYPERLINK("http://www.eum.go.kr/web/ar/lu/luLandDet.jsp?pnu=3611010900107740000&amp;isNoScr=script&amp;mode=search", "토지이음")</f>
        <v/>
      </c>
      <c r="O669" s="3" t="inlineStr">
        <is>
          <t>디아트성심</t>
        </is>
      </c>
      <c r="P669" s="4" t="n">
        <v>1</v>
      </c>
      <c r="Q669" s="4" t="n">
        <v>291.7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중로각지</t>
        </is>
      </c>
    </row>
    <row r="670">
      <c r="A670" s="3" t="inlineStr">
        <is>
          <t>다정동 777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43000</v>
      </c>
      <c r="G670" s="4" t="n">
        <v>297</v>
      </c>
      <c r="H670" s="4" t="n">
        <v>90</v>
      </c>
      <c r="I670" s="5" t="n">
        <v>477.8</v>
      </c>
      <c r="J670" s="5" t="n">
        <v>304.6</v>
      </c>
      <c r="K670" s="3" t="inlineStr">
        <is>
          <t>급매 다정동 아파트 단지 인프라와 근린공원 조망 단독주택 부지 매매</t>
        </is>
      </c>
      <c r="L670" s="6">
        <f>HYPERLINK("https://fin.land.naver.com/articles/2654809804", "매물Link")</f>
        <v/>
      </c>
      <c r="M670" s="6">
        <f>HYPERLINK("https://map.naver.com/p/search/다정동 777", "지도Link")</f>
        <v/>
      </c>
      <c r="N670" s="6">
        <f>HYPERLINK("http://www.eum.go.kr/web/ar/lu/luLandDet.jsp?pnu=3611010900107770000&amp;isNoScr=script&amp;mode=search", "토지이음")</f>
        <v/>
      </c>
      <c r="O670" s="3" t="inlineStr">
        <is>
          <t>이지</t>
        </is>
      </c>
      <c r="P670" s="4" t="n">
        <v>1</v>
      </c>
      <c r="Q670" s="4" t="n">
        <v>297.3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다정동 779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50000</v>
      </c>
      <c r="G671" s="4" t="n">
        <v>297</v>
      </c>
      <c r="H671" s="4" t="n">
        <v>90</v>
      </c>
      <c r="I671" s="5" t="n">
        <v>555.6</v>
      </c>
      <c r="J671" s="5" t="n">
        <v>304.6</v>
      </c>
      <c r="K671" s="3" t="inlineStr">
        <is>
          <t>I 신한 I  급매  Iㅑ채광 좋은 남향 단독주택용지</t>
        </is>
      </c>
      <c r="L671" s="6">
        <f>HYPERLINK("https://fin.land.naver.com/articles/2650851726", "매물Link")</f>
        <v/>
      </c>
      <c r="M671" s="6">
        <f>HYPERLINK("https://map.naver.com/p/search/다정동 779", "지도Link")</f>
        <v/>
      </c>
      <c r="N671" s="6">
        <f>HYPERLINK("http://www.eum.go.kr/web/ar/lu/luLandDet.jsp?pnu=3611010900107790000&amp;isNoScr=script&amp;mode=search", "토지이음")</f>
        <v/>
      </c>
      <c r="O671" s="3" t="inlineStr">
        <is>
          <t>세종신한</t>
        </is>
      </c>
      <c r="P671" s="4" t="n">
        <v>1</v>
      </c>
      <c r="Q671" s="4" t="n">
        <v>297.3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다정동 781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42000</v>
      </c>
      <c r="G672" s="4" t="n">
        <v>254</v>
      </c>
      <c r="H672" s="4" t="n">
        <v>77</v>
      </c>
      <c r="I672" s="5" t="n">
        <v>545.5</v>
      </c>
      <c r="J672" s="5" t="n">
        <v>313.8</v>
      </c>
      <c r="K672" s="3" t="inlineStr">
        <is>
          <t>급매 코너각지 정남향 최저가 조율협의가능</t>
        </is>
      </c>
      <c r="L672" s="6">
        <f>HYPERLINK("https://fin.land.naver.com/articles/2652943070", "매물Link")</f>
        <v/>
      </c>
      <c r="M672" s="6">
        <f>HYPERLINK("https://map.naver.com/p/search/다정동 781", "지도Link")</f>
        <v/>
      </c>
      <c r="N672" s="6">
        <f>HYPERLINK("http://www.eum.go.kr/web/ar/lu/luLandDet.jsp?pnu=3611010900107810000&amp;isNoScr=script&amp;mode=search",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254.3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소로각지</t>
        </is>
      </c>
    </row>
    <row r="673">
      <c r="A673" s="3" t="inlineStr">
        <is>
          <t>다정동 781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45000</v>
      </c>
      <c r="G673" s="4" t="n">
        <v>254</v>
      </c>
      <c r="H673" s="4" t="n">
        <v>77</v>
      </c>
      <c r="I673" s="5" t="n">
        <v>584.4</v>
      </c>
      <c r="J673" s="5" t="n">
        <v>313.8</v>
      </c>
      <c r="K673" s="3" t="inlineStr">
        <is>
          <t>nan</t>
        </is>
      </c>
      <c r="L673" s="6">
        <f>HYPERLINK("https://fin.land.naver.com/articles/2655010813", "매물Link")</f>
        <v/>
      </c>
      <c r="M673" s="6">
        <f>HYPERLINK("https://map.naver.com/p/search/다정동 781", "지도Link")</f>
        <v/>
      </c>
      <c r="N673" s="6">
        <f>HYPERLINK("http://www.eum.go.kr/web/ar/lu/luLandDet.jsp?pnu=3611010900107810000&amp;isNoScr=script&amp;mode=search", "토지이음")</f>
        <v/>
      </c>
      <c r="O673" s="3" t="inlineStr">
        <is>
          <t>디아트성심</t>
        </is>
      </c>
      <c r="P673" s="4" t="n">
        <v>1</v>
      </c>
      <c r="Q673" s="4" t="n">
        <v>254.3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소로각지</t>
        </is>
      </c>
    </row>
    <row r="674">
      <c r="A674" s="3" t="inlineStr">
        <is>
          <t>다정동 783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50000</v>
      </c>
      <c r="G674" s="4" t="n">
        <v>297</v>
      </c>
      <c r="H674" s="4" t="n">
        <v>90</v>
      </c>
      <c r="I674" s="5" t="n">
        <v>555.6</v>
      </c>
      <c r="J674" s="5" t="n">
        <v>304.6</v>
      </c>
      <c r="K674" s="3" t="inlineStr">
        <is>
          <t>조율가능 정남향 토지모양최상</t>
        </is>
      </c>
      <c r="L674" s="6">
        <f>HYPERLINK("https://fin.land.naver.com/articles/2649812025", "매물Link")</f>
        <v/>
      </c>
      <c r="M674" s="6">
        <f>HYPERLINK("https://map.naver.com/p/search/다정동 783", "지도Link")</f>
        <v/>
      </c>
      <c r="N674" s="6">
        <f>HYPERLINK("http://www.eum.go.kr/web/ar/lu/luLandDet.jsp?pnu=3611010900107830000&amp;isNoScr=script&amp;mode=search", "토지이음")</f>
        <v/>
      </c>
      <c r="O674" s="3" t="inlineStr">
        <is>
          <t>세종스타</t>
        </is>
      </c>
      <c r="P674" s="4" t="n">
        <v>1</v>
      </c>
      <c r="Q674" s="4" t="n">
        <v>297.3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다정동 793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75000</v>
      </c>
      <c r="G675" s="4" t="n">
        <v>315</v>
      </c>
      <c r="H675" s="4" t="n">
        <v>95</v>
      </c>
      <c r="I675" s="5" t="n">
        <v>789.5</v>
      </c>
      <c r="J675" s="5" t="n">
        <v>313.8</v>
      </c>
      <c r="K675" s="3" t="inlineStr">
        <is>
          <t>코너각지,선호하는 위치 모양좋은 대지,가격조율가능</t>
        </is>
      </c>
      <c r="L675" s="6">
        <f>HYPERLINK("https://fin.land.naver.com/articles/2652735525", "매물Link")</f>
        <v/>
      </c>
      <c r="M675" s="6">
        <f>HYPERLINK("https://map.naver.com/p/search/다정동 793", "지도Link")</f>
        <v/>
      </c>
      <c r="N675" s="6">
        <f>HYPERLINK("http://www.eum.go.kr/web/ar/lu/luLandDet.jsp?pnu=3611010900107930000&amp;isNoScr=script&amp;mode=search", "토지이음")</f>
        <v/>
      </c>
      <c r="O675" s="3" t="inlineStr">
        <is>
          <t>다정동첫번째</t>
        </is>
      </c>
      <c r="P675" s="4" t="n">
        <v>1</v>
      </c>
      <c r="Q675" s="4" t="n">
        <v>315.9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소로각지</t>
        </is>
      </c>
    </row>
    <row r="676">
      <c r="A676" s="3" t="inlineStr">
        <is>
          <t>다정동 794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254</v>
      </c>
      <c r="H676" s="4" t="n">
        <v>77</v>
      </c>
      <c r="I676" s="5" t="n">
        <v>623.4</v>
      </c>
      <c r="J676" s="5" t="n">
        <v>337.9</v>
      </c>
      <c r="K676" s="3" t="inlineStr">
        <is>
          <t>코너각지 공공인도접함 선호하는위치</t>
        </is>
      </c>
      <c r="L676" s="6">
        <f>HYPERLINK("https://fin.land.naver.com/articles/2654633192", "매물Link")</f>
        <v/>
      </c>
      <c r="M676" s="6">
        <f>HYPERLINK("https://map.naver.com/p/search/다정동 794", "지도Link")</f>
        <v/>
      </c>
      <c r="N676" s="6">
        <f>HYPERLINK("http://www.eum.go.kr/web/ar/lu/luLandDet.jsp?pnu=3611010900107940000&amp;isNoScr=script&amp;mode=search",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254.9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중로각지</t>
        </is>
      </c>
    </row>
    <row r="677">
      <c r="A677" s="3" t="inlineStr">
        <is>
          <t>다정동 810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59500</v>
      </c>
      <c r="G677" s="4" t="n">
        <v>314</v>
      </c>
      <c r="H677" s="4" t="n">
        <v>95</v>
      </c>
      <c r="I677" s="5" t="n">
        <v>626.3</v>
      </c>
      <c r="J677" s="5" t="n">
        <v>298.2</v>
      </c>
      <c r="K677" s="3" t="inlineStr">
        <is>
          <t>추가조율가능 남향택지 상권접근성 용이한 위치</t>
        </is>
      </c>
      <c r="L677" s="6">
        <f>HYPERLINK("https://fin.land.naver.com/articles/2649618939", "매물Link")</f>
        <v/>
      </c>
      <c r="M677" s="6">
        <f>HYPERLINK("https://map.naver.com/p/search/다정동 810", "지도Link")</f>
        <v/>
      </c>
      <c r="N677" s="6">
        <f>HYPERLINK("http://www.eum.go.kr/web/ar/lu/luLandDet.jsp?pnu=3611010900108100000&amp;isNoScr=script&amp;mode=search",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314.8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818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83500</v>
      </c>
      <c r="G678" s="4" t="n">
        <v>394</v>
      </c>
      <c r="H678" s="4" t="n">
        <v>119</v>
      </c>
      <c r="I678" s="5" t="n">
        <v>701.7</v>
      </c>
      <c r="J678" s="5" t="n">
        <v>353.7</v>
      </c>
      <c r="K678" s="3" t="inlineStr">
        <is>
          <t>사거리 코너, 입지 좋은토지, 조율가능</t>
        </is>
      </c>
      <c r="L678" s="6">
        <f>HYPERLINK("https://fin.land.naver.com/articles/2653568831", "매물Link")</f>
        <v/>
      </c>
      <c r="M678" s="6">
        <f>HYPERLINK("https://map.naver.com/p/search/다정동 818", "지도Link")</f>
        <v/>
      </c>
      <c r="N678" s="6">
        <f>HYPERLINK("http://www.eum.go.kr/web/ar/lu/luLandDet.jsp?pnu=3611010900108180000&amp;isNoScr=script&amp;mode=search",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394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822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75000</v>
      </c>
      <c r="G679" s="4" t="n">
        <v>315</v>
      </c>
      <c r="H679" s="4" t="n">
        <v>95</v>
      </c>
      <c r="I679" s="5" t="n">
        <v>789.5</v>
      </c>
      <c r="J679" s="5" t="n">
        <v>341.2</v>
      </c>
      <c r="K679" s="3" t="inlineStr">
        <is>
          <t>nan</t>
        </is>
      </c>
      <c r="L679" s="6">
        <f>HYPERLINK("https://fin.land.naver.com/articles/2655011012", "매물Link")</f>
        <v/>
      </c>
      <c r="M679" s="6">
        <f>HYPERLINK("https://map.naver.com/p/search/다정동 822", "지도Link")</f>
        <v/>
      </c>
      <c r="N679" s="6">
        <f>HYPERLINK("http://www.eum.go.kr/web/ar/lu/luLandDet.jsp?pnu=3611010900108220000&amp;isNoScr=script&amp;mode=search", "토지이음")</f>
        <v/>
      </c>
      <c r="O679" s="3" t="inlineStr">
        <is>
          <t>디아트성심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중로한면</t>
        </is>
      </c>
    </row>
    <row r="680">
      <c r="A680" s="3" t="inlineStr">
        <is>
          <t>다정동 823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64000</v>
      </c>
      <c r="G680" s="4" t="n">
        <v>315</v>
      </c>
      <c r="H680" s="4" t="n">
        <v>95</v>
      </c>
      <c r="I680" s="5" t="n">
        <v>673.7</v>
      </c>
      <c r="J680" s="5" t="n">
        <v>341.2</v>
      </c>
      <c r="K680" s="3" t="inlineStr">
        <is>
          <t>다정동 인기있는 단독주택, 명당터, 공원과 유치원 근처, 힐링</t>
        </is>
      </c>
      <c r="L680" s="6">
        <f>HYPERLINK("https://fin.land.naver.com/articles/2654623538", "매물Link")</f>
        <v/>
      </c>
      <c r="M680" s="6">
        <f>HYPERLINK("https://map.naver.com/p/search/다정동 823", "지도Link")</f>
        <v/>
      </c>
      <c r="N680" s="6">
        <f>HYPERLINK("http://www.eum.go.kr/web/ar/lu/luLandDet.jsp?pnu=3611010900108230000&amp;isNoScr=script&amp;mode=search", "토지이음")</f>
        <v/>
      </c>
      <c r="O680" s="3" t="inlineStr">
        <is>
          <t>풍경채대지</t>
        </is>
      </c>
      <c r="P680" s="4" t="n">
        <v>1</v>
      </c>
      <c r="Q680" s="4" t="n">
        <v>315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중로한면</t>
        </is>
      </c>
    </row>
    <row r="681">
      <c r="A681" s="3" t="inlineStr">
        <is>
          <t>다정동 823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73000</v>
      </c>
      <c r="G681" s="4" t="n">
        <v>315</v>
      </c>
      <c r="H681" s="4" t="n">
        <v>95</v>
      </c>
      <c r="I681" s="5" t="n">
        <v>768.4</v>
      </c>
      <c r="J681" s="5" t="n">
        <v>341.2</v>
      </c>
      <c r="K681" s="3" t="inlineStr">
        <is>
          <t>95.5p, 유치원 맞은편, 가운데 토지</t>
        </is>
      </c>
      <c r="L681" s="6">
        <f>HYPERLINK("https://fin.land.naver.com/articles/2654717356", "매물Link")</f>
        <v/>
      </c>
      <c r="M681" s="6">
        <f>HYPERLINK("https://map.naver.com/p/search/다정동 823", "지도Link")</f>
        <v/>
      </c>
      <c r="N681" s="6">
        <f>HYPERLINK("http://www.eum.go.kr/web/ar/lu/luLandDet.jsp?pnu=3611010900108230000&amp;isNoScr=script&amp;mode=search",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315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중로한면</t>
        </is>
      </c>
    </row>
    <row r="682">
      <c r="A682" s="3" t="inlineStr">
        <is>
          <t>다정동 823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73000</v>
      </c>
      <c r="G682" s="4" t="n">
        <v>315</v>
      </c>
      <c r="H682" s="4" t="n">
        <v>95</v>
      </c>
      <c r="I682" s="5" t="n">
        <v>768.4</v>
      </c>
      <c r="J682" s="5" t="n">
        <v>341.2</v>
      </c>
      <c r="K682" s="3" t="inlineStr">
        <is>
          <t>nan</t>
        </is>
      </c>
      <c r="L682" s="6">
        <f>HYPERLINK("https://fin.land.naver.com/articles/2655007233", "매물Link")</f>
        <v/>
      </c>
      <c r="M682" s="6">
        <f>HYPERLINK("https://map.naver.com/p/search/다정동 823", "지도Link")</f>
        <v/>
      </c>
      <c r="N682" s="6">
        <f>HYPERLINK("http://www.eum.go.kr/web/ar/lu/luLandDet.jsp?pnu=3611010900108230000&amp;isNoScr=script&amp;mode=search", "토지이음")</f>
        <v/>
      </c>
      <c r="O682" s="3" t="inlineStr">
        <is>
          <t>디아트성심</t>
        </is>
      </c>
      <c r="P682" s="4" t="n">
        <v>1</v>
      </c>
      <c r="Q682" s="4" t="n">
        <v>315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중로한면</t>
        </is>
      </c>
    </row>
    <row r="683">
      <c r="A683" s="3" t="inlineStr">
        <is>
          <t>다정동 823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73000</v>
      </c>
      <c r="G683" s="4" t="n">
        <v>315</v>
      </c>
      <c r="H683" s="4" t="n">
        <v>95</v>
      </c>
      <c r="I683" s="5" t="n">
        <v>768.4</v>
      </c>
      <c r="J683" s="5" t="n">
        <v>341.2</v>
      </c>
      <c r="K683" s="3" t="inlineStr">
        <is>
          <t>총 95.5p, 조율가능, 다정동 단독주택지</t>
        </is>
      </c>
      <c r="L683" s="6">
        <f>HYPERLINK("https://fin.land.naver.com/articles/2654703670", "매물Link")</f>
        <v/>
      </c>
      <c r="M683" s="6">
        <f>HYPERLINK("https://map.naver.com/p/search/다정동 823", "지도Link")</f>
        <v/>
      </c>
      <c r="N683" s="6">
        <f>HYPERLINK("http://www.eum.go.kr/web/ar/lu/luLandDet.jsp?pnu=3611010900108230000&amp;isNoScr=script&amp;mode=search",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315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중로한면</t>
        </is>
      </c>
    </row>
    <row r="684">
      <c r="A684" s="3" t="inlineStr">
        <is>
          <t>다정동 829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40000</v>
      </c>
      <c r="G684" s="4" t="n">
        <v>270</v>
      </c>
      <c r="H684" s="4" t="n">
        <v>82</v>
      </c>
      <c r="I684" s="5" t="n">
        <v>487.8</v>
      </c>
      <c r="J684" s="5" t="n">
        <v>341.2</v>
      </c>
      <c r="K684" s="3" t="inlineStr">
        <is>
          <t>급매 추가조율가능 근생편의시설인근</t>
        </is>
      </c>
      <c r="L684" s="6">
        <f>HYPERLINK("https://fin.land.naver.com/articles/2654850766", "매물Link")</f>
        <v/>
      </c>
      <c r="M684" s="6">
        <f>HYPERLINK("https://map.naver.com/p/search/다정동 829", "지도Link")</f>
        <v/>
      </c>
      <c r="N684" s="6">
        <f>HYPERLINK("http://www.eum.go.kr/web/ar/lu/luLandDet.jsp?pnu=3611010900108290000&amp;isNoScr=script&amp;mode=search",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270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중로한면</t>
        </is>
      </c>
    </row>
    <row r="685">
      <c r="A685" s="3" t="inlineStr">
        <is>
          <t>다정동 842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64000</v>
      </c>
      <c r="G685" s="4" t="n">
        <v>315</v>
      </c>
      <c r="H685" s="4" t="n">
        <v>95</v>
      </c>
      <c r="I685" s="5" t="n">
        <v>673.7</v>
      </c>
      <c r="J685" s="5" t="n">
        <v>318.9</v>
      </c>
      <c r="K685" s="3" t="inlineStr">
        <is>
          <t>총 95.5p, 새솔유치원인근, 가운데 토지</t>
        </is>
      </c>
      <c r="L685" s="6">
        <f>HYPERLINK("https://fin.land.naver.com/articles/2654896232", "매물Link")</f>
        <v/>
      </c>
      <c r="M685" s="6">
        <f>HYPERLINK("https://map.naver.com/p/search/다정동 842", "지도Link")</f>
        <v/>
      </c>
      <c r="N685" s="6">
        <f>HYPERLINK("http://www.eum.go.kr/web/ar/lu/luLandDet.jsp?pnu=3611010900108420000&amp;isNoScr=script&amp;mode=search", "토지이음")</f>
        <v/>
      </c>
      <c r="O685" s="3" t="inlineStr">
        <is>
          <t>명진</t>
        </is>
      </c>
      <c r="P685" s="4" t="n">
        <v>1</v>
      </c>
      <c r="Q685" s="4" t="n">
        <v>315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소로한면</t>
        </is>
      </c>
    </row>
    <row r="686">
      <c r="A686" s="3" t="inlineStr">
        <is>
          <t>다정동 842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64000</v>
      </c>
      <c r="G686" s="4" t="n">
        <v>315</v>
      </c>
      <c r="H686" s="4" t="n">
        <v>95</v>
      </c>
      <c r="I686" s="5" t="n">
        <v>673.7</v>
      </c>
      <c r="J686" s="5" t="n">
        <v>318.9</v>
      </c>
      <c r="K686" s="3" t="inlineStr">
        <is>
          <t>총 95.5p, 유치원 인근 다정동 토지매매</t>
        </is>
      </c>
      <c r="L686" s="6">
        <f>HYPERLINK("https://fin.land.naver.com/articles/2649571368", "매물Link")</f>
        <v/>
      </c>
      <c r="M686" s="6">
        <f>HYPERLINK("https://map.naver.com/p/search/다정동 842", "지도Link")</f>
        <v/>
      </c>
      <c r="N686" s="6">
        <f>HYPERLINK("http://www.eum.go.kr/web/ar/lu/luLandDet.jsp?pnu=3611010900108420000&amp;isNoScr=script&amp;mode=search",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315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소로한면</t>
        </is>
      </c>
    </row>
    <row r="687">
      <c r="A687" s="3" t="inlineStr">
        <is>
          <t>다정동 842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49000</v>
      </c>
      <c r="G687" s="4" t="n">
        <v>315</v>
      </c>
      <c r="H687" s="4" t="n">
        <v>95</v>
      </c>
      <c r="I687" s="5" t="n">
        <v>515.8</v>
      </c>
      <c r="J687" s="5" t="n">
        <v>318.9</v>
      </c>
      <c r="K687" s="3" t="inlineStr">
        <is>
          <t>급매 조율가능 조용한 선호하는 안쪽위치</t>
        </is>
      </c>
      <c r="L687" s="6">
        <f>HYPERLINK("https://fin.land.naver.com/articles/2652419011", "매물Link")</f>
        <v/>
      </c>
      <c r="M687" s="6">
        <f>HYPERLINK("https://map.naver.com/p/search/다정동 842", "지도Link")</f>
        <v/>
      </c>
      <c r="N687" s="6">
        <f>HYPERLINK("http://www.eum.go.kr/web/ar/lu/luLandDet.jsp?pnu=3611010900108420000&amp;isNoScr=script&amp;mode=search", "토지이음")</f>
        <v/>
      </c>
      <c r="O687" s="3" t="inlineStr">
        <is>
          <t>세종스타</t>
        </is>
      </c>
      <c r="P687" s="4" t="n">
        <v>2</v>
      </c>
      <c r="Q687" s="4" t="n">
        <v>315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소로한면</t>
        </is>
      </c>
    </row>
    <row r="688">
      <c r="A688" s="3" t="inlineStr">
        <is>
          <t>다정동 852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48000</v>
      </c>
      <c r="G688" s="4" t="n">
        <v>298</v>
      </c>
      <c r="H688" s="4" t="n">
        <v>90</v>
      </c>
      <c r="I688" s="5" t="n">
        <v>533.3</v>
      </c>
      <c r="J688" s="5" t="n">
        <v>298.2</v>
      </c>
      <c r="K688" s="3" t="inlineStr">
        <is>
          <t>nan</t>
        </is>
      </c>
      <c r="L688" s="6">
        <f>HYPERLINK("https://fin.land.naver.com/articles/2649625468", "매물Link")</f>
        <v/>
      </c>
      <c r="M688" s="6">
        <f>HYPERLINK("https://map.naver.com/p/search/다정동 852", "지도Link")</f>
        <v/>
      </c>
      <c r="N688" s="6">
        <f>HYPERLINK("http://www.eum.go.kr/web/ar/lu/luLandDet.jsp?pnu=3611010900108520000&amp;isNoScr=script&amp;mode=search", "토지이음")</f>
        <v/>
      </c>
      <c r="O688" s="3" t="inlineStr">
        <is>
          <t>세종리더스</t>
        </is>
      </c>
      <c r="P688" s="4" t="n">
        <v>1</v>
      </c>
      <c r="Q688" s="4" t="n">
        <v>293.7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소로한면</t>
        </is>
      </c>
    </row>
    <row r="689">
      <c r="A689" s="3" t="inlineStr">
        <is>
          <t>다정동 885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48000</v>
      </c>
      <c r="G689" s="4" t="n">
        <v>397</v>
      </c>
      <c r="H689" s="4" t="n">
        <v>120</v>
      </c>
      <c r="I689" s="5" t="n">
        <v>400</v>
      </c>
      <c r="J689" s="5" t="n">
        <v>353.7</v>
      </c>
      <c r="K689" s="3" t="inlineStr">
        <is>
          <t>급매 추가조율가능 삼면 코너각지 큰평수</t>
        </is>
      </c>
      <c r="L689" s="6">
        <f>HYPERLINK("https://fin.land.naver.com/articles/2655187673", "매물Link")</f>
        <v/>
      </c>
      <c r="M689" s="6">
        <f>HYPERLINK("https://map.naver.com/p/search/다정동 885", "지도Link")</f>
        <v/>
      </c>
      <c r="N689" s="6">
        <f>HYPERLINK("http://www.eum.go.kr/web/ar/lu/luLandDet.jsp?pnu=3611010900108850000&amp;isNoScr=script&amp;mode=search", "토지이음")</f>
        <v/>
      </c>
      <c r="O689" s="3" t="inlineStr">
        <is>
          <t>세종스타</t>
        </is>
      </c>
      <c r="P689" s="4" t="n">
        <v>2</v>
      </c>
      <c r="Q689" s="4" t="n">
        <v>397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중로각지</t>
        </is>
      </c>
    </row>
    <row r="690">
      <c r="A690" s="3" t="inlineStr">
        <is>
          <t>다정동 887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41000</v>
      </c>
      <c r="G690" s="4" t="n">
        <v>374</v>
      </c>
      <c r="H690" s="4" t="n">
        <v>113</v>
      </c>
      <c r="I690" s="5" t="n">
        <v>362.8</v>
      </c>
      <c r="J690" s="5" t="n">
        <v>353.7</v>
      </c>
      <c r="K690" s="3" t="inlineStr">
        <is>
          <t>급매 다정동 전원주택토지임.</t>
        </is>
      </c>
      <c r="L690" s="6">
        <f>HYPERLINK("https://fin.land.naver.com/articles/2653163964", "매물Link")</f>
        <v/>
      </c>
      <c r="M690" s="6">
        <f>HYPERLINK("https://map.naver.com/p/search/다정동 887", "지도Link")</f>
        <v/>
      </c>
      <c r="N690" s="6">
        <f>HYPERLINK("http://www.eum.go.kr/web/ar/lu/luLandDet.jsp?pnu=3611010900108870000&amp;isNoScr=script&amp;mode=search", "토지이음")</f>
        <v/>
      </c>
      <c r="O690" s="3" t="inlineStr">
        <is>
          <t>태흥</t>
        </is>
      </c>
      <c r="P690" s="4" t="n">
        <v>1</v>
      </c>
      <c r="Q690" s="4" t="n">
        <v>374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중로각지</t>
        </is>
      </c>
    </row>
    <row r="691">
      <c r="A691" s="3" t="inlineStr">
        <is>
          <t>다정동 887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41000</v>
      </c>
      <c r="G691" s="4" t="n">
        <v>374</v>
      </c>
      <c r="H691" s="4" t="n">
        <v>113</v>
      </c>
      <c r="I691" s="5" t="n">
        <v>362.8</v>
      </c>
      <c r="J691" s="5" t="n">
        <v>353.7</v>
      </c>
      <c r="K691" s="3" t="inlineStr">
        <is>
          <t>세종 다정동 단독주택 부지로 주목할 대지 매매</t>
        </is>
      </c>
      <c r="L691" s="6">
        <f>HYPERLINK("https://fin.land.naver.com/articles/2654266239", "매물Link")</f>
        <v/>
      </c>
      <c r="M691" s="6">
        <f>HYPERLINK("https://map.naver.com/p/search/다정동 887", "지도Link")</f>
        <v/>
      </c>
      <c r="N691" s="6">
        <f>HYPERLINK("http://www.eum.go.kr/web/ar/lu/luLandDet.jsp?pnu=3611010900108870000&amp;isNoScr=script&amp;mode=search", "토지이음")</f>
        <v/>
      </c>
      <c r="O691" s="3" t="inlineStr">
        <is>
          <t>세종몽땅</t>
        </is>
      </c>
      <c r="P691" s="4" t="n">
        <v>1</v>
      </c>
      <c r="Q691" s="4" t="n">
        <v>374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중로각지</t>
        </is>
      </c>
    </row>
    <row r="692">
      <c r="A692" s="3" t="inlineStr">
        <is>
          <t>다정동 887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41000</v>
      </c>
      <c r="G692" s="4" t="n">
        <v>374</v>
      </c>
      <c r="H692" s="4" t="n">
        <v>113</v>
      </c>
      <c r="I692" s="5" t="n">
        <v>362.8</v>
      </c>
      <c r="J692" s="5" t="n">
        <v>353.7</v>
      </c>
      <c r="K692" s="3" t="inlineStr">
        <is>
          <t>총 113.3p, 조율가능, 주유소인근, 다정동 단독주택지</t>
        </is>
      </c>
      <c r="L692" s="6">
        <f>HYPERLINK("https://fin.land.naver.com/articles/2653561661", "매물Link")</f>
        <v/>
      </c>
      <c r="M692" s="6">
        <f>HYPERLINK("https://map.naver.com/p/search/다정동 887", "지도Link")</f>
        <v/>
      </c>
      <c r="N692" s="6">
        <f>HYPERLINK("http://www.eum.go.kr/web/ar/lu/luLandDet.jsp?pnu=3611010900108870000&amp;isNoScr=script&amp;mode=search",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374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중로각지</t>
        </is>
      </c>
    </row>
    <row r="693">
      <c r="A693" s="3" t="inlineStr">
        <is>
          <t>다정동 887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53000</v>
      </c>
      <c r="G693" s="4" t="n">
        <v>374</v>
      </c>
      <c r="H693" s="4" t="n">
        <v>113</v>
      </c>
      <c r="I693" s="5" t="n">
        <v>469</v>
      </c>
      <c r="J693" s="5" t="n">
        <v>353.7</v>
      </c>
      <c r="K693" s="3" t="inlineStr">
        <is>
          <t>113.3p, 주유소 맞은편. 조율가능</t>
        </is>
      </c>
      <c r="L693" s="6">
        <f>HYPERLINK("https://fin.land.naver.com/articles/2654925319", "매물Link")</f>
        <v/>
      </c>
      <c r="M693" s="6">
        <f>HYPERLINK("https://map.naver.com/p/search/다정동 887", "지도Link")</f>
        <v/>
      </c>
      <c r="N693" s="6">
        <f>HYPERLINK("http://www.eum.go.kr/web/ar/lu/luLandDet.jsp?pnu=3611010900108870000&amp;isNoScr=script&amp;mode=search",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374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중로각지</t>
        </is>
      </c>
    </row>
    <row r="694">
      <c r="A694" s="3" t="inlineStr">
        <is>
          <t>다정동 887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41000</v>
      </c>
      <c r="G694" s="4" t="n">
        <v>374</v>
      </c>
      <c r="H694" s="4" t="n">
        <v>113</v>
      </c>
      <c r="I694" s="5" t="n">
        <v>362.8</v>
      </c>
      <c r="J694" s="5" t="n">
        <v>353.7</v>
      </c>
      <c r="K694" s="3" t="inlineStr">
        <is>
          <t>급매 큰평수 남서향으로 트인위치 추가조율가능</t>
        </is>
      </c>
      <c r="L694" s="6">
        <f>HYPERLINK("https://fin.land.naver.com/articles/2655187383", "매물Link")</f>
        <v/>
      </c>
      <c r="M694" s="6">
        <f>HYPERLINK("https://map.naver.com/p/search/다정동 887", "지도Link")</f>
        <v/>
      </c>
      <c r="N694" s="6">
        <f>HYPERLINK("http://www.eum.go.kr/web/ar/lu/luLandDet.jsp?pnu=3611010900108870000&amp;isNoScr=script&amp;mode=search", "토지이음")</f>
        <v/>
      </c>
      <c r="O694" s="3" t="inlineStr">
        <is>
          <t>세종스타</t>
        </is>
      </c>
      <c r="P694" s="4" t="n">
        <v>3</v>
      </c>
      <c r="Q694" s="4" t="n">
        <v>374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중로각지</t>
        </is>
      </c>
    </row>
    <row r="695">
      <c r="A695" s="3" t="inlineStr">
        <is>
          <t>다정동 897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194000</v>
      </c>
      <c r="G695" s="4" t="n">
        <v>641</v>
      </c>
      <c r="H695" s="4" t="n">
        <v>194</v>
      </c>
      <c r="I695" s="5" t="n">
        <v>1000</v>
      </c>
      <c r="J695" s="5" t="n">
        <v>763</v>
      </c>
      <c r="K695" s="3" t="inlineStr">
        <is>
          <t>nan</t>
        </is>
      </c>
      <c r="L695" s="6">
        <f>HYPERLINK("https://fin.land.naver.com/articles/2654765618", "매물Link")</f>
        <v/>
      </c>
      <c r="M695" s="6">
        <f>HYPERLINK("https://map.naver.com/p/search/다정동 897", "지도Link")</f>
        <v/>
      </c>
      <c r="N695" s="6">
        <f>HYPERLINK("http://www.eum.go.kr/web/ar/lu/luLandDet.jsp?pnu=3611010900108970000&amp;isNoScr=script&amp;mode=search", "토지이음")</f>
        <v/>
      </c>
      <c r="O695" s="3" t="inlineStr">
        <is>
          <t>세종나라</t>
        </is>
      </c>
      <c r="P695" s="4" t="n">
        <v>4</v>
      </c>
      <c r="Q695" s="4" t="n">
        <v>641</v>
      </c>
      <c r="R695" s="3" t="inlineStr">
        <is>
          <t>지정되지않음</t>
        </is>
      </c>
      <c r="S695" s="3" t="inlineStr">
        <is>
          <t>상업나지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중로각지</t>
        </is>
      </c>
    </row>
    <row r="696">
      <c r="A696" s="3" t="inlineStr">
        <is>
          <t>다정동 897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194000</v>
      </c>
      <c r="G696" s="4" t="n">
        <v>641</v>
      </c>
      <c r="H696" s="4" t="n">
        <v>194</v>
      </c>
      <c r="I696" s="5" t="n">
        <v>1000</v>
      </c>
      <c r="J696" s="5" t="n">
        <v>763</v>
      </c>
      <c r="K696" s="3" t="inlineStr">
        <is>
          <t>다정동 코너 위치한 근생 토지매매, 조율가능, 입지 최고</t>
        </is>
      </c>
      <c r="L696" s="6">
        <f>HYPERLINK("https://fin.land.naver.com/articles/2649608618", "매물Link")</f>
        <v/>
      </c>
      <c r="M696" s="6">
        <f>HYPERLINK("https://map.naver.com/p/search/다정동 897", "지도Link")</f>
        <v/>
      </c>
      <c r="N696" s="6">
        <f>HYPERLINK("http://www.eum.go.kr/web/ar/lu/luLandDet.jsp?pnu=3611010900108970000&amp;isNoScr=script&amp;mode=search", "토지이음")</f>
        <v/>
      </c>
      <c r="O696" s="3" t="inlineStr">
        <is>
          <t>세종무지개</t>
        </is>
      </c>
      <c r="P696" s="4" t="n">
        <v>1</v>
      </c>
      <c r="Q696" s="4" t="n">
        <v>641</v>
      </c>
      <c r="R696" s="3" t="inlineStr">
        <is>
          <t>지정되지않음</t>
        </is>
      </c>
      <c r="S696" s="3" t="inlineStr">
        <is>
          <t>상업나지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중로각지</t>
        </is>
      </c>
    </row>
    <row r="697">
      <c r="A697" s="3" t="inlineStr">
        <is>
          <t>다정동 897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194000</v>
      </c>
      <c r="G697" s="4" t="n">
        <v>641</v>
      </c>
      <c r="H697" s="4" t="n">
        <v>194</v>
      </c>
      <c r="I697" s="5" t="n">
        <v>1000</v>
      </c>
      <c r="J697" s="5" t="n">
        <v>763</v>
      </c>
      <c r="K697" s="3" t="inlineStr">
        <is>
          <t>총 194.2p, 코너자리, 다정동 위치좋은 근생토지</t>
        </is>
      </c>
      <c r="L697" s="6">
        <f>HYPERLINK("https://fin.land.naver.com/articles/2653057250", "매물Link")</f>
        <v/>
      </c>
      <c r="M697" s="6">
        <f>HYPERLINK("https://map.naver.com/p/search/다정동 897", "지도Link")</f>
        <v/>
      </c>
      <c r="N697" s="6">
        <f>HYPERLINK("http://www.eum.go.kr/web/ar/lu/luLandDet.jsp?pnu=3611010900108970000&amp;isNoScr=script&amp;mode=search",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641</v>
      </c>
      <c r="R697" s="3" t="inlineStr">
        <is>
          <t>지정되지않음</t>
        </is>
      </c>
      <c r="S697" s="3" t="inlineStr">
        <is>
          <t>상업나지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중로각지</t>
        </is>
      </c>
    </row>
    <row r="698">
      <c r="A698" s="3" t="inlineStr">
        <is>
          <t>다정동 900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250000</v>
      </c>
      <c r="G698" s="4" t="n">
        <v>594</v>
      </c>
      <c r="H698" s="4" t="n">
        <v>180</v>
      </c>
      <c r="I698" s="5" t="n">
        <v>1388.9</v>
      </c>
      <c r="J698" s="5" t="n">
        <v>763</v>
      </c>
      <c r="K698" s="3" t="inlineStr">
        <is>
          <t>대단지아파트 주변 근린생활시설용지,근생단독건물건축용지</t>
        </is>
      </c>
      <c r="L698" s="6">
        <f>HYPERLINK("https://fin.land.naver.com/articles/2652144502", "매물Link")</f>
        <v/>
      </c>
      <c r="M698" s="6">
        <f>HYPERLINK("https://map.naver.com/p/search/다정동 900", "지도Link")</f>
        <v/>
      </c>
      <c r="N698" s="6">
        <f>HYPERLINK("http://www.eum.go.kr/web/ar/lu/luLandDet.jsp?pnu=3611010900109000000&amp;isNoScr=script&amp;mode=search", "토지이음")</f>
        <v/>
      </c>
      <c r="O698" s="3" t="inlineStr">
        <is>
          <t>세종지원</t>
        </is>
      </c>
      <c r="P698" s="4" t="n">
        <v>1</v>
      </c>
      <c r="Q698" s="4" t="n">
        <v>594</v>
      </c>
      <c r="R698" s="3" t="inlineStr">
        <is>
          <t>지정되지않음</t>
        </is>
      </c>
      <c r="S698" s="3" t="inlineStr">
        <is>
          <t>상업나지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중로각지</t>
        </is>
      </c>
    </row>
    <row r="699">
      <c r="A699" s="3" t="inlineStr">
        <is>
          <t>다정동 902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396000</v>
      </c>
      <c r="G699" s="4" t="n">
        <v>654</v>
      </c>
      <c r="H699" s="4" t="n">
        <v>198</v>
      </c>
      <c r="I699" s="5" t="n">
        <v>2000</v>
      </c>
      <c r="J699" s="5" t="n">
        <v>763</v>
      </c>
      <c r="K699" s="3" t="inlineStr">
        <is>
          <t>근생용지,코너각지땅으로 대단지 아파트초인근임</t>
        </is>
      </c>
      <c r="L699" s="6">
        <f>HYPERLINK("https://fin.land.naver.com/articles/2649789570", "매물Link")</f>
        <v/>
      </c>
      <c r="M699" s="6">
        <f>HYPERLINK("https://map.naver.com/p/search/다정동 902", "지도Link")</f>
        <v/>
      </c>
      <c r="N699" s="6">
        <f>HYPERLINK("http://www.eum.go.kr/web/ar/lu/luLandDet.jsp?pnu=3611010900109020000&amp;isNoScr=script&amp;mode=search", "토지이음")</f>
        <v/>
      </c>
      <c r="O699" s="3" t="inlineStr">
        <is>
          <t>세종대명</t>
        </is>
      </c>
      <c r="P699" s="4" t="n">
        <v>1</v>
      </c>
      <c r="Q699" s="4" t="n">
        <v>654.6</v>
      </c>
      <c r="R699" s="3" t="inlineStr">
        <is>
          <t>지정되지않음</t>
        </is>
      </c>
      <c r="S699" s="3" t="inlineStr">
        <is>
          <t>상업나지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중로각지</t>
        </is>
      </c>
    </row>
    <row r="700">
      <c r="A700" s="3" t="inlineStr">
        <is>
          <t>다정동 902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396000</v>
      </c>
      <c r="G700" s="4" t="n">
        <v>654</v>
      </c>
      <c r="H700" s="4" t="n">
        <v>198</v>
      </c>
      <c r="I700" s="5" t="n">
        <v>2000</v>
      </c>
      <c r="J700" s="5" t="n">
        <v>763</v>
      </c>
      <c r="K700" s="3" t="inlineStr">
        <is>
          <t>코너 입지한 근린생활용지 토지 매매, 위치 좋음</t>
        </is>
      </c>
      <c r="L700" s="6">
        <f>HYPERLINK("https://fin.land.naver.com/articles/2650893996", "매물Link")</f>
        <v/>
      </c>
      <c r="M700" s="6">
        <f>HYPERLINK("https://map.naver.com/p/search/다정동 902", "지도Link")</f>
        <v/>
      </c>
      <c r="N700" s="6">
        <f>HYPERLINK("http://www.eum.go.kr/web/ar/lu/luLandDet.jsp?pnu=3611010900109020000&amp;isNoScr=script&amp;mode=search",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654.6</v>
      </c>
      <c r="R700" s="3" t="inlineStr">
        <is>
          <t>지정되지않음</t>
        </is>
      </c>
      <c r="S700" s="3" t="inlineStr">
        <is>
          <t>상업나지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중로각지</t>
        </is>
      </c>
    </row>
    <row r="701">
      <c r="A701" s="3" t="inlineStr">
        <is>
          <t>도담동 410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100000</v>
      </c>
      <c r="G701" s="4" t="n">
        <v>330</v>
      </c>
      <c r="H701" s="4" t="n">
        <v>100</v>
      </c>
      <c r="I701" s="5" t="n">
        <v>1000</v>
      </c>
      <c r="J701" s="5" t="n">
        <v>362</v>
      </c>
      <c r="K701" s="3" t="inlineStr">
        <is>
          <t>조율가능 남향 코너각지 천조망가능 최상입지</t>
        </is>
      </c>
      <c r="L701" s="6">
        <f>HYPERLINK("https://fin.land.naver.com/articles/2655021747", "매물Link")</f>
        <v/>
      </c>
      <c r="M701" s="6">
        <f>HYPERLINK("https://map.naver.com/p/search/도담동 410", "지도Link")</f>
        <v/>
      </c>
      <c r="N701" s="6">
        <f>HYPERLINK("http://www.eum.go.kr/web/ar/lu/luLandDet.jsp?pnu=3611011400104100000&amp;isNoScr=script&amp;mode=search", "토지이음")</f>
        <v/>
      </c>
      <c r="O701" s="3" t="inlineStr">
        <is>
          <t>세종스타</t>
        </is>
      </c>
      <c r="P701" s="4" t="n">
        <v>1</v>
      </c>
      <c r="Q701" s="4" t="n">
        <v>330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소로한면</t>
        </is>
      </c>
    </row>
    <row r="702">
      <c r="A702" s="3" t="inlineStr">
        <is>
          <t>도담동 410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100000</v>
      </c>
      <c r="G702" s="4" t="n">
        <v>330</v>
      </c>
      <c r="H702" s="4" t="n">
        <v>100</v>
      </c>
      <c r="I702" s="5" t="n">
        <v>1000</v>
      </c>
      <c r="J702" s="5" t="n">
        <v>362</v>
      </c>
      <c r="K702" s="3" t="inlineStr">
        <is>
          <t>총 100p, 주민휴게광장옆, 위치좋은 토지</t>
        </is>
      </c>
      <c r="L702" s="6">
        <f>HYPERLINK("https://fin.land.naver.com/articles/2654920683", "매물Link")</f>
        <v/>
      </c>
      <c r="M702" s="6">
        <f>HYPERLINK("https://map.naver.com/p/search/도담동 410", "지도Link")</f>
        <v/>
      </c>
      <c r="N702" s="6">
        <f>HYPERLINK("http://www.eum.go.kr/web/ar/lu/luLandDet.jsp?pnu=3611011400104100000&amp;isNoScr=script&amp;mode=search",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330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정방형</t>
        </is>
      </c>
      <c r="V702" s="3" t="inlineStr">
        <is>
          <t>소로한면</t>
        </is>
      </c>
    </row>
    <row r="703">
      <c r="A703" s="3" t="inlineStr">
        <is>
          <t>도담동 410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100000</v>
      </c>
      <c r="G703" s="4" t="n">
        <v>330</v>
      </c>
      <c r="H703" s="4" t="n">
        <v>100</v>
      </c>
      <c r="I703" s="5" t="n">
        <v>1000</v>
      </c>
      <c r="J703" s="5" t="n">
        <v>362</v>
      </c>
      <c r="K703" s="3" t="inlineStr">
        <is>
          <t>100p, 도담동 말발굽토지, 왼쪽 사거리 코너자리</t>
        </is>
      </c>
      <c r="L703" s="6">
        <f>HYPERLINK("https://fin.land.naver.com/articles/2653566973", "매물Link")</f>
        <v/>
      </c>
      <c r="M703" s="6">
        <f>HYPERLINK("https://map.naver.com/p/search/도담동 410", "지도Link")</f>
        <v/>
      </c>
      <c r="N703" s="6">
        <f>HYPERLINK("http://www.eum.go.kr/web/ar/lu/luLandDet.jsp?pnu=3611011400104100000&amp;isNoScr=script&amp;mode=search",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330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정방형</t>
        </is>
      </c>
      <c r="V703" s="3" t="inlineStr">
        <is>
          <t>소로한면</t>
        </is>
      </c>
    </row>
    <row r="704">
      <c r="A704" s="3" t="inlineStr">
        <is>
          <t>도담동 419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100000</v>
      </c>
      <c r="G704" s="4" t="n">
        <v>327</v>
      </c>
      <c r="H704" s="4" t="n">
        <v>99</v>
      </c>
      <c r="I704" s="5" t="n">
        <v>1010.1</v>
      </c>
      <c r="J704" s="5" t="n">
        <v>358.3</v>
      </c>
      <c r="K704" s="3" t="inlineStr">
        <is>
          <t>말발굽 정남향 귀한 토지, 조율가능</t>
        </is>
      </c>
      <c r="L704" s="6">
        <f>HYPERLINK("https://fin.land.naver.com/articles/2651903895", "매물Link")</f>
        <v/>
      </c>
      <c r="M704" s="6">
        <f>HYPERLINK("https://map.naver.com/p/search/도담동 419", "지도Link")</f>
        <v/>
      </c>
      <c r="N704" s="6">
        <f>HYPERLINK("http://www.eum.go.kr/web/ar/lu/luLandDet.jsp?pnu=3611011400104190000&amp;isNoScr=script&amp;mode=search",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327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419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100000</v>
      </c>
      <c r="G705" s="4" t="n">
        <v>327</v>
      </c>
      <c r="H705" s="4" t="n">
        <v>99</v>
      </c>
      <c r="I705" s="5" t="n">
        <v>1010.1</v>
      </c>
      <c r="J705" s="5" t="n">
        <v>358.3</v>
      </c>
      <c r="K705" s="3" t="inlineStr">
        <is>
          <t>99.1p, 도담동 말발굽 토지, 공원 보행로 접해 있음</t>
        </is>
      </c>
      <c r="L705" s="6">
        <f>HYPERLINK("https://fin.land.naver.com/articles/2653565954", "매물Link")</f>
        <v/>
      </c>
      <c r="M705" s="6">
        <f>HYPERLINK("https://map.naver.com/p/search/도담동 419", "지도Link")</f>
        <v/>
      </c>
      <c r="N705" s="6">
        <f>HYPERLINK("http://www.eum.go.kr/web/ar/lu/luLandDet.jsp?pnu=3611011400104190000&amp;isNoScr=script&amp;mode=search",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327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419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100000</v>
      </c>
      <c r="G706" s="4" t="n">
        <v>327</v>
      </c>
      <c r="H706" s="4" t="n">
        <v>99</v>
      </c>
      <c r="I706" s="5" t="n">
        <v>1010.1</v>
      </c>
      <c r="J706" s="5" t="n">
        <v>358.3</v>
      </c>
      <c r="K706" s="3" t="inlineStr">
        <is>
          <t>nan</t>
        </is>
      </c>
      <c r="L706" s="6">
        <f>HYPERLINK("https://fin.land.naver.com/articles/2652567664", "매물Link")</f>
        <v/>
      </c>
      <c r="M706" s="6">
        <f>HYPERLINK("https://map.naver.com/p/search/도담동 419", "지도Link")</f>
        <v/>
      </c>
      <c r="N706" s="6">
        <f>HYPERLINK("http://www.eum.go.kr/web/ar/lu/luLandDet.jsp?pnu=3611011400104190000&amp;isNoScr=script&amp;mode=search", "토지이음")</f>
        <v/>
      </c>
      <c r="O706" s="3" t="inlineStr">
        <is>
          <t>진달래</t>
        </is>
      </c>
      <c r="P706" s="4" t="n">
        <v>2</v>
      </c>
      <c r="Q706" s="4" t="n">
        <v>327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424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115000</v>
      </c>
      <c r="G707" s="4" t="n">
        <v>305</v>
      </c>
      <c r="H707" s="4" t="n">
        <v>92</v>
      </c>
      <c r="I707" s="5" t="n">
        <v>1250</v>
      </c>
      <c r="J707" s="5" t="n">
        <v>358.3</v>
      </c>
      <c r="K707" s="3" t="inlineStr">
        <is>
          <t>조율가능 공원접함 최선호 반원호내 단독주택지</t>
        </is>
      </c>
      <c r="L707" s="6">
        <f>HYPERLINK("https://fin.land.naver.com/articles/2652136867", "매물Link")</f>
        <v/>
      </c>
      <c r="M707" s="6">
        <f>HYPERLINK("https://map.naver.com/p/search/도담동 424", "지도Link")</f>
        <v/>
      </c>
      <c r="N707" s="6">
        <f>HYPERLINK("http://www.eum.go.kr/web/ar/lu/luLandDet.jsp?pnu=3611011400104240000&amp;isNoScr=script&amp;mode=search", "토지이음")</f>
        <v/>
      </c>
      <c r="O707" s="3" t="inlineStr">
        <is>
          <t>세종스타</t>
        </is>
      </c>
      <c r="P707" s="4" t="n">
        <v>1</v>
      </c>
      <c r="Q707" s="4" t="n">
        <v>305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425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110000</v>
      </c>
      <c r="G708" s="4" t="n">
        <v>304</v>
      </c>
      <c r="H708" s="4" t="n">
        <v>92</v>
      </c>
      <c r="I708" s="5" t="n">
        <v>1195.7</v>
      </c>
      <c r="J708" s="5" t="n">
        <v>358.3</v>
      </c>
      <c r="K708" s="3" t="inlineStr">
        <is>
          <t>급매진행 조율최대가능  도담동 말발급주택지 원수산아래 넓은 녹지공간</t>
        </is>
      </c>
      <c r="L708" s="6">
        <f>HYPERLINK("https://fin.land.naver.com/articles/2653792732", "매물Link")</f>
        <v/>
      </c>
      <c r="M708" s="6">
        <f>HYPERLINK("https://map.naver.com/p/search/도담동 425", "지도Link")</f>
        <v/>
      </c>
      <c r="N708" s="6">
        <f>HYPERLINK("http://www.eum.go.kr/web/ar/lu/luLandDet.jsp?pnu=3611011400104250000&amp;isNoScr=script&amp;mode=search", "토지이음")</f>
        <v/>
      </c>
      <c r="O708" s="3" t="inlineStr">
        <is>
          <t>홍기표</t>
        </is>
      </c>
      <c r="P708" s="4" t="n">
        <v>3</v>
      </c>
      <c r="Q708" s="4" t="n">
        <v>304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425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110000</v>
      </c>
      <c r="G709" s="4" t="n">
        <v>303</v>
      </c>
      <c r="H709" s="4" t="n">
        <v>92</v>
      </c>
      <c r="I709" s="5" t="n">
        <v>1195.7</v>
      </c>
      <c r="J709" s="5" t="n">
        <v>358.3</v>
      </c>
      <c r="K709" s="3" t="inlineStr">
        <is>
          <t>도담동 말발굽토지 매매, 공원 인근, 선호도 높은 토지</t>
        </is>
      </c>
      <c r="L709" s="6">
        <f>HYPERLINK("https://fin.land.naver.com/articles/2650427607", "매물Link")</f>
        <v/>
      </c>
      <c r="M709" s="6">
        <f>HYPERLINK("https://map.naver.com/p/search/도담동 425", "지도Link")</f>
        <v/>
      </c>
      <c r="N709" s="6">
        <f>HYPERLINK("http://www.eum.go.kr/web/ar/lu/luLandDet.jsp?pnu=3611011400104250000&amp;isNoScr=script&amp;mode=search",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304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도담동 425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110000</v>
      </c>
      <c r="G710" s="4" t="n">
        <v>304</v>
      </c>
      <c r="H710" s="4" t="n">
        <v>92</v>
      </c>
      <c r="I710" s="5" t="n">
        <v>1195.7</v>
      </c>
      <c r="J710" s="5" t="n">
        <v>358.3</v>
      </c>
      <c r="K710" s="3" t="inlineStr">
        <is>
          <t>총 92.1p, 말발굽 최고입지, 넓은 공원 인근</t>
        </is>
      </c>
      <c r="L710" s="6">
        <f>HYPERLINK("https://fin.land.naver.com/articles/2653682295", "매물Link")</f>
        <v/>
      </c>
      <c r="M710" s="6">
        <f>HYPERLINK("https://map.naver.com/p/search/도담동 425", "지도Link")</f>
        <v/>
      </c>
      <c r="N710" s="6">
        <f>HYPERLINK("http://www.eum.go.kr/web/ar/lu/luLandDet.jsp?pnu=3611011400104250000&amp;isNoScr=script&amp;mode=search",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도담동 455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93000</v>
      </c>
      <c r="G711" s="4" t="n">
        <v>335</v>
      </c>
      <c r="H711" s="4" t="n">
        <v>101</v>
      </c>
      <c r="I711" s="5" t="n">
        <v>920.8</v>
      </c>
      <c r="J711" s="5" t="n">
        <v>358.3</v>
      </c>
      <c r="K711" s="3" t="inlineStr">
        <is>
          <t>조율가능한 말발굽 위치 좋은 토지 매매, 코너각지</t>
        </is>
      </c>
      <c r="L711" s="6">
        <f>HYPERLINK("https://fin.land.naver.com/articles/2650427728", "매물Link")</f>
        <v/>
      </c>
      <c r="M711" s="6">
        <f>HYPERLINK("https://map.naver.com/p/search/도담동 455", "지도Link")</f>
        <v/>
      </c>
      <c r="N711" s="6">
        <f>HYPERLINK("http://www.eum.go.kr/web/ar/lu/luLandDet.jsp?pnu=3611011400104550000&amp;isNoScr=script&amp;mode=search",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337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도담동 455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93000</v>
      </c>
      <c r="G712" s="4" t="n">
        <v>337</v>
      </c>
      <c r="H712" s="4" t="n">
        <v>102</v>
      </c>
      <c r="I712" s="5" t="n">
        <v>911.8</v>
      </c>
      <c r="J712" s="5" t="n">
        <v>358.3</v>
      </c>
      <c r="K712" s="3" t="inlineStr">
        <is>
          <t>102.1p, 코너자리, 말발굽 좋은위치, 조율가능</t>
        </is>
      </c>
      <c r="L712" s="6">
        <f>HYPERLINK("https://fin.land.naver.com/articles/2654928079", "매물Link")</f>
        <v/>
      </c>
      <c r="M712" s="6">
        <f>HYPERLINK("https://map.naver.com/p/search/도담동 455", "지도Link")</f>
        <v/>
      </c>
      <c r="N712" s="6">
        <f>HYPERLINK("http://www.eum.go.kr/web/ar/lu/luLandDet.jsp?pnu=3611011400104550000&amp;isNoScr=script&amp;mode=search",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337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도담동 455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93000</v>
      </c>
      <c r="G713" s="4" t="n">
        <v>337</v>
      </c>
      <c r="H713" s="4" t="n">
        <v>102</v>
      </c>
      <c r="I713" s="5" t="n">
        <v>911.8</v>
      </c>
      <c r="J713" s="5" t="n">
        <v>358.3</v>
      </c>
      <c r="K713" s="3" t="inlineStr">
        <is>
          <t>조율가능 반원호내 좋은위치</t>
        </is>
      </c>
      <c r="L713" s="6">
        <f>HYPERLINK("https://fin.land.naver.com/articles/2654855310", "매물Link")</f>
        <v/>
      </c>
      <c r="M713" s="6">
        <f>HYPERLINK("https://map.naver.com/p/search/도담동 455", "지도Link")</f>
        <v/>
      </c>
      <c r="N713" s="6">
        <f>HYPERLINK("http://www.eum.go.kr/web/ar/lu/luLandDet.jsp?pnu=3611011400104550000&amp;isNoScr=script&amp;mode=search", "토지이음")</f>
        <v/>
      </c>
      <c r="O713" s="3" t="inlineStr">
        <is>
          <t>세종스타</t>
        </is>
      </c>
      <c r="P713" s="4" t="n">
        <v>1</v>
      </c>
      <c r="Q713" s="4" t="n">
        <v>337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496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75000</v>
      </c>
      <c r="G714" s="4" t="n">
        <v>319</v>
      </c>
      <c r="H714" s="4" t="n">
        <v>96</v>
      </c>
      <c r="I714" s="5" t="n">
        <v>781.2</v>
      </c>
      <c r="J714" s="5" t="n">
        <v>366.9</v>
      </c>
      <c r="K714" s="3" t="inlineStr">
        <is>
          <t>96.9p, 유.초등학교 인근, 삼거리 입지 좋은 토지</t>
        </is>
      </c>
      <c r="L714" s="6">
        <f>HYPERLINK("https://fin.land.naver.com/articles/2654695944", "매물Link")</f>
        <v/>
      </c>
      <c r="M714" s="6">
        <f>HYPERLINK("https://map.naver.com/p/search/도담동 496", "지도Link")</f>
        <v/>
      </c>
      <c r="N714" s="6">
        <f>HYPERLINK("http://www.eum.go.kr/web/ar/lu/luLandDet.jsp?pnu=3611011400104960000&amp;isNoScr=script&amp;mode=search",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319.9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도담동 496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75000</v>
      </c>
      <c r="G715" s="4" t="n">
        <v>319</v>
      </c>
      <c r="H715" s="4" t="n">
        <v>96</v>
      </c>
      <c r="I715" s="5" t="n">
        <v>781.2</v>
      </c>
      <c r="J715" s="5" t="n">
        <v>366.9</v>
      </c>
      <c r="K715" s="3" t="inlineStr">
        <is>
          <t>급매 양지초인근 땅모양좋음 공원용지 접함</t>
        </is>
      </c>
      <c r="L715" s="6">
        <f>HYPERLINK("https://fin.land.naver.com/articles/2655236450", "매물Link")</f>
        <v/>
      </c>
      <c r="M715" s="6">
        <f>HYPERLINK("https://map.naver.com/p/search/도담동 496", "지도Link")</f>
        <v/>
      </c>
      <c r="N715" s="6">
        <f>HYPERLINK("http://www.eum.go.kr/web/ar/lu/luLandDet.jsp?pnu=3611011400104960000&amp;isNoScr=script&amp;mode=search", "토지이음")</f>
        <v/>
      </c>
      <c r="O715" s="3" t="inlineStr">
        <is>
          <t>세종스타</t>
        </is>
      </c>
      <c r="P715" s="4" t="n">
        <v>2</v>
      </c>
      <c r="Q715" s="4" t="n">
        <v>319.9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546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329</v>
      </c>
      <c r="H716" s="4" t="n">
        <v>100</v>
      </c>
      <c r="I716" s="5" t="n">
        <v>800</v>
      </c>
      <c r="J716" s="5" t="n">
        <v>366.9</v>
      </c>
      <c r="K716" s="3" t="inlineStr">
        <is>
          <t>99.9p, 유.초등학교 인근, 사거리 코너자리</t>
        </is>
      </c>
      <c r="L716" s="6">
        <f>HYPERLINK("https://fin.land.naver.com/articles/2654709547", "매물Link")</f>
        <v/>
      </c>
      <c r="M716" s="6">
        <f>HYPERLINK("https://map.naver.com/p/search/도담동 546", "지도Link")</f>
        <v/>
      </c>
      <c r="N716" s="6">
        <f>HYPERLINK("http://www.eum.go.kr/web/ar/lu/luLandDet.jsp?pnu=3611011400105460000&amp;isNoScr=script&amp;mode=search",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329.8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도담동 546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80000</v>
      </c>
      <c r="G717" s="4" t="n">
        <v>329</v>
      </c>
      <c r="H717" s="4" t="n">
        <v>100</v>
      </c>
      <c r="I717" s="5" t="n">
        <v>800</v>
      </c>
      <c r="J717" s="5" t="n">
        <v>366.9</v>
      </c>
      <c r="K717" s="3" t="inlineStr">
        <is>
          <t>도담동 택지. 초등학교,충남대병원 가까운거리 위치</t>
        </is>
      </c>
      <c r="L717" s="6">
        <f>HYPERLINK("https://fin.land.naver.com/articles/2650945757", "매물Link")</f>
        <v/>
      </c>
      <c r="M717" s="6">
        <f>HYPERLINK("https://map.naver.com/p/search/도담동 546", "지도Link")</f>
        <v/>
      </c>
      <c r="N717" s="6">
        <f>HYPERLINK("http://www.eum.go.kr/web/ar/lu/luLandDet.jsp?pnu=3611011400105460000&amp;isNoScr=script&amp;mode=search", "토지이음")</f>
        <v/>
      </c>
      <c r="O717" s="3" t="inlineStr">
        <is>
          <t>OK세종 사무소</t>
        </is>
      </c>
      <c r="P717" s="4" t="n">
        <v>1</v>
      </c>
      <c r="Q717" s="4" t="n">
        <v>329.8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도담동 546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80000</v>
      </c>
      <c r="G718" s="4" t="n">
        <v>330</v>
      </c>
      <c r="H718" s="4" t="n">
        <v>100</v>
      </c>
      <c r="I718" s="5" t="n">
        <v>800</v>
      </c>
      <c r="J718" s="5" t="n">
        <v>366.9</v>
      </c>
      <c r="K718" s="3" t="inlineStr">
        <is>
          <t>양지초 양지유치원 정문 건너편 최선호 위치 주변시세보다 저렴 추천매물</t>
        </is>
      </c>
      <c r="L718" s="6">
        <f>HYPERLINK("https://fin.land.naver.com/articles/2649479494", "매물Link")</f>
        <v/>
      </c>
      <c r="M718" s="6">
        <f>HYPERLINK("https://map.naver.com/p/search/도담동 546", "지도Link")</f>
        <v/>
      </c>
      <c r="N718" s="6">
        <f>HYPERLINK("http://www.eum.go.kr/web/ar/lu/luLandDet.jsp?pnu=3611011400105460000&amp;isNoScr=script&amp;mode=search", "토지이음")</f>
        <v/>
      </c>
      <c r="O718" s="3" t="inlineStr">
        <is>
          <t>세종스타</t>
        </is>
      </c>
      <c r="P718" s="4" t="n">
        <v>1</v>
      </c>
      <c r="Q718" s="4" t="n">
        <v>329.8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도담동 546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80000</v>
      </c>
      <c r="G719" s="4" t="n">
        <v>329</v>
      </c>
      <c r="H719" s="4" t="n">
        <v>100</v>
      </c>
      <c r="I719" s="5" t="n">
        <v>800</v>
      </c>
      <c r="J719" s="5" t="n">
        <v>366.9</v>
      </c>
      <c r="K719" s="3" t="inlineStr">
        <is>
          <t>99.9p, 도담동 말발굽택지 중 급매</t>
        </is>
      </c>
      <c r="L719" s="6">
        <f>HYPERLINK("https://fin.land.naver.com/articles/2654923757", "매물Link")</f>
        <v/>
      </c>
      <c r="M719" s="6">
        <f>HYPERLINK("https://map.naver.com/p/search/도담동 546", "지도Link")</f>
        <v/>
      </c>
      <c r="N719" s="6">
        <f>HYPERLINK("http://www.eum.go.kr/web/ar/lu/luLandDet.jsp?pnu=3611011400105460000&amp;isNoScr=script&amp;mode=search",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329.8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도담동 561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85000</v>
      </c>
      <c r="G720" s="4" t="n">
        <v>382</v>
      </c>
      <c r="H720" s="4" t="n">
        <v>116</v>
      </c>
      <c r="I720" s="5" t="n">
        <v>732.8</v>
      </c>
      <c r="J720" s="5" t="n">
        <v>363</v>
      </c>
      <c r="K720" s="3" t="inlineStr">
        <is>
          <t>급매, 총 116p, 대형토지, 도담동 말발굽토지, 조율가능</t>
        </is>
      </c>
      <c r="L720" s="6">
        <f>HYPERLINK("https://fin.land.naver.com/articles/2651944411", "매물Link")</f>
        <v/>
      </c>
      <c r="M720" s="6">
        <f>HYPERLINK("https://map.naver.com/p/search/도담동 561", "지도Link")</f>
        <v/>
      </c>
      <c r="N720" s="6">
        <f>HYPERLINK("http://www.eum.go.kr/web/ar/lu/luLandDet.jsp?pnu=3611011400105610000&amp;isNoScr=script&amp;mode=search",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382.9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도담동 561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120000</v>
      </c>
      <c r="G721" s="4" t="n">
        <v>382</v>
      </c>
      <c r="H721" s="4" t="n">
        <v>116</v>
      </c>
      <c r="I721" s="5" t="n">
        <v>1034.5</v>
      </c>
      <c r="J721" s="5" t="n">
        <v>363</v>
      </c>
      <c r="K721" s="3" t="inlineStr">
        <is>
          <t>nan</t>
        </is>
      </c>
      <c r="L721" s="6">
        <f>HYPERLINK("https://fin.land.naver.com/articles/2653535457", "매물Link")</f>
        <v/>
      </c>
      <c r="M721" s="6">
        <f>HYPERLINK("https://map.naver.com/p/search/도담동 561", "지도Link")</f>
        <v/>
      </c>
      <c r="N721" s="6">
        <f>HYPERLINK("http://www.eum.go.kr/web/ar/lu/luLandDet.jsp?pnu=3611011400105610000&amp;isNoScr=script&amp;mode=search", "토지이음")</f>
        <v/>
      </c>
      <c r="O721" s="3" t="inlineStr">
        <is>
          <t>세종산울랜드마크</t>
        </is>
      </c>
      <c r="P721" s="4" t="n">
        <v>3</v>
      </c>
      <c r="Q721" s="4" t="n">
        <v>382.9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도담동 561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382</v>
      </c>
      <c r="H722" s="4" t="n">
        <v>116</v>
      </c>
      <c r="I722" s="5" t="n">
        <v>732.8</v>
      </c>
      <c r="J722" s="5" t="n">
        <v>363</v>
      </c>
      <c r="K722" s="3" t="inlineStr">
        <is>
          <t>말발굽토지 급매, 사거리 코너 최고 입지, 총 116p</t>
        </is>
      </c>
      <c r="L722" s="6">
        <f>HYPERLINK("https://fin.land.naver.com/articles/2650892606", "매물Link")</f>
        <v/>
      </c>
      <c r="M722" s="6">
        <f>HYPERLINK("https://map.naver.com/p/search/도담동 561", "지도Link")</f>
        <v/>
      </c>
      <c r="N722" s="6">
        <f>HYPERLINK("http://www.eum.go.kr/web/ar/lu/luLandDet.jsp?pnu=3611011400105610000&amp;isNoScr=script&amp;mode=search",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382.9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도담동 562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110000</v>
      </c>
      <c r="G723" s="4" t="n">
        <v>329</v>
      </c>
      <c r="H723" s="4" t="n">
        <v>100</v>
      </c>
      <c r="I723" s="5" t="n">
        <v>1100</v>
      </c>
      <c r="J723" s="5" t="n">
        <v>366.9</v>
      </c>
      <c r="K723" s="3" t="inlineStr">
        <is>
          <t>명성공인, 도담 말발굽자리 위치 좋은 명당 추천 매물</t>
        </is>
      </c>
      <c r="L723" s="6">
        <f>HYPERLINK("https://fin.land.naver.com/articles/2654659001", "매물Link")</f>
        <v/>
      </c>
      <c r="M723" s="6">
        <f>HYPERLINK("https://map.naver.com/p/search/도담동 562", "지도Link")</f>
        <v/>
      </c>
      <c r="N723" s="6">
        <f>HYPERLINK("http://www.eum.go.kr/web/ar/lu/luLandDet.jsp?pnu=3611011400105620000&amp;isNoScr=script&amp;mode=search", "토지이음")</f>
        <v/>
      </c>
      <c r="O723" s="3" t="inlineStr">
        <is>
          <t>명성</t>
        </is>
      </c>
      <c r="P723" s="4" t="n">
        <v>1</v>
      </c>
      <c r="Q723" s="4" t="n">
        <v>329.8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도담동 580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320000</v>
      </c>
      <c r="G724" s="4" t="n">
        <v>500</v>
      </c>
      <c r="H724" s="4" t="n">
        <v>151</v>
      </c>
      <c r="I724" s="5" t="n">
        <v>2119.2</v>
      </c>
      <c r="J724" s="5" t="n">
        <v>735.9</v>
      </c>
      <c r="K724" s="3" t="inlineStr">
        <is>
          <t>명성공인, 도담동 근생용지 추천 매물</t>
        </is>
      </c>
      <c r="L724" s="6">
        <f>HYPERLINK("https://fin.land.naver.com/articles/2654061409", "매물Link")</f>
        <v/>
      </c>
      <c r="M724" s="6">
        <f>HYPERLINK("https://map.naver.com/p/search/도담동 580", "지도Link")</f>
        <v/>
      </c>
      <c r="N724" s="6">
        <f>HYPERLINK("http://www.eum.go.kr/web/ar/lu/luLandDet.jsp?pnu=3611011400105800000&amp;isNoScr=script&amp;mode=search", "토지이음")</f>
        <v/>
      </c>
      <c r="O724" s="3" t="inlineStr">
        <is>
          <t>명성</t>
        </is>
      </c>
      <c r="P724" s="4" t="n">
        <v>1</v>
      </c>
      <c r="Q724" s="4" t="n">
        <v>500.6</v>
      </c>
      <c r="R724" s="3" t="inlineStr">
        <is>
          <t>지정되지않음</t>
        </is>
      </c>
      <c r="S724" s="3" t="inlineStr">
        <is>
          <t>상업용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중로각지</t>
        </is>
      </c>
    </row>
    <row r="725">
      <c r="A725" s="3" t="inlineStr">
        <is>
          <t>도담동 580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263000</v>
      </c>
      <c r="G725" s="4" t="n">
        <v>500</v>
      </c>
      <c r="H725" s="4" t="n">
        <v>151</v>
      </c>
      <c r="I725" s="5" t="n">
        <v>1741.7</v>
      </c>
      <c r="J725" s="5" t="n">
        <v>735.9</v>
      </c>
      <c r="K725" s="3" t="inlineStr">
        <is>
          <t>도담동 근린생활용지 토지매매, 사거리 코너입지</t>
        </is>
      </c>
      <c r="L725" s="6">
        <f>HYPERLINK("https://fin.land.naver.com/articles/2649607332", "매물Link")</f>
        <v/>
      </c>
      <c r="M725" s="6">
        <f>HYPERLINK("https://map.naver.com/p/search/도담동 580", "지도Link")</f>
        <v/>
      </c>
      <c r="N725" s="6">
        <f>HYPERLINK("http://www.eum.go.kr/web/ar/lu/luLandDet.jsp?pnu=3611011400105800000&amp;isNoScr=script&amp;mode=search",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500.6</v>
      </c>
      <c r="R725" s="3" t="inlineStr">
        <is>
          <t>지정되지않음</t>
        </is>
      </c>
      <c r="S725" s="3" t="inlineStr">
        <is>
          <t>상업용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중로각지</t>
        </is>
      </c>
    </row>
    <row r="726">
      <c r="A726" s="3" t="inlineStr">
        <is>
          <t>도담동 580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263000</v>
      </c>
      <c r="G726" s="4" t="n">
        <v>500</v>
      </c>
      <c r="H726" s="4" t="n">
        <v>151</v>
      </c>
      <c r="I726" s="5" t="n">
        <v>1741.7</v>
      </c>
      <c r="J726" s="5" t="n">
        <v>735.9</v>
      </c>
      <c r="K726" s="3" t="inlineStr">
        <is>
          <t>nan</t>
        </is>
      </c>
      <c r="L726" s="6">
        <f>HYPERLINK("https://fin.land.naver.com/articles/2653506334", "매물Link")</f>
        <v/>
      </c>
      <c r="M726" s="6">
        <f>HYPERLINK("https://map.naver.com/p/search/도담동 580", "지도Link")</f>
        <v/>
      </c>
      <c r="N726" s="6">
        <f>HYPERLINK("http://www.eum.go.kr/web/ar/lu/luLandDet.jsp?pnu=3611011400105800000&amp;isNoScr=script&amp;mode=search", "토지이음")</f>
        <v/>
      </c>
      <c r="O726" s="3" t="inlineStr">
        <is>
          <t>해밀세종신도시</t>
        </is>
      </c>
      <c r="P726" s="4" t="n">
        <v>1</v>
      </c>
      <c r="Q726" s="4" t="n">
        <v>500.6</v>
      </c>
      <c r="R726" s="3" t="inlineStr">
        <is>
          <t>지정되지않음</t>
        </is>
      </c>
      <c r="S726" s="3" t="inlineStr">
        <is>
          <t>상업용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중로각지</t>
        </is>
      </c>
    </row>
    <row r="727">
      <c r="A727" s="3" t="inlineStr">
        <is>
          <t>도담동 588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85000</v>
      </c>
      <c r="G727" s="4" t="n">
        <v>348</v>
      </c>
      <c r="H727" s="4" t="n">
        <v>105</v>
      </c>
      <c r="I727" s="5" t="n">
        <v>809.5</v>
      </c>
      <c r="J727" s="5" t="n">
        <v>433.7</v>
      </c>
      <c r="K727" s="3" t="inlineStr">
        <is>
          <t>도로에 접해 있으며, 위치좋은 단독주택자리, 충남대병원인근</t>
        </is>
      </c>
      <c r="L727" s="6">
        <f>HYPERLINK("https://fin.land.naver.com/articles/2653269862", "매물Link")</f>
        <v/>
      </c>
      <c r="M727" s="6">
        <f>HYPERLINK("https://map.naver.com/p/search/도담동 588", "지도Link")</f>
        <v/>
      </c>
      <c r="N727" s="6">
        <f>HYPERLINK("http://www.eum.go.kr/web/ar/lu/luLandDet.jsp?pnu=3611011400105880000&amp;isNoScr=script&amp;mode=search", "토지이음")</f>
        <v/>
      </c>
      <c r="O727" s="3" t="inlineStr">
        <is>
          <t>사이다</t>
        </is>
      </c>
      <c r="P727" s="4" t="n">
        <v>1</v>
      </c>
      <c r="Q727" s="4" t="n">
        <v>348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소로한면</t>
        </is>
      </c>
    </row>
    <row r="728">
      <c r="A728" s="3" t="inlineStr">
        <is>
          <t>도담동 620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85000</v>
      </c>
      <c r="G728" s="4" t="n">
        <v>326</v>
      </c>
      <c r="H728" s="4" t="n">
        <v>99</v>
      </c>
      <c r="I728" s="5" t="n">
        <v>858.6</v>
      </c>
      <c r="J728" s="5" t="n">
        <v>453.2</v>
      </c>
      <c r="K728" s="3" t="inlineStr">
        <is>
          <t>총 98.9p, 도담동 아파트 단지 옆, 삼거리 코너</t>
        </is>
      </c>
      <c r="L728" s="6">
        <f>HYPERLINK("https://fin.land.naver.com/articles/2652839523", "매물Link")</f>
        <v/>
      </c>
      <c r="M728" s="6">
        <f>HYPERLINK("https://map.naver.com/p/search/도담동 620", "지도Link")</f>
        <v/>
      </c>
      <c r="N728" s="6">
        <f>HYPERLINK("http://www.eum.go.kr/web/ar/lu/luLandDet.jsp?pnu=3611011400106200000&amp;isNoScr=script&amp;mode=search", "토지이음")</f>
        <v/>
      </c>
      <c r="O728" s="3" t="inlineStr">
        <is>
          <t>세종무지개</t>
        </is>
      </c>
      <c r="P728" s="4" t="n">
        <v>1</v>
      </c>
      <c r="Q728" s="4" t="n">
        <v>326.5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620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85000</v>
      </c>
      <c r="G729" s="4" t="n">
        <v>326</v>
      </c>
      <c r="H729" s="4" t="n">
        <v>99</v>
      </c>
      <c r="I729" s="5" t="n">
        <v>858.6</v>
      </c>
      <c r="J729" s="5" t="n">
        <v>453.2</v>
      </c>
      <c r="K729" s="3" t="inlineStr">
        <is>
          <t>적극조율가능 충대병원인근 BRT도보가능</t>
        </is>
      </c>
      <c r="L729" s="6">
        <f>HYPERLINK("https://fin.land.naver.com/articles/2654978749", "매물Link")</f>
        <v/>
      </c>
      <c r="M729" s="6">
        <f>HYPERLINK("https://map.naver.com/p/search/도담동 620", "지도Link")</f>
        <v/>
      </c>
      <c r="N729" s="6">
        <f>HYPERLINK("http://www.eum.go.kr/web/ar/lu/luLandDet.jsp?pnu=3611011400106200000&amp;isNoScr=script&amp;mode=search", "토지이음")</f>
        <v/>
      </c>
      <c r="O729" s="3" t="inlineStr">
        <is>
          <t>세종스타</t>
        </is>
      </c>
      <c r="P729" s="4" t="n">
        <v>2</v>
      </c>
      <c r="Q729" s="4" t="n">
        <v>326.5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소로각지</t>
        </is>
      </c>
    </row>
    <row r="730">
      <c r="A730" s="3" t="inlineStr">
        <is>
          <t>도담동 620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85000</v>
      </c>
      <c r="G730" s="4" t="n">
        <v>326</v>
      </c>
      <c r="H730" s="4" t="n">
        <v>99</v>
      </c>
      <c r="I730" s="5" t="n">
        <v>858.6</v>
      </c>
      <c r="J730" s="5" t="n">
        <v>453.2</v>
      </c>
      <c r="K730" s="3" t="inlineStr">
        <is>
          <t>총 98.9p, 도담동 위치좋은 코너자리 토지</t>
        </is>
      </c>
      <c r="L730" s="6">
        <f>HYPERLINK("https://fin.land.naver.com/articles/2654898842", "매물Link")</f>
        <v/>
      </c>
      <c r="M730" s="6">
        <f>HYPERLINK("https://map.naver.com/p/search/도담동 620", "지도Link")</f>
        <v/>
      </c>
      <c r="N730" s="6">
        <f>HYPERLINK("http://www.eum.go.kr/web/ar/lu/luLandDet.jsp?pnu=3611011400106200000&amp;isNoScr=script&amp;mode=search",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326.5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소로각지</t>
        </is>
      </c>
    </row>
    <row r="731">
      <c r="A731" s="3" t="inlineStr">
        <is>
          <t>도담동 693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319</v>
      </c>
      <c r="H731" s="4" t="n">
        <v>96</v>
      </c>
      <c r="I731" s="5" t="n">
        <v>937.5</v>
      </c>
      <c r="J731" s="5" t="n">
        <v>382.1</v>
      </c>
      <c r="K731" s="3" t="inlineStr">
        <is>
          <t>위치최상 정남향 늘봄초앞 남북트인곳</t>
        </is>
      </c>
      <c r="L731" s="6">
        <f>HYPERLINK("https://fin.land.naver.com/articles/2653670273", "매물Link")</f>
        <v/>
      </c>
      <c r="M731" s="6">
        <f>HYPERLINK("https://map.naver.com/p/search/도담동 693", "지도Link")</f>
        <v/>
      </c>
      <c r="N731" s="6">
        <f>HYPERLINK("http://www.eum.go.kr/web/ar/lu/luLandDet.jsp?pnu=3611011400106930000&amp;isNoScr=script&amp;mode=search", "토지이음")</f>
        <v/>
      </c>
      <c r="O731" s="3" t="inlineStr">
        <is>
          <t>세종스타</t>
        </is>
      </c>
      <c r="P731" s="4" t="n">
        <v>1</v>
      </c>
      <c r="Q731" s="4" t="n">
        <v>319.6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소로한면</t>
        </is>
      </c>
    </row>
    <row r="732">
      <c r="A732" s="3" t="inlineStr">
        <is>
          <t>도담동 705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84000</v>
      </c>
      <c r="G732" s="4" t="n">
        <v>276</v>
      </c>
      <c r="H732" s="4" t="n">
        <v>83</v>
      </c>
      <c r="I732" s="5" t="n">
        <v>1012</v>
      </c>
      <c r="J732" s="5" t="n">
        <v>382.1</v>
      </c>
      <c r="K732" s="3" t="inlineStr">
        <is>
          <t>조율가능 남향 늘봄초앞 BRT도보가능</t>
        </is>
      </c>
      <c r="L732" s="6">
        <f>HYPERLINK("https://fin.land.naver.com/articles/2652943779", "매물Link")</f>
        <v/>
      </c>
      <c r="M732" s="6">
        <f>HYPERLINK("https://map.naver.com/p/search/도담동 705", "지도Link")</f>
        <v/>
      </c>
      <c r="N732" s="6">
        <f>HYPERLINK("http://www.eum.go.kr/web/ar/lu/luLandDet.jsp?pnu=3611011400107050000&amp;isNoScr=script&amp;mode=search",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276.9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712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87000</v>
      </c>
      <c r="G733" s="4" t="n">
        <v>276</v>
      </c>
      <c r="H733" s="4" t="n">
        <v>83</v>
      </c>
      <c r="I733" s="5" t="n">
        <v>1048.2</v>
      </c>
      <c r="J733" s="5" t="n">
        <v>394</v>
      </c>
      <c r="K733" s="3" t="inlineStr">
        <is>
          <t>삼거리 코너 입지, 도담동 단독주택 매매</t>
        </is>
      </c>
      <c r="L733" s="6">
        <f>HYPERLINK("https://fin.land.naver.com/articles/2654218536", "매물Link")</f>
        <v/>
      </c>
      <c r="M733" s="6">
        <f>HYPERLINK("https://map.naver.com/p/search/도담동 712", "지도Link")</f>
        <v/>
      </c>
      <c r="N733" s="6">
        <f>HYPERLINK("http://www.eum.go.kr/web/ar/lu/luLandDet.jsp?pnu=3611011400107120000&amp;isNoScr=script&amp;mode=search",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276.5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소로각지</t>
        </is>
      </c>
    </row>
    <row r="734">
      <c r="A734" s="3" t="inlineStr">
        <is>
          <t>도담동 712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87000</v>
      </c>
      <c r="G734" s="4" t="n">
        <v>276</v>
      </c>
      <c r="H734" s="4" t="n">
        <v>83</v>
      </c>
      <c r="I734" s="5" t="n">
        <v>1048.2</v>
      </c>
      <c r="J734" s="5" t="n">
        <v>394</v>
      </c>
      <c r="K734" s="3" t="inlineStr">
        <is>
          <t>도담동 입지 좋은 단독주택지, 조율가능</t>
        </is>
      </c>
      <c r="L734" s="6">
        <f>HYPERLINK("https://fin.land.naver.com/articles/2654049634", "매물Link")</f>
        <v/>
      </c>
      <c r="M734" s="6">
        <f>HYPERLINK("https://map.naver.com/p/search/도담동 712", "지도Link")</f>
        <v/>
      </c>
      <c r="N734" s="6">
        <f>HYPERLINK("http://www.eum.go.kr/web/ar/lu/luLandDet.jsp?pnu=3611011400107120000&amp;isNoScr=script&amp;mode=search",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276.5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사다리형</t>
        </is>
      </c>
      <c r="V734" s="3" t="inlineStr">
        <is>
          <t>소로각지</t>
        </is>
      </c>
    </row>
    <row r="735">
      <c r="A735" s="3" t="inlineStr">
        <is>
          <t>도담동 712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87000</v>
      </c>
      <c r="G735" s="4" t="n">
        <v>276</v>
      </c>
      <c r="H735" s="4" t="n">
        <v>83</v>
      </c>
      <c r="I735" s="5" t="n">
        <v>1048.2</v>
      </c>
      <c r="J735" s="5" t="n">
        <v>394</v>
      </c>
      <c r="K735" s="3" t="inlineStr">
        <is>
          <t>산조망 코너각지 정남향 입지최상</t>
        </is>
      </c>
      <c r="L735" s="6">
        <f>HYPERLINK("https://fin.land.naver.com/articles/2649479678", "매물Link")</f>
        <v/>
      </c>
      <c r="M735" s="6">
        <f>HYPERLINK("https://map.naver.com/p/search/도담동 712", "지도Link")</f>
        <v/>
      </c>
      <c r="N735" s="6">
        <f>HYPERLINK("http://www.eum.go.kr/web/ar/lu/luLandDet.jsp?pnu=3611011400107120000&amp;isNoScr=script&amp;mode=search",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276.5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사다리형</t>
        </is>
      </c>
      <c r="V735" s="3" t="inlineStr">
        <is>
          <t>소로각지</t>
        </is>
      </c>
    </row>
    <row r="736">
      <c r="A736" s="3" t="inlineStr">
        <is>
          <t>도담동 716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175000</v>
      </c>
      <c r="G736" s="4" t="n">
        <v>420</v>
      </c>
      <c r="H736" s="4" t="n">
        <v>127</v>
      </c>
      <c r="I736" s="5" t="n">
        <v>1378</v>
      </c>
      <c r="J736" s="5" t="n">
        <v>796</v>
      </c>
      <c r="K736" s="3" t="inlineStr">
        <is>
          <t>도담동근생용지 주변입지좋아요. 가격조정가능</t>
        </is>
      </c>
      <c r="L736" s="6">
        <f>HYPERLINK("https://fin.land.naver.com/articles/2650454199", "매물Link")</f>
        <v/>
      </c>
      <c r="M736" s="6">
        <f>HYPERLINK("https://map.naver.com/p/search/도담동 716", "지도Link")</f>
        <v/>
      </c>
      <c r="N736" s="6">
        <f>HYPERLINK("http://www.eum.go.kr/web/ar/lu/luLandDet.jsp?pnu=3611011400107160000&amp;isNoScr=script&amp;mode=search", "토지이음")</f>
        <v/>
      </c>
      <c r="O736" s="3" t="inlineStr">
        <is>
          <t>고운동리치세종</t>
        </is>
      </c>
      <c r="P736" s="4" t="n">
        <v>1</v>
      </c>
      <c r="Q736" s="4" t="n">
        <v>420.4</v>
      </c>
      <c r="R736" s="3" t="inlineStr">
        <is>
          <t>지정되지않음</t>
        </is>
      </c>
      <c r="S736" s="3" t="inlineStr">
        <is>
          <t>상업용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소로각지</t>
        </is>
      </c>
    </row>
    <row r="737">
      <c r="A737" s="3" t="inlineStr">
        <is>
          <t>도담동 716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175000</v>
      </c>
      <c r="G737" s="4" t="n">
        <v>420</v>
      </c>
      <c r="H737" s="4" t="n">
        <v>127</v>
      </c>
      <c r="I737" s="5" t="n">
        <v>1378</v>
      </c>
      <c r="J737" s="5" t="n">
        <v>796</v>
      </c>
      <c r="K737" s="3" t="inlineStr">
        <is>
          <t>입지 좋은 도담동 근린생활용지 토지 매매, 대로변</t>
        </is>
      </c>
      <c r="L737" s="6">
        <f>HYPERLINK("https://fin.land.naver.com/articles/2649607976", "매물Link")</f>
        <v/>
      </c>
      <c r="M737" s="6">
        <f>HYPERLINK("https://map.naver.com/p/search/도담동 716", "지도Link")</f>
        <v/>
      </c>
      <c r="N737" s="6">
        <f>HYPERLINK("http://www.eum.go.kr/web/ar/lu/luLandDet.jsp?pnu=3611011400107160000&amp;isNoScr=script&amp;mode=search",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420.4</v>
      </c>
      <c r="R737" s="3" t="inlineStr">
        <is>
          <t>지정되지않음</t>
        </is>
      </c>
      <c r="S737" s="3" t="inlineStr">
        <is>
          <t>상업용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도담동 716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175000</v>
      </c>
      <c r="G738" s="4" t="n">
        <v>420</v>
      </c>
      <c r="H738" s="4" t="n">
        <v>127</v>
      </c>
      <c r="I738" s="5" t="n">
        <v>1378</v>
      </c>
      <c r="J738" s="5" t="n">
        <v>796</v>
      </c>
      <c r="K738" s="3" t="inlineStr">
        <is>
          <t>도담동 근린생활용지</t>
        </is>
      </c>
      <c r="L738" s="6">
        <f>HYPERLINK("https://fin.land.naver.com/articles/2653002307", "매물Link")</f>
        <v/>
      </c>
      <c r="M738" s="6">
        <f>HYPERLINK("https://map.naver.com/p/search/도담동 716", "지도Link")</f>
        <v/>
      </c>
      <c r="N738" s="6">
        <f>HYPERLINK("http://www.eum.go.kr/web/ar/lu/luLandDet.jsp?pnu=3611011400107160000&amp;isNoScr=script&amp;mode=search", "토지이음")</f>
        <v/>
      </c>
      <c r="O738" s="3" t="inlineStr">
        <is>
          <t>OK세종 사무소</t>
        </is>
      </c>
      <c r="P738" s="4" t="n">
        <v>2</v>
      </c>
      <c r="Q738" s="4" t="n">
        <v>420.4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소로각지</t>
        </is>
      </c>
    </row>
    <row r="739">
      <c r="A739" s="3" t="inlineStr">
        <is>
          <t>도담동 716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175000</v>
      </c>
      <c r="G739" s="4" t="n">
        <v>420</v>
      </c>
      <c r="H739" s="4" t="n">
        <v>127</v>
      </c>
      <c r="I739" s="5" t="n">
        <v>1378</v>
      </c>
      <c r="J739" s="5" t="n">
        <v>796</v>
      </c>
      <c r="K739" s="3" t="inlineStr">
        <is>
          <t>도담동 입지우수한 근생 용지 부지, 매매의사 확실,가격조율가능</t>
        </is>
      </c>
      <c r="L739" s="6">
        <f>HYPERLINK("https://fin.land.naver.com/articles/2653451371", "매물Link")</f>
        <v/>
      </c>
      <c r="M739" s="6">
        <f>HYPERLINK("https://map.naver.com/p/search/도담동 716", "지도Link")</f>
        <v/>
      </c>
      <c r="N739" s="6">
        <f>HYPERLINK("http://www.eum.go.kr/web/ar/lu/luLandDet.jsp?pnu=3611011400107160000&amp;isNoScr=script&amp;mode=search", "토지이음")</f>
        <v/>
      </c>
      <c r="O739" s="3" t="inlineStr">
        <is>
          <t>짱</t>
        </is>
      </c>
      <c r="P739" s="4" t="n">
        <v>1</v>
      </c>
      <c r="Q739" s="4" t="n">
        <v>420.4</v>
      </c>
      <c r="R739" s="3" t="inlineStr">
        <is>
          <t>지정되지않음</t>
        </is>
      </c>
      <c r="S739" s="3" t="inlineStr">
        <is>
          <t>상업용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소로각지</t>
        </is>
      </c>
    </row>
    <row r="740">
      <c r="A740" s="3" t="inlineStr">
        <is>
          <t>도담동 730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319</v>
      </c>
      <c r="H740" s="4" t="n">
        <v>96</v>
      </c>
      <c r="I740" s="5" t="n">
        <v>802.1</v>
      </c>
      <c r="J740" s="5" t="n">
        <v>382.1</v>
      </c>
      <c r="K740" s="3" t="inlineStr">
        <is>
          <t>급매 도담동 최고입지 프라이버스 완벽하고 지대높은 위치최상</t>
        </is>
      </c>
      <c r="L740" s="6">
        <f>HYPERLINK("https://fin.land.naver.com/articles/2651087923", "매물Link")</f>
        <v/>
      </c>
      <c r="M740" s="6">
        <f>HYPERLINK("https://map.naver.com/p/search/도담동 730", "지도Link")</f>
        <v/>
      </c>
      <c r="N740" s="6">
        <f>HYPERLINK("http://www.eum.go.kr/web/ar/lu/luLandDet.jsp?pnu=3611011400107300000&amp;isNoScr=script&amp;mode=search",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319.5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757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92000</v>
      </c>
      <c r="G741" s="4" t="n">
        <v>324</v>
      </c>
      <c r="H741" s="4" t="n">
        <v>98</v>
      </c>
      <c r="I741" s="5" t="n">
        <v>938.8</v>
      </c>
      <c r="J741" s="5" t="n">
        <v>410.6</v>
      </c>
      <c r="K741" s="3" t="inlineStr">
        <is>
          <t>홈플러스와 충대병원사이에 위치함 3면코너각지 청사및체육시설근거리이용</t>
        </is>
      </c>
      <c r="L741" s="6">
        <f>HYPERLINK("https://fin.land.naver.com/articles/2653646623", "매물Link")</f>
        <v/>
      </c>
      <c r="M741" s="6">
        <f>HYPERLINK("https://map.naver.com/p/search/도담동 757", "지도Link")</f>
        <v/>
      </c>
      <c r="N741" s="6">
        <f>HYPERLINK("http://www.eum.go.kr/web/ar/lu/luLandDet.jsp?pnu=3611011400107570000&amp;isNoScr=script&amp;mode=search", "토지이음")</f>
        <v/>
      </c>
      <c r="O741" s="3" t="inlineStr">
        <is>
          <t>세종마당</t>
        </is>
      </c>
      <c r="P741" s="4" t="n">
        <v>1</v>
      </c>
      <c r="Q741" s="4" t="n">
        <v>324.6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소로각지</t>
        </is>
      </c>
    </row>
    <row r="742">
      <c r="A742" s="3" t="inlineStr">
        <is>
          <t>도담동 763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80000</v>
      </c>
      <c r="G742" s="4" t="n">
        <v>295</v>
      </c>
      <c r="H742" s="4" t="n">
        <v>89</v>
      </c>
      <c r="I742" s="5" t="n">
        <v>898.9</v>
      </c>
      <c r="J742" s="5" t="n">
        <v>410.6</v>
      </c>
      <c r="K742" s="3" t="inlineStr">
        <is>
          <t>입지 좋은 도담동 단독주택 토지매매</t>
        </is>
      </c>
      <c r="L742" s="6">
        <f>HYPERLINK("https://fin.land.naver.com/articles/2650427773", "매물Link")</f>
        <v/>
      </c>
      <c r="M742" s="6">
        <f>HYPERLINK("https://map.naver.com/p/search/도담동 763", "지도Link")</f>
        <v/>
      </c>
      <c r="N742" s="6">
        <f>HYPERLINK("http://www.eum.go.kr/web/ar/lu/luLandDet.jsp?pnu=3611011400107630000&amp;isNoScr=script&amp;mode=search",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295.5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763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80000</v>
      </c>
      <c r="G743" s="4" t="n">
        <v>295</v>
      </c>
      <c r="H743" s="4" t="n">
        <v>89</v>
      </c>
      <c r="I743" s="5" t="n">
        <v>898.9</v>
      </c>
      <c r="J743" s="5" t="n">
        <v>410.6</v>
      </c>
      <c r="K743" s="3" t="inlineStr">
        <is>
          <t>89.5p, 사거리 코너 입지, 위치 굿, 단지 바로 앞</t>
        </is>
      </c>
      <c r="L743" s="6">
        <f>HYPERLINK("https://fin.land.naver.com/articles/2654220003", "매물Link")</f>
        <v/>
      </c>
      <c r="M743" s="6">
        <f>HYPERLINK("https://map.naver.com/p/search/도담동 763", "지도Link")</f>
        <v/>
      </c>
      <c r="N743" s="6">
        <f>HYPERLINK("http://www.eum.go.kr/web/ar/lu/luLandDet.jsp?pnu=3611011400107630000&amp;isNoScr=script&amp;mode=search",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295.5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정방형</t>
        </is>
      </c>
      <c r="V743" s="3" t="inlineStr">
        <is>
          <t>소로각지</t>
        </is>
      </c>
    </row>
    <row r="744">
      <c r="A744" s="3" t="inlineStr">
        <is>
          <t>도담동 763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80000</v>
      </c>
      <c r="G744" s="4" t="n">
        <v>295</v>
      </c>
      <c r="H744" s="4" t="n">
        <v>89</v>
      </c>
      <c r="I744" s="5" t="n">
        <v>898.9</v>
      </c>
      <c r="J744" s="5" t="n">
        <v>410.6</v>
      </c>
      <c r="K744" s="3" t="inlineStr">
        <is>
          <t>최적의 위치,정남향으로 단독주택수있는 예쁜 토지</t>
        </is>
      </c>
      <c r="L744" s="6">
        <f>HYPERLINK("https://fin.land.naver.com/articles/2652106915", "매물Link")</f>
        <v/>
      </c>
      <c r="M744" s="6">
        <f>HYPERLINK("https://map.naver.com/p/search/도담동 763", "지도Link")</f>
        <v/>
      </c>
      <c r="N744" s="6">
        <f>HYPERLINK("http://www.eum.go.kr/web/ar/lu/luLandDet.jsp?pnu=3611011400107630000&amp;isNoScr=script&amp;mode=search", "토지이음")</f>
        <v/>
      </c>
      <c r="O744" s="3" t="inlineStr">
        <is>
          <t>대한</t>
        </is>
      </c>
      <c r="P744" s="4" t="n">
        <v>2</v>
      </c>
      <c r="Q744" s="4" t="n">
        <v>295.5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소로각지</t>
        </is>
      </c>
    </row>
    <row r="745">
      <c r="A745" s="3" t="inlineStr">
        <is>
          <t>도담동 776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97000</v>
      </c>
      <c r="G745" s="4" t="n">
        <v>321</v>
      </c>
      <c r="H745" s="4" t="n">
        <v>97</v>
      </c>
      <c r="I745" s="5" t="n">
        <v>1000</v>
      </c>
      <c r="J745" s="5" t="n">
        <v>406.6</v>
      </c>
      <c r="K745" s="3" t="inlineStr">
        <is>
          <t>생명나무,도담동 홈플러스 근접거리  귀한 단독주택자리</t>
        </is>
      </c>
      <c r="L745" s="6">
        <f>HYPERLINK("https://fin.land.naver.com/articles/2651385820", "매물Link")</f>
        <v/>
      </c>
      <c r="M745" s="6">
        <f>HYPERLINK("https://map.naver.com/p/search/도담동 776", "지도Link")</f>
        <v/>
      </c>
      <c r="N745" s="6">
        <f>HYPERLINK("http://www.eum.go.kr/web/ar/lu/luLandDet.jsp?pnu=3611011400107760000&amp;isNoScr=script&amp;mode=search", "토지이음")</f>
        <v/>
      </c>
      <c r="O745" s="3" t="inlineStr">
        <is>
          <t>생명나무</t>
        </is>
      </c>
      <c r="P745" s="4" t="n">
        <v>1</v>
      </c>
      <c r="Q745" s="4" t="n">
        <v>321.7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소로각지</t>
        </is>
      </c>
    </row>
    <row r="746">
      <c r="A746" s="3" t="inlineStr">
        <is>
          <t>도담동 778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95000</v>
      </c>
      <c r="G746" s="4" t="n">
        <v>320</v>
      </c>
      <c r="H746" s="4" t="n">
        <v>97</v>
      </c>
      <c r="I746" s="5" t="n">
        <v>979.4</v>
      </c>
      <c r="J746" s="5" t="n">
        <v>391.1</v>
      </c>
      <c r="K746" s="3" t="inlineStr">
        <is>
          <t>홈플러스 가까운 도담동 위치좋은 주택지</t>
        </is>
      </c>
      <c r="L746" s="6">
        <f>HYPERLINK("https://fin.land.naver.com/articles/2653001478", "매물Link")</f>
        <v/>
      </c>
      <c r="M746" s="6">
        <f>HYPERLINK("https://map.naver.com/p/search/도담동 778", "지도Link")</f>
        <v/>
      </c>
      <c r="N746" s="6">
        <f>HYPERLINK("http://www.eum.go.kr/web/ar/lu/luLandDet.jsp?pnu=3611011400107780000&amp;isNoScr=script&amp;mode=search", "토지이음")</f>
        <v/>
      </c>
      <c r="O746" s="3" t="inlineStr">
        <is>
          <t>OK세종 사무소</t>
        </is>
      </c>
      <c r="P746" s="4" t="n">
        <v>1</v>
      </c>
      <c r="Q746" s="4" t="n">
        <v>320.6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소로한면</t>
        </is>
      </c>
    </row>
    <row r="747">
      <c r="A747" s="3" t="inlineStr">
        <is>
          <t>도담동 779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90000</v>
      </c>
      <c r="G747" s="4" t="n">
        <v>320</v>
      </c>
      <c r="H747" s="4" t="n">
        <v>97</v>
      </c>
      <c r="I747" s="5" t="n">
        <v>927.8</v>
      </c>
      <c r="J747" s="5" t="n">
        <v>410.6</v>
      </c>
      <c r="K747" s="3" t="inlineStr">
        <is>
          <t>BRT라인 상권,방축천 라인,청사,홈플러스,충대병원과 근접한 생활권 위치</t>
        </is>
      </c>
      <c r="L747" s="6">
        <f>HYPERLINK("https://fin.land.naver.com/articles/2652105304", "매물Link")</f>
        <v/>
      </c>
      <c r="M747" s="6">
        <f>HYPERLINK("https://map.naver.com/p/search/도담동 779", "지도Link")</f>
        <v/>
      </c>
      <c r="N747" s="6">
        <f>HYPERLINK("http://www.eum.go.kr/web/ar/lu/luLandDet.jsp?pnu=3611011400107790000&amp;isNoScr=script&amp;mode=search", "토지이음")</f>
        <v/>
      </c>
      <c r="O747" s="3" t="inlineStr">
        <is>
          <t>세종웅진</t>
        </is>
      </c>
      <c r="P747" s="4" t="n">
        <v>1</v>
      </c>
      <c r="Q747" s="4" t="n">
        <v>320.6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소로각지</t>
        </is>
      </c>
    </row>
    <row r="748">
      <c r="A748" s="3" t="inlineStr">
        <is>
          <t>도담동 784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341</v>
      </c>
      <c r="H748" s="4" t="n">
        <v>103</v>
      </c>
      <c r="I748" s="5" t="n">
        <v>747.6</v>
      </c>
      <c r="J748" s="5" t="n">
        <v>410.6</v>
      </c>
      <c r="K748" s="3" t="inlineStr">
        <is>
          <t>사거리 코너, 생활권 좋은 위치 단독주택지</t>
        </is>
      </c>
      <c r="L748" s="6">
        <f>HYPERLINK("https://fin.land.naver.com/articles/2653681062", "매물Link")</f>
        <v/>
      </c>
      <c r="M748" s="6">
        <f>HYPERLINK("https://map.naver.com/p/search/도담동 784", "지도Link")</f>
        <v/>
      </c>
      <c r="N748" s="6">
        <f>HYPERLINK("http://www.eum.go.kr/web/ar/lu/luLandDet.jsp?pnu=3611011400107840000&amp;isNoScr=script&amp;mode=search",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341.5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도담동 784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341</v>
      </c>
      <c r="H749" s="4" t="n">
        <v>103</v>
      </c>
      <c r="I749" s="5" t="n">
        <v>747.6</v>
      </c>
      <c r="J749" s="5" t="n">
        <v>410.6</v>
      </c>
      <c r="K749" s="3" t="inlineStr">
        <is>
          <t>도담동 생활권 입지 좋은 단독주택지 매매</t>
        </is>
      </c>
      <c r="L749" s="6">
        <f>HYPERLINK("https://fin.land.naver.com/articles/2653567685", "매물Link")</f>
        <v/>
      </c>
      <c r="M749" s="6">
        <f>HYPERLINK("https://map.naver.com/p/search/도담동 784", "지도Link")</f>
        <v/>
      </c>
      <c r="N749" s="6">
        <f>HYPERLINK("http://www.eum.go.kr/web/ar/lu/luLandDet.jsp?pnu=3611011400107840000&amp;isNoScr=script&amp;mode=search",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341.5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소로각지</t>
        </is>
      </c>
    </row>
    <row r="750">
      <c r="A750" s="3" t="inlineStr">
        <is>
          <t>도담동 784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77000</v>
      </c>
      <c r="G750" s="4" t="n">
        <v>341</v>
      </c>
      <c r="H750" s="4" t="n">
        <v>103</v>
      </c>
      <c r="I750" s="5" t="n">
        <v>747.6</v>
      </c>
      <c r="J750" s="5" t="n">
        <v>410.6</v>
      </c>
      <c r="K750" s="3" t="inlineStr">
        <is>
          <t>코너 유치원 홈플러스 늘봄초인근 조율가능</t>
        </is>
      </c>
      <c r="L750" s="6">
        <f>HYPERLINK("https://fin.land.naver.com/articles/2655236017", "매물Link")</f>
        <v/>
      </c>
      <c r="M750" s="6">
        <f>HYPERLINK("https://map.naver.com/p/search/도담동 784", "지도Link")</f>
        <v/>
      </c>
      <c r="N750" s="6">
        <f>HYPERLINK("http://www.eum.go.kr/web/ar/lu/luLandDet.jsp?pnu=3611011400107840000&amp;isNoScr=script&amp;mode=search",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341.5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도담동 790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104000</v>
      </c>
      <c r="G751" s="4" t="n">
        <v>342</v>
      </c>
      <c r="H751" s="4" t="n">
        <v>103</v>
      </c>
      <c r="I751" s="5" t="n">
        <v>1009.7</v>
      </c>
      <c r="J751" s="5" t="n">
        <v>410.6</v>
      </c>
      <c r="K751" s="3" t="inlineStr">
        <is>
          <t>103.7p, 단지 맞은편, 유치원 인근</t>
        </is>
      </c>
      <c r="L751" s="6">
        <f>HYPERLINK("https://fin.land.naver.com/articles/2654716583", "매물Link")</f>
        <v/>
      </c>
      <c r="M751" s="6">
        <f>HYPERLINK("https://map.naver.com/p/search/도담동 790", "지도Link")</f>
        <v/>
      </c>
      <c r="N751" s="6">
        <f>HYPERLINK("http://www.eum.go.kr/web/ar/lu/luLandDet.jsp?pnu=3611011400107900000&amp;isNoScr=script&amp;mode=search",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342.1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소로각지</t>
        </is>
      </c>
    </row>
    <row r="752">
      <c r="A752" s="3" t="inlineStr">
        <is>
          <t>도담동 790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104000</v>
      </c>
      <c r="G752" s="4" t="n">
        <v>342</v>
      </c>
      <c r="H752" s="4" t="n">
        <v>103</v>
      </c>
      <c r="I752" s="5" t="n">
        <v>1009.7</v>
      </c>
      <c r="J752" s="5" t="n">
        <v>410.6</v>
      </c>
      <c r="K752" s="3" t="inlineStr">
        <is>
          <t>총 103.7p, 정남향, 충대병원 홈플러스 인근</t>
        </is>
      </c>
      <c r="L752" s="6">
        <f>HYPERLINK("https://fin.land.naver.com/articles/2653683816", "매물Link")</f>
        <v/>
      </c>
      <c r="M752" s="6">
        <f>HYPERLINK("https://map.naver.com/p/search/도담동 790", "지도Link")</f>
        <v/>
      </c>
      <c r="N752" s="6">
        <f>HYPERLINK("http://www.eum.go.kr/web/ar/lu/luLandDet.jsp?pnu=3611011400107900000&amp;isNoScr=script&amp;mode=search",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342.1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소로각지</t>
        </is>
      </c>
    </row>
    <row r="753">
      <c r="A753" s="3" t="inlineStr">
        <is>
          <t>도담동 808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62500</v>
      </c>
      <c r="G753" s="4" t="n">
        <v>318</v>
      </c>
      <c r="H753" s="4" t="n">
        <v>96</v>
      </c>
      <c r="I753" s="5" t="n">
        <v>651</v>
      </c>
      <c r="J753" s="5" t="n">
        <v>391.1</v>
      </c>
      <c r="K753" s="3" t="inlineStr">
        <is>
          <t>급매 도로접한 모양좋은 대지  홈플러스 청사인접</t>
        </is>
      </c>
      <c r="L753" s="6">
        <f>HYPERLINK("https://fin.land.naver.com/articles/2651702853", "매물Link")</f>
        <v/>
      </c>
      <c r="M753" s="6">
        <f>HYPERLINK("https://map.naver.com/p/search/도담동 808", "지도Link")</f>
        <v/>
      </c>
      <c r="N753" s="6">
        <f>HYPERLINK("http://www.eum.go.kr/web/ar/lu/luLandDet.jsp?pnu=3611011400108080000&amp;isNoScr=script&amp;mode=search", "토지이음")</f>
        <v/>
      </c>
      <c r="O753" s="3" t="inlineStr">
        <is>
          <t>예예</t>
        </is>
      </c>
      <c r="P753" s="4" t="n">
        <v>2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도담동 813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95000</v>
      </c>
      <c r="G754" s="4" t="n">
        <v>333</v>
      </c>
      <c r="H754" s="4" t="n">
        <v>101</v>
      </c>
      <c r="I754" s="5" t="n">
        <v>940.6</v>
      </c>
      <c r="J754" s="5" t="n">
        <v>391.1</v>
      </c>
      <c r="K754" s="3" t="inlineStr">
        <is>
          <t>도담동 위치좋은 주택지</t>
        </is>
      </c>
      <c r="L754" s="6">
        <f>HYPERLINK("https://fin.land.naver.com/articles/2653001833", "매물Link")</f>
        <v/>
      </c>
      <c r="M754" s="6">
        <f>HYPERLINK("https://map.naver.com/p/search/도담동 813", "지도Link")</f>
        <v/>
      </c>
      <c r="N754" s="6">
        <f>HYPERLINK("http://www.eum.go.kr/web/ar/lu/luLandDet.jsp?pnu=3611011400108130000&amp;isNoScr=script&amp;mode=search", "토지이음")</f>
        <v/>
      </c>
      <c r="O754" s="3" t="inlineStr">
        <is>
          <t>OK세종 사무소</t>
        </is>
      </c>
      <c r="P754" s="4" t="n">
        <v>1</v>
      </c>
      <c r="Q754" s="4" t="n">
        <v>333.7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소로한면</t>
        </is>
      </c>
    </row>
    <row r="755">
      <c r="A755" s="3" t="inlineStr">
        <is>
          <t>도담동 824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100000</v>
      </c>
      <c r="G755" s="4" t="n">
        <v>313</v>
      </c>
      <c r="H755" s="4" t="n">
        <v>95</v>
      </c>
      <c r="I755" s="5" t="n">
        <v>1052.6</v>
      </c>
      <c r="J755" s="5" t="n">
        <v>391.1</v>
      </c>
      <c r="K755" s="3" t="inlineStr">
        <is>
          <t>남향필지 최선호지역 BRT도보가능 홈플러스인근</t>
        </is>
      </c>
      <c r="L755" s="6">
        <f>HYPERLINK("https://fin.land.naver.com/articles/2654654235", "매물Link")</f>
        <v/>
      </c>
      <c r="M755" s="6">
        <f>HYPERLINK("https://map.naver.com/p/search/도담동 824", "지도Link")</f>
        <v/>
      </c>
      <c r="N755" s="6">
        <f>HYPERLINK("http://www.eum.go.kr/web/ar/lu/luLandDet.jsp?pnu=3611011400108240000&amp;isNoScr=script&amp;mode=search", "토지이음")</f>
        <v/>
      </c>
      <c r="O755" s="3" t="inlineStr">
        <is>
          <t>세종스타</t>
        </is>
      </c>
      <c r="P755" s="4" t="n">
        <v>1</v>
      </c>
      <c r="Q755" s="4" t="n">
        <v>313.1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정방형</t>
        </is>
      </c>
      <c r="V755" s="3" t="inlineStr">
        <is>
          <t>소로한면</t>
        </is>
      </c>
    </row>
    <row r="756">
      <c r="A756" s="3" t="inlineStr">
        <is>
          <t>도담동 837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90000</v>
      </c>
      <c r="G756" s="4" t="n">
        <v>315</v>
      </c>
      <c r="H756" s="4" t="n">
        <v>95</v>
      </c>
      <c r="I756" s="5" t="n">
        <v>947.4</v>
      </c>
      <c r="J756" s="5" t="n">
        <v>391.1</v>
      </c>
      <c r="K756" s="3" t="inlineStr">
        <is>
          <t>도담동 위치 좋은 단독주택, 홈플러스 인근</t>
        </is>
      </c>
      <c r="L756" s="6">
        <f>HYPERLINK("https://fin.land.naver.com/articles/2650892389", "매물Link")</f>
        <v/>
      </c>
      <c r="M756" s="6">
        <f>HYPERLINK("https://map.naver.com/p/search/도담동 837", "지도Link")</f>
        <v/>
      </c>
      <c r="N756" s="6">
        <f>HYPERLINK("http://www.eum.go.kr/web/ar/lu/luLandDet.jsp?pnu=3611011400108370000&amp;isNoScr=script&amp;mode=search",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315.9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정방형</t>
        </is>
      </c>
      <c r="V756" s="3" t="inlineStr">
        <is>
          <t>소로한면</t>
        </is>
      </c>
    </row>
    <row r="757">
      <c r="A757" s="3" t="inlineStr">
        <is>
          <t>도담동 837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90000</v>
      </c>
      <c r="G757" s="4" t="n">
        <v>315</v>
      </c>
      <c r="H757" s="4" t="n">
        <v>95</v>
      </c>
      <c r="I757" s="5" t="n">
        <v>947.4</v>
      </c>
      <c r="J757" s="5" t="n">
        <v>391.1</v>
      </c>
      <c r="K757" s="3" t="inlineStr">
        <is>
          <t>95.7p, 도담동 홈플러스인근, 단독주택 토지매매</t>
        </is>
      </c>
      <c r="L757" s="6">
        <f>HYPERLINK("https://fin.land.naver.com/articles/2654892301", "매물Link")</f>
        <v/>
      </c>
      <c r="M757" s="6">
        <f>HYPERLINK("https://map.naver.com/p/search/도담동 837", "지도Link")</f>
        <v/>
      </c>
      <c r="N757" s="6">
        <f>HYPERLINK("http://www.eum.go.kr/web/ar/lu/luLandDet.jsp?pnu=3611011400108370000&amp;isNoScr=script&amp;mode=search",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315.9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정방형</t>
        </is>
      </c>
      <c r="V757" s="3" t="inlineStr">
        <is>
          <t>소로한면</t>
        </is>
      </c>
    </row>
    <row r="758">
      <c r="A758" s="3" t="inlineStr">
        <is>
          <t>도담동 837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70000</v>
      </c>
      <c r="G758" s="4" t="n">
        <v>315</v>
      </c>
      <c r="H758" s="4" t="n">
        <v>95</v>
      </c>
      <c r="I758" s="5" t="n">
        <v>736.8</v>
      </c>
      <c r="J758" s="5" t="n">
        <v>391.1</v>
      </c>
      <c r="K758" s="3" t="inlineStr">
        <is>
          <t>강추매물, 가격좋은 토지, 홈플인접</t>
        </is>
      </c>
      <c r="L758" s="6">
        <f>HYPERLINK("https://fin.land.naver.com/articles/2651289273", "매물Link")</f>
        <v/>
      </c>
      <c r="M758" s="6">
        <f>HYPERLINK("https://map.naver.com/p/search/도담동 837", "지도Link")</f>
        <v/>
      </c>
      <c r="N758" s="6">
        <f>HYPERLINK("http://www.eum.go.kr/web/ar/lu/luLandDet.jsp?pnu=3611011400108370000&amp;isNoScr=script&amp;mode=search", "토지이음")</f>
        <v/>
      </c>
      <c r="O758" s="3" t="inlineStr">
        <is>
          <t>사이다</t>
        </is>
      </c>
      <c r="P758" s="4" t="n">
        <v>1</v>
      </c>
      <c r="Q758" s="4" t="n">
        <v>315.9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정방형</t>
        </is>
      </c>
      <c r="V758" s="3" t="inlineStr">
        <is>
          <t>소로한면</t>
        </is>
      </c>
    </row>
    <row r="759">
      <c r="A759" s="3" t="inlineStr">
        <is>
          <t>도담동 897-1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140000</v>
      </c>
      <c r="G759" s="4" t="n">
        <v>400</v>
      </c>
      <c r="H759" s="4" t="n">
        <v>121</v>
      </c>
      <c r="I759" s="5" t="n">
        <v>1157</v>
      </c>
      <c r="J759" s="5" t="n">
        <v>353.1</v>
      </c>
      <c r="K759" s="3" t="inlineStr">
        <is>
          <t>트로아힐스 건축 가능한 토지 매매</t>
        </is>
      </c>
      <c r="L759" s="6">
        <f>HYPERLINK("https://fin.land.naver.com/articles/2655037406", "매물Link")</f>
        <v/>
      </c>
      <c r="M759" s="6">
        <f>HYPERLINK("https://map.naver.com/p/search/도담동 897-1", "지도Link")</f>
        <v/>
      </c>
      <c r="N759" s="6">
        <f>HYPERLINK("http://www.eum.go.kr/web/ar/lu/luLandDet.jsp?pnu=3611011400108970001&amp;isNoScr=script&amp;mode=search",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400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도담동 897-18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140000</v>
      </c>
      <c r="G760" s="4" t="n">
        <v>400</v>
      </c>
      <c r="H760" s="4" t="n">
        <v>121</v>
      </c>
      <c r="I760" s="5" t="n">
        <v>1157</v>
      </c>
      <c r="J760" s="5" t="n">
        <v>356.7</v>
      </c>
      <c r="K760" s="3" t="inlineStr">
        <is>
          <t>세종 고급 타운하우스 선호 필지 매매</t>
        </is>
      </c>
      <c r="L760" s="6">
        <f>HYPERLINK("https://fin.land.naver.com/articles/2655037336", "매물Link")</f>
        <v/>
      </c>
      <c r="M760" s="6">
        <f>HYPERLINK("https://map.naver.com/p/search/도담동 897-18", "지도Link")</f>
        <v/>
      </c>
      <c r="N760" s="6">
        <f>HYPERLINK("http://www.eum.go.kr/web/ar/lu/luLandDet.jsp?pnu=3611011400108970018&amp;isNoScr=script&amp;mode=search", "토지이음")</f>
        <v/>
      </c>
      <c r="O760" s="3" t="inlineStr">
        <is>
          <t>세종시티</t>
        </is>
      </c>
      <c r="P760" s="4" t="n">
        <v>1</v>
      </c>
      <c r="Q760" s="4" t="n">
        <v>400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소로한면</t>
        </is>
      </c>
    </row>
    <row r="761">
      <c r="A761" s="3" t="inlineStr">
        <is>
          <t>도담동 897-24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150000</v>
      </c>
      <c r="G761" s="4" t="n">
        <v>400</v>
      </c>
      <c r="H761" s="4" t="n">
        <v>121</v>
      </c>
      <c r="I761" s="5" t="n">
        <v>1239.7</v>
      </c>
      <c r="J761" s="5" t="n">
        <v>356.7</v>
      </c>
      <c r="K761" s="3" t="inlineStr">
        <is>
          <t>nan</t>
        </is>
      </c>
      <c r="L761" s="6">
        <f>HYPERLINK("https://fin.land.naver.com/articles/2653840859", "매물Link")</f>
        <v/>
      </c>
      <c r="M761" s="6">
        <f>HYPERLINK("https://map.naver.com/p/search/도담동 897-24", "지도Link")</f>
        <v/>
      </c>
      <c r="N761" s="6">
        <f>HYPERLINK("http://www.eum.go.kr/web/ar/lu/luLandDet.jsp?pnu=3611011400108970024&amp;isNoScr=script&amp;mode=search", "토지이음")</f>
        <v/>
      </c>
      <c r="O761" s="3" t="inlineStr">
        <is>
          <t>세종스타</t>
        </is>
      </c>
      <c r="P761" s="4" t="n">
        <v>2</v>
      </c>
      <c r="Q761" s="4" t="n">
        <v>400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소로한면</t>
        </is>
      </c>
    </row>
    <row r="762">
      <c r="A762" s="3" t="inlineStr">
        <is>
          <t>반곡동 1003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45000</v>
      </c>
      <c r="G762" s="4" t="n">
        <v>190</v>
      </c>
      <c r="H762" s="4" t="n">
        <v>57</v>
      </c>
      <c r="I762" s="5" t="n">
        <v>789.5</v>
      </c>
      <c r="J762" s="5" t="n">
        <v>262.3</v>
      </c>
      <c r="K762" s="3" t="inlineStr">
        <is>
          <t>반곡동D3 소형 건폐율50 가격조율 협의가능</t>
        </is>
      </c>
      <c r="L762" s="6">
        <f>HYPERLINK("https://fin.land.naver.com/articles/2651086283", "매물Link")</f>
        <v/>
      </c>
      <c r="M762" s="6">
        <f>HYPERLINK("https://map.naver.com/p/search/반곡동 1003", "지도Link")</f>
        <v/>
      </c>
      <c r="N762" s="6">
        <f>HYPERLINK("http://www.eum.go.kr/web/ar/lu/luLandDet.jsp?pnu=3611010100110030000&amp;isNoScr=script&amp;mode=search", "토지이음")</f>
        <v/>
      </c>
      <c r="O762" s="3" t="inlineStr">
        <is>
          <t>세종스타</t>
        </is>
      </c>
      <c r="P762" s="4" t="n">
        <v>2</v>
      </c>
      <c r="Q762" s="4" t="n">
        <v>190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1005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35000</v>
      </c>
      <c r="G763" s="4" t="n">
        <v>154</v>
      </c>
      <c r="H763" s="4" t="n">
        <v>47</v>
      </c>
      <c r="I763" s="5" t="n">
        <v>744.7</v>
      </c>
      <c r="J763" s="5" t="n">
        <v>262.3</v>
      </c>
      <c r="K763" s="3" t="inlineStr">
        <is>
          <t>조율가능 코너각지 소형 건폐율50프로</t>
        </is>
      </c>
      <c r="L763" s="6">
        <f>HYPERLINK("https://fin.land.naver.com/articles/2650653499", "매물Link")</f>
        <v/>
      </c>
      <c r="M763" s="6">
        <f>HYPERLINK("https://map.naver.com/p/search/반곡동 1005", "지도Link")</f>
        <v/>
      </c>
      <c r="N763" s="6">
        <f>HYPERLINK("http://www.eum.go.kr/web/ar/lu/luLandDet.jsp?pnu=3611010100110050000&amp;isNoScr=script&amp;mode=search",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154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1061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70000</v>
      </c>
      <c r="G764" s="4" t="n">
        <v>478</v>
      </c>
      <c r="H764" s="4" t="n">
        <v>145</v>
      </c>
      <c r="I764" s="5" t="n">
        <v>482.8</v>
      </c>
      <c r="J764" s="5" t="n">
        <v>302.2</v>
      </c>
      <c r="K764" s="3" t="inlineStr">
        <is>
          <t>급매 KDI옆 반곡동D2 넓은평수 144.71p</t>
        </is>
      </c>
      <c r="L764" s="6">
        <f>HYPERLINK("https://fin.land.naver.com/articles/2655202638", "매물Link")</f>
        <v/>
      </c>
      <c r="M764" s="6">
        <f>HYPERLINK("https://map.naver.com/p/search/반곡동 1061", "지도Link")</f>
        <v/>
      </c>
      <c r="N764" s="6">
        <f>HYPERLINK("http://www.eum.go.kr/web/ar/lu/luLandDet.jsp?pnu=3611010100110610000&amp;isNoScr=script&amp;mode=search", "토지이음")</f>
        <v/>
      </c>
      <c r="O764" s="3" t="inlineStr">
        <is>
          <t>세종스타</t>
        </is>
      </c>
      <c r="P764" s="4" t="n">
        <v>1</v>
      </c>
      <c r="Q764" s="4" t="n">
        <v>478.4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반곡동 1061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70000</v>
      </c>
      <c r="G765" s="4" t="n">
        <v>478</v>
      </c>
      <c r="H765" s="4" t="n">
        <v>145</v>
      </c>
      <c r="I765" s="5" t="n">
        <v>482.8</v>
      </c>
      <c r="J765" s="5" t="n">
        <v>302.2</v>
      </c>
      <c r="K765" s="3" t="inlineStr">
        <is>
          <t>반곡동 토지매매, 대형평형</t>
        </is>
      </c>
      <c r="L765" s="6">
        <f>HYPERLINK("https://fin.land.naver.com/articles/2654704541", "매물Link")</f>
        <v/>
      </c>
      <c r="M765" s="6">
        <f>HYPERLINK("https://map.naver.com/p/search/반곡동 1061", "지도Link")</f>
        <v/>
      </c>
      <c r="N765" s="6">
        <f>HYPERLINK("http://www.eum.go.kr/web/ar/lu/luLandDet.jsp?pnu=3611010100110610000&amp;isNoScr=script&amp;mode=search",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478.4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소로한면</t>
        </is>
      </c>
    </row>
    <row r="766">
      <c r="A766" s="3" t="inlineStr">
        <is>
          <t>반곡동 1061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70000</v>
      </c>
      <c r="G766" s="4" t="n">
        <v>478</v>
      </c>
      <c r="H766" s="4" t="n">
        <v>145</v>
      </c>
      <c r="I766" s="5" t="n">
        <v>482.8</v>
      </c>
      <c r="J766" s="5" t="n">
        <v>302.2</v>
      </c>
      <c r="K766" s="3" t="inlineStr">
        <is>
          <t>nan</t>
        </is>
      </c>
      <c r="L766" s="6">
        <f>HYPERLINK("https://fin.land.naver.com/articles/2655007875", "매물Link")</f>
        <v/>
      </c>
      <c r="M766" s="6">
        <f>HYPERLINK("https://map.naver.com/p/search/반곡동 1061", "지도Link")</f>
        <v/>
      </c>
      <c r="N766" s="6">
        <f>HYPERLINK("http://www.eum.go.kr/web/ar/lu/luLandDet.jsp?pnu=3611010100110610000&amp;isNoScr=script&amp;mode=search", "토지이음")</f>
        <v/>
      </c>
      <c r="O766" s="3" t="inlineStr">
        <is>
          <t>디아트성심</t>
        </is>
      </c>
      <c r="P766" s="4" t="n">
        <v>1</v>
      </c>
      <c r="Q766" s="4" t="n">
        <v>478.4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소로한면</t>
        </is>
      </c>
    </row>
    <row r="767">
      <c r="A767" s="3" t="inlineStr">
        <is>
          <t>반곡동 1077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65000</v>
      </c>
      <c r="G767" s="4" t="n">
        <v>445</v>
      </c>
      <c r="H767" s="4" t="n">
        <v>135</v>
      </c>
      <c r="I767" s="5" t="n">
        <v>481.5</v>
      </c>
      <c r="J767" s="5" t="n">
        <v>308</v>
      </c>
      <c r="K767" s="3" t="inlineStr">
        <is>
          <t>적극조율가능 공원앞 코너각지 135p</t>
        </is>
      </c>
      <c r="L767" s="6">
        <f>HYPERLINK("https://fin.land.naver.com/articles/2655021890", "매물Link")</f>
        <v/>
      </c>
      <c r="M767" s="6">
        <f>HYPERLINK("https://map.naver.com/p/search/반곡동 1077", "지도Link")</f>
        <v/>
      </c>
      <c r="N767" s="6">
        <f>HYPERLINK("http://www.eum.go.kr/web/ar/lu/luLandDet.jsp?pnu=3611010100110770000&amp;isNoScr=script&amp;mode=search", "토지이음")</f>
        <v/>
      </c>
      <c r="O767" s="3" t="inlineStr">
        <is>
          <t>세종스타</t>
        </is>
      </c>
      <c r="P767" s="4" t="n">
        <v>2</v>
      </c>
      <c r="Q767" s="4" t="n">
        <v>445.5</v>
      </c>
      <c r="R767" s="3" t="inlineStr">
        <is>
          <t>지정되지않음</t>
        </is>
      </c>
      <c r="S767" s="3" t="inlineStr">
        <is>
          <t>단독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1077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445</v>
      </c>
      <c r="H768" s="4" t="n">
        <v>135</v>
      </c>
      <c r="I768" s="5" t="n">
        <v>481.5</v>
      </c>
      <c r="J768" s="5" t="n">
        <v>308</v>
      </c>
      <c r="K768" s="3" t="inlineStr">
        <is>
          <t>공원 앞, 사거리 코너 각지 위치, 입지 좋은 토지</t>
        </is>
      </c>
      <c r="L768" s="6">
        <f>HYPERLINK("https://fin.land.naver.com/articles/2653567967", "매물Link")</f>
        <v/>
      </c>
      <c r="M768" s="6">
        <f>HYPERLINK("https://map.naver.com/p/search/반곡동 1077", "지도Link")</f>
        <v/>
      </c>
      <c r="N768" s="6">
        <f>HYPERLINK("http://www.eum.go.kr/web/ar/lu/luLandDet.jsp?pnu=3611010100110770000&amp;isNoScr=script&amp;mode=search", "토지이음")</f>
        <v/>
      </c>
      <c r="O768" s="3" t="inlineStr">
        <is>
          <t>세종무지개</t>
        </is>
      </c>
      <c r="P768" s="4" t="n">
        <v>1</v>
      </c>
      <c r="Q768" s="4" t="n">
        <v>445.5</v>
      </c>
      <c r="R768" s="3" t="inlineStr">
        <is>
          <t>지정되지않음</t>
        </is>
      </c>
      <c r="S768" s="3" t="inlineStr">
        <is>
          <t>단독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소로각지</t>
        </is>
      </c>
    </row>
    <row r="769">
      <c r="A769" s="3" t="inlineStr">
        <is>
          <t>반곡동 1077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80000</v>
      </c>
      <c r="G769" s="4" t="n">
        <v>445</v>
      </c>
      <c r="H769" s="4" t="n">
        <v>135</v>
      </c>
      <c r="I769" s="5" t="n">
        <v>592.6</v>
      </c>
      <c r="J769" s="5" t="n">
        <v>308</v>
      </c>
      <c r="K769" s="3" t="inlineStr">
        <is>
          <t>135p, 넓은 단독주택 토지매매, 공원앞, 입지 굿</t>
        </is>
      </c>
      <c r="L769" s="6">
        <f>HYPERLINK("https://fin.land.naver.com/articles/2653687042", "매물Link")</f>
        <v/>
      </c>
      <c r="M769" s="6">
        <f>HYPERLINK("https://map.naver.com/p/search/반곡동 1077", "지도Link")</f>
        <v/>
      </c>
      <c r="N769" s="6">
        <f>HYPERLINK("http://www.eum.go.kr/web/ar/lu/luLandDet.jsp?pnu=3611010100110770000&amp;isNoScr=script&amp;mode=search", "토지이음")</f>
        <v/>
      </c>
      <c r="O769" s="3" t="inlineStr">
        <is>
          <t>명진</t>
        </is>
      </c>
      <c r="P769" s="4" t="n">
        <v>1</v>
      </c>
      <c r="Q769" s="4" t="n">
        <v>445.5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소로각지</t>
        </is>
      </c>
    </row>
    <row r="770">
      <c r="A770" s="3" t="inlineStr">
        <is>
          <t>반곡동 1090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75000</v>
      </c>
      <c r="G770" s="4" t="n">
        <v>442</v>
      </c>
      <c r="H770" s="4" t="n">
        <v>134</v>
      </c>
      <c r="I770" s="5" t="n">
        <v>559.7</v>
      </c>
      <c r="J770" s="5" t="n">
        <v>308</v>
      </c>
      <c r="K770" s="3" t="inlineStr">
        <is>
          <t>nan</t>
        </is>
      </c>
      <c r="L770" s="6">
        <f>HYPERLINK("https://fin.land.naver.com/articles/2655008039", "매물Link")</f>
        <v/>
      </c>
      <c r="M770" s="6">
        <f>HYPERLINK("https://map.naver.com/p/search/반곡동 1090", "지도Link")</f>
        <v/>
      </c>
      <c r="N770" s="6">
        <f>HYPERLINK("http://www.eum.go.kr/web/ar/lu/luLandDet.jsp?pnu=3611010100110900000&amp;isNoScr=script&amp;mode=search", "토지이음")</f>
        <v/>
      </c>
      <c r="O770" s="3" t="inlineStr">
        <is>
          <t>디아트성심</t>
        </is>
      </c>
      <c r="P770" s="4" t="n">
        <v>1</v>
      </c>
      <c r="Q770" s="4" t="n">
        <v>440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소로각지</t>
        </is>
      </c>
    </row>
    <row r="771">
      <c r="A771" s="3" t="inlineStr">
        <is>
          <t>반곡동 1096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74700</v>
      </c>
      <c r="G771" s="4" t="n">
        <v>466</v>
      </c>
      <c r="H771" s="4" t="n">
        <v>141</v>
      </c>
      <c r="I771" s="5" t="n">
        <v>529.8</v>
      </c>
      <c r="J771" s="5" t="n">
        <v>302.2</v>
      </c>
      <c r="K771" s="3" t="inlineStr">
        <is>
          <t>nan</t>
        </is>
      </c>
      <c r="L771" s="6">
        <f>HYPERLINK("https://fin.land.naver.com/articles/2655008098", "매물Link")</f>
        <v/>
      </c>
      <c r="M771" s="6">
        <f>HYPERLINK("https://map.naver.com/p/search/반곡동 1096", "지도Link")</f>
        <v/>
      </c>
      <c r="N771" s="6">
        <f>HYPERLINK("http://www.eum.go.kr/web/ar/lu/luLandDet.jsp?pnu=3611010100110960000&amp;isNoScr=script&amp;mode=search", "토지이음")</f>
        <v/>
      </c>
      <c r="O771" s="3" t="inlineStr">
        <is>
          <t>디아트성심</t>
        </is>
      </c>
      <c r="P771" s="4" t="n">
        <v>1</v>
      </c>
      <c r="Q771" s="4" t="n">
        <v>466</v>
      </c>
      <c r="R771" s="3" t="inlineStr">
        <is>
          <t>지정되지않음</t>
        </is>
      </c>
      <c r="S771" s="3" t="inlineStr">
        <is>
          <t>단독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반곡동 1107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67000</v>
      </c>
      <c r="G772" s="4" t="n">
        <v>436</v>
      </c>
      <c r="H772" s="4" t="n">
        <v>132</v>
      </c>
      <c r="I772" s="5" t="n">
        <v>507.6</v>
      </c>
      <c r="J772" s="5" t="n">
        <v>311.3</v>
      </c>
      <c r="K772" s="3" t="inlineStr">
        <is>
          <t>삼거리 코너, 위치 좋은 반곡동 토지매매</t>
        </is>
      </c>
      <c r="L772" s="6">
        <f>HYPERLINK("https://fin.land.naver.com/articles/2654691212", "매물Link")</f>
        <v/>
      </c>
      <c r="M772" s="6">
        <f>HYPERLINK("https://map.naver.com/p/search/반곡동 1107", "지도Link")</f>
        <v/>
      </c>
      <c r="N772" s="6">
        <f>HYPERLINK("http://www.eum.go.kr/web/ar/lu/luLandDet.jsp?pnu=3611010100111070000&amp;isNoScr=script&amp;mode=search",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436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소로각지</t>
        </is>
      </c>
    </row>
    <row r="773">
      <c r="A773" s="3" t="inlineStr">
        <is>
          <t>반곡동 1107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67000</v>
      </c>
      <c r="G773" s="4" t="n">
        <v>436</v>
      </c>
      <c r="H773" s="4" t="n">
        <v>132</v>
      </c>
      <c r="I773" s="5" t="n">
        <v>507.6</v>
      </c>
      <c r="J773" s="5" t="n">
        <v>311.3</v>
      </c>
      <c r="K773" s="3" t="inlineStr">
        <is>
          <t>급매 코너각지 132p 추가조율가능</t>
        </is>
      </c>
      <c r="L773" s="6">
        <f>HYPERLINK("https://fin.land.naver.com/articles/2655202403", "매물Link")</f>
        <v/>
      </c>
      <c r="M773" s="6">
        <f>HYPERLINK("https://map.naver.com/p/search/반곡동 1107", "지도Link")</f>
        <v/>
      </c>
      <c r="N773" s="6">
        <f>HYPERLINK("http://www.eum.go.kr/web/ar/lu/luLandDet.jsp?pnu=3611010100111070000&amp;isNoScr=script&amp;mode=search",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436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소로각지</t>
        </is>
      </c>
    </row>
    <row r="774">
      <c r="A774" s="3" t="inlineStr">
        <is>
          <t>반곡동 1129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74400</v>
      </c>
      <c r="G774" s="4" t="n">
        <v>184</v>
      </c>
      <c r="H774" s="4" t="n">
        <v>56</v>
      </c>
      <c r="I774" s="5" t="n">
        <v>1328.6</v>
      </c>
      <c r="J774" s="5" t="n">
        <v>406.3</v>
      </c>
      <c r="K774" s="3" t="inlineStr">
        <is>
          <t>상가주택용 토지,설계도면무료제공</t>
        </is>
      </c>
      <c r="L774" s="6">
        <f>HYPERLINK("https://fin.land.naver.com/articles/2655037117", "매물Link")</f>
        <v/>
      </c>
      <c r="M774" s="6">
        <f>HYPERLINK("https://map.naver.com/p/search/반곡동 1129", "지도Link")</f>
        <v/>
      </c>
      <c r="N774" s="6">
        <f>HYPERLINK("http://www.eum.go.kr/web/ar/lu/luLandDet.jsp?pnu=3611010100111290000&amp;isNoScr=script&amp;mode=search", "토지이음")</f>
        <v/>
      </c>
      <c r="O774" s="3" t="inlineStr">
        <is>
          <t>세종시티</t>
        </is>
      </c>
      <c r="P774" s="4" t="n">
        <v>1</v>
      </c>
      <c r="Q774" s="4" t="n">
        <v>184.4</v>
      </c>
      <c r="R774" s="3" t="inlineStr">
        <is>
          <t>지정되지않음</t>
        </is>
      </c>
      <c r="S774" s="3" t="inlineStr">
        <is>
          <t>주상나지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1130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76000</v>
      </c>
      <c r="G775" s="4" t="n">
        <v>186</v>
      </c>
      <c r="H775" s="4" t="n">
        <v>56</v>
      </c>
      <c r="I775" s="5" t="n">
        <v>1357.1</v>
      </c>
      <c r="J775" s="5" t="n">
        <v>406.3</v>
      </c>
      <c r="K775" s="3" t="inlineStr">
        <is>
          <t>상가주택지매매, 협의가능, 설계도면제공원할시.
자세한건 사무실로 연락~</t>
        </is>
      </c>
      <c r="L775" s="6">
        <f>HYPERLINK("https://fin.land.naver.com/articles/2655037188", "매물Link")</f>
        <v/>
      </c>
      <c r="M775" s="6">
        <f>HYPERLINK("https://map.naver.com/p/search/반곡동 1130", "지도Link")</f>
        <v/>
      </c>
      <c r="N775" s="6">
        <f>HYPERLINK("http://www.eum.go.kr/web/ar/lu/luLandDet.jsp?pnu=3611010100111300000&amp;isNoScr=script&amp;mode=search", "토지이음")</f>
        <v/>
      </c>
      <c r="O775" s="3" t="inlineStr">
        <is>
          <t>세종시티</t>
        </is>
      </c>
      <c r="P775" s="4" t="n">
        <v>1</v>
      </c>
      <c r="Q775" s="4" t="n">
        <v>186.4</v>
      </c>
      <c r="R775" s="3" t="inlineStr">
        <is>
          <t>지정되지않음</t>
        </is>
      </c>
      <c r="S775" s="3" t="inlineStr">
        <is>
          <t>주상나지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1137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80000</v>
      </c>
      <c r="G776" s="4" t="n">
        <v>231</v>
      </c>
      <c r="H776" s="4" t="n">
        <v>70</v>
      </c>
      <c r="I776" s="5" t="n">
        <v>1142.9</v>
      </c>
      <c r="J776" s="5" t="n">
        <v>450.6</v>
      </c>
      <c r="K776" s="3" t="inlineStr">
        <is>
          <t>세종시 유일 점포 주택, 반곡동 단독주택지  괴화산 수루배마을 중심부</t>
        </is>
      </c>
      <c r="L776" s="6">
        <f>HYPERLINK("https://fin.land.naver.com/articles/2650832993", "매물Link")</f>
        <v/>
      </c>
      <c r="M776" s="6">
        <f>HYPERLINK("https://map.naver.com/p/search/반곡동 1137", "지도Link")</f>
        <v/>
      </c>
      <c r="N776" s="6">
        <f>HYPERLINK("http://www.eum.go.kr/web/ar/lu/luLandDet.jsp?pnu=3611010100111370000&amp;isNoScr=script&amp;mode=search", "토지이음")</f>
        <v/>
      </c>
      <c r="O776" s="3" t="inlineStr">
        <is>
          <t>세종디아트114</t>
        </is>
      </c>
      <c r="P776" s="4" t="n">
        <v>1</v>
      </c>
      <c r="Q776" s="4" t="n">
        <v>230.7</v>
      </c>
      <c r="R776" s="3" t="inlineStr">
        <is>
          <t>지정되지않음</t>
        </is>
      </c>
      <c r="S776" s="3" t="inlineStr">
        <is>
          <t>주상나지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중로각지</t>
        </is>
      </c>
    </row>
    <row r="777">
      <c r="A777" s="3" t="inlineStr">
        <is>
          <t>반곡동 1156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210000</v>
      </c>
      <c r="G777" s="4" t="n">
        <v>617</v>
      </c>
      <c r="H777" s="4" t="n">
        <v>187</v>
      </c>
      <c r="I777" s="5" t="n">
        <v>1123</v>
      </c>
      <c r="J777" s="5" t="n">
        <v>581.2</v>
      </c>
      <c r="K777" s="3" t="inlineStr">
        <is>
          <t>명성공인, 전용186.64, 근생용지 추천 매물</t>
        </is>
      </c>
      <c r="L777" s="6">
        <f>HYPERLINK("https://fin.land.naver.com/articles/2652073710", "매물Link")</f>
        <v/>
      </c>
      <c r="M777" s="6">
        <f>HYPERLINK("https://map.naver.com/p/search/반곡동 1156", "지도Link")</f>
        <v/>
      </c>
      <c r="N777" s="6">
        <f>HYPERLINK("http://www.eum.go.kr/web/ar/lu/luLandDet.jsp?pnu=3611010100111560000&amp;isNoScr=script&amp;mode=search", "토지이음")</f>
        <v/>
      </c>
      <c r="O777" s="3" t="inlineStr">
        <is>
          <t>명성</t>
        </is>
      </c>
      <c r="P777" s="4" t="n">
        <v>1</v>
      </c>
      <c r="Q777" s="4" t="n">
        <v>617</v>
      </c>
      <c r="R777" s="3" t="inlineStr">
        <is>
          <t>지정되지않음</t>
        </is>
      </c>
      <c r="S777" s="3" t="inlineStr">
        <is>
          <t>상업나지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중로각지</t>
        </is>
      </c>
    </row>
    <row r="778">
      <c r="A778" s="3" t="inlineStr">
        <is>
          <t>반곡동 1156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210000</v>
      </c>
      <c r="G778" s="4" t="n">
        <v>617</v>
      </c>
      <c r="H778" s="4" t="n">
        <v>187</v>
      </c>
      <c r="I778" s="5" t="n">
        <v>1123</v>
      </c>
      <c r="J778" s="5" t="n">
        <v>581.2</v>
      </c>
      <c r="K778" s="3" t="inlineStr">
        <is>
          <t>nan</t>
        </is>
      </c>
      <c r="L778" s="6">
        <f>HYPERLINK("https://fin.land.naver.com/articles/2651653557", "매물Link")</f>
        <v/>
      </c>
      <c r="M778" s="6">
        <f>HYPERLINK("https://map.naver.com/p/search/반곡동 1156", "지도Link")</f>
        <v/>
      </c>
      <c r="N778" s="6">
        <f>HYPERLINK("http://www.eum.go.kr/web/ar/lu/luLandDet.jsp?pnu=3611010100111560000&amp;isNoScr=script&amp;mode=search", "토지이음")</f>
        <v/>
      </c>
      <c r="O778" s="3" t="inlineStr">
        <is>
          <t>국제</t>
        </is>
      </c>
      <c r="P778" s="4" t="n">
        <v>2</v>
      </c>
      <c r="Q778" s="4" t="n">
        <v>617</v>
      </c>
      <c r="R778" s="3" t="inlineStr">
        <is>
          <t>지정되지않음</t>
        </is>
      </c>
      <c r="S778" s="3" t="inlineStr">
        <is>
          <t>상업나지</t>
        </is>
      </c>
      <c r="T778" s="3" t="inlineStr">
        <is>
          <t>평지</t>
        </is>
      </c>
      <c r="U778" s="3" t="inlineStr">
        <is>
          <t>정방형</t>
        </is>
      </c>
      <c r="V778" s="3" t="inlineStr">
        <is>
          <t>중로각지</t>
        </is>
      </c>
    </row>
    <row r="779">
      <c r="A779" s="3" t="inlineStr">
        <is>
          <t>반곡동 901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88000</v>
      </c>
      <c r="G779" s="4" t="n">
        <v>289</v>
      </c>
      <c r="H779" s="4" t="n">
        <v>87</v>
      </c>
      <c r="I779" s="5" t="n">
        <v>1011.5</v>
      </c>
      <c r="J779" s="5" t="n">
        <v>262.6</v>
      </c>
      <c r="K779" s="3" t="inlineStr">
        <is>
          <t>지대높고트여있어 조망좋음. 건폐율50,용적률80</t>
        </is>
      </c>
      <c r="L779" s="6">
        <f>HYPERLINK("https://fin.land.naver.com/articles/2655007668", "매물Link")</f>
        <v/>
      </c>
      <c r="M779" s="6">
        <f>HYPERLINK("https://map.naver.com/p/search/반곡동 901", "지도Link")</f>
        <v/>
      </c>
      <c r="N779" s="6">
        <f>HYPERLINK("http://www.eum.go.kr/web/ar/lu/luLandDet.jsp?pnu=3611010100109010000&amp;isNoScr=script&amp;mode=search", "토지이음")</f>
        <v/>
      </c>
      <c r="O779" s="3" t="inlineStr">
        <is>
          <t>디아트성심</t>
        </is>
      </c>
      <c r="P779" s="4" t="n">
        <v>1</v>
      </c>
      <c r="Q779" s="4" t="n">
        <v>289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901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88000</v>
      </c>
      <c r="G780" s="4" t="n">
        <v>289</v>
      </c>
      <c r="H780" s="4" t="n">
        <v>87</v>
      </c>
      <c r="I780" s="5" t="n">
        <v>1011.5</v>
      </c>
      <c r="J780" s="5" t="n">
        <v>262.6</v>
      </c>
      <c r="K780" s="3" t="inlineStr">
        <is>
          <t>초등학교 인접, 반곡동 토지매매, 지대 높음</t>
        </is>
      </c>
      <c r="L780" s="6">
        <f>HYPERLINK("https://fin.land.naver.com/articles/2654704892", "매물Link")</f>
        <v/>
      </c>
      <c r="M780" s="6">
        <f>HYPERLINK("https://map.naver.com/p/search/반곡동 901", "지도Link")</f>
        <v/>
      </c>
      <c r="N780" s="6">
        <f>HYPERLINK("http://www.eum.go.kr/web/ar/lu/luLandDet.jsp?pnu=3611010100109010000&amp;isNoScr=script&amp;mode=search", "토지이음")</f>
        <v/>
      </c>
      <c r="O780" s="3" t="inlineStr">
        <is>
          <t>세종무지개</t>
        </is>
      </c>
      <c r="P780" s="4" t="n">
        <v>1</v>
      </c>
      <c r="Q780" s="4" t="n">
        <v>289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901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88000</v>
      </c>
      <c r="G781" s="4" t="n">
        <v>289</v>
      </c>
      <c r="H781" s="4" t="n">
        <v>87</v>
      </c>
      <c r="I781" s="5" t="n">
        <v>1011.5</v>
      </c>
      <c r="J781" s="5" t="n">
        <v>262.6</v>
      </c>
      <c r="K781" s="3" t="inlineStr">
        <is>
          <t>지대높고 옆조망 뒷조망 잘나오는곳 초등학교 인접 BRT 인접</t>
        </is>
      </c>
      <c r="L781" s="6">
        <f>HYPERLINK("https://fin.land.naver.com/articles/2654654291", "매물Link")</f>
        <v/>
      </c>
      <c r="M781" s="6">
        <f>HYPERLINK("https://map.naver.com/p/search/반곡동 901", "지도Link")</f>
        <v/>
      </c>
      <c r="N781" s="6">
        <f>HYPERLINK("http://www.eum.go.kr/web/ar/lu/luLandDet.jsp?pnu=3611010100109010000&amp;isNoScr=script&amp;mode=search", "토지이음")</f>
        <v/>
      </c>
      <c r="O781" s="3" t="inlineStr">
        <is>
          <t>세종스타</t>
        </is>
      </c>
      <c r="P781" s="4" t="n">
        <v>2</v>
      </c>
      <c r="Q781" s="4" t="n">
        <v>289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908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80000</v>
      </c>
      <c r="G782" s="4" t="n">
        <v>321</v>
      </c>
      <c r="H782" s="4" t="n">
        <v>97</v>
      </c>
      <c r="I782" s="5" t="n">
        <v>824.7</v>
      </c>
      <c r="J782" s="5" t="n">
        <v>270.5</v>
      </c>
      <c r="K782" s="3" t="inlineStr">
        <is>
          <t>사거리 코너입지, 시유지 접한 위치 좋은 토지</t>
        </is>
      </c>
      <c r="L782" s="6">
        <f>HYPERLINK("https://fin.land.naver.com/articles/2654691085", "매물Link")</f>
        <v/>
      </c>
      <c r="M782" s="6">
        <f>HYPERLINK("https://map.naver.com/p/search/반곡동 908", "지도Link")</f>
        <v/>
      </c>
      <c r="N782" s="6">
        <f>HYPERLINK("http://www.eum.go.kr/web/ar/lu/luLandDet.jsp?pnu=3611010100109080000&amp;isNoScr=script&amp;mode=search", "토지이음")</f>
        <v/>
      </c>
      <c r="O782" s="3" t="inlineStr">
        <is>
          <t>세종무지개</t>
        </is>
      </c>
      <c r="P782" s="4" t="n">
        <v>1</v>
      </c>
      <c r="Q782" s="4" t="n">
        <v>321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소로각지</t>
        </is>
      </c>
    </row>
    <row r="783">
      <c r="A783" s="3" t="inlineStr">
        <is>
          <t>반곡동 908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80000</v>
      </c>
      <c r="G783" s="4" t="n">
        <v>321</v>
      </c>
      <c r="H783" s="4" t="n">
        <v>97</v>
      </c>
      <c r="I783" s="5" t="n">
        <v>824.7</v>
      </c>
      <c r="J783" s="5" t="n">
        <v>270.5</v>
      </c>
      <c r="K783" s="3" t="inlineStr">
        <is>
          <t>3면코너 시유지접함 위치최상</t>
        </is>
      </c>
      <c r="L783" s="6">
        <f>HYPERLINK("https://fin.land.naver.com/articles/2655192384", "매물Link")</f>
        <v/>
      </c>
      <c r="M783" s="6">
        <f>HYPERLINK("https://map.naver.com/p/search/반곡동 908", "지도Link")</f>
        <v/>
      </c>
      <c r="N783" s="6">
        <f>HYPERLINK("http://www.eum.go.kr/web/ar/lu/luLandDet.jsp?pnu=3611010100109080000&amp;isNoScr=script&amp;mode=search", "토지이음")</f>
        <v/>
      </c>
      <c r="O783" s="3" t="inlineStr">
        <is>
          <t>세종스타</t>
        </is>
      </c>
      <c r="P783" s="4" t="n">
        <v>1</v>
      </c>
      <c r="Q783" s="4" t="n">
        <v>321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소로각지</t>
        </is>
      </c>
    </row>
    <row r="784">
      <c r="A784" s="3" t="inlineStr">
        <is>
          <t>반곡동 913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64000</v>
      </c>
      <c r="G784" s="4" t="n">
        <v>294</v>
      </c>
      <c r="H784" s="4" t="n">
        <v>89</v>
      </c>
      <c r="I784" s="5" t="n">
        <v>719.1</v>
      </c>
      <c r="J784" s="5" t="n">
        <v>262.6</v>
      </c>
      <c r="K784" s="3" t="inlineStr">
        <is>
          <t>괴화산과 공지 품은 힐링되는 귀한 반곡동 단독주택 필지</t>
        </is>
      </c>
      <c r="L784" s="6">
        <f>HYPERLINK("https://fin.land.naver.com/articles/2650850082", "매물Link")</f>
        <v/>
      </c>
      <c r="M784" s="6">
        <f>HYPERLINK("https://map.naver.com/p/search/반곡동 913", "지도Link")</f>
        <v/>
      </c>
      <c r="N784" s="6">
        <f>HYPERLINK("http://www.eum.go.kr/web/ar/lu/luLandDet.jsp?pnu=3611010100109130000&amp;isNoScr=script&amp;mode=search", "토지이음")</f>
        <v/>
      </c>
      <c r="O784" s="3" t="inlineStr">
        <is>
          <t>세종신한</t>
        </is>
      </c>
      <c r="P784" s="4" t="n">
        <v>1</v>
      </c>
      <c r="Q784" s="4" t="n">
        <v>294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915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65000</v>
      </c>
      <c r="G785" s="4" t="n">
        <v>295</v>
      </c>
      <c r="H785" s="4" t="n">
        <v>89</v>
      </c>
      <c r="I785" s="5" t="n">
        <v>730.3</v>
      </c>
      <c r="J785" s="5" t="n">
        <v>262.6</v>
      </c>
      <c r="K785" s="3" t="inlineStr">
        <is>
          <t>유치원. 초등학교 인근, 조용한 입지 토지</t>
        </is>
      </c>
      <c r="L785" s="6">
        <f>HYPERLINK("https://fin.land.naver.com/articles/2654693066", "매물Link")</f>
        <v/>
      </c>
      <c r="M785" s="6">
        <f>HYPERLINK("https://map.naver.com/p/search/반곡동 915", "지도Link")</f>
        <v/>
      </c>
      <c r="N785" s="6">
        <f>HYPERLINK("http://www.eum.go.kr/web/ar/lu/luLandDet.jsp?pnu=3611010100109150000&amp;isNoScr=script&amp;mode=search", "토지이음")</f>
        <v/>
      </c>
      <c r="O785" s="3" t="inlineStr">
        <is>
          <t>세종무지개</t>
        </is>
      </c>
      <c r="P785" s="4" t="n">
        <v>1</v>
      </c>
      <c r="Q785" s="4" t="n">
        <v>295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915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65000</v>
      </c>
      <c r="G786" s="4" t="n">
        <v>295</v>
      </c>
      <c r="H786" s="4" t="n">
        <v>89</v>
      </c>
      <c r="I786" s="5" t="n">
        <v>730.3</v>
      </c>
      <c r="J786" s="5" t="n">
        <v>262.6</v>
      </c>
      <c r="K786" s="3" t="inlineStr">
        <is>
          <t>산접한곳 숲유치원 초등학교 인근</t>
        </is>
      </c>
      <c r="L786" s="6">
        <f>HYPERLINK("https://fin.land.naver.com/articles/2655192759", "매물Link")</f>
        <v/>
      </c>
      <c r="M786" s="6">
        <f>HYPERLINK("https://map.naver.com/p/search/반곡동 915", "지도Link")</f>
        <v/>
      </c>
      <c r="N786" s="6">
        <f>HYPERLINK("http://www.eum.go.kr/web/ar/lu/luLandDet.jsp?pnu=3611010100109150000&amp;isNoScr=script&amp;mode=search", "토지이음")</f>
        <v/>
      </c>
      <c r="O786" s="3" t="inlineStr">
        <is>
          <t>세종스타</t>
        </is>
      </c>
      <c r="P786" s="4" t="n">
        <v>1</v>
      </c>
      <c r="Q786" s="4" t="n">
        <v>295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932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97000</v>
      </c>
      <c r="G787" s="4" t="n">
        <v>321</v>
      </c>
      <c r="H787" s="4" t="n">
        <v>97</v>
      </c>
      <c r="I787" s="5" t="n">
        <v>1000</v>
      </c>
      <c r="J787" s="5" t="n">
        <v>262.3</v>
      </c>
      <c r="K787" s="3" t="inlineStr">
        <is>
          <t>시유지접한 코너각지 조용한위치 조율가능</t>
        </is>
      </c>
      <c r="L787" s="6">
        <f>HYPERLINK("https://fin.land.naver.com/articles/2651085953", "매물Link")</f>
        <v/>
      </c>
      <c r="M787" s="6">
        <f>HYPERLINK("https://map.naver.com/p/search/반곡동 932", "지도Link")</f>
        <v/>
      </c>
      <c r="N787" s="6">
        <f>HYPERLINK("http://www.eum.go.kr/web/ar/lu/luLandDet.jsp?pnu=3611010100109320000&amp;isNoScr=script&amp;mode=search", "토지이음")</f>
        <v/>
      </c>
      <c r="O787" s="3" t="inlineStr">
        <is>
          <t>세종스타</t>
        </is>
      </c>
      <c r="P787" s="4" t="n">
        <v>1</v>
      </c>
      <c r="Q787" s="4" t="n">
        <v>321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소로한면</t>
        </is>
      </c>
    </row>
    <row r="788">
      <c r="A788" s="3" t="inlineStr">
        <is>
          <t>반곡동 932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97000</v>
      </c>
      <c r="G788" s="4" t="n">
        <v>321</v>
      </c>
      <c r="H788" s="4" t="n">
        <v>97</v>
      </c>
      <c r="I788" s="5" t="n">
        <v>1000</v>
      </c>
      <c r="J788" s="5" t="n">
        <v>262.3</v>
      </c>
      <c r="K788" s="3" t="inlineStr">
        <is>
          <t>위치좋은 지대높은 토지, 97.2p, 시유지 40p 사용가능</t>
        </is>
      </c>
      <c r="L788" s="6">
        <f>HYPERLINK("https://fin.land.naver.com/articles/2651189098", "매물Link")</f>
        <v/>
      </c>
      <c r="M788" s="6">
        <f>HYPERLINK("https://map.naver.com/p/search/반곡동 932", "지도Link")</f>
        <v/>
      </c>
      <c r="N788" s="6">
        <f>HYPERLINK("http://www.eum.go.kr/web/ar/lu/luLandDet.jsp?pnu=3611010100109320000&amp;isNoScr=script&amp;mode=search", "토지이음")</f>
        <v/>
      </c>
      <c r="O788" s="3" t="inlineStr">
        <is>
          <t>세종무지개</t>
        </is>
      </c>
      <c r="P788" s="4" t="n">
        <v>1</v>
      </c>
      <c r="Q788" s="4" t="n">
        <v>321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반곡동 943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73000</v>
      </c>
      <c r="G789" s="4" t="n">
        <v>350</v>
      </c>
      <c r="H789" s="4" t="n">
        <v>106</v>
      </c>
      <c r="I789" s="5" t="n">
        <v>688.7</v>
      </c>
      <c r="J789" s="5" t="n">
        <v>262.3</v>
      </c>
      <c r="K789" s="3" t="inlineStr">
        <is>
          <t>실개천옆 벙커주차장 설계가능 적극조율 협의가능</t>
        </is>
      </c>
      <c r="L789" s="6">
        <f>HYPERLINK("https://fin.land.naver.com/articles/2655235096", "매물Link")</f>
        <v/>
      </c>
      <c r="M789" s="6">
        <f>HYPERLINK("https://map.naver.com/p/search/반곡동 943", "지도Link")</f>
        <v/>
      </c>
      <c r="N789" s="6">
        <f>HYPERLINK("http://www.eum.go.kr/web/ar/lu/luLandDet.jsp?pnu=3611010100109430000&amp;isNoScr=script&amp;mode=search", "토지이음")</f>
        <v/>
      </c>
      <c r="O789" s="3" t="inlineStr">
        <is>
          <t>세종스타</t>
        </is>
      </c>
      <c r="P789" s="4" t="n">
        <v>1</v>
      </c>
      <c r="Q789" s="4" t="n">
        <v>350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반곡동 943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73000</v>
      </c>
      <c r="G790" s="4" t="n">
        <v>350</v>
      </c>
      <c r="H790" s="4" t="n">
        <v>106</v>
      </c>
      <c r="I790" s="5" t="n">
        <v>688.7</v>
      </c>
      <c r="J790" s="5" t="n">
        <v>262.3</v>
      </c>
      <c r="K790" s="3" t="inlineStr">
        <is>
          <t>조율가능, 벙커주차장가능, 반곡동 토지매매</t>
        </is>
      </c>
      <c r="L790" s="6">
        <f>HYPERLINK("https://fin.land.naver.com/articles/2654690958", "매물Link")</f>
        <v/>
      </c>
      <c r="M790" s="6">
        <f>HYPERLINK("https://map.naver.com/p/search/반곡동 943", "지도Link")</f>
        <v/>
      </c>
      <c r="N790" s="6">
        <f>HYPERLINK("http://www.eum.go.kr/web/ar/lu/luLandDet.jsp?pnu=3611010100109430000&amp;isNoScr=script&amp;mode=search", "토지이음")</f>
        <v/>
      </c>
      <c r="O790" s="3" t="inlineStr">
        <is>
          <t>세종무지개</t>
        </is>
      </c>
      <c r="P790" s="4" t="n">
        <v>1</v>
      </c>
      <c r="Q790" s="4" t="n">
        <v>350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소로한면</t>
        </is>
      </c>
    </row>
    <row r="791">
      <c r="A791" s="3" t="inlineStr">
        <is>
          <t>반곡동 947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83000</v>
      </c>
      <c r="G791" s="4" t="n">
        <v>343</v>
      </c>
      <c r="H791" s="4" t="n">
        <v>104</v>
      </c>
      <c r="I791" s="5" t="n">
        <v>798.1</v>
      </c>
      <c r="J791" s="5" t="n">
        <v>262.3</v>
      </c>
      <c r="K791" s="3" t="inlineStr">
        <is>
          <t>조율가능 산조망 조용한곳 땅모양 네모반듯</t>
        </is>
      </c>
      <c r="L791" s="6">
        <f>HYPERLINK("https://fin.land.naver.com/articles/2650653583", "매물Link")</f>
        <v/>
      </c>
      <c r="M791" s="6">
        <f>HYPERLINK("https://map.naver.com/p/search/반곡동 947", "지도Link")</f>
        <v/>
      </c>
      <c r="N791" s="6">
        <f>HYPERLINK("http://www.eum.go.kr/web/ar/lu/luLandDet.jsp?pnu=3611010100109470000&amp;isNoScr=script&amp;mode=search", "토지이음")</f>
        <v/>
      </c>
      <c r="O791" s="3" t="inlineStr">
        <is>
          <t>세종스타</t>
        </is>
      </c>
      <c r="P791" s="4" t="n">
        <v>1</v>
      </c>
      <c r="Q791" s="4" t="n">
        <v>343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소로한면</t>
        </is>
      </c>
    </row>
    <row r="792">
      <c r="A792" s="3" t="inlineStr">
        <is>
          <t>반곡동 959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88000</v>
      </c>
      <c r="G792" s="4" t="n">
        <v>361</v>
      </c>
      <c r="H792" s="4" t="n">
        <v>109</v>
      </c>
      <c r="I792" s="5" t="n">
        <v>807.3</v>
      </c>
      <c r="J792" s="5" t="n">
        <v>262.3</v>
      </c>
      <c r="K792" s="3" t="inlineStr">
        <is>
          <t>추가조율가능 벙커주차장가능 지대높고 개인사생활최상</t>
        </is>
      </c>
      <c r="L792" s="6">
        <f>HYPERLINK("https://fin.land.naver.com/articles/2651086630", "매물Link")</f>
        <v/>
      </c>
      <c r="M792" s="6">
        <f>HYPERLINK("https://map.naver.com/p/search/반곡동 959", "지도Link")</f>
        <v/>
      </c>
      <c r="N792" s="6">
        <f>HYPERLINK("http://www.eum.go.kr/web/ar/lu/luLandDet.jsp?pnu=3611010100109590000&amp;isNoScr=script&amp;mode=search", "토지이음")</f>
        <v/>
      </c>
      <c r="O792" s="3" t="inlineStr">
        <is>
          <t>세종스타</t>
        </is>
      </c>
      <c r="P792" s="4" t="n">
        <v>1</v>
      </c>
      <c r="Q792" s="4" t="n">
        <v>361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사다리형</t>
        </is>
      </c>
      <c r="V792" s="3" t="inlineStr">
        <is>
          <t>소로한면</t>
        </is>
      </c>
    </row>
    <row r="793">
      <c r="A793" s="3" t="inlineStr">
        <is>
          <t>반곡동 962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65000</v>
      </c>
      <c r="G793" s="4" t="n">
        <v>308</v>
      </c>
      <c r="H793" s="4" t="n">
        <v>93</v>
      </c>
      <c r="I793" s="5" t="n">
        <v>698.9</v>
      </c>
      <c r="J793" s="5" t="n">
        <v>262.3</v>
      </c>
      <c r="K793" s="3" t="inlineStr">
        <is>
          <t>산접한곳 벙커주차장가능 남향보행로접 조율가능</t>
        </is>
      </c>
      <c r="L793" s="6">
        <f>HYPERLINK("https://fin.land.naver.com/articles/2654855867", "매물Link")</f>
        <v/>
      </c>
      <c r="M793" s="6">
        <f>HYPERLINK("https://map.naver.com/p/search/반곡동 962", "지도Link")</f>
        <v/>
      </c>
      <c r="N793" s="6">
        <f>HYPERLINK("http://www.eum.go.kr/web/ar/lu/luLandDet.jsp?pnu=3611010100109620000&amp;isNoScr=script&amp;mode=search", "토지이음")</f>
        <v/>
      </c>
      <c r="O793" s="3" t="inlineStr">
        <is>
          <t>세종스타</t>
        </is>
      </c>
      <c r="P793" s="4" t="n">
        <v>2</v>
      </c>
      <c r="Q793" s="4" t="n">
        <v>308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소로한면</t>
        </is>
      </c>
    </row>
    <row r="794">
      <c r="A794" s="3" t="inlineStr">
        <is>
          <t>반곡동 963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90000</v>
      </c>
      <c r="G794" s="4" t="n">
        <v>423</v>
      </c>
      <c r="H794" s="4" t="n">
        <v>128</v>
      </c>
      <c r="I794" s="5" t="n">
        <v>703.1</v>
      </c>
      <c r="J794" s="5" t="n">
        <v>262.3</v>
      </c>
      <c r="K794" s="3" t="inlineStr">
        <is>
          <t>넓은평수,넓은지하주차장가능,고급 단독주택지,조율가</t>
        </is>
      </c>
      <c r="L794" s="6">
        <f>HYPERLINK("https://fin.land.naver.com/articles/2655037049", "매물Link")</f>
        <v/>
      </c>
      <c r="M794" s="6">
        <f>HYPERLINK("https://map.naver.com/p/search/반곡동 963", "지도Link")</f>
        <v/>
      </c>
      <c r="N794" s="6">
        <f>HYPERLINK("http://www.eum.go.kr/web/ar/lu/luLandDet.jsp?pnu=3611010100109630000&amp;isNoScr=script&amp;mode=search", "토지이음")</f>
        <v/>
      </c>
      <c r="O794" s="3" t="inlineStr">
        <is>
          <t>세종시티</t>
        </is>
      </c>
      <c r="P794" s="4" t="n">
        <v>1</v>
      </c>
      <c r="Q794" s="4" t="n">
        <v>423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반곡동 963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90000</v>
      </c>
      <c r="G795" s="4" t="n">
        <v>423</v>
      </c>
      <c r="H795" s="4" t="n">
        <v>128</v>
      </c>
      <c r="I795" s="5" t="n">
        <v>703.1</v>
      </c>
      <c r="J795" s="5" t="n">
        <v>262.3</v>
      </c>
      <c r="K795" s="3" t="inlineStr">
        <is>
          <t>I 신한 I  국회 집무실 인근  BRT 상권 학교 모두 품은 귀한 택지</t>
        </is>
      </c>
      <c r="L795" s="6">
        <f>HYPERLINK("https://fin.land.naver.com/articles/2650547909", "매물Link")</f>
        <v/>
      </c>
      <c r="M795" s="6">
        <f>HYPERLINK("https://map.naver.com/p/search/반곡동 963", "지도Link")</f>
        <v/>
      </c>
      <c r="N795" s="6">
        <f>HYPERLINK("http://www.eum.go.kr/web/ar/lu/luLandDet.jsp?pnu=3611010100109630000&amp;isNoScr=script&amp;mode=search", "토지이음")</f>
        <v/>
      </c>
      <c r="O795" s="3" t="inlineStr">
        <is>
          <t>세종신한</t>
        </is>
      </c>
      <c r="P795" s="4" t="n">
        <v>1</v>
      </c>
      <c r="Q795" s="4" t="n">
        <v>423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소로한면</t>
        </is>
      </c>
    </row>
    <row r="796">
      <c r="A796" s="3" t="inlineStr">
        <is>
          <t>반곡동 979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68000</v>
      </c>
      <c r="G796" s="4" t="n">
        <v>324</v>
      </c>
      <c r="H796" s="4" t="n">
        <v>98</v>
      </c>
      <c r="I796" s="5" t="n">
        <v>693.9</v>
      </c>
      <c r="J796" s="5" t="n">
        <v>262.3</v>
      </c>
      <c r="K796" s="3" t="inlineStr">
        <is>
          <t>반곡동 위치 좋은 단독주택, 코너입지</t>
        </is>
      </c>
      <c r="L796" s="6">
        <f>HYPERLINK("https://fin.land.naver.com/articles/2654693607", "매물Link")</f>
        <v/>
      </c>
      <c r="M796" s="6">
        <f>HYPERLINK("https://map.naver.com/p/search/반곡동 979", "지도Link")</f>
        <v/>
      </c>
      <c r="N796" s="6">
        <f>HYPERLINK("http://www.eum.go.kr/web/ar/lu/luLandDet.jsp?pnu=3611010100109790000&amp;isNoScr=script&amp;mode=search", "토지이음")</f>
        <v/>
      </c>
      <c r="O796" s="3" t="inlineStr">
        <is>
          <t>세종무지개</t>
        </is>
      </c>
      <c r="P796" s="4" t="n">
        <v>1</v>
      </c>
      <c r="Q796" s="4" t="n">
        <v>324.4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소로한면</t>
        </is>
      </c>
    </row>
    <row r="797">
      <c r="A797" s="3" t="inlineStr">
        <is>
          <t>반곡동 994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35000</v>
      </c>
      <c r="G797" s="4" t="n">
        <v>162</v>
      </c>
      <c r="H797" s="4" t="n">
        <v>49</v>
      </c>
      <c r="I797" s="5" t="n">
        <v>714.3</v>
      </c>
      <c r="J797" s="5" t="n">
        <v>262.3</v>
      </c>
      <c r="K797" s="3" t="inlineStr">
        <is>
          <t>급매 추가조율협의가능 네모반듯 소형택지</t>
        </is>
      </c>
      <c r="L797" s="6">
        <f>HYPERLINK("https://fin.land.naver.com/articles/2653171946", "매물Link")</f>
        <v/>
      </c>
      <c r="M797" s="6">
        <f>HYPERLINK("https://map.naver.com/p/search/반곡동 994", "지도Link")</f>
        <v/>
      </c>
      <c r="N797" s="6">
        <f>HYPERLINK("http://www.eum.go.kr/web/ar/lu/luLandDet.jsp?pnu=3611010100109940000&amp;isNoScr=script&amp;mode=search", "토지이음")</f>
        <v/>
      </c>
      <c r="O797" s="3" t="inlineStr">
        <is>
          <t>세종스타</t>
        </is>
      </c>
      <c r="P797" s="4" t="n">
        <v>1</v>
      </c>
      <c r="Q797" s="4" t="n">
        <v>162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소로한면</t>
        </is>
      </c>
    </row>
    <row r="798">
      <c r="A798" s="3" t="inlineStr">
        <is>
          <t>반곡동 995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168</v>
      </c>
      <c r="H798" s="4" t="n">
        <v>51</v>
      </c>
      <c r="I798" s="5" t="n">
        <v>980.4</v>
      </c>
      <c r="J798" s="5" t="n">
        <v>265</v>
      </c>
      <c r="K798" s="3" t="inlineStr">
        <is>
          <t>나대지,  전용주거지역, 조용하고 깨끗한 도시</t>
        </is>
      </c>
      <c r="L798" s="6">
        <f>HYPERLINK("https://fin.land.naver.com/articles/2650584726", "매물Link")</f>
        <v/>
      </c>
      <c r="M798" s="6">
        <f>HYPERLINK("https://map.naver.com/p/search/반곡동 995", "지도Link")</f>
        <v/>
      </c>
      <c r="N798" s="6">
        <f>HYPERLINK("http://www.eum.go.kr/web/ar/lu/luLandDet.jsp?pnu=3611010100109950000&amp;isNoScr=script&amp;mode=search", "토지이음")</f>
        <v/>
      </c>
      <c r="O798" s="3" t="inlineStr">
        <is>
          <t>상계랜드 무소</t>
        </is>
      </c>
      <c r="P798" s="4" t="n">
        <v>1</v>
      </c>
      <c r="Q798" s="4" t="n">
        <v>168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소로한면</t>
        </is>
      </c>
    </row>
    <row r="799">
      <c r="A799" s="3" t="inlineStr">
        <is>
          <t>부강면 갈산리 162-2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208600</v>
      </c>
      <c r="G799" s="4" t="n">
        <v>1724</v>
      </c>
      <c r="H799" s="4" t="n">
        <v>522</v>
      </c>
      <c r="I799" s="5" t="n">
        <v>399.6</v>
      </c>
      <c r="J799" s="5" t="n">
        <v>56.7</v>
      </c>
      <c r="K799" s="3" t="inlineStr">
        <is>
          <t>갈산리 대도로접한 토지 매매, 세차장,타이어판매점,음식점 추천</t>
        </is>
      </c>
      <c r="L799" s="6">
        <f>HYPERLINK("https://fin.land.naver.com/articles/2654473677", "매물Link")</f>
        <v/>
      </c>
      <c r="M799" s="6">
        <f>HYPERLINK("https://map.naver.com/p/search/부강면 갈산리 162-2", "지도Link")</f>
        <v/>
      </c>
      <c r="N799" s="6">
        <f>HYPERLINK("http://www.eum.go.kr/web/ar/lu/luLandDet.jsp?pnu=3611033024101620002&amp;isNoScr=script&amp;mode=search", "토지이음")</f>
        <v/>
      </c>
      <c r="O799" s="3" t="inlineStr">
        <is>
          <t>국제</t>
        </is>
      </c>
      <c r="P799" s="4" t="n">
        <v>1</v>
      </c>
      <c r="Q799" s="4" t="n">
        <v>1724</v>
      </c>
      <c r="R799" s="3" t="inlineStr">
        <is>
          <t>지정되지않음</t>
        </is>
      </c>
      <c r="S799" s="3" t="inlineStr">
        <is>
          <t>답기타</t>
        </is>
      </c>
      <c r="T799" s="3" t="inlineStr">
        <is>
          <t>평지</t>
        </is>
      </c>
      <c r="U799" s="3" t="inlineStr">
        <is>
          <t>사다리형</t>
        </is>
      </c>
      <c r="V799" s="3" t="inlineStr">
        <is>
          <t>소로한면</t>
        </is>
      </c>
    </row>
    <row r="800">
      <c r="A800" s="3" t="inlineStr">
        <is>
          <t>부강면 갈산리 176-3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27000</v>
      </c>
      <c r="G800" s="4" t="n">
        <v>494</v>
      </c>
      <c r="H800" s="4" t="n">
        <v>149</v>
      </c>
      <c r="I800" s="5" t="n">
        <v>181.2</v>
      </c>
      <c r="J800" s="5" t="n">
        <v>43.4</v>
      </c>
      <c r="K800" s="3" t="inlineStr">
        <is>
          <t>nan</t>
        </is>
      </c>
      <c r="L800" s="6">
        <f>HYPERLINK("https://fin.land.naver.com/articles/2651704286", "매물Link")</f>
        <v/>
      </c>
      <c r="M800" s="6">
        <f>HYPERLINK("https://map.naver.com/p/search/부강면 갈산리 176-3", "지도Link")</f>
        <v/>
      </c>
      <c r="N800" s="6">
        <f>HYPERLINK("http://www.eum.go.kr/web/ar/lu/luLandDet.jsp?pnu=3611033024101760003&amp;isNoScr=script&amp;mode=search", "토지이음")</f>
        <v/>
      </c>
      <c r="O800" s="3" t="inlineStr">
        <is>
          <t>장원</t>
        </is>
      </c>
      <c r="P800" s="4" t="n">
        <v>1</v>
      </c>
      <c r="Q800" s="4" t="n">
        <v>494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부강면 갈산리 212-1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35000</v>
      </c>
      <c r="G801" s="4" t="n">
        <v>654</v>
      </c>
      <c r="H801" s="4" t="n">
        <v>198</v>
      </c>
      <c r="I801" s="5" t="n">
        <v>176.8</v>
      </c>
      <c r="J801" s="5" t="n">
        <v>40.6</v>
      </c>
      <c r="K801" s="3" t="inlineStr">
        <is>
          <t>수도,전기  시설물 하우스 전원주택지로 최상입니다.</t>
        </is>
      </c>
      <c r="L801" s="6">
        <f>HYPERLINK("https://fin.land.naver.com/articles/2652967855", "매물Link")</f>
        <v/>
      </c>
      <c r="M801" s="6">
        <f>HYPERLINK("https://map.naver.com/p/search/부강면 갈산리 212-1", "지도Link")</f>
        <v/>
      </c>
      <c r="N801" s="6">
        <f>HYPERLINK("http://www.eum.go.kr/web/ar/lu/luLandDet.jsp?pnu=3611033024102120001&amp;isNoScr=script&amp;mode=search", "토지이음")</f>
        <v/>
      </c>
      <c r="O801" s="3" t="inlineStr">
        <is>
          <t>강남뜰</t>
        </is>
      </c>
      <c r="P801" s="4" t="n">
        <v>1</v>
      </c>
      <c r="Q801" s="4" t="n">
        <v>654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세로각지(가)</t>
        </is>
      </c>
    </row>
    <row r="802">
      <c r="A802" s="3" t="inlineStr">
        <is>
          <t>부강면 갈산리 240-1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임야</t>
        </is>
      </c>
      <c r="E802" s="3" t="inlineStr">
        <is>
          <t>매매</t>
        </is>
      </c>
      <c r="F802" s="4" t="n">
        <v>1900000</v>
      </c>
      <c r="G802" s="4" t="n">
        <v>81653</v>
      </c>
      <c r="H802" s="4" t="n">
        <v>24700</v>
      </c>
      <c r="I802" s="5" t="n">
        <v>76.90000000000001</v>
      </c>
      <c r="J802" s="5" t="n">
        <v>51</v>
      </c>
      <c r="K802" s="3" t="inlineStr">
        <is>
          <t>갈산리 복합물류단지 인접</t>
        </is>
      </c>
      <c r="L802" s="6">
        <f>HYPERLINK("https://fin.land.naver.com/articles/2653531918", "매물Link")</f>
        <v/>
      </c>
      <c r="M802" s="6">
        <f>HYPERLINK("https://map.naver.com/p/search/부강면 갈산리 240-1", "지도Link")</f>
        <v/>
      </c>
      <c r="N802" s="6">
        <f>HYPERLINK("http://www.eum.go.kr/web/ar/lu/luLandDet.jsp?pnu=3611033024102400001&amp;isNoScr=script&amp;mode=search", "토지이음")</f>
        <v/>
      </c>
      <c r="O802" s="3" t="inlineStr">
        <is>
          <t>황제</t>
        </is>
      </c>
      <c r="P802" s="4" t="n">
        <v>1</v>
      </c>
      <c r="Q802" s="4" t="n">
        <v>398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중로한면</t>
        </is>
      </c>
    </row>
    <row r="803">
      <c r="A803" s="3" t="inlineStr">
        <is>
          <t>부강면 갈산리 260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57000</v>
      </c>
      <c r="G803" s="4" t="n">
        <v>1190</v>
      </c>
      <c r="H803" s="4" t="n">
        <v>360</v>
      </c>
      <c r="I803" s="5" t="n">
        <v>158.3</v>
      </c>
      <c r="J803" s="5" t="n">
        <v>32.6</v>
      </c>
      <c r="K803" s="3" t="inlineStr">
        <is>
          <t>청주 및 남청주ic에서 세종 진입하는 도로에 접한 광고성 좋은 토지</t>
        </is>
      </c>
      <c r="L803" s="6">
        <f>HYPERLINK("https://fin.land.naver.com/articles/2652067827", "매물Link")</f>
        <v/>
      </c>
      <c r="M803" s="6">
        <f>HYPERLINK("https://map.naver.com/p/search/부강면 갈산리 260", "지도Link")</f>
        <v/>
      </c>
      <c r="N803" s="6">
        <f>HYPERLINK("http://www.eum.go.kr/web/ar/lu/luLandDet.jsp?pnu=3611033024102600000&amp;isNoScr=script&amp;mode=search", "토지이음")</f>
        <v/>
      </c>
      <c r="O803" s="3" t="inlineStr">
        <is>
          <t>연동스카이</t>
        </is>
      </c>
      <c r="P803" s="4" t="n">
        <v>2</v>
      </c>
      <c r="Q803" s="4" t="n">
        <v>1190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부강면 갈산리 395</t>
        </is>
      </c>
      <c r="B804" s="3" t="inlineStr">
        <is>
          <t>계획관리지역</t>
        </is>
      </c>
      <c r="C804" s="3" t="inlineStr">
        <is>
          <t>공장용지</t>
        </is>
      </c>
      <c r="D804" s="3" t="inlineStr">
        <is>
          <t>공장용지</t>
        </is>
      </c>
      <c r="E804" s="3" t="inlineStr">
        <is>
          <t>매매</t>
        </is>
      </c>
      <c r="F804" s="4" t="n">
        <v>630000</v>
      </c>
      <c r="G804" s="4" t="n">
        <v>13872</v>
      </c>
      <c r="H804" s="4" t="n">
        <v>4196</v>
      </c>
      <c r="I804" s="5" t="n">
        <v>150.1</v>
      </c>
      <c r="J804" s="5" t="n">
        <v>79.40000000000001</v>
      </c>
      <c r="K804" s="3" t="inlineStr">
        <is>
          <t>남청주 ic 5분, 2차선에서 진입가능한 공장부지</t>
        </is>
      </c>
      <c r="L804" s="6">
        <f>HYPERLINK("https://fin.land.naver.com/articles/2649865459", "매물Link")</f>
        <v/>
      </c>
      <c r="M804" s="6">
        <f>HYPERLINK("https://map.naver.com/p/search/부강면 갈산리 395", "지도Link")</f>
        <v/>
      </c>
      <c r="N804" s="6">
        <f>HYPERLINK("http://www.eum.go.kr/web/ar/lu/luLandDet.jsp?pnu=3611033024103950000&amp;isNoScr=script&amp;mode=search", "토지이음")</f>
        <v/>
      </c>
      <c r="O804" s="3" t="inlineStr">
        <is>
          <t>토담</t>
        </is>
      </c>
      <c r="P804" s="4" t="n">
        <v>1</v>
      </c>
      <c r="Q804" s="4" t="n">
        <v>1283</v>
      </c>
      <c r="R804" s="3" t="inlineStr">
        <is>
          <t>지정되지않음</t>
        </is>
      </c>
      <c r="S804" s="3" t="inlineStr">
        <is>
          <t>공업용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갈산리 395</t>
        </is>
      </c>
      <c r="B805" s="3" t="inlineStr">
        <is>
          <t>계획관리지역</t>
        </is>
      </c>
      <c r="C805" s="3" t="inlineStr">
        <is>
          <t>공장용지</t>
        </is>
      </c>
      <c r="D805" s="3" t="inlineStr">
        <is>
          <t>공장용지</t>
        </is>
      </c>
      <c r="E805" s="3" t="inlineStr">
        <is>
          <t>매매</t>
        </is>
      </c>
      <c r="F805" s="4" t="n">
        <v>630000</v>
      </c>
      <c r="G805" s="4" t="n">
        <v>13872</v>
      </c>
      <c r="H805" s="4" t="n">
        <v>4196</v>
      </c>
      <c r="I805" s="5" t="n">
        <v>150.1</v>
      </c>
      <c r="J805" s="5" t="n">
        <v>79.40000000000001</v>
      </c>
      <c r="K805" s="3" t="inlineStr">
        <is>
          <t>4200 남청주ic 5분 공장용지 물류센터 창고</t>
        </is>
      </c>
      <c r="L805" s="6">
        <f>HYPERLINK("https://fin.land.naver.com/articles/2650949462", "매물Link")</f>
        <v/>
      </c>
      <c r="M805" s="6">
        <f>HYPERLINK("https://map.naver.com/p/search/부강면 갈산리 395", "지도Link")</f>
        <v/>
      </c>
      <c r="N805" s="6">
        <f>HYPERLINK("http://www.eum.go.kr/web/ar/lu/luLandDet.jsp?pnu=3611033024103950000&amp;isNoScr=script&amp;mode=search", "토지이음")</f>
        <v/>
      </c>
      <c r="O805" s="3" t="inlineStr">
        <is>
          <t>반포더드림</t>
        </is>
      </c>
      <c r="P805" s="4" t="n">
        <v>1</v>
      </c>
      <c r="Q805" s="4" t="n">
        <v>1283</v>
      </c>
      <c r="R805" s="3" t="inlineStr">
        <is>
          <t>지정되지않음</t>
        </is>
      </c>
      <c r="S805" s="3" t="inlineStr">
        <is>
          <t>공업용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갈산리 398-4</t>
        </is>
      </c>
      <c r="B806" s="3" t="inlineStr">
        <is>
          <t>계획관리지역</t>
        </is>
      </c>
      <c r="C806" s="3" t="inlineStr">
        <is>
          <t>공장용지</t>
        </is>
      </c>
      <c r="D806" s="3" t="inlineStr">
        <is>
          <t>공장용지</t>
        </is>
      </c>
      <c r="E806" s="3" t="inlineStr">
        <is>
          <t>매매</t>
        </is>
      </c>
      <c r="F806" s="4" t="n">
        <v>630000</v>
      </c>
      <c r="G806" s="4" t="n">
        <v>13872</v>
      </c>
      <c r="H806" s="4" t="n">
        <v>4196</v>
      </c>
      <c r="I806" s="5" t="n">
        <v>150.1</v>
      </c>
      <c r="J806" s="5" t="n">
        <v>80.3</v>
      </c>
      <c r="K806" s="3" t="inlineStr">
        <is>
          <t>갈산리 교차로에 인접하여 교통여건이 편리함</t>
        </is>
      </c>
      <c r="L806" s="6">
        <f>HYPERLINK("https://fin.land.naver.com/articles/2653353120", "매물Link")</f>
        <v/>
      </c>
      <c r="M806" s="6">
        <f>HYPERLINK("https://map.naver.com/p/search/부강면 갈산리 398-4", "지도Link")</f>
        <v/>
      </c>
      <c r="N806" s="6">
        <f>HYPERLINK("http://www.eum.go.kr/web/ar/lu/luLandDet.jsp?pnu=3611033024103980004&amp;isNoScr=script&amp;mode=search", "토지이음")</f>
        <v/>
      </c>
      <c r="O806" s="3" t="inlineStr">
        <is>
          <t>황제</t>
        </is>
      </c>
      <c r="P806" s="4" t="n">
        <v>1</v>
      </c>
      <c r="Q806" s="4" t="n">
        <v>7677</v>
      </c>
      <c r="R806" s="3" t="inlineStr">
        <is>
          <t>지정되지않음</t>
        </is>
      </c>
      <c r="S806" s="3" t="inlineStr">
        <is>
          <t>공업용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소로한면</t>
        </is>
      </c>
    </row>
    <row r="807">
      <c r="A807" s="3" t="inlineStr">
        <is>
          <t>부강면 갈산리 398-4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630000</v>
      </c>
      <c r="G807" s="4" t="n">
        <v>13896</v>
      </c>
      <c r="H807" s="4" t="n">
        <v>4204</v>
      </c>
      <c r="I807" s="5" t="n">
        <v>149.9</v>
      </c>
      <c r="J807" s="5" t="n">
        <v>80.3</v>
      </c>
      <c r="K807" s="3" t="inlineStr">
        <is>
          <t>nan</t>
        </is>
      </c>
      <c r="L807" s="6">
        <f>HYPERLINK("https://fin.land.naver.com/articles/2652010967", "매물Link")</f>
        <v/>
      </c>
      <c r="M807" s="6">
        <f>HYPERLINK("https://map.naver.com/p/search/부강면 갈산리 398-4", "지도Link")</f>
        <v/>
      </c>
      <c r="N807" s="6">
        <f>HYPERLINK("http://www.eum.go.kr/web/ar/lu/luLandDet.jsp?pnu=3611033024103980004&amp;isNoScr=script&amp;mode=search", "토지이음")</f>
        <v/>
      </c>
      <c r="O807" s="3" t="inlineStr">
        <is>
          <t>오너스</t>
        </is>
      </c>
      <c r="P807" s="4" t="n">
        <v>1</v>
      </c>
      <c r="Q807" s="4" t="n">
        <v>7677</v>
      </c>
      <c r="R807" s="3" t="inlineStr">
        <is>
          <t>지정되지않음</t>
        </is>
      </c>
      <c r="S807" s="3" t="inlineStr">
        <is>
          <t>공업용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부강면 갈산리 66-6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59500</v>
      </c>
      <c r="G808" s="4" t="n">
        <v>1964</v>
      </c>
      <c r="H808" s="4" t="n">
        <v>594</v>
      </c>
      <c r="I808" s="5" t="n">
        <v>100.2</v>
      </c>
      <c r="J808" s="5" t="n">
        <v>43.6</v>
      </c>
      <c r="K808" s="3" t="inlineStr">
        <is>
          <t>급매,투자추천,도로접,계획관리.</t>
        </is>
      </c>
      <c r="L808" s="6">
        <f>HYPERLINK("https://fin.land.naver.com/articles/2650666463", "매물Link")</f>
        <v/>
      </c>
      <c r="M808" s="6">
        <f>HYPERLINK("https://map.naver.com/p/search/부강면 갈산리 66-6", "지도Link")</f>
        <v/>
      </c>
      <c r="N808" s="6">
        <f>HYPERLINK("http://www.eum.go.kr/web/ar/lu/luLandDet.jsp?pnu=3611033024100660006&amp;isNoScr=script&amp;mode=search", "토지이음")</f>
        <v/>
      </c>
      <c r="O808" s="3" t="inlineStr">
        <is>
          <t>수루배공간</t>
        </is>
      </c>
      <c r="P808" s="4" t="n">
        <v>1</v>
      </c>
      <c r="Q808" s="4" t="n">
        <v>1964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세로각지(가)</t>
        </is>
      </c>
    </row>
    <row r="809">
      <c r="A809" s="3" t="inlineStr">
        <is>
          <t>부강면 갈산리 산51-12</t>
        </is>
      </c>
      <c r="B809" s="3" t="inlineStr">
        <is>
          <t>계획관리지역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32000</v>
      </c>
      <c r="G809" s="4" t="n">
        <v>833</v>
      </c>
      <c r="H809" s="4" t="n">
        <v>252</v>
      </c>
      <c r="I809" s="5" t="n">
        <v>127</v>
      </c>
      <c r="J809" s="5" t="n">
        <v>11</v>
      </c>
      <c r="K809" s="3" t="inlineStr">
        <is>
          <t>소규모 공장이나 창고, 주차장 추천</t>
        </is>
      </c>
      <c r="L809" s="6">
        <f>HYPERLINK("https://fin.land.naver.com/articles/2652093328", "매물Link")</f>
        <v/>
      </c>
      <c r="M809" s="6">
        <f>HYPERLINK("https://map.naver.com/p/search/부강면 갈산리 산51-12", "지도Link")</f>
        <v/>
      </c>
      <c r="N809" s="6">
        <f>HYPERLINK("http://www.eum.go.kr/web/ar/lu/luLandDet.jsp?pnu=3611033024200510012&amp;isNoScr=script&amp;mode=search",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832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중로한면</t>
        </is>
      </c>
    </row>
    <row r="810">
      <c r="A810" s="3" t="inlineStr">
        <is>
          <t>부강면 금호리 100-5</t>
        </is>
      </c>
      <c r="B810" s="3" t="inlineStr">
        <is>
          <t>생산관리지역</t>
        </is>
      </c>
      <c r="C810" s="3" t="inlineStr">
        <is>
          <t>전</t>
        </is>
      </c>
      <c r="D810" s="3" t="inlineStr">
        <is>
          <t>대</t>
        </is>
      </c>
      <c r="E810" s="3" t="inlineStr">
        <is>
          <t>매매</t>
        </is>
      </c>
      <c r="F810" s="4" t="n">
        <v>380000</v>
      </c>
      <c r="G810" s="4" t="n">
        <v>13605</v>
      </c>
      <c r="H810" s="4" t="n">
        <v>4116</v>
      </c>
      <c r="I810" s="5" t="n">
        <v>92.3</v>
      </c>
      <c r="J810" s="5" t="n">
        <v>40.7</v>
      </c>
      <c r="K810" s="3" t="inlineStr">
        <is>
          <t>nan</t>
        </is>
      </c>
      <c r="L810" s="6">
        <f>HYPERLINK("https://fin.land.naver.com/articles/2651714892", "매물Link")</f>
        <v/>
      </c>
      <c r="M810" s="6">
        <f>HYPERLINK("https://map.naver.com/p/search/부강면 금호리 100-5", "지도Link")</f>
        <v/>
      </c>
      <c r="N810" s="6">
        <f>HYPERLINK("http://www.eum.go.kr/web/ar/lu/luLandDet.jsp?pnu=3611033028101000005&amp;isNoScr=script&amp;mode=search", "토지이음")</f>
        <v/>
      </c>
      <c r="O810" s="3" t="inlineStr">
        <is>
          <t>이레</t>
        </is>
      </c>
      <c r="P810" s="4" t="n">
        <v>1</v>
      </c>
      <c r="Q810" s="4" t="n">
        <v>81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부강면 금호리 108</t>
        </is>
      </c>
      <c r="B811" s="3" t="inlineStr">
        <is>
          <t>생산관리지역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70000</v>
      </c>
      <c r="G811" s="4" t="n">
        <v>1772</v>
      </c>
      <c r="H811" s="4" t="n">
        <v>536</v>
      </c>
      <c r="I811" s="5" t="n">
        <v>130.6</v>
      </c>
      <c r="J811" s="5" t="n">
        <v>29.3</v>
      </c>
      <c r="K811" s="3" t="inlineStr">
        <is>
          <t>금강 뷰 전망 최고 둘레길 주변 전원주택 조성중</t>
        </is>
      </c>
      <c r="L811" s="6">
        <f>HYPERLINK("https://fin.land.naver.com/articles/2654742646", "매물Link")</f>
        <v/>
      </c>
      <c r="M811" s="6">
        <f>HYPERLINK("https://map.naver.com/p/search/부강면 금호리 108", "지도Link")</f>
        <v/>
      </c>
      <c r="N811" s="6">
        <f>HYPERLINK("http://www.eum.go.kr/web/ar/lu/luLandDet.jsp?pnu=3611033028101080000&amp;isNoScr=script&amp;mode=search", "토지이음")</f>
        <v/>
      </c>
      <c r="O811" s="3" t="inlineStr">
        <is>
          <t>광장(프라자)</t>
        </is>
      </c>
      <c r="P811" s="4" t="n">
        <v>1</v>
      </c>
      <c r="Q811" s="4" t="n">
        <v>1772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맹지</t>
        </is>
      </c>
    </row>
    <row r="812">
      <c r="A812" s="3" t="inlineStr">
        <is>
          <t>부강면 금호리 110</t>
        </is>
      </c>
      <c r="B812" s="3" t="inlineStr">
        <is>
          <t>생산관리지역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22000</v>
      </c>
      <c r="G812" s="4" t="n">
        <v>307</v>
      </c>
      <c r="H812" s="4" t="n">
        <v>93</v>
      </c>
      <c r="I812" s="5" t="n">
        <v>236.6</v>
      </c>
      <c r="J812" s="5" t="n">
        <v>29.5</v>
      </c>
      <c r="K812" s="3" t="inlineStr">
        <is>
          <t>주변토지 전원주택지 조성중 대도로 금강 인접함</t>
        </is>
      </c>
      <c r="L812" s="6">
        <f>HYPERLINK("https://fin.land.naver.com/articles/2651904858", "매물Link")</f>
        <v/>
      </c>
      <c r="M812" s="6">
        <f>HYPERLINK("https://map.naver.com/p/search/부강면 금호리 110", "지도Link")</f>
        <v/>
      </c>
      <c r="N812" s="6">
        <f>HYPERLINK("http://www.eum.go.kr/web/ar/lu/luLandDet.jsp?pnu=3611033028101100000&amp;isNoScr=script&amp;mode=search", "토지이음")</f>
        <v/>
      </c>
      <c r="O812" s="3" t="inlineStr">
        <is>
          <t>광장(프라자)</t>
        </is>
      </c>
      <c r="P812" s="4" t="n">
        <v>1</v>
      </c>
      <c r="Q812" s="4" t="n">
        <v>307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부강면 금호리 155-6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250000</v>
      </c>
      <c r="G813" s="4" t="n">
        <v>4257</v>
      </c>
      <c r="H813" s="4" t="n">
        <v>1288</v>
      </c>
      <c r="I813" s="5" t="n">
        <v>194.1</v>
      </c>
      <c r="J813" s="5" t="n">
        <v>42.9</v>
      </c>
      <c r="K813" s="3" t="inlineStr">
        <is>
          <t>근생허가받은 토지. 북대전ic~ 부강 4차선 도로 예정
급매</t>
        </is>
      </c>
      <c r="L813" s="6">
        <f>HYPERLINK("https://fin.land.naver.com/articles/2651714945", "매물Link")</f>
        <v/>
      </c>
      <c r="M813" s="6">
        <f>HYPERLINK("https://map.naver.com/p/search/부강면 금호리 155-6", "지도Link")</f>
        <v/>
      </c>
      <c r="N813" s="6">
        <f>HYPERLINK("http://www.eum.go.kr/web/ar/lu/luLandDet.jsp?pnu=3611033028101550006&amp;isNoScr=script&amp;mode=search", "토지이음")</f>
        <v/>
      </c>
      <c r="O813" s="3" t="inlineStr">
        <is>
          <t>이레</t>
        </is>
      </c>
      <c r="P813" s="4" t="n">
        <v>1</v>
      </c>
      <c r="Q813" s="4" t="n">
        <v>874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부강면 금호리 157-4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120000</v>
      </c>
      <c r="G814" s="4" t="n">
        <v>2060</v>
      </c>
      <c r="H814" s="4" t="n">
        <v>623</v>
      </c>
      <c r="I814" s="5" t="n">
        <v>192.6</v>
      </c>
      <c r="J814" s="5" t="n">
        <v>42.9</v>
      </c>
      <c r="K814" s="3" t="inlineStr">
        <is>
          <t>근생허가 받은 계획관리 토지.  뷱대전 ic 4차선 연결 도로 인근</t>
        </is>
      </c>
      <c r="L814" s="6">
        <f>HYPERLINK("https://fin.land.naver.com/articles/2651714913", "매물Link")</f>
        <v/>
      </c>
      <c r="M814" s="6">
        <f>HYPERLINK("https://map.naver.com/p/search/부강면 금호리 157-4", "지도Link")</f>
        <v/>
      </c>
      <c r="N814" s="6">
        <f>HYPERLINK("http://www.eum.go.kr/web/ar/lu/luLandDet.jsp?pnu=3611033028101570004&amp;isNoScr=script&amp;mode=search", "토지이음")</f>
        <v/>
      </c>
      <c r="O814" s="3" t="inlineStr">
        <is>
          <t>이레</t>
        </is>
      </c>
      <c r="P814" s="4" t="n">
        <v>1</v>
      </c>
      <c r="Q814" s="4" t="n">
        <v>1723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맹지</t>
        </is>
      </c>
    </row>
    <row r="815">
      <c r="A815" s="3" t="inlineStr">
        <is>
          <t>부강면 금호리 165-1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55000</v>
      </c>
      <c r="G815" s="4" t="n">
        <v>1038</v>
      </c>
      <c r="H815" s="4" t="n">
        <v>314</v>
      </c>
      <c r="I815" s="5" t="n">
        <v>175.2</v>
      </c>
      <c r="J815" s="5" t="n">
        <v>78.7</v>
      </c>
      <c r="K815" s="3" t="inlineStr">
        <is>
          <t>급매, 단독주택 포함 매매, 총 314p</t>
        </is>
      </c>
      <c r="L815" s="6">
        <f>HYPERLINK("https://fin.land.naver.com/articles/2651773765", "매물Link")</f>
        <v/>
      </c>
      <c r="M815" s="6">
        <f>HYPERLINK("https://map.naver.com/p/search/부강면 금호리 165-1", "지도Link")</f>
        <v/>
      </c>
      <c r="N815" s="6">
        <f>HYPERLINK("http://www.eum.go.kr/web/ar/lu/luLandDet.jsp?pnu=3611033028101650001&amp;isNoScr=script&amp;mode=search", "토지이음")</f>
        <v/>
      </c>
      <c r="O815" s="3" t="inlineStr">
        <is>
          <t>세종무지개</t>
        </is>
      </c>
      <c r="P815" s="4" t="n">
        <v>1</v>
      </c>
      <c r="Q815" s="4" t="n">
        <v>359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부강면 금호리 167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31500</v>
      </c>
      <c r="G816" s="4" t="n">
        <v>694</v>
      </c>
      <c r="H816" s="4" t="n">
        <v>210</v>
      </c>
      <c r="I816" s="5" t="n">
        <v>150</v>
      </c>
      <c r="J816" s="5" t="n">
        <v>44.2</v>
      </c>
      <c r="K816" s="3" t="inlineStr">
        <is>
          <t>추천,   양쪽으로 차량통행 가능한 도로 접한 토지</t>
        </is>
      </c>
      <c r="L816" s="6">
        <f>HYPERLINK("https://fin.land.naver.com/articles/2653939476", "매물Link")</f>
        <v/>
      </c>
      <c r="M816" s="6">
        <f>HYPERLINK("https://map.naver.com/p/search/부강면 금호리 167", "지도Link")</f>
        <v/>
      </c>
      <c r="N816" s="6">
        <f>HYPERLINK("http://www.eum.go.kr/web/ar/lu/luLandDet.jsp?pnu=3611033028101670000&amp;isNoScr=script&amp;mode=search", "토지이음")</f>
        <v/>
      </c>
      <c r="O816" s="3" t="inlineStr">
        <is>
          <t>세종땅사랑</t>
        </is>
      </c>
      <c r="P816" s="4" t="n">
        <v>1</v>
      </c>
      <c r="Q816" s="4" t="n">
        <v>463</v>
      </c>
      <c r="R816" s="3" t="inlineStr">
        <is>
          <t>지정되지않음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부강면 금호리 172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67000</v>
      </c>
      <c r="G817" s="4" t="n">
        <v>797</v>
      </c>
      <c r="H817" s="4" t="n">
        <v>241</v>
      </c>
      <c r="I817" s="5" t="n">
        <v>278</v>
      </c>
      <c r="J817" s="5" t="n">
        <v>78.7</v>
      </c>
      <c r="K817" s="3" t="inlineStr">
        <is>
          <t>금강 뷰가 내려 보이는 조망 최고의 전원주택 부지. 신도심 접근성 용이</t>
        </is>
      </c>
      <c r="L817" s="6">
        <f>HYPERLINK("https://fin.land.naver.com/articles/2652917254", "매물Link")</f>
        <v/>
      </c>
      <c r="M817" s="6">
        <f>HYPERLINK("https://map.naver.com/p/search/부강면 금호리 172", "지도Link")</f>
        <v/>
      </c>
      <c r="N817" s="6">
        <f>HYPERLINK("http://www.eum.go.kr/web/ar/lu/luLandDet.jsp?pnu=3611033028101720000&amp;isNoScr=script&amp;mode=search", "토지이음")</f>
        <v/>
      </c>
      <c r="O817" s="3" t="inlineStr">
        <is>
          <t>신영</t>
        </is>
      </c>
      <c r="P817" s="4" t="n">
        <v>1</v>
      </c>
      <c r="Q817" s="4" t="n">
        <v>797</v>
      </c>
      <c r="R817" s="3" t="inlineStr">
        <is>
          <t>지정되지않음</t>
        </is>
      </c>
      <c r="S817" s="3" t="inlineStr">
        <is>
          <t>주거기타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188-2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150000</v>
      </c>
      <c r="G818" s="4" t="n">
        <v>3368</v>
      </c>
      <c r="H818" s="4" t="n">
        <v>1019</v>
      </c>
      <c r="I818" s="5" t="n">
        <v>147.2</v>
      </c>
      <c r="J818" s="5" t="n">
        <v>38</v>
      </c>
      <c r="K818" s="3" t="inlineStr">
        <is>
          <t>nan</t>
        </is>
      </c>
      <c r="L818" s="6">
        <f>HYPERLINK("https://fin.land.naver.com/articles/2654051627", "매물Link")</f>
        <v/>
      </c>
      <c r="M818" s="6">
        <f>HYPERLINK("https://map.naver.com/p/search/부강면 금호리 188-2", "지도Link")</f>
        <v/>
      </c>
      <c r="N818" s="6">
        <f>HYPERLINK("http://www.eum.go.kr/web/ar/lu/luLandDet.jsp?pnu=3611033028101880002&amp;isNoScr=script&amp;mode=search", "토지이음")</f>
        <v/>
      </c>
      <c r="O818" s="3" t="inlineStr">
        <is>
          <t>대박</t>
        </is>
      </c>
      <c r="P818" s="4" t="n">
        <v>1</v>
      </c>
      <c r="Q818" s="4" t="n">
        <v>1821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부강면 금호리 207-3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82000</v>
      </c>
      <c r="G819" s="4" t="n">
        <v>2707</v>
      </c>
      <c r="H819" s="4" t="n">
        <v>819</v>
      </c>
      <c r="I819" s="5" t="n">
        <v>100.1</v>
      </c>
      <c r="J819" s="5" t="n">
        <v>42.9</v>
      </c>
      <c r="K819" s="3" t="inlineStr">
        <is>
          <t>계획관리 답. 4미터 도로 접. 부강일반산단 옆</t>
        </is>
      </c>
      <c r="L819" s="6">
        <f>HYPERLINK("https://fin.land.naver.com/articles/2654261924", "매물Link")</f>
        <v/>
      </c>
      <c r="M819" s="6">
        <f>HYPERLINK("https://map.naver.com/p/search/부강면 금호리 207-3", "지도Link")</f>
        <v/>
      </c>
      <c r="N819" s="6">
        <f>HYPERLINK("http://www.eum.go.kr/web/ar/lu/luLandDet.jsp?pnu=3611033028102070003&amp;isNoScr=script&amp;mode=search", "토지이음")</f>
        <v/>
      </c>
      <c r="O819" s="3" t="inlineStr">
        <is>
          <t>미스터홈즈강남지사</t>
        </is>
      </c>
      <c r="P819" s="4" t="n">
        <v>2</v>
      </c>
      <c r="Q819" s="4" t="n">
        <v>2707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234-5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109000</v>
      </c>
      <c r="G820" s="4" t="n">
        <v>939</v>
      </c>
      <c r="H820" s="4" t="n">
        <v>284</v>
      </c>
      <c r="I820" s="5" t="n">
        <v>383.8</v>
      </c>
      <c r="J820" s="5" t="n">
        <v>89.90000000000001</v>
      </c>
      <c r="K820" s="3" t="inlineStr">
        <is>
          <t>인테리어 걱정 없는 완벽한 카페 건물 및 조경 포함</t>
        </is>
      </c>
      <c r="L820" s="6">
        <f>HYPERLINK("https://fin.land.naver.com/articles/2650931748", "매물Link")</f>
        <v/>
      </c>
      <c r="M820" s="6">
        <f>HYPERLINK("https://map.naver.com/p/search/부강면 금호리 234-5", "지도Link")</f>
        <v/>
      </c>
      <c r="N820" s="6">
        <f>HYPERLINK("http://www.eum.go.kr/web/ar/lu/luLandDet.jsp?pnu=3611033028102340005&amp;isNoScr=script&amp;mode=search", "토지이음")</f>
        <v/>
      </c>
      <c r="O820" s="3" t="inlineStr">
        <is>
          <t>하임</t>
        </is>
      </c>
      <c r="P820" s="4" t="n">
        <v>1</v>
      </c>
      <c r="Q820" s="4" t="n">
        <v>939</v>
      </c>
      <c r="R820" s="3" t="inlineStr">
        <is>
          <t>지정되지않음</t>
        </is>
      </c>
      <c r="S820" s="3" t="inlineStr">
        <is>
          <t>주거기타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240-10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82500</v>
      </c>
      <c r="G821" s="4" t="n">
        <v>819</v>
      </c>
      <c r="H821" s="4" t="n">
        <v>248</v>
      </c>
      <c r="I821" s="5" t="n">
        <v>332.7</v>
      </c>
      <c r="J821" s="5" t="n">
        <v>59.7</v>
      </c>
      <c r="K821" s="3" t="inlineStr">
        <is>
          <t>계획관리지역. 성장관리계획구역. 기존산업단지와 연결되는 인접 토지 매매</t>
        </is>
      </c>
      <c r="L821" s="6">
        <f>HYPERLINK("https://fin.land.naver.com/articles/2654068216", "매물Link")</f>
        <v/>
      </c>
      <c r="M821" s="6">
        <f>HYPERLINK("https://map.naver.com/p/search/부강면 금호리 240-10", "지도Link")</f>
        <v/>
      </c>
      <c r="N821" s="6">
        <f>HYPERLINK("http://www.eum.go.kr/web/ar/lu/luLandDet.jsp?pnu=3611033028102400010&amp;isNoScr=script&amp;mode=search", "토지이음")</f>
        <v/>
      </c>
      <c r="O821" s="3" t="inlineStr">
        <is>
          <t>진행</t>
        </is>
      </c>
      <c r="P821" s="4" t="n">
        <v>1</v>
      </c>
      <c r="Q821" s="4" t="n">
        <v>819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30-2</t>
        </is>
      </c>
      <c r="B822" s="3" t="inlineStr">
        <is>
          <t>계획관리지역</t>
        </is>
      </c>
      <c r="C822" s="3" t="inlineStr">
        <is>
          <t>공장용지</t>
        </is>
      </c>
      <c r="D822" s="3" t="inlineStr">
        <is>
          <t>공장용지</t>
        </is>
      </c>
      <c r="E822" s="3" t="inlineStr">
        <is>
          <t>매매</t>
        </is>
      </c>
      <c r="F822" s="4" t="n">
        <v>210000</v>
      </c>
      <c r="G822" s="4" t="n">
        <v>4328</v>
      </c>
      <c r="H822" s="4" t="n">
        <v>1309</v>
      </c>
      <c r="I822" s="5" t="n">
        <v>160.4</v>
      </c>
      <c r="J822" s="5" t="n">
        <v>80.7</v>
      </c>
      <c r="K822" s="3" t="inlineStr">
        <is>
          <t>공장용지로 지리적위치 접근성이좋고 산업폐기물 인.허가 득하여 투자성이좋음</t>
        </is>
      </c>
      <c r="L822" s="6">
        <f>HYPERLINK("https://fin.land.naver.com/articles/2650435382", "매물Link")</f>
        <v/>
      </c>
      <c r="M822" s="6">
        <f>HYPERLINK("https://map.naver.com/p/search/부강면 금호리 30-2", "지도Link")</f>
        <v/>
      </c>
      <c r="N822" s="6">
        <f>HYPERLINK("http://www.eum.go.kr/web/ar/lu/luLandDet.jsp?pnu=3611033028100300002&amp;isNoScr=script&amp;mode=search", "토지이음")</f>
        <v/>
      </c>
      <c r="O822" s="3" t="inlineStr">
        <is>
          <t>오투그린1</t>
        </is>
      </c>
      <c r="P822" s="4" t="n">
        <v>1</v>
      </c>
      <c r="Q822" s="4" t="n">
        <v>4328</v>
      </c>
      <c r="R822" s="3" t="inlineStr">
        <is>
          <t>지정되지않음</t>
        </is>
      </c>
      <c r="S822" s="3" t="inlineStr">
        <is>
          <t>공업기타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금호리 353-2</t>
        </is>
      </c>
      <c r="B823" s="3" t="inlineStr">
        <is>
          <t>보전관리지역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26800</v>
      </c>
      <c r="G823" s="4" t="n">
        <v>1362</v>
      </c>
      <c r="H823" s="4" t="n">
        <v>412</v>
      </c>
      <c r="I823" s="5" t="n">
        <v>65</v>
      </c>
      <c r="J823" s="5" t="n">
        <v>5.3</v>
      </c>
      <c r="K823" s="3" t="inlineStr">
        <is>
          <t>세종시5분 금강변의 햇볕 잘 드는 토지</t>
        </is>
      </c>
      <c r="L823" s="6">
        <f>HYPERLINK("https://fin.land.naver.com/articles/2653852269", "매물Link")</f>
        <v/>
      </c>
      <c r="M823" s="6">
        <f>HYPERLINK("https://map.naver.com/p/search/부강면 금호리 353-2", "지도Link")</f>
        <v/>
      </c>
      <c r="N823" s="6">
        <f>HYPERLINK("http://www.eum.go.kr/web/ar/lu/luLandDet.jsp?pnu=3611033028103530002&amp;isNoScr=script&amp;mode=search", "토지이음")</f>
        <v/>
      </c>
      <c r="O823" s="3" t="inlineStr">
        <is>
          <t>천억사사무소</t>
        </is>
      </c>
      <c r="P823" s="4" t="n">
        <v>1</v>
      </c>
      <c r="Q823" s="4" t="n">
        <v>1806</v>
      </c>
      <c r="R823" s="3" t="inlineStr">
        <is>
          <t>지정되지않음</t>
        </is>
      </c>
      <c r="S823" s="3" t="inlineStr">
        <is>
          <t>자연림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맹지</t>
        </is>
      </c>
    </row>
    <row r="824">
      <c r="A824" s="3" t="inlineStr">
        <is>
          <t>부강면 금호리 358-4</t>
        </is>
      </c>
      <c r="B824" s="3" t="inlineStr">
        <is>
          <t>보전관리지역</t>
        </is>
      </c>
      <c r="C824" s="3" t="inlineStr">
        <is>
          <t>임야</t>
        </is>
      </c>
      <c r="D824" s="3" t="inlineStr">
        <is>
          <t>임야</t>
        </is>
      </c>
      <c r="E824" s="3" t="inlineStr">
        <is>
          <t>매매</t>
        </is>
      </c>
      <c r="F824" s="4" t="n">
        <v>25000</v>
      </c>
      <c r="G824" s="4" t="n">
        <v>1263</v>
      </c>
      <c r="H824" s="4" t="n">
        <v>382</v>
      </c>
      <c r="I824" s="5" t="n">
        <v>65.40000000000001</v>
      </c>
      <c r="J824" s="5" t="n">
        <v>5.2</v>
      </c>
      <c r="K824" s="3" t="inlineStr">
        <is>
          <t>즉시 신축 가능 매매 급매물 상.하수도 전기 기반공사 완료돼있고 건축허가</t>
        </is>
      </c>
      <c r="L824" s="6">
        <f>HYPERLINK("https://fin.land.naver.com/articles/2654190350", "매물Link")</f>
        <v/>
      </c>
      <c r="M824" s="6">
        <f>HYPERLINK("https://map.naver.com/p/search/부강면 금호리 358-4", "지도Link")</f>
        <v/>
      </c>
      <c r="N824" s="6">
        <f>HYPERLINK("http://www.eum.go.kr/web/ar/lu/luLandDet.jsp?pnu=3611033028103580004&amp;isNoScr=script&amp;mode=search", "토지이음")</f>
        <v/>
      </c>
      <c r="O824" s="3" t="inlineStr">
        <is>
          <t>세종시삼성래미안</t>
        </is>
      </c>
      <c r="P824" s="4" t="n">
        <v>1</v>
      </c>
      <c r="Q824" s="4" t="n">
        <v>995</v>
      </c>
      <c r="R824" s="3" t="inlineStr">
        <is>
          <t>지정되지않음</t>
        </is>
      </c>
      <c r="S824" s="3" t="inlineStr">
        <is>
          <t>자연림</t>
        </is>
      </c>
      <c r="T824" s="3" t="inlineStr">
        <is>
          <t>완경사</t>
        </is>
      </c>
      <c r="U824" s="3" t="inlineStr">
        <is>
          <t>정방형</t>
        </is>
      </c>
      <c r="V824" s="3" t="inlineStr">
        <is>
          <t>맹지</t>
        </is>
      </c>
    </row>
    <row r="825">
      <c r="A825" s="3" t="inlineStr">
        <is>
          <t>부강면 금호리 377-8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49000</v>
      </c>
      <c r="G825" s="4" t="n">
        <v>648</v>
      </c>
      <c r="H825" s="4" t="n">
        <v>196</v>
      </c>
      <c r="I825" s="5" t="n">
        <v>250</v>
      </c>
      <c r="J825" s="5" t="n">
        <v>79.90000000000001</v>
      </c>
      <c r="K825" s="3" t="inlineStr">
        <is>
          <t>계획관리지역 나대지로 투자가치 양호함.</t>
        </is>
      </c>
      <c r="L825" s="6">
        <f>HYPERLINK("https://fin.land.naver.com/articles/2652853734", "매물Link")</f>
        <v/>
      </c>
      <c r="M825" s="6">
        <f>HYPERLINK("https://map.naver.com/p/search/부강면 금호리 377-8", "지도Link")</f>
        <v/>
      </c>
      <c r="N825" s="6">
        <f>HYPERLINK("http://www.eum.go.kr/web/ar/lu/luLandDet.jsp?pnu=3611033028103770008&amp;isNoScr=script&amp;mode=search", "토지이음")</f>
        <v/>
      </c>
      <c r="O825" s="3" t="inlineStr">
        <is>
          <t>다정현대</t>
        </is>
      </c>
      <c r="P825" s="4" t="n">
        <v>1</v>
      </c>
      <c r="Q825" s="4" t="n">
        <v>390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부강면 금호리 389-1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194000</v>
      </c>
      <c r="G826" s="4" t="n">
        <v>1941</v>
      </c>
      <c r="H826" s="4" t="n">
        <v>587</v>
      </c>
      <c r="I826" s="5" t="n">
        <v>330.5</v>
      </c>
      <c r="J826" s="5" t="n">
        <v>79.90000000000001</v>
      </c>
      <c r="K826" s="3" t="inlineStr">
        <is>
          <t>도로접한 모양좋은 토지, 카페나, 식당, 주택지로도 좋음</t>
        </is>
      </c>
      <c r="L826" s="6">
        <f>HYPERLINK("https://fin.land.naver.com/articles/2652042892", "매물Link")</f>
        <v/>
      </c>
      <c r="M826" s="6">
        <f>HYPERLINK("https://map.naver.com/p/search/부강면 금호리 389-1", "지도Link")</f>
        <v/>
      </c>
      <c r="N826" s="6">
        <f>HYPERLINK("http://www.eum.go.kr/web/ar/lu/luLandDet.jsp?pnu=3611033028103890001&amp;isNoScr=script&amp;mode=search", "토지이음")</f>
        <v/>
      </c>
      <c r="O826" s="3" t="inlineStr">
        <is>
          <t>미스터홈즈강남지사</t>
        </is>
      </c>
      <c r="P826" s="4" t="n">
        <v>1</v>
      </c>
      <c r="Q826" s="4" t="n">
        <v>662</v>
      </c>
      <c r="R826" s="3" t="inlineStr">
        <is>
          <t>지정되지않음</t>
        </is>
      </c>
      <c r="S826" s="3" t="inlineStr">
        <is>
          <t>주거기타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389-10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194000</v>
      </c>
      <c r="G827" s="4" t="n">
        <v>1941</v>
      </c>
      <c r="H827" s="4" t="n">
        <v>587</v>
      </c>
      <c r="I827" s="5" t="n">
        <v>330.5</v>
      </c>
      <c r="J827" s="5" t="n">
        <v>79.09999999999999</v>
      </c>
      <c r="K827" s="3" t="inlineStr">
        <is>
          <t>도로접하고 부강일반사업단지근교, 남i주10분이내,사옥,공장물류창고 적합.</t>
        </is>
      </c>
      <c r="L827" s="6">
        <f>HYPERLINK("https://fin.land.naver.com/articles/2651044965", "매물Link")</f>
        <v/>
      </c>
      <c r="M827" s="6">
        <f>HYPERLINK("https://map.naver.com/p/search/부강면 금호리 389-10", "지도Link")</f>
        <v/>
      </c>
      <c r="N827" s="6">
        <f>HYPERLINK("http://www.eum.go.kr/web/ar/lu/luLandDet.jsp?pnu=3611033028103890010&amp;isNoScr=script&amp;mode=search", "토지이음")</f>
        <v/>
      </c>
      <c r="O827" s="3" t="inlineStr">
        <is>
          <t>원내</t>
        </is>
      </c>
      <c r="P827" s="4" t="n">
        <v>1</v>
      </c>
      <c r="Q827" s="4" t="n">
        <v>656</v>
      </c>
      <c r="R827" s="3" t="inlineStr">
        <is>
          <t>지정되지않음</t>
        </is>
      </c>
      <c r="S827" s="3" t="inlineStr">
        <is>
          <t>주거기타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389-6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55000</v>
      </c>
      <c r="G828" s="4" t="n">
        <v>529</v>
      </c>
      <c r="H828" s="4" t="n">
        <v>160</v>
      </c>
      <c r="I828" s="5" t="n">
        <v>343.8</v>
      </c>
      <c r="J828" s="5" t="n">
        <v>53.4</v>
      </c>
      <c r="K828" s="3" t="inlineStr">
        <is>
          <t>세종 행복도시 43생활권 차로 7분10분대,연접토지동시매매가능</t>
        </is>
      </c>
      <c r="L828" s="6">
        <f>HYPERLINK("https://fin.land.naver.com/articles/2653999798", "매물Link")</f>
        <v/>
      </c>
      <c r="M828" s="6">
        <f>HYPERLINK("https://map.naver.com/p/search/부강면 금호리 389-6", "지도Link")</f>
        <v/>
      </c>
      <c r="N828" s="6">
        <f>HYPERLINK("http://www.eum.go.kr/web/ar/lu/luLandDet.jsp?pnu=3611033028103890006&amp;isNoScr=script&amp;mode=search", "토지이음")</f>
        <v/>
      </c>
      <c r="O828" s="3" t="inlineStr">
        <is>
          <t>구암양지</t>
        </is>
      </c>
      <c r="P828" s="4" t="n">
        <v>1</v>
      </c>
      <c r="Q828" s="4" t="n">
        <v>529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금호리 389-6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112000</v>
      </c>
      <c r="G829" s="4" t="n">
        <v>1058</v>
      </c>
      <c r="H829" s="4" t="n">
        <v>320</v>
      </c>
      <c r="I829" s="5" t="n">
        <v>350</v>
      </c>
      <c r="J829" s="5" t="n">
        <v>53.4</v>
      </c>
      <c r="K829" s="3" t="inlineStr">
        <is>
          <t>정남향 도로접한 계획관리.성장관리지역 알토란 토지,가격조정가능</t>
        </is>
      </c>
      <c r="L829" s="6">
        <f>HYPERLINK("https://fin.land.naver.com/articles/2649493705", "매물Link")</f>
        <v/>
      </c>
      <c r="M829" s="6">
        <f>HYPERLINK("https://map.naver.com/p/search/부강면 금호리 389-6", "지도Link")</f>
        <v/>
      </c>
      <c r="N829" s="6">
        <f>HYPERLINK("http://www.eum.go.kr/web/ar/lu/luLandDet.jsp?pnu=3611033028103890006&amp;isNoScr=script&amp;mode=search", "토지이음")</f>
        <v/>
      </c>
      <c r="O829" s="3" t="inlineStr">
        <is>
          <t>고운맘</t>
        </is>
      </c>
      <c r="P829" s="4" t="n">
        <v>1</v>
      </c>
      <c r="Q829" s="4" t="n">
        <v>529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389-6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160000</v>
      </c>
      <c r="G830" s="4" t="n">
        <v>1058</v>
      </c>
      <c r="H830" s="4" t="n">
        <v>320</v>
      </c>
      <c r="I830" s="5" t="n">
        <v>500</v>
      </c>
      <c r="J830" s="5" t="n">
        <v>53.4</v>
      </c>
      <c r="K830" s="3" t="inlineStr">
        <is>
          <t>현재 전으로 사용중 두필지 전원주택분양 좋음, 사업용사용가능창고,사옥공장</t>
        </is>
      </c>
      <c r="L830" s="6">
        <f>HYPERLINK("https://fin.land.naver.com/articles/2651044105", "매물Link")</f>
        <v/>
      </c>
      <c r="M830" s="6">
        <f>HYPERLINK("https://map.naver.com/p/search/부강면 금호리 389-6", "지도Link")</f>
        <v/>
      </c>
      <c r="N830" s="6">
        <f>HYPERLINK("http://www.eum.go.kr/web/ar/lu/luLandDet.jsp?pnu=3611033028103890006&amp;isNoScr=script&amp;mode=search", "토지이음")</f>
        <v/>
      </c>
      <c r="O830" s="3" t="inlineStr">
        <is>
          <t>원내</t>
        </is>
      </c>
      <c r="P830" s="4" t="n">
        <v>1</v>
      </c>
      <c r="Q830" s="4" t="n">
        <v>529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436</t>
        </is>
      </c>
      <c r="B831" s="3" t="inlineStr">
        <is>
          <t>생산관리지역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118000</v>
      </c>
      <c r="G831" s="4" t="n">
        <v>1957</v>
      </c>
      <c r="H831" s="4" t="n">
        <v>592</v>
      </c>
      <c r="I831" s="5" t="n">
        <v>199.3</v>
      </c>
      <c r="J831" s="5" t="n">
        <v>36</v>
      </c>
      <c r="K831" s="3" t="inlineStr">
        <is>
          <t>도로인접, 부용농공단지인근, 생산관리지역, 답</t>
        </is>
      </c>
      <c r="L831" s="6">
        <f>HYPERLINK("https://fin.land.naver.com/articles/2653055028", "매물Link")</f>
        <v/>
      </c>
      <c r="M831" s="6">
        <f>HYPERLINK("https://map.naver.com/p/search/부강면 금호리 436", "지도Link")</f>
        <v/>
      </c>
      <c r="N831" s="6">
        <f>HYPERLINK("http://www.eum.go.kr/web/ar/lu/luLandDet.jsp?pnu=3611033028104360000&amp;isNoScr=script&amp;mode=search", "토지이음")</f>
        <v/>
      </c>
      <c r="O831" s="3" t="inlineStr">
        <is>
          <t>Home</t>
        </is>
      </c>
      <c r="P831" s="4" t="n">
        <v>1</v>
      </c>
      <c r="Q831" s="4" t="n">
        <v>1957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부강면 금호리 442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62000</v>
      </c>
      <c r="G832" s="4" t="n">
        <v>1649</v>
      </c>
      <c r="H832" s="4" t="n">
        <v>499</v>
      </c>
      <c r="I832" s="5" t="n">
        <v>124.2</v>
      </c>
      <c r="J832" s="5" t="n">
        <v>50.7</v>
      </c>
      <c r="K832" s="3" t="inlineStr">
        <is>
          <t>금강변 부강금호로 인접, 약2km거리 철도 매포역과 부강생활체육공원 있음</t>
        </is>
      </c>
      <c r="L832" s="6">
        <f>HYPERLINK("https://fin.land.naver.com/articles/2650433611", "매물Link")</f>
        <v/>
      </c>
      <c r="M832" s="6">
        <f>HYPERLINK("https://map.naver.com/p/search/부강면 금호리 442", "지도Link")</f>
        <v/>
      </c>
      <c r="N832" s="6">
        <f>HYPERLINK("http://www.eum.go.kr/web/ar/lu/luLandDet.jsp?pnu=3611033028104420000&amp;isNoScr=script&amp;mode=search", "토지이음")</f>
        <v/>
      </c>
      <c r="O832" s="3" t="inlineStr">
        <is>
          <t>월평랜드</t>
        </is>
      </c>
      <c r="P832" s="4" t="n">
        <v>1</v>
      </c>
      <c r="Q832" s="4" t="n">
        <v>1649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부강면 금호리 442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62000</v>
      </c>
      <c r="G833" s="4" t="n">
        <v>1649</v>
      </c>
      <c r="H833" s="4" t="n">
        <v>499</v>
      </c>
      <c r="I833" s="5" t="n">
        <v>124.2</v>
      </c>
      <c r="J833" s="5" t="n">
        <v>50.7</v>
      </c>
      <c r="K833" s="3" t="inlineStr">
        <is>
          <t>남향의 반듯한 계획관리 토지. 투자용추천</t>
        </is>
      </c>
      <c r="L833" s="6">
        <f>HYPERLINK("https://fin.land.naver.com/articles/2653462486", "매물Link")</f>
        <v/>
      </c>
      <c r="M833" s="6">
        <f>HYPERLINK("https://map.naver.com/p/search/부강면 금호리 442", "지도Link")</f>
        <v/>
      </c>
      <c r="N833" s="6">
        <f>HYPERLINK("http://www.eum.go.kr/web/ar/lu/luLandDet.jsp?pnu=3611033028104420000&amp;isNoScr=script&amp;mode=search", "토지이음")</f>
        <v/>
      </c>
      <c r="O833" s="3" t="inlineStr">
        <is>
          <t>세종금밭</t>
        </is>
      </c>
      <c r="P833" s="4" t="n">
        <v>1</v>
      </c>
      <c r="Q833" s="4" t="n">
        <v>1649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금호리 613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50000</v>
      </c>
      <c r="G834" s="4" t="n">
        <v>679</v>
      </c>
      <c r="H834" s="4" t="n">
        <v>205</v>
      </c>
      <c r="I834" s="5" t="n">
        <v>243.9</v>
      </c>
      <c r="J834" s="5" t="n">
        <v>88</v>
      </c>
      <c r="K834" s="3" t="inlineStr">
        <is>
          <t>주택, 텃밭, 카페 추천</t>
        </is>
      </c>
      <c r="L834" s="6">
        <f>HYPERLINK("https://fin.land.naver.com/articles/2653353132", "매물Link")</f>
        <v/>
      </c>
      <c r="M834" s="6">
        <f>HYPERLINK("https://map.naver.com/p/search/부강면 금호리 613", "지도Link")</f>
        <v/>
      </c>
      <c r="N834" s="6">
        <f>HYPERLINK("http://www.eum.go.kr/web/ar/lu/luLandDet.jsp?pnu=3611033028106130000&amp;isNoScr=script&amp;mode=search", "토지이음")</f>
        <v/>
      </c>
      <c r="O834" s="3" t="inlineStr">
        <is>
          <t>황제</t>
        </is>
      </c>
      <c r="P834" s="4" t="n">
        <v>1</v>
      </c>
      <c r="Q834" s="4" t="n">
        <v>679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금호리 614-1</t>
        </is>
      </c>
      <c r="B835" s="3" t="inlineStr">
        <is>
          <t>보전관리지역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180000</v>
      </c>
      <c r="G835" s="4" t="n">
        <v>7235</v>
      </c>
      <c r="H835" s="4" t="n">
        <v>2189</v>
      </c>
      <c r="I835" s="5" t="n">
        <v>82.2</v>
      </c>
      <c r="J835" s="5" t="n">
        <v>4.9</v>
      </c>
      <c r="K835" s="3" t="inlineStr">
        <is>
          <t>개발가능한 임야</t>
        </is>
      </c>
      <c r="L835" s="6">
        <f>HYPERLINK("https://fin.land.naver.com/articles/2653365134", "매물Link")</f>
        <v/>
      </c>
      <c r="M835" s="6">
        <f>HYPERLINK("https://map.naver.com/p/search/부강면 금호리 614-1", "지도Link")</f>
        <v/>
      </c>
      <c r="N835" s="6">
        <f>HYPERLINK("http://www.eum.go.kr/web/ar/lu/luLandDet.jsp?pnu=3611033028106140001&amp;isNoScr=script&amp;mode=search", "토지이음")</f>
        <v/>
      </c>
      <c r="O835" s="3" t="inlineStr">
        <is>
          <t>골든타임</t>
        </is>
      </c>
      <c r="P835" s="4" t="n">
        <v>1</v>
      </c>
      <c r="Q835" s="4" t="n">
        <v>6576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부강면 금호리 649-2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94000</v>
      </c>
      <c r="G836" s="4" t="n">
        <v>1111</v>
      </c>
      <c r="H836" s="4" t="n">
        <v>336</v>
      </c>
      <c r="I836" s="5" t="n">
        <v>279.8</v>
      </c>
      <c r="J836" s="5" t="n">
        <v>85.59999999999999</v>
      </c>
      <c r="K836" s="3" t="inlineStr">
        <is>
          <t>부강 산단 초입 계획관리 토지</t>
        </is>
      </c>
      <c r="L836" s="6">
        <f>HYPERLINK("https://fin.land.naver.com/articles/2653362507", "매물Link")</f>
        <v/>
      </c>
      <c r="M836" s="6">
        <f>HYPERLINK("https://map.naver.com/p/search/부강면 금호리 649-2", "지도Link")</f>
        <v/>
      </c>
      <c r="N836" s="6">
        <f>HYPERLINK("http://www.eum.go.kr/web/ar/lu/luLandDet.jsp?pnu=3611033028106490002&amp;isNoScr=script&amp;mode=search", "토지이음")</f>
        <v/>
      </c>
      <c r="O836" s="3" t="inlineStr">
        <is>
          <t>이레</t>
        </is>
      </c>
      <c r="P836" s="4" t="n">
        <v>1</v>
      </c>
      <c r="Q836" s="4" t="n">
        <v>1111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금호리 652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40000</v>
      </c>
      <c r="G837" s="4" t="n">
        <v>525</v>
      </c>
      <c r="H837" s="4" t="n">
        <v>159</v>
      </c>
      <c r="I837" s="5" t="n">
        <v>251.6</v>
      </c>
      <c r="J837" s="5" t="n">
        <v>92.5</v>
      </c>
      <c r="K837" s="3" t="inlineStr">
        <is>
          <t>세종시 부강면 금호리  토지 매매</t>
        </is>
      </c>
      <c r="L837" s="6">
        <f>HYPERLINK("https://fin.land.naver.com/articles/2650695624", "매물Link")</f>
        <v/>
      </c>
      <c r="M837" s="6">
        <f>HYPERLINK("https://map.naver.com/p/search/부강면 금호리 652", "지도Link")</f>
        <v/>
      </c>
      <c r="N837" s="6">
        <f>HYPERLINK("http://www.eum.go.kr/web/ar/lu/luLandDet.jsp?pnu=3611033028106520000&amp;isNoScr=script&amp;mode=search", "토지이음")</f>
        <v/>
      </c>
      <c r="O837" s="3" t="inlineStr">
        <is>
          <t>세종행복한</t>
        </is>
      </c>
      <c r="P837" s="4" t="n">
        <v>1</v>
      </c>
      <c r="Q837" s="4" t="n">
        <v>403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부강면 금호리 700-17</t>
        </is>
      </c>
      <c r="B838" s="3" t="inlineStr">
        <is>
          <t>계획관리지역</t>
        </is>
      </c>
      <c r="C838" s="3" t="inlineStr">
        <is>
          <t>잡종지</t>
        </is>
      </c>
      <c r="D838" s="3" t="inlineStr">
        <is>
          <t>잡종지</t>
        </is>
      </c>
      <c r="E838" s="3" t="inlineStr">
        <is>
          <t>매매</t>
        </is>
      </c>
      <c r="F838" s="4" t="n">
        <v>80000</v>
      </c>
      <c r="G838" s="4" t="n">
        <v>660</v>
      </c>
      <c r="H838" s="4" t="n">
        <v>200</v>
      </c>
      <c r="I838" s="5" t="n">
        <v>400</v>
      </c>
      <c r="J838" s="5" t="n">
        <v>112.4</v>
      </c>
      <c r="K838" s="3" t="inlineStr">
        <is>
          <t>2차선도로변 계획관리. 5생활권 대학부지 10분이내거리</t>
        </is>
      </c>
      <c r="L838" s="6">
        <f>HYPERLINK("https://fin.land.naver.com/articles/2654036270", "매물Link")</f>
        <v/>
      </c>
      <c r="M838" s="6">
        <f>HYPERLINK("https://map.naver.com/p/search/부강면 금호리 700-17", "지도Link")</f>
        <v/>
      </c>
      <c r="N838" s="6">
        <f>HYPERLINK("http://www.eum.go.kr/web/ar/lu/luLandDet.jsp?pnu=3611033028107000017&amp;isNoScr=script&amp;mode=search", "토지이음")</f>
        <v/>
      </c>
      <c r="O838" s="3" t="inlineStr">
        <is>
          <t>황금나무</t>
        </is>
      </c>
      <c r="P838" s="4" t="n">
        <v>1</v>
      </c>
      <c r="Q838" s="4" t="n">
        <v>660</v>
      </c>
      <c r="R838" s="3" t="inlineStr">
        <is>
          <t>지정되지않음</t>
        </is>
      </c>
      <c r="S838" s="3" t="inlineStr">
        <is>
          <t>공업용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소로한면</t>
        </is>
      </c>
    </row>
    <row r="839">
      <c r="A839" s="3" t="inlineStr">
        <is>
          <t>부강면 금호리 708-2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전</t>
        </is>
      </c>
      <c r="E839" s="3" t="inlineStr">
        <is>
          <t>매매</t>
        </is>
      </c>
      <c r="F839" s="4" t="n">
        <v>52400</v>
      </c>
      <c r="G839" s="4" t="n">
        <v>867</v>
      </c>
      <c r="H839" s="4" t="n">
        <v>262</v>
      </c>
      <c r="I839" s="5" t="n">
        <v>200</v>
      </c>
      <c r="J839" s="5" t="n">
        <v>59.7</v>
      </c>
      <c r="K839" s="3" t="inlineStr">
        <is>
          <t>nan</t>
        </is>
      </c>
      <c r="L839" s="6">
        <f>HYPERLINK("https://fin.land.naver.com/articles/2649528902", "매물Link")</f>
        <v/>
      </c>
      <c r="M839" s="6">
        <f>HYPERLINK("https://map.naver.com/p/search/부강면 금호리 708-2", "지도Link")</f>
        <v/>
      </c>
      <c r="N839" s="6">
        <f>HYPERLINK("http://www.eum.go.kr/web/ar/lu/luLandDet.jsp?pnu=3611033028107080002&amp;isNoScr=script&amp;mode=search", "토지이음")</f>
        <v/>
      </c>
      <c r="O839" s="3" t="inlineStr">
        <is>
          <t>경남아너스빌</t>
        </is>
      </c>
      <c r="P839" s="4" t="n">
        <v>1</v>
      </c>
      <c r="Q839" s="4" t="n">
        <v>434</v>
      </c>
      <c r="R839" s="3" t="inlineStr">
        <is>
          <t>지정되지않음</t>
        </is>
      </c>
      <c r="S839" s="3" t="inlineStr">
        <is>
          <t>전기타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소로한면</t>
        </is>
      </c>
    </row>
    <row r="840">
      <c r="A840" s="3" t="inlineStr">
        <is>
          <t>부강면 금호리 712-16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35000</v>
      </c>
      <c r="G840" s="4" t="n">
        <v>379</v>
      </c>
      <c r="H840" s="4" t="n">
        <v>115</v>
      </c>
      <c r="I840" s="5" t="n">
        <v>304.3</v>
      </c>
      <c r="J840" s="5" t="n">
        <v>94.5</v>
      </c>
      <c r="K840" s="3" t="inlineStr">
        <is>
          <t>남청주IC 자동차로 약17분거리10km</t>
        </is>
      </c>
      <c r="L840" s="6">
        <f>HYPERLINK("https://fin.land.naver.com/articles/2654666500", "매물Link")</f>
        <v/>
      </c>
      <c r="M840" s="6">
        <f>HYPERLINK("https://map.naver.com/p/search/부강면 금호리 712-16", "지도Link")</f>
        <v/>
      </c>
      <c r="N840" s="6">
        <f>HYPERLINK("http://www.eum.go.kr/web/ar/lu/luLandDet.jsp?pnu=3611033028107120016&amp;isNoScr=script&amp;mode=search", "토지이음")</f>
        <v/>
      </c>
      <c r="O840" s="3" t="inlineStr">
        <is>
          <t>지장고</t>
        </is>
      </c>
      <c r="P840" s="4" t="n">
        <v>1</v>
      </c>
      <c r="Q840" s="4" t="n">
        <v>379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부강면 금호리 712-16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35000</v>
      </c>
      <c r="G841" s="4" t="n">
        <v>379</v>
      </c>
      <c r="H841" s="4" t="n">
        <v>115</v>
      </c>
      <c r="I841" s="5" t="n">
        <v>304.3</v>
      </c>
      <c r="J841" s="5" t="n">
        <v>94.5</v>
      </c>
      <c r="K841" s="3" t="inlineStr">
        <is>
          <t>계획관리자연취락 대지 및 기존주택, 산단세종오송 접근 우수</t>
        </is>
      </c>
      <c r="L841" s="6">
        <f>HYPERLINK("https://fin.land.naver.com/articles/2650898603", "매물Link")</f>
        <v/>
      </c>
      <c r="M841" s="6">
        <f>HYPERLINK("https://map.naver.com/p/search/부강면 금호리 712-16", "지도Link")</f>
        <v/>
      </c>
      <c r="N841" s="6">
        <f>HYPERLINK("http://www.eum.go.kr/web/ar/lu/luLandDet.jsp?pnu=3611033028107120016&amp;isNoScr=script&amp;mode=search", "토지이음")</f>
        <v/>
      </c>
      <c r="O841" s="3" t="inlineStr">
        <is>
          <t>세종소담황금</t>
        </is>
      </c>
      <c r="P841" s="4" t="n">
        <v>1</v>
      </c>
      <c r="Q841" s="4" t="n">
        <v>379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부강면 금호리 731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174600</v>
      </c>
      <c r="G842" s="4" t="n">
        <v>2885</v>
      </c>
      <c r="H842" s="4" t="n">
        <v>873</v>
      </c>
      <c r="I842" s="5" t="n">
        <v>200</v>
      </c>
      <c r="J842" s="5" t="n">
        <v>64.59999999999999</v>
      </c>
      <c r="K842" s="3" t="inlineStr">
        <is>
          <t>세종시 부강면 산업단지 인근 시세보다 저렴한 토지 매매</t>
        </is>
      </c>
      <c r="L842" s="6">
        <f>HYPERLINK("https://fin.land.naver.com/articles/2649751521", "매물Link")</f>
        <v/>
      </c>
      <c r="M842" s="6">
        <f>HYPERLINK("https://map.naver.com/p/search/부강면 금호리 731", "지도Link")</f>
        <v/>
      </c>
      <c r="N842" s="6">
        <f>HYPERLINK("http://www.eum.go.kr/web/ar/lu/luLandDet.jsp?pnu=3611033028107310000&amp;isNoScr=script&amp;mode=search", "토지이음")</f>
        <v/>
      </c>
      <c r="O842" s="3" t="inlineStr">
        <is>
          <t>뉴스카이</t>
        </is>
      </c>
      <c r="P842" s="4" t="n">
        <v>1</v>
      </c>
      <c r="Q842" s="4" t="n">
        <v>1274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부강면 금호리 산10-1</t>
        </is>
      </c>
      <c r="B843" s="3" t="inlineStr">
        <is>
          <t>생산관리지역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30000</v>
      </c>
      <c r="G843" s="4" t="n">
        <v>992</v>
      </c>
      <c r="H843" s="4" t="n">
        <v>300</v>
      </c>
      <c r="I843" s="5" t="n">
        <v>100</v>
      </c>
      <c r="J843" s="5" t="n">
        <v>5.4</v>
      </c>
      <c r="K843" s="3" t="inlineStr">
        <is>
          <t>nan</t>
        </is>
      </c>
      <c r="L843" s="6">
        <f>HYPERLINK("https://fin.land.naver.com/articles/2651583522", "매물Link")</f>
        <v/>
      </c>
      <c r="M843" s="6">
        <f>HYPERLINK("https://map.naver.com/p/search/부강면 금호리 산10-1", "지도Link")</f>
        <v/>
      </c>
      <c r="N843" s="6">
        <f>HYPERLINK("http://www.eum.go.kr/web/ar/lu/luLandDet.jsp?pnu=3611033028200100001&amp;isNoScr=script&amp;mode=search", "토지이음")</f>
        <v/>
      </c>
      <c r="O843" s="3" t="inlineStr">
        <is>
          <t>세종몽땅</t>
        </is>
      </c>
      <c r="P843" s="4" t="n">
        <v>1</v>
      </c>
      <c r="Q843" s="4" t="n">
        <v>992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맹지</t>
        </is>
      </c>
    </row>
    <row r="844">
      <c r="A844" s="3" t="inlineStr">
        <is>
          <t>부강면 금호리 산46-4</t>
        </is>
      </c>
      <c r="B844" s="3" t="inlineStr">
        <is>
          <t>보전관리지역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65000</v>
      </c>
      <c r="G844" s="4" t="n">
        <v>4247</v>
      </c>
      <c r="H844" s="4" t="n">
        <v>1285</v>
      </c>
      <c r="I844" s="5" t="n">
        <v>50.6</v>
      </c>
      <c r="J844" s="5" t="n">
        <v>6</v>
      </c>
      <c r="K844" s="3" t="inlineStr">
        <is>
          <t>부강면 금호리는 4생활권에서 5분거리, 금호교건너면 바로앞 금강임.</t>
        </is>
      </c>
      <c r="L844" s="6">
        <f>HYPERLINK("https://fin.land.naver.com/articles/2653348907", "매물Link")</f>
        <v/>
      </c>
      <c r="M844" s="6">
        <f>HYPERLINK("https://map.naver.com/p/search/부강면 금호리 산46-4", "지도Link")</f>
        <v/>
      </c>
      <c r="N844" s="6">
        <f>HYPERLINK("http://www.eum.go.kr/web/ar/lu/luLandDet.jsp?pnu=3611033028200460004&amp;isNoScr=script&amp;mode=search", "토지이음")</f>
        <v/>
      </c>
      <c r="O844" s="3" t="inlineStr">
        <is>
          <t>꿈드림</t>
        </is>
      </c>
      <c r="P844" s="4" t="n">
        <v>1</v>
      </c>
      <c r="Q844" s="4" t="n">
        <v>1653</v>
      </c>
      <c r="R844" s="3" t="inlineStr">
        <is>
          <t>계획관리지역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부강면 금호리 산5</t>
        </is>
      </c>
      <c r="B845" s="3" t="inlineStr">
        <is>
          <t>생산관리지역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250000</v>
      </c>
      <c r="G845" s="4" t="n">
        <v>11846</v>
      </c>
      <c r="H845" s="4" t="n">
        <v>3583</v>
      </c>
      <c r="I845" s="5" t="n">
        <v>69.8</v>
      </c>
      <c r="J845" s="5" t="n">
        <v>3.6</v>
      </c>
      <c r="K845" s="3" t="inlineStr">
        <is>
          <t>nan</t>
        </is>
      </c>
      <c r="L845" s="6">
        <f>HYPERLINK("https://fin.land.naver.com/articles/2651714956", "매물Link")</f>
        <v/>
      </c>
      <c r="M845" s="6">
        <f>HYPERLINK("https://map.naver.com/p/search/부강면 금호리 산5", "지도Link")</f>
        <v/>
      </c>
      <c r="N845" s="6">
        <f>HYPERLINK("http://www.eum.go.kr/web/ar/lu/luLandDet.jsp?pnu=3611033028200050000&amp;isNoScr=script&amp;mode=search", "토지이음")</f>
        <v/>
      </c>
      <c r="O845" s="3" t="inlineStr">
        <is>
          <t>이레</t>
        </is>
      </c>
      <c r="P845" s="4" t="n">
        <v>1</v>
      </c>
      <c r="Q845" s="4" t="n">
        <v>11603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세로한면(불)</t>
        </is>
      </c>
    </row>
    <row r="846">
      <c r="A846" s="3" t="inlineStr">
        <is>
          <t>부강면 노호리 24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250000</v>
      </c>
      <c r="G846" s="4" t="n">
        <v>13113</v>
      </c>
      <c r="H846" s="4" t="n">
        <v>3967</v>
      </c>
      <c r="I846" s="5" t="n">
        <v>63</v>
      </c>
      <c r="J846" s="5" t="n">
        <v>23.2</v>
      </c>
      <c r="K846" s="3" t="inlineStr">
        <is>
          <t>공장,창고 건축 가능, 도로 접함</t>
        </is>
      </c>
      <c r="L846" s="6">
        <f>HYPERLINK("https://fin.land.naver.com/articles/2654441939", "매물Link")</f>
        <v/>
      </c>
      <c r="M846" s="6">
        <f>HYPERLINK("https://map.naver.com/p/search/부강면 노호리 24", "지도Link")</f>
        <v/>
      </c>
      <c r="N846" s="6">
        <f>HYPERLINK("http://www.eum.go.kr/web/ar/lu/luLandDet.jsp?pnu=3611033027100240000&amp;isNoScr=script&amp;mode=search", "토지이음")</f>
        <v/>
      </c>
      <c r="O846" s="3" t="inlineStr">
        <is>
          <t>나릿재슬기로운</t>
        </is>
      </c>
      <c r="P846" s="4" t="n">
        <v>1</v>
      </c>
      <c r="Q846" s="4" t="n">
        <v>2278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노호리 287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38400</v>
      </c>
      <c r="G847" s="4" t="n">
        <v>2118</v>
      </c>
      <c r="H847" s="4" t="n">
        <v>641</v>
      </c>
      <c r="I847" s="5" t="n">
        <v>59.9</v>
      </c>
      <c r="J847" s="5" t="n">
        <v>21.8</v>
      </c>
      <c r="K847" s="3" t="inlineStr">
        <is>
          <t>세종특별자치시 부강면 노호리 계획관리지역 답 2118㎡ 토지매매</t>
        </is>
      </c>
      <c r="L847" s="6">
        <f>HYPERLINK("https://fin.land.naver.com/articles/2654694533", "매물Link")</f>
        <v/>
      </c>
      <c r="M847" s="6">
        <f>HYPERLINK("https://map.naver.com/p/search/부강면 노호리 287", "지도Link")</f>
        <v/>
      </c>
      <c r="N847" s="6">
        <f>HYPERLINK("http://www.eum.go.kr/web/ar/lu/luLandDet.jsp?pnu=3611033027102870000&amp;isNoScr=script&amp;mode=search", "토지이음")</f>
        <v/>
      </c>
      <c r="O847" s="3" t="inlineStr">
        <is>
          <t>진행</t>
        </is>
      </c>
      <c r="P847" s="4" t="n">
        <v>1</v>
      </c>
      <c r="Q847" s="4" t="n">
        <v>2118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부강면 노호리 297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23000</v>
      </c>
      <c r="G848" s="4" t="n">
        <v>1302</v>
      </c>
      <c r="H848" s="4" t="n">
        <v>394</v>
      </c>
      <c r="I848" s="5" t="n">
        <v>58.4</v>
      </c>
      <c r="J848" s="5" t="n">
        <v>21.4</v>
      </c>
      <c r="K848" s="3" t="inlineStr">
        <is>
          <t>계획관리 정남향의 토지 전원주택부지로 적극추천 주말농장하면서 투자로</t>
        </is>
      </c>
      <c r="L848" s="6">
        <f>HYPERLINK("https://fin.land.naver.com/articles/2654893808", "매물Link")</f>
        <v/>
      </c>
      <c r="M848" s="6">
        <f>HYPERLINK("https://map.naver.com/p/search/부강면 노호리 297", "지도Link")</f>
        <v/>
      </c>
      <c r="N848" s="6">
        <f>HYPERLINK("http://www.eum.go.kr/web/ar/lu/luLandDet.jsp?pnu=3611033027102970000&amp;isNoScr=script&amp;mode=search",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1302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가로장방</t>
        </is>
      </c>
      <c r="V848" s="3" t="inlineStr">
        <is>
          <t>세로한면(가)</t>
        </is>
      </c>
    </row>
    <row r="849">
      <c r="A849" s="3" t="inlineStr">
        <is>
          <t>부강면 노호리 334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155000</v>
      </c>
      <c r="G849" s="4" t="n">
        <v>3254</v>
      </c>
      <c r="H849" s="4" t="n">
        <v>984</v>
      </c>
      <c r="I849" s="5" t="n">
        <v>157.5</v>
      </c>
      <c r="J849" s="5" t="n">
        <v>40.6</v>
      </c>
      <c r="K849" s="3" t="inlineStr">
        <is>
          <t>세종 인근 접근성 좋은 부강면 노호리 전원주택지 매매,남향</t>
        </is>
      </c>
      <c r="L849" s="6">
        <f>HYPERLINK("https://fin.land.naver.com/articles/2654696960", "매물Link")</f>
        <v/>
      </c>
      <c r="M849" s="6">
        <f>HYPERLINK("https://map.naver.com/p/search/부강면 노호리 334", "지도Link")</f>
        <v/>
      </c>
      <c r="N849" s="6">
        <f>HYPERLINK("http://www.eum.go.kr/web/ar/lu/luLandDet.jsp?pnu=3611033027103340000&amp;isNoScr=script&amp;mode=search", "토지이음")</f>
        <v/>
      </c>
      <c r="O849" s="3" t="inlineStr">
        <is>
          <t>천재원</t>
        </is>
      </c>
      <c r="P849" s="4" t="n">
        <v>1</v>
      </c>
      <c r="Q849" s="4" t="n">
        <v>939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부강면 노호리 356-1</t>
        </is>
      </c>
      <c r="B850" s="3" t="inlineStr">
        <is>
          <t>생산관리지역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71200</v>
      </c>
      <c r="G850" s="4" t="n">
        <v>3920</v>
      </c>
      <c r="H850" s="4" t="n">
        <v>1186</v>
      </c>
      <c r="I850" s="5" t="n">
        <v>60</v>
      </c>
      <c r="J850" s="5" t="n">
        <v>25.8</v>
      </c>
      <c r="K850" s="3" t="inlineStr">
        <is>
          <t>부강 매포역에서 차량 3분 마을 인접, 전원주택, 세컨하우스 수요많음</t>
        </is>
      </c>
      <c r="L850" s="6">
        <f>HYPERLINK("https://fin.land.naver.com/articles/2654688238", "매물Link")</f>
        <v/>
      </c>
      <c r="M850" s="6">
        <f>HYPERLINK("https://map.naver.com/p/search/부강면 노호리 356-1", "지도Link")</f>
        <v/>
      </c>
      <c r="N850" s="6">
        <f>HYPERLINK("http://www.eum.go.kr/web/ar/lu/luLandDet.jsp?pnu=3611033027103560001&amp;isNoScr=script&amp;mode=search", "토지이음")</f>
        <v/>
      </c>
      <c r="O850" s="3" t="inlineStr">
        <is>
          <t>114</t>
        </is>
      </c>
      <c r="P850" s="4" t="n">
        <v>1</v>
      </c>
      <c r="Q850" s="4" t="n">
        <v>2446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노호리 356-1</t>
        </is>
      </c>
      <c r="B851" s="3" t="inlineStr">
        <is>
          <t>생산관리지역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71930</v>
      </c>
      <c r="G851" s="4" t="n">
        <v>3963</v>
      </c>
      <c r="H851" s="4" t="n">
        <v>1199</v>
      </c>
      <c r="I851" s="5" t="n">
        <v>60</v>
      </c>
      <c r="J851" s="5" t="n">
        <v>25.8</v>
      </c>
      <c r="K851" s="3" t="inlineStr">
        <is>
          <t>매포역 인근 금강 변, 국도 인접 생산관리지역, 개발호재 많은 투자 물건</t>
        </is>
      </c>
      <c r="L851" s="6">
        <f>HYPERLINK("https://fin.land.naver.com/articles/2650180451", "매물Link")</f>
        <v/>
      </c>
      <c r="M851" s="6">
        <f>HYPERLINK("https://map.naver.com/p/search/부강면 노호리 356-1", "지도Link")</f>
        <v/>
      </c>
      <c r="N851" s="6">
        <f>HYPERLINK("http://www.eum.go.kr/web/ar/lu/luLandDet.jsp?pnu=3611033027103560001&amp;isNoScr=script&amp;mode=search", "토지이음")</f>
        <v/>
      </c>
      <c r="O851" s="3" t="inlineStr">
        <is>
          <t>오송3산단  사무소</t>
        </is>
      </c>
      <c r="P851" s="4" t="n">
        <v>1</v>
      </c>
      <c r="Q851" s="4" t="n">
        <v>2446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노호리 356-1</t>
        </is>
      </c>
      <c r="B852" s="3" t="inlineStr">
        <is>
          <t>생산관리지역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72000</v>
      </c>
      <c r="G852" s="4" t="n">
        <v>3963</v>
      </c>
      <c r="H852" s="4" t="n">
        <v>1199</v>
      </c>
      <c r="I852" s="5" t="n">
        <v>60.1</v>
      </c>
      <c r="J852" s="5" t="n">
        <v>25.8</v>
      </c>
      <c r="K852" s="3" t="inlineStr">
        <is>
          <t>부강면노호리 생산관리지역 마을인접 가격조정가능</t>
        </is>
      </c>
      <c r="L852" s="6">
        <f>HYPERLINK("https://fin.land.naver.com/articles/2654709778", "매물Link")</f>
        <v/>
      </c>
      <c r="M852" s="6">
        <f>HYPERLINK("https://map.naver.com/p/search/부강면 노호리 356-1", "지도Link")</f>
        <v/>
      </c>
      <c r="N852" s="6">
        <f>HYPERLINK("http://www.eum.go.kr/web/ar/lu/luLandDet.jsp?pnu=3611033027103560001&amp;isNoScr=script&amp;mode=search", "토지이음")</f>
        <v/>
      </c>
      <c r="O852" s="3" t="inlineStr">
        <is>
          <t>고운동리치세종</t>
        </is>
      </c>
      <c r="P852" s="4" t="n">
        <v>1</v>
      </c>
      <c r="Q852" s="4" t="n">
        <v>2446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노호리 55-3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23000</v>
      </c>
      <c r="G853" s="4" t="n">
        <v>1336</v>
      </c>
      <c r="H853" s="4" t="n">
        <v>404</v>
      </c>
      <c r="I853" s="5" t="n">
        <v>56.9</v>
      </c>
      <c r="J853" s="5" t="n">
        <v>38.5</v>
      </c>
      <c r="K853" s="3" t="inlineStr">
        <is>
          <t>부강면 노호리에 있는 계획관리지역의 지목이 대지입니다.</t>
        </is>
      </c>
      <c r="L853" s="6">
        <f>HYPERLINK("https://fin.land.naver.com/articles/2650952485", "매물Link")</f>
        <v/>
      </c>
      <c r="M853" s="6">
        <f>HYPERLINK("https://map.naver.com/p/search/부강면 노호리 55-3", "지도Link")</f>
        <v/>
      </c>
      <c r="N853" s="6">
        <f>HYPERLINK("http://www.eum.go.kr/web/ar/lu/luLandDet.jsp?pnu=3611033027100550003&amp;isNoScr=script&amp;mode=search", "토지이음")</f>
        <v/>
      </c>
      <c r="O853" s="3" t="inlineStr">
        <is>
          <t>스마일세종</t>
        </is>
      </c>
      <c r="P853" s="4" t="n">
        <v>1</v>
      </c>
      <c r="Q853" s="4" t="n">
        <v>1336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노호리 63-4</t>
        </is>
      </c>
      <c r="B854" s="3" t="inlineStr">
        <is>
          <t>계획관리지역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62000</v>
      </c>
      <c r="G854" s="4" t="n">
        <v>1351</v>
      </c>
      <c r="H854" s="4" t="n">
        <v>409</v>
      </c>
      <c r="I854" s="5" t="n">
        <v>151.6</v>
      </c>
      <c r="J854" s="5" t="n">
        <v>43.4</v>
      </c>
      <c r="K854" s="3" t="inlineStr">
        <is>
          <t>계획관리 토지, 지목대지,답 단독주택</t>
        </is>
      </c>
      <c r="L854" s="6">
        <f>HYPERLINK("https://fin.land.naver.com/articles/2655059927", "매물Link")</f>
        <v/>
      </c>
      <c r="M854" s="6">
        <f>HYPERLINK("https://map.naver.com/p/search/부강면 노호리 63-4", "지도Link")</f>
        <v/>
      </c>
      <c r="N854" s="6">
        <f>HYPERLINK("http://www.eum.go.kr/web/ar/lu/luLandDet.jsp?pnu=3611033027100630004&amp;isNoScr=script&amp;mode=search", "토지이음")</f>
        <v/>
      </c>
      <c r="O854" s="3" t="inlineStr">
        <is>
          <t>세종대박</t>
        </is>
      </c>
      <c r="P854" s="4" t="n">
        <v>1</v>
      </c>
      <c r="Q854" s="4" t="n">
        <v>655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노호리 산66-16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49000</v>
      </c>
      <c r="G855" s="4" t="n">
        <v>2813</v>
      </c>
      <c r="H855" s="4" t="n">
        <v>851</v>
      </c>
      <c r="I855" s="5" t="n">
        <v>57.6</v>
      </c>
      <c r="J855" s="5" t="n">
        <v>5.1</v>
      </c>
      <c r="K855" s="3" t="inlineStr">
        <is>
          <t>계획관리지역 최고의 전원주택부지 인접지역이 개발호재가 많아 미래가치있음</t>
        </is>
      </c>
      <c r="L855" s="6">
        <f>HYPERLINK("https://fin.land.naver.com/articles/2653591285", "매물Link")</f>
        <v/>
      </c>
      <c r="M855" s="6">
        <f>HYPERLINK("https://map.naver.com/p/search/부강면 노호리 산66-16", "지도Link")</f>
        <v/>
      </c>
      <c r="N855" s="6">
        <f>HYPERLINK("http://www.eum.go.kr/web/ar/lu/luLandDet.jsp?pnu=3611033027200660016&amp;isNoScr=script&amp;mode=search", "토지이음")</f>
        <v/>
      </c>
      <c r="O855" s="3" t="inlineStr">
        <is>
          <t>대전토지로무소</t>
        </is>
      </c>
      <c r="P855" s="4" t="n">
        <v>1</v>
      </c>
      <c r="Q855" s="4" t="n">
        <v>2813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급경사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등곡리 112-1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28900</v>
      </c>
      <c r="G856" s="4" t="n">
        <v>832</v>
      </c>
      <c r="H856" s="4" t="n">
        <v>252</v>
      </c>
      <c r="I856" s="5" t="n">
        <v>114.7</v>
      </c>
      <c r="J856" s="5" t="n">
        <v>24.5</v>
      </c>
      <c r="K856" s="3" t="inlineStr">
        <is>
          <t>7m포장도로에접함,땅모양좋은토지,투자용및전원주택지추천</t>
        </is>
      </c>
      <c r="L856" s="6">
        <f>HYPERLINK("https://fin.land.naver.com/articles/2650813413", "매물Link")</f>
        <v/>
      </c>
      <c r="M856" s="6">
        <f>HYPERLINK("https://map.naver.com/p/search/부강면 등곡리 112-1", "지도Link")</f>
        <v/>
      </c>
      <c r="N856" s="6">
        <f>HYPERLINK("http://www.eum.go.kr/web/ar/lu/luLandDet.jsp?pnu=3611033026101120001&amp;isNoScr=script&amp;mode=search", "토지이음")</f>
        <v/>
      </c>
      <c r="O856" s="3" t="inlineStr">
        <is>
          <t>타이밍</t>
        </is>
      </c>
      <c r="P856" s="4" t="n">
        <v>1</v>
      </c>
      <c r="Q856" s="4" t="n">
        <v>833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등곡리 178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16500</v>
      </c>
      <c r="G857" s="4" t="n">
        <v>681</v>
      </c>
      <c r="H857" s="4" t="n">
        <v>206</v>
      </c>
      <c r="I857" s="5" t="n">
        <v>80.09999999999999</v>
      </c>
      <c r="J857" s="5" t="n">
        <v>36.8</v>
      </c>
      <c r="K857" s="3" t="inlineStr">
        <is>
          <t>나대지</t>
        </is>
      </c>
      <c r="L857" s="6">
        <f>HYPERLINK("https://fin.land.naver.com/articles/2653391600", "매물Link")</f>
        <v/>
      </c>
      <c r="M857" s="6">
        <f>HYPERLINK("https://map.naver.com/p/search/부강면 등곡리 178", "지도Link")</f>
        <v/>
      </c>
      <c r="N857" s="6">
        <f>HYPERLINK("http://www.eum.go.kr/web/ar/lu/luLandDet.jsp?pnu=3611033026101780000&amp;isNoScr=script&amp;mode=search", "토지이음")</f>
        <v/>
      </c>
      <c r="O857" s="3" t="inlineStr">
        <is>
          <t>다산</t>
        </is>
      </c>
      <c r="P857" s="4" t="n">
        <v>1</v>
      </c>
      <c r="Q857" s="4" t="n">
        <v>681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등곡리 452</t>
        </is>
      </c>
      <c r="B858" s="3" t="inlineStr">
        <is>
          <t>생산관리지역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15000</v>
      </c>
      <c r="G858" s="4" t="n">
        <v>2099</v>
      </c>
      <c r="H858" s="4" t="n">
        <v>635</v>
      </c>
      <c r="I858" s="5" t="n">
        <v>23.6</v>
      </c>
      <c r="J858" s="5" t="n">
        <v>10.7</v>
      </c>
      <c r="K858" s="3" t="inlineStr">
        <is>
          <t>급매도,현재밭으로 경작중,매포역가까움,밭으로 들어가는 흙길있음</t>
        </is>
      </c>
      <c r="L858" s="6">
        <f>HYPERLINK("https://fin.land.naver.com/articles/2651836449", "매물Link")</f>
        <v/>
      </c>
      <c r="M858" s="6">
        <f>HYPERLINK("https://map.naver.com/p/search/부강면 등곡리 452", "지도Link")</f>
        <v/>
      </c>
      <c r="N858" s="6">
        <f>HYPERLINK("http://www.eum.go.kr/web/ar/lu/luLandDet.jsp?pnu=3611033026104520000&amp;isNoScr=script&amp;mode=search", "토지이음")</f>
        <v/>
      </c>
      <c r="O858" s="3" t="inlineStr">
        <is>
          <t>배곧행복</t>
        </is>
      </c>
      <c r="P858" s="4" t="n">
        <v>1</v>
      </c>
      <c r="Q858" s="4" t="n">
        <v>2099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맹지</t>
        </is>
      </c>
    </row>
    <row r="859">
      <c r="A859" s="3" t="inlineStr">
        <is>
          <t>부강면 등곡리 461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135000</v>
      </c>
      <c r="G859" s="4" t="n">
        <v>4488</v>
      </c>
      <c r="H859" s="4" t="n">
        <v>1358</v>
      </c>
      <c r="I859" s="5" t="n">
        <v>99.40000000000001</v>
      </c>
      <c r="J859" s="5" t="n">
        <v>19.5</v>
      </c>
      <c r="K859" s="3" t="inlineStr">
        <is>
          <t>2차선 부근의  금강뷰 좋은 건축허가 가능한 정남향의 토지</t>
        </is>
      </c>
      <c r="L859" s="6">
        <f>HYPERLINK("https://fin.land.naver.com/articles/2652068759", "매물Link")</f>
        <v/>
      </c>
      <c r="M859" s="6">
        <f>HYPERLINK("https://map.naver.com/p/search/부강면 등곡리 461", "지도Link")</f>
        <v/>
      </c>
      <c r="N859" s="6">
        <f>HYPERLINK("http://www.eum.go.kr/web/ar/lu/luLandDet.jsp?pnu=3611033026104610000&amp;isNoScr=script&amp;mode=search",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2000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등곡리 55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19000</v>
      </c>
      <c r="G860" s="4" t="n">
        <v>1835</v>
      </c>
      <c r="H860" s="4" t="n">
        <v>555</v>
      </c>
      <c r="I860" s="5" t="n">
        <v>34.2</v>
      </c>
      <c r="J860" s="5" t="n">
        <v>18.8</v>
      </c>
      <c r="K860" s="3" t="inlineStr">
        <is>
          <t>접근성좋고 주말농장이나 전원주택 용지로도좋음.</t>
        </is>
      </c>
      <c r="L860" s="6">
        <f>HYPERLINK("https://fin.land.naver.com/articles/2650849101", "매물Link")</f>
        <v/>
      </c>
      <c r="M860" s="6">
        <f>HYPERLINK("https://map.naver.com/p/search/부강면 등곡리 55", "지도Link")</f>
        <v/>
      </c>
      <c r="N860" s="6">
        <f>HYPERLINK("http://www.eum.go.kr/web/ar/lu/luLandDet.jsp?pnu=3611033026100550000&amp;isNoScr=script&amp;mode=search", "토지이음")</f>
        <v/>
      </c>
      <c r="O860" s="3" t="inlineStr">
        <is>
          <t>오투그린1</t>
        </is>
      </c>
      <c r="P860" s="4" t="n">
        <v>1</v>
      </c>
      <c r="Q860" s="4" t="n">
        <v>1835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사다리형</t>
        </is>
      </c>
      <c r="V860" s="3" t="inlineStr">
        <is>
          <t>맹지</t>
        </is>
      </c>
    </row>
    <row r="861">
      <c r="A861" s="3" t="inlineStr">
        <is>
          <t>부강면 문곡리 1060-3</t>
        </is>
      </c>
      <c r="B861" s="3" t="inlineStr">
        <is>
          <t>계획관리지역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25000</v>
      </c>
      <c r="G861" s="4" t="n">
        <v>323</v>
      </c>
      <c r="H861" s="4" t="n">
        <v>98</v>
      </c>
      <c r="I861" s="5" t="n">
        <v>255.1</v>
      </c>
      <c r="J861" s="5" t="n">
        <v>92.40000000000001</v>
      </c>
      <c r="K861" s="3" t="inlineStr">
        <is>
          <t>대지 토지 매매</t>
        </is>
      </c>
      <c r="L861" s="6">
        <f>HYPERLINK("https://fin.land.naver.com/articles/2653175461", "매물Link")</f>
        <v/>
      </c>
      <c r="M861" s="6">
        <f>HYPERLINK("https://map.naver.com/p/search/부강면 문곡리 1060-3", "지도Link")</f>
        <v/>
      </c>
      <c r="N861" s="6">
        <f>HYPERLINK("http://www.eum.go.kr/web/ar/lu/luLandDet.jsp?pnu=3611033025110600003&amp;isNoScr=script&amp;mode=search", "토지이음")</f>
        <v/>
      </c>
      <c r="O861" s="3" t="inlineStr">
        <is>
          <t>주식회사넥서스</t>
        </is>
      </c>
      <c r="P861" s="4" t="n">
        <v>1</v>
      </c>
      <c r="Q861" s="4" t="n">
        <v>323</v>
      </c>
      <c r="R861" s="3" t="inlineStr">
        <is>
          <t>지정되지않음</t>
        </is>
      </c>
      <c r="S861" s="3" t="inlineStr">
        <is>
          <t>주거기타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부강면 문곡리 1064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410000</v>
      </c>
      <c r="G862" s="4" t="n">
        <v>5026</v>
      </c>
      <c r="H862" s="4" t="n">
        <v>1520</v>
      </c>
      <c r="I862" s="5" t="n">
        <v>269.7</v>
      </c>
      <c r="J862" s="5" t="n">
        <v>71.2</v>
      </c>
      <c r="K862" s="3" t="inlineStr">
        <is>
          <t>남청주IC 3분거리, 2차선 접한 토지, 대형차량 진출입 용이</t>
        </is>
      </c>
      <c r="L862" s="6">
        <f>HYPERLINK("https://fin.land.naver.com/articles/2652777976", "매물Link")</f>
        <v/>
      </c>
      <c r="M862" s="6">
        <f>HYPERLINK("https://map.naver.com/p/search/부강면 문곡리 1064", "지도Link")</f>
        <v/>
      </c>
      <c r="N862" s="6">
        <f>HYPERLINK("http://www.eum.go.kr/web/ar/lu/luLandDet.jsp?pnu=3611033025110640000&amp;isNoScr=script&amp;mode=search", "토지이음")</f>
        <v/>
      </c>
      <c r="O862" s="3" t="inlineStr">
        <is>
          <t>금화랜드</t>
        </is>
      </c>
      <c r="P862" s="4" t="n">
        <v>3</v>
      </c>
      <c r="Q862" s="4" t="n">
        <v>4344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부강면 문곡리 1064-1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159000</v>
      </c>
      <c r="G863" s="4" t="n">
        <v>1752</v>
      </c>
      <c r="H863" s="4" t="n">
        <v>530</v>
      </c>
      <c r="I863" s="5" t="n">
        <v>300</v>
      </c>
      <c r="J863" s="5" t="n">
        <v>70.40000000000001</v>
      </c>
      <c r="K863" s="3" t="inlineStr">
        <is>
          <t>세종과 남청주IC 도로 인근에 위치하여 진출입이 용이한 곳</t>
        </is>
      </c>
      <c r="L863" s="6">
        <f>HYPERLINK("https://fin.land.naver.com/articles/2651115525", "매물Link")</f>
        <v/>
      </c>
      <c r="M863" s="6">
        <f>HYPERLINK("https://map.naver.com/p/search/부강면 문곡리 1064-1", "지도Link")</f>
        <v/>
      </c>
      <c r="N863" s="6">
        <f>HYPERLINK("http://www.eum.go.kr/web/ar/lu/luLandDet.jsp?pnu=3611033025110640001&amp;isNoScr=script&amp;mode=search", "토지이음")</f>
        <v/>
      </c>
      <c r="O863" s="3" t="inlineStr">
        <is>
          <t>(주)미르</t>
        </is>
      </c>
      <c r="P863" s="4" t="n">
        <v>1</v>
      </c>
      <c r="Q863" s="4" t="n">
        <v>200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부강면 문곡리 1066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159000</v>
      </c>
      <c r="G864" s="4" t="n">
        <v>1752</v>
      </c>
      <c r="H864" s="4" t="n">
        <v>530</v>
      </c>
      <c r="I864" s="5" t="n">
        <v>300</v>
      </c>
      <c r="J864" s="5" t="n">
        <v>95.2</v>
      </c>
      <c r="K864" s="3" t="inlineStr">
        <is>
          <t>공장,창고로 추천,남청주IC 5분거리,대형차량 진출입 편리</t>
        </is>
      </c>
      <c r="L864" s="6">
        <f>HYPERLINK("https://fin.land.naver.com/articles/2653177971", "매물Link")</f>
        <v/>
      </c>
      <c r="M864" s="6">
        <f>HYPERLINK("https://map.naver.com/p/search/부강면 문곡리 1066", "지도Link")</f>
        <v/>
      </c>
      <c r="N864" s="6">
        <f>HYPERLINK("http://www.eum.go.kr/web/ar/lu/luLandDet.jsp?pnu=3611033025110660000&amp;isNoScr=script&amp;mode=search", "토지이음")</f>
        <v/>
      </c>
      <c r="O864" s="3" t="inlineStr">
        <is>
          <t>금화랜드</t>
        </is>
      </c>
      <c r="P864" s="4" t="n">
        <v>1</v>
      </c>
      <c r="Q864" s="4" t="n">
        <v>1616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부강면 문곡리 114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500000</v>
      </c>
      <c r="G865" s="4" t="n">
        <v>8992</v>
      </c>
      <c r="H865" s="4" t="n">
        <v>2720</v>
      </c>
      <c r="I865" s="5" t="n">
        <v>183.8</v>
      </c>
      <c r="J865" s="5" t="n">
        <v>55.3</v>
      </c>
      <c r="K865" s="3" t="inlineStr">
        <is>
          <t>2차선 도로와 연결로 대형차 진출입이 편리, 남청주IC인근에 위치</t>
        </is>
      </c>
      <c r="L865" s="6">
        <f>HYPERLINK("https://fin.land.naver.com/articles/2651013918", "매물Link")</f>
        <v/>
      </c>
      <c r="M865" s="6">
        <f>HYPERLINK("https://map.naver.com/p/search/부강면 문곡리 114", "지도Link")</f>
        <v/>
      </c>
      <c r="N865" s="6">
        <f>HYPERLINK("http://www.eum.go.kr/web/ar/lu/luLandDet.jsp?pnu=3611033025101140000&amp;isNoScr=script&amp;mode=search", "토지이음")</f>
        <v/>
      </c>
      <c r="O865" s="3" t="inlineStr">
        <is>
          <t>(주)미르</t>
        </is>
      </c>
      <c r="P865" s="4" t="n">
        <v>1</v>
      </c>
      <c r="Q865" s="4" t="n">
        <v>2435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205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27000</v>
      </c>
      <c r="G866" s="4" t="n">
        <v>849</v>
      </c>
      <c r="H866" s="4" t="n">
        <v>257</v>
      </c>
      <c r="I866" s="5" t="n">
        <v>105.1</v>
      </c>
      <c r="J866" s="5" t="n">
        <v>63.7</v>
      </c>
      <c r="K866" s="3" t="inlineStr">
        <is>
          <t>정남향의 지대높고 예쁜마을에 있는 단독주택</t>
        </is>
      </c>
      <c r="L866" s="6">
        <f>HYPERLINK("https://fin.land.naver.com/articles/2652071617", "매물Link")</f>
        <v/>
      </c>
      <c r="M866" s="6">
        <f>HYPERLINK("https://map.naver.com/p/search/부강면 문곡리 205", "지도Link")</f>
        <v/>
      </c>
      <c r="N866" s="6">
        <f>HYPERLINK("http://www.eum.go.kr/web/ar/lu/luLandDet.jsp?pnu=3611033025102050000&amp;isNoScr=script&amp;mode=search", "토지이음")</f>
        <v/>
      </c>
      <c r="O866" s="3" t="inlineStr">
        <is>
          <t>연동스카이</t>
        </is>
      </c>
      <c r="P866" s="4" t="n">
        <v>1</v>
      </c>
      <c r="Q866" s="4" t="n">
        <v>848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부강면 문곡리 240-1</t>
        </is>
      </c>
      <c r="B867" s="3" t="inlineStr">
        <is>
          <t>보전관리지역</t>
        </is>
      </c>
      <c r="C867" s="3" t="inlineStr">
        <is>
          <t>임야</t>
        </is>
      </c>
      <c r="D867" s="3" t="inlineStr">
        <is>
          <t>임야</t>
        </is>
      </c>
      <c r="E867" s="3" t="inlineStr">
        <is>
          <t>매매</t>
        </is>
      </c>
      <c r="F867" s="4" t="n">
        <v>130000</v>
      </c>
      <c r="G867" s="4" t="n">
        <v>1470</v>
      </c>
      <c r="H867" s="4" t="n">
        <v>445</v>
      </c>
      <c r="I867" s="5" t="n">
        <v>292.1</v>
      </c>
      <c r="J867" s="5" t="n">
        <v>46.1</v>
      </c>
      <c r="K867" s="3" t="inlineStr">
        <is>
          <t>1층단독한옥주택 준공완료,일괄매매,친환경 힐링하실분,뻥뷰</t>
        </is>
      </c>
      <c r="L867" s="6">
        <f>HYPERLINK("https://fin.land.naver.com/articles/2650882939", "매물Link")</f>
        <v/>
      </c>
      <c r="M867" s="6">
        <f>HYPERLINK("https://map.naver.com/p/search/부강면 문곡리 240-1", "지도Link")</f>
        <v/>
      </c>
      <c r="N867" s="6">
        <f>HYPERLINK("http://www.eum.go.kr/web/ar/lu/luLandDet.jsp?pnu=3611033025102400001&amp;isNoScr=script&amp;mode=search", "토지이음")</f>
        <v/>
      </c>
      <c r="O867" s="3" t="inlineStr">
        <is>
          <t>힐스테이트행복</t>
        </is>
      </c>
      <c r="P867" s="4" t="n">
        <v>1</v>
      </c>
      <c r="Q867" s="4" t="n">
        <v>1470</v>
      </c>
      <c r="R867" s="3" t="inlineStr">
        <is>
          <t>지정되지않음</t>
        </is>
      </c>
      <c r="S867" s="3" t="inlineStr">
        <is>
          <t>단독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부강면 문곡리 364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30000</v>
      </c>
      <c r="G868" s="4" t="n">
        <v>966</v>
      </c>
      <c r="H868" s="4" t="n">
        <v>292</v>
      </c>
      <c r="I868" s="5" t="n">
        <v>102.7</v>
      </c>
      <c r="J868" s="5" t="n">
        <v>36.1</v>
      </c>
      <c r="K868" s="3" t="inlineStr">
        <is>
          <t>계획관리지역 주목</t>
        </is>
      </c>
      <c r="L868" s="6">
        <f>HYPERLINK("https://fin.land.naver.com/articles/2649735022", "매물Link")</f>
        <v/>
      </c>
      <c r="M868" s="6">
        <f>HYPERLINK("https://map.naver.com/p/search/부강면 문곡리 364", "지도Link")</f>
        <v/>
      </c>
      <c r="N868" s="6">
        <f>HYPERLINK("http://www.eum.go.kr/web/ar/lu/luLandDet.jsp?pnu=3611033025103640000&amp;isNoScr=script&amp;mode=search", "토지이음")</f>
        <v/>
      </c>
      <c r="O868" s="3" t="inlineStr">
        <is>
          <t>세종몽땅</t>
        </is>
      </c>
      <c r="P868" s="4" t="n">
        <v>1</v>
      </c>
      <c r="Q868" s="4" t="n">
        <v>966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문곡리 370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14000</v>
      </c>
      <c r="G869" s="4" t="n">
        <v>592</v>
      </c>
      <c r="H869" s="4" t="n">
        <v>179</v>
      </c>
      <c r="I869" s="5" t="n">
        <v>78.2</v>
      </c>
      <c r="J869" s="5" t="n">
        <v>28.1</v>
      </c>
      <c r="K869" s="3" t="inlineStr">
        <is>
          <t>문곡리 대국터, 계획관리지역, 성장관리계획구역, 매매가 협의 가능</t>
        </is>
      </c>
      <c r="L869" s="6">
        <f>HYPERLINK("https://fin.land.naver.com/articles/2650784515", "매물Link")</f>
        <v/>
      </c>
      <c r="M869" s="6">
        <f>HYPERLINK("https://map.naver.com/p/search/부강면 문곡리 370", "지도Link")</f>
        <v/>
      </c>
      <c r="N869" s="6">
        <f>HYPERLINK("http://www.eum.go.kr/web/ar/lu/luLandDet.jsp?pnu=3611033025103700000&amp;isNoScr=script&amp;mode=search", "토지이음")</f>
        <v/>
      </c>
      <c r="O869" s="3" t="inlineStr">
        <is>
          <t>탑</t>
        </is>
      </c>
      <c r="P869" s="4" t="n">
        <v>1</v>
      </c>
      <c r="Q869" s="4" t="n">
        <v>592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가로장방</t>
        </is>
      </c>
      <c r="V869" s="3" t="inlineStr">
        <is>
          <t>맹지</t>
        </is>
      </c>
    </row>
    <row r="870">
      <c r="A870" s="3" t="inlineStr">
        <is>
          <t>부강면 문곡리 384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대</t>
        </is>
      </c>
      <c r="E870" s="3" t="inlineStr">
        <is>
          <t>매매</t>
        </is>
      </c>
      <c r="F870" s="4" t="n">
        <v>130000</v>
      </c>
      <c r="G870" s="4" t="n">
        <v>1656</v>
      </c>
      <c r="H870" s="4" t="n">
        <v>501</v>
      </c>
      <c r="I870" s="5" t="n">
        <v>259.5</v>
      </c>
      <c r="J870" s="5" t="n">
        <v>55.6</v>
      </c>
      <c r="K870" s="3" t="inlineStr">
        <is>
          <t>남청주IC 2분거리,대로변 접한 토지로 광고효과,대형차량 진출입 편리</t>
        </is>
      </c>
      <c r="L870" s="6">
        <f>HYPERLINK("https://fin.land.naver.com/articles/2654719242", "매물Link")</f>
        <v/>
      </c>
      <c r="M870" s="6">
        <f>HYPERLINK("https://map.naver.com/p/search/부강면 문곡리 384", "지도Link")</f>
        <v/>
      </c>
      <c r="N870" s="6">
        <f>HYPERLINK("http://www.eum.go.kr/web/ar/lu/luLandDet.jsp?pnu=3611033025103840000&amp;isNoScr=script&amp;mode=search", "토지이음")</f>
        <v/>
      </c>
      <c r="O870" s="3" t="inlineStr">
        <is>
          <t>금화랜드</t>
        </is>
      </c>
      <c r="P870" s="4" t="n">
        <v>1</v>
      </c>
      <c r="Q870" s="4" t="n">
        <v>1406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437</t>
        </is>
      </c>
      <c r="B871" s="3" t="inlineStr">
        <is>
          <t>계획관리지역</t>
        </is>
      </c>
      <c r="C871" s="3" t="inlineStr">
        <is>
          <t>공장용지</t>
        </is>
      </c>
      <c r="D871" s="3" t="inlineStr">
        <is>
          <t>공장용지</t>
        </is>
      </c>
      <c r="E871" s="3" t="inlineStr">
        <is>
          <t>매매</t>
        </is>
      </c>
      <c r="F871" s="4" t="n">
        <v>95000</v>
      </c>
      <c r="G871" s="4" t="n">
        <v>1652</v>
      </c>
      <c r="H871" s="4" t="n">
        <v>500</v>
      </c>
      <c r="I871" s="5" t="n">
        <v>190</v>
      </c>
      <c r="J871" s="5" t="n">
        <v>82</v>
      </c>
      <c r="K871" s="3" t="inlineStr">
        <is>
          <t>공장등록 가능한 공장 용지, 남청주 IC 5분 거리, 대형차 진출입 용이</t>
        </is>
      </c>
      <c r="L871" s="6">
        <f>HYPERLINK("https://fin.land.naver.com/articles/2654711226", "매물Link")</f>
        <v/>
      </c>
      <c r="M871" s="6">
        <f>HYPERLINK("https://map.naver.com/p/search/부강면 문곡리 437", "지도Link")</f>
        <v/>
      </c>
      <c r="N871" s="6">
        <f>HYPERLINK("http://www.eum.go.kr/web/ar/lu/luLandDet.jsp?pnu=3611033025104370000&amp;isNoScr=script&amp;mode=search", "토지이음")</f>
        <v/>
      </c>
      <c r="O871" s="3" t="inlineStr">
        <is>
          <t>에이스</t>
        </is>
      </c>
      <c r="P871" s="4" t="n">
        <v>1</v>
      </c>
      <c r="Q871" s="4" t="n">
        <v>3358</v>
      </c>
      <c r="R871" s="3" t="inlineStr">
        <is>
          <t>지정되지않음</t>
        </is>
      </c>
      <c r="S871" s="3" t="inlineStr">
        <is>
          <t>공업용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문곡리 446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28700</v>
      </c>
      <c r="G872" s="4" t="n">
        <v>1355</v>
      </c>
      <c r="H872" s="4" t="n">
        <v>410</v>
      </c>
      <c r="I872" s="5" t="n">
        <v>70</v>
      </c>
      <c r="J872" s="5" t="n">
        <v>27.7</v>
      </c>
      <c r="K872" s="3" t="inlineStr">
        <is>
          <t>계획관리지역 토지 매매</t>
        </is>
      </c>
      <c r="L872" s="6">
        <f>HYPERLINK("https://fin.land.naver.com/articles/2651646118", "매물Link")</f>
        <v/>
      </c>
      <c r="M872" s="6">
        <f>HYPERLINK("https://map.naver.com/p/search/부강면 문곡리 446", "지도Link")</f>
        <v/>
      </c>
      <c r="N872" s="6">
        <f>HYPERLINK("http://www.eum.go.kr/web/ar/lu/luLandDet.jsp?pnu=3611033025104460000&amp;isNoScr=script&amp;mode=search", "토지이음")</f>
        <v/>
      </c>
      <c r="O872" s="3" t="inlineStr">
        <is>
          <t>THE행복</t>
        </is>
      </c>
      <c r="P872" s="4" t="n">
        <v>2</v>
      </c>
      <c r="Q872" s="4" t="n">
        <v>226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부강면 문곡리 456</t>
        </is>
      </c>
      <c r="B873" s="3" t="inlineStr">
        <is>
          <t>계획관리지역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56000</v>
      </c>
      <c r="G873" s="4" t="n">
        <v>1544</v>
      </c>
      <c r="H873" s="4" t="n">
        <v>467</v>
      </c>
      <c r="I873" s="5" t="n">
        <v>119.9</v>
      </c>
      <c r="J873" s="5" t="n">
        <v>24.3</v>
      </c>
      <c r="K873" s="3" t="inlineStr">
        <is>
          <t>2차선 도로에 접하고, 관정 비닐하우스도 있음, 지하고속철도 진동없음</t>
        </is>
      </c>
      <c r="L873" s="6">
        <f>HYPERLINK("https://fin.land.naver.com/articles/2652070167", "매물Link")</f>
        <v/>
      </c>
      <c r="M873" s="6">
        <f>HYPERLINK("https://map.naver.com/p/search/부강면 문곡리 456", "지도Link")</f>
        <v/>
      </c>
      <c r="N873" s="6">
        <f>HYPERLINK("http://www.eum.go.kr/web/ar/lu/luLandDet.jsp?pnu=3611033025104560000&amp;isNoScr=script&amp;mode=search",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1544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문곡리 756-4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50000</v>
      </c>
      <c r="G874" s="4" t="n">
        <v>663</v>
      </c>
      <c r="H874" s="4" t="n">
        <v>201</v>
      </c>
      <c r="I874" s="5" t="n">
        <v>248.8</v>
      </c>
      <c r="J874" s="5" t="n">
        <v>81.90000000000001</v>
      </c>
      <c r="K874" s="3" t="inlineStr">
        <is>
          <t>남청주IC 근처, 접근성 좋은 작은 토지 매매</t>
        </is>
      </c>
      <c r="L874" s="6">
        <f>HYPERLINK("https://fin.land.naver.com/articles/2651713801", "매물Link")</f>
        <v/>
      </c>
      <c r="M874" s="6">
        <f>HYPERLINK("https://map.naver.com/p/search/부강면 문곡리 756-4", "지도Link")</f>
        <v/>
      </c>
      <c r="N874" s="6">
        <f>HYPERLINK("http://www.eum.go.kr/web/ar/lu/luLandDet.jsp?pnu=3611033025107560004&amp;isNoScr=script&amp;mode=search", "토지이음")</f>
        <v/>
      </c>
      <c r="O874" s="3" t="inlineStr">
        <is>
          <t>금화랜드</t>
        </is>
      </c>
      <c r="P874" s="4" t="n">
        <v>1</v>
      </c>
      <c r="Q874" s="4" t="n">
        <v>663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부강면 문곡리 802</t>
        </is>
      </c>
      <c r="B875" s="3" t="inlineStr">
        <is>
          <t>생산관리지역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40000</v>
      </c>
      <c r="G875" s="4" t="n">
        <v>2079</v>
      </c>
      <c r="H875" s="4" t="n">
        <v>629</v>
      </c>
      <c r="I875" s="5" t="n">
        <v>63.6</v>
      </c>
      <c r="J875" s="5" t="n">
        <v>44.2</v>
      </c>
      <c r="K875" s="3" t="inlineStr">
        <is>
          <t>nan</t>
        </is>
      </c>
      <c r="L875" s="6">
        <f>HYPERLINK("https://fin.land.naver.com/articles/2651247437", "매물Link")</f>
        <v/>
      </c>
      <c r="M875" s="6">
        <f>HYPERLINK("https://map.naver.com/p/search/부강면 문곡리 802", "지도Link")</f>
        <v/>
      </c>
      <c r="N875" s="6">
        <f>HYPERLINK("http://www.eum.go.kr/web/ar/lu/luLandDet.jsp?pnu=3611033025108020000&amp;isNoScr=script&amp;mode=search", "토지이음")</f>
        <v/>
      </c>
      <c r="O875" s="3" t="inlineStr">
        <is>
          <t>대웅</t>
        </is>
      </c>
      <c r="P875" s="4" t="n">
        <v>1</v>
      </c>
      <c r="Q875" s="4" t="n">
        <v>1061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부강면 문곡리 802</t>
        </is>
      </c>
      <c r="B876" s="3" t="inlineStr">
        <is>
          <t>생산관리지역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30000</v>
      </c>
      <c r="G876" s="4" t="n">
        <v>2079</v>
      </c>
      <c r="H876" s="4" t="n">
        <v>629</v>
      </c>
      <c r="I876" s="5" t="n">
        <v>47.7</v>
      </c>
      <c r="J876" s="5" t="n">
        <v>44.2</v>
      </c>
      <c r="K876" s="3" t="inlineStr">
        <is>
          <t>nan</t>
        </is>
      </c>
      <c r="L876" s="6">
        <f>HYPERLINK("https://fin.land.naver.com/articles/2654967426", "매물Link")</f>
        <v/>
      </c>
      <c r="M876" s="6">
        <f>HYPERLINK("https://map.naver.com/p/search/부강면 문곡리 802", "지도Link")</f>
        <v/>
      </c>
      <c r="N876" s="6">
        <f>HYPERLINK("http://www.eum.go.kr/web/ar/lu/luLandDet.jsp?pnu=3611033025108020000&amp;isNoScr=script&amp;mode=search", "토지이음")</f>
        <v/>
      </c>
      <c r="O876" s="3" t="inlineStr">
        <is>
          <t>갤러리</t>
        </is>
      </c>
      <c r="P876" s="4" t="n">
        <v>1</v>
      </c>
      <c r="Q876" s="4" t="n">
        <v>1061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세로한면(불)</t>
        </is>
      </c>
    </row>
    <row r="877">
      <c r="A877" s="3" t="inlineStr">
        <is>
          <t>부강면 문곡리 81</t>
        </is>
      </c>
      <c r="B877" s="3" t="inlineStr">
        <is>
          <t>계획관리지역</t>
        </is>
      </c>
      <c r="C877" s="3" t="inlineStr">
        <is>
          <t>답</t>
        </is>
      </c>
      <c r="D877" s="3" t="inlineStr">
        <is>
          <t>전</t>
        </is>
      </c>
      <c r="E877" s="3" t="inlineStr">
        <is>
          <t>매매</t>
        </is>
      </c>
      <c r="F877" s="4" t="n">
        <v>41000</v>
      </c>
      <c r="G877" s="4" t="n">
        <v>1038</v>
      </c>
      <c r="H877" s="4" t="n">
        <v>314</v>
      </c>
      <c r="I877" s="5" t="n">
        <v>130.6</v>
      </c>
      <c r="J877" s="5" t="n">
        <v>29.9</v>
      </c>
      <c r="K877" s="3" t="inlineStr">
        <is>
          <t>2차선 도로옆으로 남청주 IC 3km</t>
        </is>
      </c>
      <c r="L877" s="6">
        <f>HYPERLINK("https://fin.land.naver.com/articles/2651423441", "매물Link")</f>
        <v/>
      </c>
      <c r="M877" s="6">
        <f>HYPERLINK("https://map.naver.com/p/search/부강면 문곡리 81", "지도Link")</f>
        <v/>
      </c>
      <c r="N877" s="6">
        <f>HYPERLINK("http://www.eum.go.kr/web/ar/lu/luLandDet.jsp?pnu=3611033025100810000&amp;isNoScr=script&amp;mode=search", "토지이음")</f>
        <v/>
      </c>
      <c r="O877" s="3" t="inlineStr">
        <is>
          <t>대웅</t>
        </is>
      </c>
      <c r="P877" s="4" t="n">
        <v>1</v>
      </c>
      <c r="Q877" s="4" t="n">
        <v>635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부강면 문곡리 836-2</t>
        </is>
      </c>
      <c r="B878" s="3" t="inlineStr">
        <is>
          <t>계획관리지역</t>
        </is>
      </c>
      <c r="C878" s="3" t="inlineStr">
        <is>
          <t>답</t>
        </is>
      </c>
      <c r="D878" s="3" t="inlineStr">
        <is>
          <t>대</t>
        </is>
      </c>
      <c r="E878" s="3" t="inlineStr">
        <is>
          <t>매매</t>
        </is>
      </c>
      <c r="F878" s="4" t="n">
        <v>50000</v>
      </c>
      <c r="G878" s="4" t="n">
        <v>1815</v>
      </c>
      <c r="H878" s="4" t="n">
        <v>549</v>
      </c>
      <c r="I878" s="5" t="n">
        <v>91.09999999999999</v>
      </c>
      <c r="J878" s="5" t="n">
        <v>25.9</v>
      </c>
      <c r="K878" s="3" t="inlineStr">
        <is>
          <t>계획관리지역,  세종에서 10분이내거리</t>
        </is>
      </c>
      <c r="L878" s="6">
        <f>HYPERLINK("https://fin.land.naver.com/articles/2654450920", "매물Link")</f>
        <v/>
      </c>
      <c r="M878" s="6">
        <f>HYPERLINK("https://map.naver.com/p/search/부강면 문곡리 836-2", "지도Link")</f>
        <v/>
      </c>
      <c r="N878" s="6">
        <f>HYPERLINK("http://www.eum.go.kr/web/ar/lu/luLandDet.jsp?pnu=3611033025108360002&amp;isNoScr=script&amp;mode=search", "토지이음")</f>
        <v/>
      </c>
      <c r="O878" s="3" t="inlineStr">
        <is>
          <t>이담</t>
        </is>
      </c>
      <c r="P878" s="4" t="n">
        <v>2</v>
      </c>
      <c r="Q878" s="4" t="n">
        <v>1815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완경사</t>
        </is>
      </c>
      <c r="U878" s="3" t="inlineStr">
        <is>
          <t>가로장방</t>
        </is>
      </c>
      <c r="V878" s="3" t="inlineStr">
        <is>
          <t>세로한면(가)</t>
        </is>
      </c>
    </row>
    <row r="879">
      <c r="A879" s="3" t="inlineStr">
        <is>
          <t>부강면 문곡리 901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123000</v>
      </c>
      <c r="G879" s="4" t="n">
        <v>2710</v>
      </c>
      <c r="H879" s="4" t="n">
        <v>820</v>
      </c>
      <c r="I879" s="5" t="n">
        <v>150</v>
      </c>
      <c r="J879" s="5" t="n">
        <v>22.5</v>
      </c>
      <c r="K879" s="3" t="inlineStr">
        <is>
          <t>도로에 접한 계획관리 토지공장허가득함</t>
        </is>
      </c>
      <c r="L879" s="6">
        <f>HYPERLINK("https://fin.land.naver.com/articles/2650858523", "매물Link")</f>
        <v/>
      </c>
      <c r="M879" s="6">
        <f>HYPERLINK("https://map.naver.com/p/search/부강면 문곡리 901", "지도Link")</f>
        <v/>
      </c>
      <c r="N879" s="6">
        <f>HYPERLINK("http://www.eum.go.kr/web/ar/lu/luLandDet.jsp?pnu=3611033025109010000&amp;isNoScr=script&amp;mode=search", "토지이음")</f>
        <v/>
      </c>
      <c r="O879" s="3" t="inlineStr">
        <is>
          <t>세종대박</t>
        </is>
      </c>
      <c r="P879" s="4" t="n">
        <v>1</v>
      </c>
      <c r="Q879" s="4" t="n">
        <v>2147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부강면 문곡리 902-1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98800</v>
      </c>
      <c r="G880" s="4" t="n">
        <v>2334</v>
      </c>
      <c r="H880" s="4" t="n">
        <v>706</v>
      </c>
      <c r="I880" s="5" t="n">
        <v>139.9</v>
      </c>
      <c r="J880" s="5" t="n">
        <v>24.7</v>
      </c>
      <c r="K880" s="3" t="inlineStr">
        <is>
          <t>투자,공장,창고,주택용지 계획관리토지분할매매가능</t>
        </is>
      </c>
      <c r="L880" s="6">
        <f>HYPERLINK("https://fin.land.naver.com/articles/2655032760", "매물Link")</f>
        <v/>
      </c>
      <c r="M880" s="6">
        <f>HYPERLINK("https://map.naver.com/p/search/부강면 문곡리 902-1", "지도Link")</f>
        <v/>
      </c>
      <c r="N880" s="6">
        <f>HYPERLINK("http://www.eum.go.kr/web/ar/lu/luLandDet.jsp?pnu=3611033025109020001&amp;isNoScr=script&amp;mode=search", "토지이음")</f>
        <v/>
      </c>
      <c r="O880" s="3" t="inlineStr">
        <is>
          <t>세종대박</t>
        </is>
      </c>
      <c r="P880" s="4" t="n">
        <v>4</v>
      </c>
      <c r="Q880" s="4" t="n">
        <v>2334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문곡리 903-3</t>
        </is>
      </c>
      <c r="B881" s="3" t="inlineStr">
        <is>
          <t>계획관리지역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136000</v>
      </c>
      <c r="G881" s="4" t="n">
        <v>3505</v>
      </c>
      <c r="H881" s="4" t="n">
        <v>1060</v>
      </c>
      <c r="I881" s="5" t="n">
        <v>128.3</v>
      </c>
      <c r="J881" s="5" t="n">
        <v>22.5</v>
      </c>
      <c r="K881" s="3" t="inlineStr">
        <is>
          <t>남청주IC와 가까워 물류센터,공장 추천,계획관리지역의 토지</t>
        </is>
      </c>
      <c r="L881" s="6">
        <f>HYPERLINK("https://fin.land.naver.com/articles/2654295080", "매물Link")</f>
        <v/>
      </c>
      <c r="M881" s="6">
        <f>HYPERLINK("https://map.naver.com/p/search/부강면 문곡리 903-3", "지도Link")</f>
        <v/>
      </c>
      <c r="N881" s="6">
        <f>HYPERLINK("http://www.eum.go.kr/web/ar/lu/luLandDet.jsp?pnu=3611033025109030003&amp;isNoScr=script&amp;mode=search", "토지이음")</f>
        <v/>
      </c>
      <c r="O881" s="3" t="inlineStr">
        <is>
          <t>(주)미르</t>
        </is>
      </c>
      <c r="P881" s="4" t="n">
        <v>1</v>
      </c>
      <c r="Q881" s="4" t="n">
        <v>3505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부강면 문곡리 903-3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136000</v>
      </c>
      <c r="G882" s="4" t="n">
        <v>3505</v>
      </c>
      <c r="H882" s="4" t="n">
        <v>1060</v>
      </c>
      <c r="I882" s="5" t="n">
        <v>128.3</v>
      </c>
      <c r="J882" s="5" t="n">
        <v>22.5</v>
      </c>
      <c r="K882" s="3" t="inlineStr">
        <is>
          <t>즉시 건축 가능한 공장 및 창고부지 계획관리지역 남청주 IC인근</t>
        </is>
      </c>
      <c r="L882" s="6">
        <f>HYPERLINK("https://fin.land.naver.com/articles/2651924940", "매물Link")</f>
        <v/>
      </c>
      <c r="M882" s="6">
        <f>HYPERLINK("https://map.naver.com/p/search/부강면 문곡리 903-3", "지도Link")</f>
        <v/>
      </c>
      <c r="N882" s="6">
        <f>HYPERLINK("http://www.eum.go.kr/web/ar/lu/luLandDet.jsp?pnu=3611033025109030003&amp;isNoScr=script&amp;mode=search", "토지이음")</f>
        <v/>
      </c>
      <c r="O882" s="3" t="inlineStr">
        <is>
          <t>대전토지로무소</t>
        </is>
      </c>
      <c r="P882" s="4" t="n">
        <v>1</v>
      </c>
      <c r="Q882" s="4" t="n">
        <v>3505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문곡리 918-1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250000</v>
      </c>
      <c r="G883" s="4" t="n">
        <v>2991</v>
      </c>
      <c r="H883" s="4" t="n">
        <v>905</v>
      </c>
      <c r="I883" s="5" t="n">
        <v>276.2</v>
      </c>
      <c r="J883" s="5" t="n">
        <v>96.2</v>
      </c>
      <c r="K883" s="3" t="inlineStr">
        <is>
          <t>조율가능 2차선변 진입로넓음 토지모양 평탄화 컨디션최상</t>
        </is>
      </c>
      <c r="L883" s="6">
        <f>HYPERLINK("https://fin.land.naver.com/articles/2652943481", "매물Link")</f>
        <v/>
      </c>
      <c r="M883" s="6">
        <f>HYPERLINK("https://map.naver.com/p/search/부강면 문곡리 918-1", "지도Link")</f>
        <v/>
      </c>
      <c r="N883" s="6">
        <f>HYPERLINK("http://www.eum.go.kr/web/ar/lu/luLandDet.jsp?pnu=3611033025109180001&amp;isNoScr=script&amp;mode=search", "토지이음")</f>
        <v/>
      </c>
      <c r="O883" s="3" t="inlineStr">
        <is>
          <t>세종스타</t>
        </is>
      </c>
      <c r="P883" s="4" t="n">
        <v>1</v>
      </c>
      <c r="Q883" s="4" t="n">
        <v>2063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부강면 문곡리 산79</t>
        </is>
      </c>
      <c r="B884" s="3" t="inlineStr">
        <is>
          <t>보전관리지역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630000</v>
      </c>
      <c r="G884" s="4" t="n">
        <v>25033</v>
      </c>
      <c r="H884" s="4" t="n">
        <v>7572</v>
      </c>
      <c r="I884" s="5" t="n">
        <v>83.2</v>
      </c>
      <c r="J884" s="5" t="n">
        <v>7.7</v>
      </c>
      <c r="K884" s="3" t="inlineStr">
        <is>
          <t>5생활권과 남청주IC 중간에 위치한 보전관리 토지</t>
        </is>
      </c>
      <c r="L884" s="6">
        <f>HYPERLINK("https://fin.land.naver.com/articles/2653532400", "매물Link")</f>
        <v/>
      </c>
      <c r="M884" s="6">
        <f>HYPERLINK("https://map.naver.com/p/search/부강면 문곡리 산79", "지도Link")</f>
        <v/>
      </c>
      <c r="N884" s="6">
        <f>HYPERLINK("http://www.eum.go.kr/web/ar/lu/luLandDet.jsp?pnu=3611033025200790000&amp;isNoScr=script&amp;mode=search", "토지이음")</f>
        <v/>
      </c>
      <c r="O884" s="3" t="inlineStr">
        <is>
          <t>황제</t>
        </is>
      </c>
      <c r="P884" s="4" t="n">
        <v>1</v>
      </c>
      <c r="Q884" s="4" t="n">
        <v>25033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소로한면</t>
        </is>
      </c>
    </row>
    <row r="885">
      <c r="A885" s="3" t="inlineStr">
        <is>
          <t>부강면 부강리 1003-3</t>
        </is>
      </c>
      <c r="B885" s="3" t="inlineStr">
        <is>
          <t>제1종일반주거지역</t>
        </is>
      </c>
      <c r="C885" s="3" t="inlineStr">
        <is>
          <t>잡종지</t>
        </is>
      </c>
      <c r="D885" s="3" t="inlineStr">
        <is>
          <t>잡종지</t>
        </is>
      </c>
      <c r="E885" s="3" t="inlineStr">
        <is>
          <t>월세</t>
        </is>
      </c>
      <c r="F885" s="4" t="n">
        <v>3000</v>
      </c>
      <c r="G885" s="4" t="n">
        <v>2345</v>
      </c>
      <c r="H885" s="4" t="n">
        <v>709</v>
      </c>
      <c r="I885" s="5" t="n">
        <v>0.4</v>
      </c>
      <c r="J885" s="5" t="n">
        <v>291.4</v>
      </c>
      <c r="K885" s="3" t="inlineStr">
        <is>
          <t>2차선도로에서 진입 대형화물차도 진입가능합니다.</t>
        </is>
      </c>
      <c r="L885" s="6">
        <f>HYPERLINK("https://fin.land.naver.com/articles/2651013568", "매물Link")</f>
        <v/>
      </c>
      <c r="M885" s="6">
        <f>HYPERLINK("https://map.naver.com/p/search/부강면 부강리 1003-3", "지도Link")</f>
        <v/>
      </c>
      <c r="N885" s="6">
        <f>HYPERLINK("http://www.eum.go.kr/web/ar/lu/luLandDet.jsp?pnu=3611033021110030003&amp;isNoScr=script&amp;mode=search", "토지이음")</f>
        <v/>
      </c>
      <c r="O885" s="3" t="inlineStr">
        <is>
          <t>연동스카이</t>
        </is>
      </c>
      <c r="P885" s="4" t="n">
        <v>1</v>
      </c>
      <c r="Q885" s="4" t="n">
        <v>1494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소로한면</t>
        </is>
      </c>
    </row>
    <row r="886">
      <c r="A886" s="3" t="inlineStr">
        <is>
          <t>부강면 부강리 1046-1</t>
        </is>
      </c>
      <c r="B886" s="3" t="inlineStr">
        <is>
          <t>자연녹지지역</t>
        </is>
      </c>
      <c r="C886" s="3" t="inlineStr">
        <is>
          <t>대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1521</v>
      </c>
      <c r="H886" s="4" t="n">
        <v>460</v>
      </c>
      <c r="I886" s="5" t="n">
        <v>152.2</v>
      </c>
      <c r="J886" s="5" t="n">
        <v>90.59999999999999</v>
      </c>
      <c r="K886" s="3" t="inlineStr">
        <is>
          <t>nan</t>
        </is>
      </c>
      <c r="L886" s="6">
        <f>HYPERLINK("https://fin.land.naver.com/articles/2651729349", "매물Link")</f>
        <v/>
      </c>
      <c r="M886" s="6">
        <f>HYPERLINK("https://map.naver.com/p/search/부강면 부강리 1046-1", "지도Link")</f>
        <v/>
      </c>
      <c r="N886" s="6">
        <f>HYPERLINK("http://www.eum.go.kr/web/ar/lu/luLandDet.jsp?pnu=3611033021110460001&amp;isNoScr=script&amp;mode=search", "토지이음")</f>
        <v/>
      </c>
      <c r="O886" s="3" t="inlineStr">
        <is>
          <t>세종땅전문</t>
        </is>
      </c>
      <c r="P886" s="4" t="n">
        <v>1</v>
      </c>
      <c r="Q886" s="4" t="n">
        <v>125</v>
      </c>
      <c r="R886" s="3" t="inlineStr">
        <is>
          <t>지정되지않음</t>
        </is>
      </c>
      <c r="S886" s="3" t="inlineStr">
        <is>
          <t>주거기타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부강면 부강리 1060-4</t>
        </is>
      </c>
      <c r="B887" s="3" t="inlineStr">
        <is>
          <t>자연녹지지역</t>
        </is>
      </c>
      <c r="C887" s="3" t="inlineStr">
        <is>
          <t>주차장</t>
        </is>
      </c>
      <c r="D887" s="3" t="inlineStr">
        <is>
          <t>주차장</t>
        </is>
      </c>
      <c r="E887" s="3" t="inlineStr">
        <is>
          <t>월세</t>
        </is>
      </c>
      <c r="F887" s="4" t="n">
        <v>1000</v>
      </c>
      <c r="G887" s="4" t="n">
        <v>1024</v>
      </c>
      <c r="H887" s="4" t="n">
        <v>310</v>
      </c>
      <c r="I887" s="5" t="n">
        <v>0.4</v>
      </c>
      <c r="J887" s="5" t="n">
        <v>62.8</v>
      </c>
      <c r="K887" s="3" t="inlineStr">
        <is>
          <t>버스 .대형차 차고지 사용하실분 환영 (사무실용도 27㎡)포함임</t>
        </is>
      </c>
      <c r="L887" s="6">
        <f>HYPERLINK("https://fin.land.naver.com/articles/2653206582", "매물Link")</f>
        <v/>
      </c>
      <c r="M887" s="6">
        <f>HYPERLINK("https://map.naver.com/p/search/부강면 부강리 1060-4", "지도Link")</f>
        <v/>
      </c>
      <c r="N887" s="6">
        <f>HYPERLINK("http://www.eum.go.kr/web/ar/lu/luLandDet.jsp?pnu=3611033021110600004&amp;isNoScr=script&amp;mode=search", "토지이음")</f>
        <v/>
      </c>
      <c r="O887" s="3" t="inlineStr">
        <is>
          <t>대박</t>
        </is>
      </c>
      <c r="P887" s="4" t="n">
        <v>1</v>
      </c>
      <c r="Q887" s="4" t="n">
        <v>1024</v>
      </c>
      <c r="R887" s="3" t="inlineStr">
        <is>
          <t>지정되지않음</t>
        </is>
      </c>
      <c r="S887" s="3" t="inlineStr">
        <is>
          <t>전기타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부강면 부강리 1078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75200</v>
      </c>
      <c r="G888" s="4" t="n">
        <v>3110</v>
      </c>
      <c r="H888" s="4" t="n">
        <v>941</v>
      </c>
      <c r="I888" s="5" t="n">
        <v>79.90000000000001</v>
      </c>
      <c r="J888" s="5" t="n">
        <v>34.5</v>
      </c>
      <c r="K888" s="3" t="inlineStr">
        <is>
          <t>투자용 토지</t>
        </is>
      </c>
      <c r="L888" s="6">
        <f>HYPERLINK("https://fin.land.naver.com/articles/2653769241", "매물Link")</f>
        <v/>
      </c>
      <c r="M888" s="6">
        <f>HYPERLINK("https://map.naver.com/p/search/부강면 부강리 1078", "지도Link")</f>
        <v/>
      </c>
      <c r="N888" s="6">
        <f>HYPERLINK("http://www.eum.go.kr/web/ar/lu/luLandDet.jsp?pnu=3611033021110780000&amp;isNoScr=script&amp;mode=search", "토지이음")</f>
        <v/>
      </c>
      <c r="O888" s="3" t="inlineStr">
        <is>
          <t>일오삼</t>
        </is>
      </c>
      <c r="P888" s="4" t="n">
        <v>1</v>
      </c>
      <c r="Q888" s="4" t="n">
        <v>902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부강면 부강리 1215-2</t>
        </is>
      </c>
      <c r="B889" s="3" t="inlineStr">
        <is>
          <t>계획관리지역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58000</v>
      </c>
      <c r="G889" s="4" t="n">
        <v>766</v>
      </c>
      <c r="H889" s="4" t="n">
        <v>232</v>
      </c>
      <c r="I889" s="5" t="n">
        <v>250</v>
      </c>
      <c r="J889" s="5" t="n">
        <v>40</v>
      </c>
      <c r="K889" s="3" t="inlineStr">
        <is>
          <t>대토추천, 세로한면불토지</t>
        </is>
      </c>
      <c r="L889" s="6">
        <f>HYPERLINK("https://fin.land.naver.com/articles/2650179837", "매물Link")</f>
        <v/>
      </c>
      <c r="M889" s="6">
        <f>HYPERLINK("https://map.naver.com/p/search/부강면 부강리 1215-2", "지도Link")</f>
        <v/>
      </c>
      <c r="N889" s="6">
        <f>HYPERLINK("http://www.eum.go.kr/web/ar/lu/luLandDet.jsp?pnu=3611033021112150002&amp;isNoScr=script&amp;mode=search",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766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부강면 부강리 1230</t>
        </is>
      </c>
      <c r="B890" s="3" t="inlineStr">
        <is>
          <t>계획관리지역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170000</v>
      </c>
      <c r="G890" s="4" t="n">
        <v>2365</v>
      </c>
      <c r="H890" s="4" t="n">
        <v>715</v>
      </c>
      <c r="I890" s="5" t="n">
        <v>237.8</v>
      </c>
      <c r="J890" s="5" t="n">
        <v>37.7</v>
      </c>
      <c r="K890" s="3" t="inlineStr">
        <is>
          <t>계획관리지역, 농막, 비닐하우스, 성토완료, 지하수있음</t>
        </is>
      </c>
      <c r="L890" s="6">
        <f>HYPERLINK("https://fin.land.naver.com/articles/2654450912", "매물Link")</f>
        <v/>
      </c>
      <c r="M890" s="6">
        <f>HYPERLINK("https://map.naver.com/p/search/부강면 부강리 1230", "지도Link")</f>
        <v/>
      </c>
      <c r="N890" s="6">
        <f>HYPERLINK("http://www.eum.go.kr/web/ar/lu/luLandDet.jsp?pnu=3611033021112300000&amp;isNoScr=script&amp;mode=search", "토지이음")</f>
        <v/>
      </c>
      <c r="O890" s="3" t="inlineStr">
        <is>
          <t>이담</t>
        </is>
      </c>
      <c r="P890" s="4" t="n">
        <v>1</v>
      </c>
      <c r="Q890" s="4" t="n">
        <v>2365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부강면 부강리 1252</t>
        </is>
      </c>
      <c r="B891" s="3" t="inlineStr">
        <is>
          <t>계획관리지역</t>
        </is>
      </c>
      <c r="C891" s="3" t="inlineStr">
        <is>
          <t>잡종지</t>
        </is>
      </c>
      <c r="D891" s="3" t="inlineStr">
        <is>
          <t>잡종지</t>
        </is>
      </c>
      <c r="E891" s="3" t="inlineStr">
        <is>
          <t>매매</t>
        </is>
      </c>
      <c r="F891" s="4" t="n">
        <v>1000000</v>
      </c>
      <c r="G891" s="4" t="n">
        <v>8347</v>
      </c>
      <c r="H891" s="4" t="n">
        <v>2525</v>
      </c>
      <c r="I891" s="5" t="n">
        <v>396</v>
      </c>
      <c r="J891" s="5" t="n">
        <v>97.40000000000001</v>
      </c>
      <c r="K891" s="3" t="inlineStr">
        <is>
          <t>세종 부강면 부강리 소재 토지 잡종지라 활용 방향 검토 폭이 넓은 편 계</t>
        </is>
      </c>
      <c r="L891" s="6">
        <f>HYPERLINK("https://fin.land.naver.com/articles/2651604812", "매물Link")</f>
        <v/>
      </c>
      <c r="M891" s="6">
        <f>HYPERLINK("https://map.naver.com/p/search/부강면 부강리 1252", "지도Link")</f>
        <v/>
      </c>
      <c r="N891" s="6">
        <f>HYPERLINK("http://www.eum.go.kr/web/ar/lu/luLandDet.jsp?pnu=3611033021112520000&amp;isNoScr=script&amp;mode=search", "토지이음")</f>
        <v/>
      </c>
      <c r="O891" s="3" t="inlineStr">
        <is>
          <t>세종몽땅</t>
        </is>
      </c>
      <c r="P891" s="4" t="n">
        <v>1</v>
      </c>
      <c r="Q891" s="4" t="n">
        <v>4832</v>
      </c>
      <c r="R891" s="3" t="inlineStr">
        <is>
          <t>지정되지않음</t>
        </is>
      </c>
      <c r="S891" s="3" t="inlineStr">
        <is>
          <t>공업나지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부강리 343-1</t>
        </is>
      </c>
      <c r="B892" s="3" t="inlineStr">
        <is>
          <t>제2종일반주거지역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29500</v>
      </c>
      <c r="G892" s="4" t="n">
        <v>420</v>
      </c>
      <c r="H892" s="4" t="n">
        <v>127</v>
      </c>
      <c r="I892" s="5" t="n">
        <v>232.3</v>
      </c>
      <c r="J892" s="5" t="n">
        <v>94.90000000000001</v>
      </c>
      <c r="K892" s="3" t="inlineStr">
        <is>
          <t>코너각지땅모양예쁜땅,지대가높아확트인조망,행복도시10분이내</t>
        </is>
      </c>
      <c r="L892" s="6">
        <f>HYPERLINK("https://fin.land.naver.com/articles/2651590776", "매물Link")</f>
        <v/>
      </c>
      <c r="M892" s="6">
        <f>HYPERLINK("https://map.naver.com/p/search/부강면 부강리 343-1", "지도Link")</f>
        <v/>
      </c>
      <c r="N892" s="6">
        <f>HYPERLINK("http://www.eum.go.kr/web/ar/lu/luLandDet.jsp?pnu=3611033021103430001&amp;isNoScr=script&amp;mode=search", "토지이음")</f>
        <v/>
      </c>
      <c r="O892" s="3" t="inlineStr">
        <is>
          <t>타이밍</t>
        </is>
      </c>
      <c r="P892" s="4" t="n">
        <v>1</v>
      </c>
      <c r="Q892" s="4" t="n">
        <v>420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부강면 부강리 386</t>
        </is>
      </c>
      <c r="B893" s="3" t="inlineStr">
        <is>
          <t>제2종일반주거지역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50000</v>
      </c>
      <c r="G893" s="4" t="n">
        <v>664</v>
      </c>
      <c r="H893" s="4" t="n">
        <v>201</v>
      </c>
      <c r="I893" s="5" t="n">
        <v>248.8</v>
      </c>
      <c r="J893" s="5" t="n">
        <v>110</v>
      </c>
      <c r="K893" s="3" t="inlineStr">
        <is>
          <t>부강면 나대지 매매, 부강역, 부강면사무소 인근, 근생 및 단독주택 건축</t>
        </is>
      </c>
      <c r="L893" s="6">
        <f>HYPERLINK("https://fin.land.naver.com/articles/2654026451", "매물Link")</f>
        <v/>
      </c>
      <c r="M893" s="6">
        <f>HYPERLINK("https://map.naver.com/p/search/부강면 부강리 386", "지도Link")</f>
        <v/>
      </c>
      <c r="N893" s="6">
        <f>HYPERLINK("http://www.eum.go.kr/web/ar/lu/luLandDet.jsp?pnu=3611033021103860000&amp;isNoScr=script&amp;mode=search",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664</v>
      </c>
      <c r="R893" s="3" t="inlineStr">
        <is>
          <t>지정되지않음</t>
        </is>
      </c>
      <c r="S893" s="3" t="inlineStr">
        <is>
          <t>단독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446-13</t>
        </is>
      </c>
      <c r="B894" s="3" t="inlineStr">
        <is>
          <t>일반상업지역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140000</v>
      </c>
      <c r="G894" s="4" t="n">
        <v>522</v>
      </c>
      <c r="H894" s="4" t="n">
        <v>158</v>
      </c>
      <c r="I894" s="5" t="n">
        <v>886.1</v>
      </c>
      <c r="J894" s="5" t="n">
        <v>502.5</v>
      </c>
      <c r="K894" s="3" t="inlineStr">
        <is>
          <t>추천.  현재 식당 운영 입지좋은 위치 상업시설 짓기 좋은 곳</t>
        </is>
      </c>
      <c r="L894" s="6">
        <f>HYPERLINK("https://fin.land.naver.com/articles/2652475989", "매물Link")</f>
        <v/>
      </c>
      <c r="M894" s="6">
        <f>HYPERLINK("https://map.naver.com/p/search/부강면 부강리 446-13", "지도Link")</f>
        <v/>
      </c>
      <c r="N894" s="6">
        <f>HYPERLINK("http://www.eum.go.kr/web/ar/lu/luLandDet.jsp?pnu=3611033021104460013&amp;isNoScr=script&amp;mode=search", "토지이음")</f>
        <v/>
      </c>
      <c r="O894" s="3" t="inlineStr">
        <is>
          <t>한강롯데(단지내)</t>
        </is>
      </c>
      <c r="P894" s="4" t="n">
        <v>1</v>
      </c>
      <c r="Q894" s="4" t="n">
        <v>522</v>
      </c>
      <c r="R894" s="3" t="inlineStr">
        <is>
          <t>지정되지않음</t>
        </is>
      </c>
      <c r="S894" s="3" t="inlineStr">
        <is>
          <t>상업용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소로각지</t>
        </is>
      </c>
    </row>
    <row r="895">
      <c r="A895" s="3" t="inlineStr">
        <is>
          <t>부강면 부강리 457-3</t>
        </is>
      </c>
      <c r="B895" s="3" t="inlineStr">
        <is>
          <t>일반상업지역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95000</v>
      </c>
      <c r="G895" s="4" t="n">
        <v>767</v>
      </c>
      <c r="H895" s="4" t="n">
        <v>232</v>
      </c>
      <c r="I895" s="5" t="n">
        <v>409.5</v>
      </c>
      <c r="J895" s="5" t="n">
        <v>311.3</v>
      </c>
      <c r="K895" s="3" t="inlineStr">
        <is>
          <t>세종시의 주거 상업용지로  개발가치및 인프라좋은 저렴한 매물</t>
        </is>
      </c>
      <c r="L895" s="6">
        <f>HYPERLINK("https://fin.land.naver.com/articles/2651952349", "매물Link")</f>
        <v/>
      </c>
      <c r="M895" s="6">
        <f>HYPERLINK("https://map.naver.com/p/search/부강면 부강리 457-3", "지도Link")</f>
        <v/>
      </c>
      <c r="N895" s="6">
        <f>HYPERLINK("http://www.eum.go.kr/web/ar/lu/luLandDet.jsp?pnu=3611033021104570003&amp;isNoScr=script&amp;mode=search", "토지이음")</f>
        <v/>
      </c>
      <c r="O895" s="3" t="inlineStr">
        <is>
          <t>매그놀리아</t>
        </is>
      </c>
      <c r="P895" s="4" t="n">
        <v>2</v>
      </c>
      <c r="Q895" s="4" t="n">
        <v>767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소로한면</t>
        </is>
      </c>
    </row>
    <row r="896">
      <c r="A896" s="3" t="inlineStr">
        <is>
          <t>부강면 부강리 486-3</t>
        </is>
      </c>
      <c r="B896" s="3" t="inlineStr">
        <is>
          <t>제2종일반주거지역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68000</v>
      </c>
      <c r="G896" s="4" t="n">
        <v>545</v>
      </c>
      <c r="H896" s="4" t="n">
        <v>165</v>
      </c>
      <c r="I896" s="5" t="n">
        <v>412.1</v>
      </c>
      <c r="J896" s="5" t="n">
        <v>204.5</v>
      </c>
      <c r="K896" s="3" t="inlineStr">
        <is>
          <t>부강초등학교 인근에 있는 일반주거지역으로 다가구주택 부지로 좋은 대지</t>
        </is>
      </c>
      <c r="L896" s="6">
        <f>HYPERLINK("https://fin.land.naver.com/articles/2651241494", "매물Link")</f>
        <v/>
      </c>
      <c r="M896" s="6">
        <f>HYPERLINK("https://map.naver.com/p/search/부강면 부강리 486-3", "지도Link")</f>
        <v/>
      </c>
      <c r="N896" s="6">
        <f>HYPERLINK("http://www.eum.go.kr/web/ar/lu/luLandDet.jsp?pnu=3611033021104860003&amp;isNoScr=script&amp;mode=search", "토지이음")</f>
        <v/>
      </c>
      <c r="O896" s="3" t="inlineStr">
        <is>
          <t>스마일세종</t>
        </is>
      </c>
      <c r="P896" s="4" t="n">
        <v>1</v>
      </c>
      <c r="Q896" s="4" t="n">
        <v>545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소로한면</t>
        </is>
      </c>
    </row>
    <row r="897">
      <c r="A897" s="3" t="inlineStr">
        <is>
          <t>부강면 부강리 580-1</t>
        </is>
      </c>
      <c r="B897" s="3" t="inlineStr">
        <is>
          <t>일반공업지역</t>
        </is>
      </c>
      <c r="C897" s="3" t="inlineStr">
        <is>
          <t>답</t>
        </is>
      </c>
      <c r="D897" s="3" t="inlineStr">
        <is>
          <t>공장용지</t>
        </is>
      </c>
      <c r="E897" s="3" t="inlineStr">
        <is>
          <t>매매</t>
        </is>
      </c>
      <c r="F897" s="4" t="n">
        <v>346000</v>
      </c>
      <c r="G897" s="4" t="n">
        <v>3808</v>
      </c>
      <c r="H897" s="4" t="n">
        <v>1152</v>
      </c>
      <c r="I897" s="5" t="n">
        <v>300.3</v>
      </c>
      <c r="J897" s="5" t="n">
        <v>40.9</v>
      </c>
      <c r="K897" s="3" t="inlineStr">
        <is>
          <t>입지 좋은 접근성 최상의 토지, 대로 2류 착공 예정, 가격 상승 기대</t>
        </is>
      </c>
      <c r="L897" s="6">
        <f>HYPERLINK("https://fin.land.naver.com/articles/2651106962", "매물Link")</f>
        <v/>
      </c>
      <c r="M897" s="6">
        <f>HYPERLINK("https://map.naver.com/p/search/부강면 부강리 580-1", "지도Link")</f>
        <v/>
      </c>
      <c r="N897" s="6">
        <f>HYPERLINK("http://www.eum.go.kr/web/ar/lu/luLandDet.jsp?pnu=3611033021105800001&amp;isNoScr=script&amp;mode=search", "토지이음")</f>
        <v/>
      </c>
      <c r="O897" s="3" t="inlineStr">
        <is>
          <t>행복한무소</t>
        </is>
      </c>
      <c r="P897" s="4" t="n">
        <v>1</v>
      </c>
      <c r="Q897" s="4" t="n">
        <v>3127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세로한면(불)</t>
        </is>
      </c>
    </row>
    <row r="898">
      <c r="A898" s="3" t="inlineStr">
        <is>
          <t>부강면 부강리 717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66000</v>
      </c>
      <c r="G898" s="4" t="n">
        <v>545</v>
      </c>
      <c r="H898" s="4" t="n">
        <v>165</v>
      </c>
      <c r="I898" s="5" t="n">
        <v>400</v>
      </c>
      <c r="J898" s="5" t="n">
        <v>80.90000000000001</v>
      </c>
      <c r="K898" s="3" t="inlineStr">
        <is>
          <t>다용도로사용가능.현재사무실및창고용건물존재116.64제곱.금강변인접</t>
        </is>
      </c>
      <c r="L898" s="6">
        <f>HYPERLINK("https://fin.land.naver.com/articles/2653859208", "매물Link")</f>
        <v/>
      </c>
      <c r="M898" s="6">
        <f>HYPERLINK("https://map.naver.com/p/search/부강면 부강리 717", "지도Link")</f>
        <v/>
      </c>
      <c r="N898" s="6">
        <f>HYPERLINK("http://www.eum.go.kr/web/ar/lu/luLandDet.jsp?pnu=3611033021107170000&amp;isNoScr=script&amp;mode=search", "토지이음")</f>
        <v/>
      </c>
      <c r="O898" s="3" t="inlineStr">
        <is>
          <t>돈방석</t>
        </is>
      </c>
      <c r="P898" s="4" t="n">
        <v>1</v>
      </c>
      <c r="Q898" s="4" t="n">
        <v>545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세로장방</t>
        </is>
      </c>
      <c r="V898" s="3" t="inlineStr">
        <is>
          <t>세로한면(가)</t>
        </is>
      </c>
    </row>
    <row r="899">
      <c r="A899" s="3" t="inlineStr">
        <is>
          <t>부강면 부강리 729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34000</v>
      </c>
      <c r="G899" s="4" t="n">
        <v>894</v>
      </c>
      <c r="H899" s="4" t="n">
        <v>270</v>
      </c>
      <c r="I899" s="5" t="n">
        <v>125.9</v>
      </c>
      <c r="J899" s="5" t="n">
        <v>77.59999999999999</v>
      </c>
      <c r="K899" s="3" t="inlineStr">
        <is>
          <t>부강면과 북대전IC간 광역도로 개통 호재 있는 부강면 계획관리 대지 급매</t>
        </is>
      </c>
      <c r="L899" s="6">
        <f>HYPERLINK("https://fin.land.naver.com/articles/2651693416", "매물Link")</f>
        <v/>
      </c>
      <c r="M899" s="6">
        <f>HYPERLINK("https://map.naver.com/p/search/부강면 부강리 729", "지도Link")</f>
        <v/>
      </c>
      <c r="N899" s="6">
        <f>HYPERLINK("http://www.eum.go.kr/web/ar/lu/luLandDet.jsp?pnu=3611033021107290000&amp;isNoScr=script&amp;mode=search", "토지이음")</f>
        <v/>
      </c>
      <c r="O899" s="3" t="inlineStr">
        <is>
          <t>청담</t>
        </is>
      </c>
      <c r="P899" s="4" t="n">
        <v>1</v>
      </c>
      <c r="Q899" s="4" t="n">
        <v>600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부강리 745</t>
        </is>
      </c>
      <c r="B900" s="3" t="inlineStr">
        <is>
          <t>계획관리지역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50000</v>
      </c>
      <c r="G900" s="4" t="n">
        <v>1421</v>
      </c>
      <c r="H900" s="4" t="n">
        <v>430</v>
      </c>
      <c r="I900" s="5" t="n">
        <v>116.3</v>
      </c>
      <c r="J900" s="5" t="n">
        <v>36.3</v>
      </c>
      <c r="K900" s="3" t="inlineStr">
        <is>
          <t>세종 부강면 진입로 있는 토지,전기 인입등 투자용 토지</t>
        </is>
      </c>
      <c r="L900" s="6">
        <f>HYPERLINK("https://fin.land.naver.com/articles/2653416921", "매물Link")</f>
        <v/>
      </c>
      <c r="M900" s="6">
        <f>HYPERLINK("https://map.naver.com/p/search/부강면 부강리 745", "지도Link")</f>
        <v/>
      </c>
      <c r="N900" s="6">
        <f>HYPERLINK("http://www.eum.go.kr/web/ar/lu/luLandDet.jsp?pnu=3611033021107450000&amp;isNoScr=script&amp;mode=search", "토지이음")</f>
        <v/>
      </c>
      <c r="O900" s="3" t="inlineStr">
        <is>
          <t>민트</t>
        </is>
      </c>
      <c r="P900" s="4" t="n">
        <v>1</v>
      </c>
      <c r="Q900" s="4" t="n">
        <v>1421</v>
      </c>
      <c r="R900" s="3" t="inlineStr">
        <is>
          <t>지정되지않음</t>
        </is>
      </c>
      <c r="S900" s="3" t="inlineStr">
        <is>
          <t>전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부강면 부강리 758</t>
        </is>
      </c>
      <c r="B901" s="3" t="inlineStr">
        <is>
          <t>계획관리지역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28000</v>
      </c>
      <c r="G901" s="4" t="n">
        <v>634</v>
      </c>
      <c r="H901" s="4" t="n">
        <v>192</v>
      </c>
      <c r="I901" s="5" t="n">
        <v>145.8</v>
      </c>
      <c r="J901" s="5" t="n">
        <v>40.8</v>
      </c>
      <c r="K901" s="3" t="inlineStr">
        <is>
          <t>도로 인접</t>
        </is>
      </c>
      <c r="L901" s="6">
        <f>HYPERLINK("https://fin.land.naver.com/articles/2654420621", "매물Link")</f>
        <v/>
      </c>
      <c r="M901" s="6">
        <f>HYPERLINK("https://map.naver.com/p/search/부강면 부강리 758", "지도Link")</f>
        <v/>
      </c>
      <c r="N901" s="6">
        <f>HYPERLINK("http://www.eum.go.kr/web/ar/lu/luLandDet.jsp?pnu=3611033021107580000&amp;isNoScr=script&amp;mode=search", "토지이음")</f>
        <v/>
      </c>
      <c r="O901" s="3" t="inlineStr">
        <is>
          <t>세종제일1</t>
        </is>
      </c>
      <c r="P901" s="4" t="n">
        <v>3</v>
      </c>
      <c r="Q901" s="4" t="n">
        <v>631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825-4</t>
        </is>
      </c>
      <c r="B902" s="3" t="inlineStr">
        <is>
          <t>생산녹지지역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45000</v>
      </c>
      <c r="G902" s="4" t="n">
        <v>1337</v>
      </c>
      <c r="H902" s="4" t="n">
        <v>404</v>
      </c>
      <c r="I902" s="5" t="n">
        <v>111.4</v>
      </c>
      <c r="J902" s="5" t="n">
        <v>30.9</v>
      </c>
      <c r="K902" s="3" t="inlineStr">
        <is>
          <t>급매,가격협의가능, 대토 또는 투자로 추천</t>
        </is>
      </c>
      <c r="L902" s="6">
        <f>HYPERLINK("https://fin.land.naver.com/articles/2652281535", "매물Link")</f>
        <v/>
      </c>
      <c r="M902" s="6">
        <f>HYPERLINK("https://map.naver.com/p/search/부강면 부강리 825-4", "지도Link")</f>
        <v/>
      </c>
      <c r="N902" s="6">
        <f>HYPERLINK("http://www.eum.go.kr/web/ar/lu/luLandDet.jsp?pnu=3611033021108250004&amp;isNoScr=script&amp;mode=search", "토지이음")</f>
        <v/>
      </c>
      <c r="O902" s="3" t="inlineStr">
        <is>
          <t>담뜰</t>
        </is>
      </c>
      <c r="P902" s="4" t="n">
        <v>1</v>
      </c>
      <c r="Q902" s="4" t="n">
        <v>1337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맹지</t>
        </is>
      </c>
    </row>
    <row r="903">
      <c r="A903" s="3" t="inlineStr">
        <is>
          <t>부강면 부강리 885</t>
        </is>
      </c>
      <c r="B903" s="3" t="inlineStr">
        <is>
          <t>생산녹지지역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279000</v>
      </c>
      <c r="G903" s="4" t="n">
        <v>3075</v>
      </c>
      <c r="H903" s="4" t="n">
        <v>930</v>
      </c>
      <c r="I903" s="5" t="n">
        <v>300</v>
      </c>
      <c r="J903" s="5" t="n">
        <v>34.4</v>
      </c>
      <c r="K903" s="3" t="inlineStr">
        <is>
          <t>도시지역,2차선접,땅모양좋아요</t>
        </is>
      </c>
      <c r="L903" s="6">
        <f>HYPERLINK("https://fin.land.naver.com/articles/2650425544", "매물Link")</f>
        <v/>
      </c>
      <c r="M903" s="6">
        <f>HYPERLINK("https://map.naver.com/p/search/부강면 부강리 885", "지도Link")</f>
        <v/>
      </c>
      <c r="N903" s="6">
        <f>HYPERLINK("http://www.eum.go.kr/web/ar/lu/luLandDet.jsp?pnu=3611033021108850000&amp;isNoScr=script&amp;mode=search", "토지이음")</f>
        <v/>
      </c>
      <c r="O903" s="3" t="inlineStr">
        <is>
          <t>힐스테이트행복</t>
        </is>
      </c>
      <c r="P903" s="4" t="n">
        <v>1</v>
      </c>
      <c r="Q903" s="4" t="n">
        <v>833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부강면 부강리 888-1</t>
        </is>
      </c>
      <c r="B904" s="3" t="inlineStr">
        <is>
          <t>생산녹지지역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58000</v>
      </c>
      <c r="G904" s="4" t="n">
        <v>1758</v>
      </c>
      <c r="H904" s="4" t="n">
        <v>532</v>
      </c>
      <c r="I904" s="5" t="n">
        <v>109</v>
      </c>
      <c r="J904" s="5" t="n">
        <v>38.9</v>
      </c>
      <c r="K904" s="3" t="inlineStr">
        <is>
          <t>행복도시완성시  큰그림을 그릴수있는 위치의 토지로 주택이나 장기투자</t>
        </is>
      </c>
      <c r="L904" s="6">
        <f>HYPERLINK("https://fin.land.naver.com/articles/2652072270", "매물Link")</f>
        <v/>
      </c>
      <c r="M904" s="6">
        <f>HYPERLINK("https://map.naver.com/p/search/부강면 부강리 888-1", "지도Link")</f>
        <v/>
      </c>
      <c r="N904" s="6">
        <f>HYPERLINK("http://www.eum.go.kr/web/ar/lu/luLandDet.jsp?pnu=3611033021108880001&amp;isNoScr=script&amp;mode=search", "토지이음")</f>
        <v/>
      </c>
      <c r="O904" s="3" t="inlineStr">
        <is>
          <t>연동스카이</t>
        </is>
      </c>
      <c r="P904" s="4" t="n">
        <v>1</v>
      </c>
      <c r="Q904" s="4" t="n">
        <v>1759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부강면 부강리 894</t>
        </is>
      </c>
      <c r="B905" s="3" t="inlineStr">
        <is>
          <t>생산녹지지역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28000</v>
      </c>
      <c r="G905" s="4" t="n">
        <v>733</v>
      </c>
      <c r="H905" s="4" t="n">
        <v>222</v>
      </c>
      <c r="I905" s="5" t="n">
        <v>126.1</v>
      </c>
      <c r="J905" s="5" t="n">
        <v>40.9</v>
      </c>
      <c r="K905" s="3" t="inlineStr">
        <is>
          <t>소액으로 투자할수있는 가격저렴한 작은토지로 최상</t>
        </is>
      </c>
      <c r="L905" s="6">
        <f>HYPERLINK("https://fin.land.naver.com/articles/2650178056", "매물Link")</f>
        <v/>
      </c>
      <c r="M905" s="6">
        <f>HYPERLINK("https://map.naver.com/p/search/부강면 부강리 894", "지도Link")</f>
        <v/>
      </c>
      <c r="N905" s="6">
        <f>HYPERLINK("http://www.eum.go.kr/web/ar/lu/luLandDet.jsp?pnu=3611033021108940000&amp;isNoScr=script&amp;mode=search", "토지이음")</f>
        <v/>
      </c>
      <c r="O905" s="3" t="inlineStr">
        <is>
          <t>연동스카이</t>
        </is>
      </c>
      <c r="P905" s="4" t="n">
        <v>1</v>
      </c>
      <c r="Q905" s="4" t="n">
        <v>735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세로한면(불)</t>
        </is>
      </c>
    </row>
    <row r="906">
      <c r="A906" s="3" t="inlineStr">
        <is>
          <t>부강면 부강리 951</t>
        </is>
      </c>
      <c r="B906" s="3" t="inlineStr">
        <is>
          <t>제2종일반주거지역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35000</v>
      </c>
      <c r="G906" s="4" t="n">
        <v>288</v>
      </c>
      <c r="H906" s="4" t="n">
        <v>87</v>
      </c>
      <c r="I906" s="5" t="n">
        <v>402.3</v>
      </c>
      <c r="J906" s="5" t="n">
        <v>172.3</v>
      </c>
      <c r="K906" s="3" t="inlineStr">
        <is>
          <t>급매, 절충가능한 다가구 주택 부지로 적합한 제2종일반주거지역의 토지</t>
        </is>
      </c>
      <c r="L906" s="6">
        <f>HYPERLINK("https://fin.land.naver.com/articles/2653441628", "매물Link")</f>
        <v/>
      </c>
      <c r="M906" s="6">
        <f>HYPERLINK("https://map.naver.com/p/search/부강면 부강리 951", "지도Link")</f>
        <v/>
      </c>
      <c r="N906" s="6">
        <f>HYPERLINK("http://www.eum.go.kr/web/ar/lu/luLandDet.jsp?pnu=3611033021109510000&amp;isNoScr=script&amp;mode=search", "토지이음")</f>
        <v/>
      </c>
      <c r="O906" s="3" t="inlineStr">
        <is>
          <t>스마일세종</t>
        </is>
      </c>
      <c r="P906" s="4" t="n">
        <v>1</v>
      </c>
      <c r="Q906" s="4" t="n">
        <v>288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부강리 955-1</t>
        </is>
      </c>
      <c r="B907" s="3" t="inlineStr">
        <is>
          <t>생산녹지지역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85000</v>
      </c>
      <c r="G907" s="4" t="n">
        <v>1002</v>
      </c>
      <c r="H907" s="4" t="n">
        <v>303</v>
      </c>
      <c r="I907" s="5" t="n">
        <v>280.5</v>
      </c>
      <c r="J907" s="5" t="n">
        <v>50.6</v>
      </c>
      <c r="K907" s="3" t="inlineStr">
        <is>
          <t>nan</t>
        </is>
      </c>
      <c r="L907" s="6">
        <f>HYPERLINK("https://fin.land.naver.com/articles/2650177835", "매물Link")</f>
        <v/>
      </c>
      <c r="M907" s="6">
        <f>HYPERLINK("https://map.naver.com/p/search/부강면 부강리 955-1", "지도Link")</f>
        <v/>
      </c>
      <c r="N907" s="6">
        <f>HYPERLINK("http://www.eum.go.kr/web/ar/lu/luLandDet.jsp?pnu=3611033021109550001&amp;isNoScr=script&amp;mode=search", "토지이음")</f>
        <v/>
      </c>
      <c r="O907" s="3" t="inlineStr">
        <is>
          <t>연동스카이</t>
        </is>
      </c>
      <c r="P907" s="4" t="n">
        <v>1</v>
      </c>
      <c r="Q907" s="4" t="n">
        <v>1002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중로한면</t>
        </is>
      </c>
    </row>
    <row r="908">
      <c r="A908" s="3" t="inlineStr">
        <is>
          <t>부강면 부강리 961-1</t>
        </is>
      </c>
      <c r="B908" s="3" t="inlineStr">
        <is>
          <t>제2종일반주거지역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200000</v>
      </c>
      <c r="G908" s="4" t="n">
        <v>1220</v>
      </c>
      <c r="H908" s="4" t="n">
        <v>369</v>
      </c>
      <c r="I908" s="5" t="n">
        <v>542</v>
      </c>
      <c r="J908" s="5" t="n">
        <v>172.3</v>
      </c>
      <c r="K908" s="3" t="inlineStr">
        <is>
          <t>부강리 제2종일반주거지역으로 다가구 주택을 지으면 수익율 좋은 토지입니다</t>
        </is>
      </c>
      <c r="L908" s="6">
        <f>HYPERLINK("https://fin.land.naver.com/articles/2651928780", "매물Link")</f>
        <v/>
      </c>
      <c r="M908" s="6">
        <f>HYPERLINK("https://map.naver.com/p/search/부강면 부강리 961-1", "지도Link")</f>
        <v/>
      </c>
      <c r="N908" s="6">
        <f>HYPERLINK("http://www.eum.go.kr/web/ar/lu/luLandDet.jsp?pnu=3611033021109610001&amp;isNoScr=script&amp;mode=search",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1049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부강리 967-4</t>
        </is>
      </c>
      <c r="B909" s="3" t="inlineStr">
        <is>
          <t>제2종일반주거지역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120000</v>
      </c>
      <c r="G909" s="4" t="n">
        <v>990</v>
      </c>
      <c r="H909" s="4" t="n">
        <v>299</v>
      </c>
      <c r="I909" s="5" t="n">
        <v>401.3</v>
      </c>
      <c r="J909" s="5" t="n">
        <v>179.6</v>
      </c>
      <c r="K909" s="3" t="inlineStr">
        <is>
          <t>nan</t>
        </is>
      </c>
      <c r="L909" s="6">
        <f>HYPERLINK("https://fin.land.naver.com/articles/2653453130", "매물Link")</f>
        <v/>
      </c>
      <c r="M909" s="6">
        <f>HYPERLINK("https://map.naver.com/p/search/부강면 부강리 967-4", "지도Link")</f>
        <v/>
      </c>
      <c r="N909" s="6">
        <f>HYPERLINK("http://www.eum.go.kr/web/ar/lu/luLandDet.jsp?pnu=3611033021109670004&amp;isNoScr=script&amp;mode=search", "토지이음")</f>
        <v/>
      </c>
      <c r="O909" s="3" t="inlineStr">
        <is>
          <t>안성대로</t>
        </is>
      </c>
      <c r="P909" s="4" t="n">
        <v>1</v>
      </c>
      <c r="Q909" s="4" t="n">
        <v>990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부강면 부강리 973-26</t>
        </is>
      </c>
      <c r="B910" s="3" t="inlineStr">
        <is>
          <t>제2종일반주거지역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40000</v>
      </c>
      <c r="G910" s="4" t="n">
        <v>331</v>
      </c>
      <c r="H910" s="4" t="n">
        <v>100</v>
      </c>
      <c r="I910" s="5" t="n">
        <v>400</v>
      </c>
      <c r="J910" s="5" t="n">
        <v>179.6</v>
      </c>
      <c r="K910" s="3" t="inlineStr">
        <is>
          <t>8미터 계획도로접한 2종일반주거 다가구,상가 건축가능 오배수연결완료됨</t>
        </is>
      </c>
      <c r="L910" s="6">
        <f>HYPERLINK("https://fin.land.naver.com/articles/2652983558", "매물Link")</f>
        <v/>
      </c>
      <c r="M910" s="6">
        <f>HYPERLINK("https://map.naver.com/p/search/부강면 부강리 973-26", "지도Link")</f>
        <v/>
      </c>
      <c r="N910" s="6">
        <f>HYPERLINK("http://www.eum.go.kr/web/ar/lu/luLandDet.jsp?pnu=3611033021109730026&amp;isNoScr=script&amp;mode=search", "토지이음")</f>
        <v/>
      </c>
      <c r="O910" s="3" t="inlineStr">
        <is>
          <t>향기나는방</t>
        </is>
      </c>
      <c r="P910" s="4" t="n">
        <v>1</v>
      </c>
      <c r="Q910" s="4" t="n">
        <v>311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세로한면(가)</t>
        </is>
      </c>
    </row>
    <row r="911">
      <c r="A911" s="3" t="inlineStr">
        <is>
          <t>부강면 부강리 973-3</t>
        </is>
      </c>
      <c r="B911" s="3" t="inlineStr">
        <is>
          <t>제2종일반주거지역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35000</v>
      </c>
      <c r="G911" s="4" t="n">
        <v>263</v>
      </c>
      <c r="H911" s="4" t="n">
        <v>80</v>
      </c>
      <c r="I911" s="5" t="n">
        <v>437.5</v>
      </c>
      <c r="J911" s="5" t="n">
        <v>179.6</v>
      </c>
      <c r="K911" s="3" t="inlineStr">
        <is>
          <t>8미터 계획도로접한 2종일반주거 다가구,상가 건축가능 오배수연결완료됨</t>
        </is>
      </c>
      <c r="L911" s="6">
        <f>HYPERLINK("https://fin.land.naver.com/articles/2652983187", "매물Link")</f>
        <v/>
      </c>
      <c r="M911" s="6">
        <f>HYPERLINK("https://map.naver.com/p/search/부강면 부강리 973-3", "지도Link")</f>
        <v/>
      </c>
      <c r="N911" s="6">
        <f>HYPERLINK("http://www.eum.go.kr/web/ar/lu/luLandDet.jsp?pnu=3611033021109730003&amp;isNoScr=script&amp;mode=search", "토지이음")</f>
        <v/>
      </c>
      <c r="O911" s="3" t="inlineStr">
        <is>
          <t>향기나는방</t>
        </is>
      </c>
      <c r="P911" s="4" t="n">
        <v>1</v>
      </c>
      <c r="Q911" s="4" t="n">
        <v>263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부강면 산수리 128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42500</v>
      </c>
      <c r="G912" s="4" t="n">
        <v>934</v>
      </c>
      <c r="H912" s="4" t="n">
        <v>283</v>
      </c>
      <c r="I912" s="5" t="n">
        <v>150.2</v>
      </c>
      <c r="J912" s="5" t="n">
        <v>53.5</v>
      </c>
      <c r="K912" s="3" t="inlineStr">
        <is>
          <t>계획관리 대지 전원주택용 투자처로 추천</t>
        </is>
      </c>
      <c r="L912" s="6">
        <f>HYPERLINK("https://fin.land.naver.com/articles/2652998399", "매물Link")</f>
        <v/>
      </c>
      <c r="M912" s="6">
        <f>HYPERLINK("https://map.naver.com/p/search/부강면 산수리 128", "지도Link")</f>
        <v/>
      </c>
      <c r="N912" s="6">
        <f>HYPERLINK("http://www.eum.go.kr/web/ar/lu/luLandDet.jsp?pnu=3611033023101280000&amp;isNoScr=script&amp;mode=search", "토지이음")</f>
        <v/>
      </c>
      <c r="O912" s="3" t="inlineStr">
        <is>
          <t>뉴엘리트탑</t>
        </is>
      </c>
      <c r="P912" s="4" t="n">
        <v>1</v>
      </c>
      <c r="Q912" s="4" t="n">
        <v>934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산수리 162-1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42000</v>
      </c>
      <c r="G913" s="4" t="n">
        <v>1712</v>
      </c>
      <c r="H913" s="4" t="n">
        <v>518</v>
      </c>
      <c r="I913" s="5" t="n">
        <v>81.09999999999999</v>
      </c>
      <c r="J913" s="5" t="n">
        <v>35.2</v>
      </c>
      <c r="K913" s="3" t="inlineStr">
        <is>
          <t>식재된 나무 포함한 가격이며, 정남향의 아늑한토지</t>
        </is>
      </c>
      <c r="L913" s="6">
        <f>HYPERLINK("https://fin.land.naver.com/articles/2652065200", "매물Link")</f>
        <v/>
      </c>
      <c r="M913" s="6">
        <f>HYPERLINK("https://map.naver.com/p/search/부강면 산수리 162-1", "지도Link")</f>
        <v/>
      </c>
      <c r="N913" s="6">
        <f>HYPERLINK("http://www.eum.go.kr/web/ar/lu/luLandDet.jsp?pnu=3611033023101620001&amp;isNoScr=script&amp;mode=search", "토지이음")</f>
        <v/>
      </c>
      <c r="O913" s="3" t="inlineStr">
        <is>
          <t>연동스카이</t>
        </is>
      </c>
      <c r="P913" s="4" t="n">
        <v>1</v>
      </c>
      <c r="Q913" s="4" t="n">
        <v>1228</v>
      </c>
      <c r="R913" s="3" t="inlineStr">
        <is>
          <t>지정되지않음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산수리 207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38000</v>
      </c>
      <c r="G914" s="4" t="n">
        <v>943</v>
      </c>
      <c r="H914" s="4" t="n">
        <v>285</v>
      </c>
      <c r="I914" s="5" t="n">
        <v>133.3</v>
      </c>
      <c r="J914" s="5" t="n">
        <v>32.8</v>
      </c>
      <c r="K914" s="3" t="inlineStr">
        <is>
          <t>계획관리 투자 또는 전원생활 최적지로 강력 추천</t>
        </is>
      </c>
      <c r="L914" s="6">
        <f>HYPERLINK("https://fin.land.naver.com/articles/2655119321", "매물Link")</f>
        <v/>
      </c>
      <c r="M914" s="6">
        <f>HYPERLINK("https://map.naver.com/p/search/부강면 산수리 207", "지도Link")</f>
        <v/>
      </c>
      <c r="N914" s="6">
        <f>HYPERLINK("http://www.eum.go.kr/web/ar/lu/luLandDet.jsp?pnu=3611033023102070000&amp;isNoScr=script&amp;mode=search", "토지이음")</f>
        <v/>
      </c>
      <c r="O914" s="3" t="inlineStr">
        <is>
          <t>뉴엘리트탑</t>
        </is>
      </c>
      <c r="P914" s="4" t="n">
        <v>1</v>
      </c>
      <c r="Q914" s="4" t="n">
        <v>943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세로각지(불)</t>
        </is>
      </c>
    </row>
    <row r="915">
      <c r="A915" s="3" t="inlineStr">
        <is>
          <t>부강면 산수리 243</t>
        </is>
      </c>
      <c r="B915" s="3" t="inlineStr">
        <is>
          <t>계획관리지역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100000</v>
      </c>
      <c r="G915" s="4" t="n">
        <v>5421</v>
      </c>
      <c r="H915" s="4" t="n">
        <v>1640</v>
      </c>
      <c r="I915" s="5" t="n">
        <v>61</v>
      </c>
      <c r="J915" s="5" t="n">
        <v>64.59999999999999</v>
      </c>
      <c r="K915" s="3" t="inlineStr">
        <is>
          <t>주택허가축사경작지 일괄, 축산승계귀농농장 추천</t>
        </is>
      </c>
      <c r="L915" s="6">
        <f>HYPERLINK("https://fin.land.naver.com/articles/2649836388", "매물Link")</f>
        <v/>
      </c>
      <c r="M915" s="6">
        <f>HYPERLINK("https://map.naver.com/p/search/부강면 산수리 243", "지도Link")</f>
        <v/>
      </c>
      <c r="N915" s="6">
        <f>HYPERLINK("http://www.eum.go.kr/web/ar/lu/luLandDet.jsp?pnu=3611033023102430000&amp;isNoScr=script&amp;mode=search", "토지이음")</f>
        <v/>
      </c>
      <c r="O915" s="3" t="inlineStr">
        <is>
          <t>세종소담황금</t>
        </is>
      </c>
      <c r="P915" s="4" t="n">
        <v>1</v>
      </c>
      <c r="Q915" s="4" t="n">
        <v>660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세로한면(가)</t>
        </is>
      </c>
    </row>
    <row r="916">
      <c r="A916" s="3" t="inlineStr">
        <is>
          <t>부강면 산수리 243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100000</v>
      </c>
      <c r="G916" s="4" t="n">
        <v>5421</v>
      </c>
      <c r="H916" s="4" t="n">
        <v>1640</v>
      </c>
      <c r="I916" s="5" t="n">
        <v>61</v>
      </c>
      <c r="J916" s="5" t="n">
        <v>64.59999999999999</v>
      </c>
      <c r="K916" s="3" t="inlineStr">
        <is>
          <t>세종시 부강면 주택, 축사·부속시설, 전 사통팔달 교통,계획관리알짜 급매</t>
        </is>
      </c>
      <c r="L916" s="6">
        <f>HYPERLINK("https://fin.land.naver.com/articles/2650006026", "매물Link")</f>
        <v/>
      </c>
      <c r="M916" s="6">
        <f>HYPERLINK("https://map.naver.com/p/search/부강면 산수리 243", "지도Link")</f>
        <v/>
      </c>
      <c r="N916" s="6">
        <f>HYPERLINK("http://www.eum.go.kr/web/ar/lu/luLandDet.jsp?pnu=3611033023102430000&amp;isNoScr=script&amp;mode=search", "토지이음")</f>
        <v/>
      </c>
      <c r="O916" s="3" t="inlineStr">
        <is>
          <t>세종</t>
        </is>
      </c>
      <c r="P916" s="4" t="n">
        <v>2</v>
      </c>
      <c r="Q916" s="4" t="n">
        <v>660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세로한면(가)</t>
        </is>
      </c>
    </row>
    <row r="917">
      <c r="A917" s="3" t="inlineStr">
        <is>
          <t>부강면 산수리 243-2</t>
        </is>
      </c>
      <c r="B917" s="3" t="inlineStr">
        <is>
          <t>계획관리지역</t>
        </is>
      </c>
      <c r="C917" s="3" t="inlineStr">
        <is>
          <t>목장용지</t>
        </is>
      </c>
      <c r="D917" s="3" t="inlineStr">
        <is>
          <t>목장용지</t>
        </is>
      </c>
      <c r="E917" s="3" t="inlineStr">
        <is>
          <t>매매</t>
        </is>
      </c>
      <c r="F917" s="4" t="n">
        <v>100000</v>
      </c>
      <c r="G917" s="4" t="n">
        <v>5429</v>
      </c>
      <c r="H917" s="4" t="n">
        <v>1642</v>
      </c>
      <c r="I917" s="5" t="n">
        <v>60.9</v>
      </c>
      <c r="J917" s="5" t="n">
        <v>33.6</v>
      </c>
      <c r="K917" s="3" t="inlineStr">
        <is>
          <t>세종시 부강면 목장용지, 단독주택, 전으로 구성된 4필지 통매매가 10억</t>
        </is>
      </c>
      <c r="L917" s="6">
        <f>HYPERLINK("https://fin.land.naver.com/articles/2650228512", "매물Link")</f>
        <v/>
      </c>
      <c r="M917" s="6">
        <f>HYPERLINK("https://map.naver.com/p/search/부강면 산수리 243-2", "지도Link")</f>
        <v/>
      </c>
      <c r="N917" s="6">
        <f>HYPERLINK("http://www.eum.go.kr/web/ar/lu/luLandDet.jsp?pnu=3611033023102430002&amp;isNoScr=script&amp;mode=search", "토지이음")</f>
        <v/>
      </c>
      <c r="O917" s="3" t="inlineStr">
        <is>
          <t>5프로</t>
        </is>
      </c>
      <c r="P917" s="4" t="n">
        <v>1</v>
      </c>
      <c r="Q917" s="4" t="n">
        <v>2503</v>
      </c>
      <c r="R917" s="3" t="inlineStr">
        <is>
          <t>지정되지않음</t>
        </is>
      </c>
      <c r="S917" s="3" t="inlineStr">
        <is>
          <t>전축사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산수리 35-7</t>
        </is>
      </c>
      <c r="B918" s="3" t="inlineStr">
        <is>
          <t>농림지역</t>
        </is>
      </c>
      <c r="C918" s="3" t="inlineStr">
        <is>
          <t>창고용지</t>
        </is>
      </c>
      <c r="D918" s="3" t="inlineStr">
        <is>
          <t>창고용지</t>
        </is>
      </c>
      <c r="E918" s="3" t="inlineStr">
        <is>
          <t>매매</t>
        </is>
      </c>
      <c r="F918" s="4" t="n">
        <v>56000</v>
      </c>
      <c r="G918" s="4" t="n">
        <v>1237</v>
      </c>
      <c r="H918" s="4" t="n">
        <v>374</v>
      </c>
      <c r="I918" s="5" t="n">
        <v>149.7</v>
      </c>
      <c r="J918" s="5" t="n">
        <v>24.3</v>
      </c>
      <c r="K918" s="3" t="inlineStr">
        <is>
          <t>농림지역, 현 창고 ,산수삼거리 인접, 창고, 편의점, 소매, 고물상추천</t>
        </is>
      </c>
      <c r="L918" s="6">
        <f>HYPERLINK("https://fin.land.naver.com/articles/2650412987", "매물Link")</f>
        <v/>
      </c>
      <c r="M918" s="6">
        <f>HYPERLINK("https://map.naver.com/p/search/부강면 산수리 35-7", "지도Link")</f>
        <v/>
      </c>
      <c r="N918" s="6">
        <f>HYPERLINK("http://www.eum.go.kr/web/ar/lu/luLandDet.jsp?pnu=3611033023100350007&amp;isNoScr=script&amp;mode=search", "토지이음")</f>
        <v/>
      </c>
      <c r="O918" s="3" t="inlineStr">
        <is>
          <t>청주모충사모1/2LH트릴로채명성</t>
        </is>
      </c>
      <c r="P918" s="4" t="n">
        <v>1</v>
      </c>
      <c r="Q918" s="4" t="n">
        <v>1237</v>
      </c>
      <c r="R918" s="3" t="inlineStr">
        <is>
          <t>지정되지않음</t>
        </is>
      </c>
      <c r="S918" s="3" t="inlineStr">
        <is>
          <t>전창고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소로한면</t>
        </is>
      </c>
    </row>
    <row r="919">
      <c r="A919" s="3" t="inlineStr">
        <is>
          <t>부강면 산수리 366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40000</v>
      </c>
      <c r="G919" s="4" t="n">
        <v>3719</v>
      </c>
      <c r="H919" s="4" t="n">
        <v>1125</v>
      </c>
      <c r="I919" s="5" t="n">
        <v>35.6</v>
      </c>
      <c r="J919" s="5" t="n">
        <v>17.6</v>
      </c>
      <c r="K919" s="3" t="inlineStr">
        <is>
          <t>nan</t>
        </is>
      </c>
      <c r="L919" s="6">
        <f>HYPERLINK("https://fin.land.naver.com/articles/2649606859", "매물Link")</f>
        <v/>
      </c>
      <c r="M919" s="6">
        <f>HYPERLINK("https://map.naver.com/p/search/부강면 산수리 366", "지도Link")</f>
        <v/>
      </c>
      <c r="N919" s="6">
        <f>HYPERLINK("http://www.eum.go.kr/web/ar/lu/luLandDet.jsp?pnu=3611033023103660000&amp;isNoScr=script&amp;mode=search", "토지이음")</f>
        <v/>
      </c>
      <c r="O919" s="3" t="inlineStr">
        <is>
          <t>행복가득한</t>
        </is>
      </c>
      <c r="P919" s="4" t="n">
        <v>1</v>
      </c>
      <c r="Q919" s="4" t="n">
        <v>3719.7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세로한면(불)</t>
        </is>
      </c>
    </row>
    <row r="920">
      <c r="A920" s="3" t="inlineStr">
        <is>
          <t>부강면 산수리 397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31000</v>
      </c>
      <c r="G920" s="4" t="n">
        <v>3650</v>
      </c>
      <c r="H920" s="4" t="n">
        <v>1104</v>
      </c>
      <c r="I920" s="5" t="n">
        <v>28.1</v>
      </c>
      <c r="J920" s="5" t="n">
        <v>18</v>
      </c>
      <c r="K920" s="3" t="inlineStr">
        <is>
          <t>농지 급매  세종시 농지 매도합니다. 대토 추천</t>
        </is>
      </c>
      <c r="L920" s="6">
        <f>HYPERLINK("https://fin.land.naver.com/articles/2649906361", "매물Link")</f>
        <v/>
      </c>
      <c r="M920" s="6">
        <f>HYPERLINK("https://map.naver.com/p/search/부강면 산수리 397", "지도Link")</f>
        <v/>
      </c>
      <c r="N920" s="6">
        <f>HYPERLINK("http://www.eum.go.kr/web/ar/lu/luLandDet.jsp?pnu=3611033023103970000&amp;isNoScr=script&amp;mode=search", "토지이음")</f>
        <v/>
      </c>
      <c r="O920" s="3" t="inlineStr">
        <is>
          <t>미스터홈즈강남지사</t>
        </is>
      </c>
      <c r="P920" s="4" t="n">
        <v>1</v>
      </c>
      <c r="Q920" s="4" t="n">
        <v>3650.9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부강면 산수리 539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40000</v>
      </c>
      <c r="G921" s="4" t="n">
        <v>2201</v>
      </c>
      <c r="H921" s="4" t="n">
        <v>666</v>
      </c>
      <c r="I921" s="5" t="n">
        <v>60.1</v>
      </c>
      <c r="J921" s="5" t="n">
        <v>17.9</v>
      </c>
      <c r="K921" s="3" t="inlineStr">
        <is>
          <t>세종시 부강면에 위치한 토지 매매</t>
        </is>
      </c>
      <c r="L921" s="6">
        <f>HYPERLINK("https://fin.land.naver.com/articles/2653396017", "매물Link")</f>
        <v/>
      </c>
      <c r="M921" s="6">
        <f>HYPERLINK("https://map.naver.com/p/search/부강면 산수리 539", "지도Link")</f>
        <v/>
      </c>
      <c r="N921" s="6">
        <f>HYPERLINK("http://www.eum.go.kr/web/ar/lu/luLandDet.jsp?pnu=3611033023105390000&amp;isNoScr=script&amp;mode=search", "토지이음")</f>
        <v/>
      </c>
      <c r="O921" s="3" t="inlineStr">
        <is>
          <t>대지</t>
        </is>
      </c>
      <c r="P921" s="4" t="n">
        <v>1</v>
      </c>
      <c r="Q921" s="4" t="n">
        <v>2201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부강면 산수리 92-2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대</t>
        </is>
      </c>
      <c r="E922" s="3" t="inlineStr">
        <is>
          <t>매매</t>
        </is>
      </c>
      <c r="F922" s="4" t="n">
        <v>35000</v>
      </c>
      <c r="G922" s="4" t="n">
        <v>1352</v>
      </c>
      <c r="H922" s="4" t="n">
        <v>409</v>
      </c>
      <c r="I922" s="5" t="n">
        <v>85.59999999999999</v>
      </c>
      <c r="J922" s="5" t="n">
        <v>37.2</v>
      </c>
      <c r="K922" s="3" t="inlineStr">
        <is>
          <t>산수리 계획관리지역 대지 전 매매</t>
        </is>
      </c>
      <c r="L922" s="6">
        <f>HYPERLINK("https://fin.land.naver.com/articles/2652837621", "매물Link")</f>
        <v/>
      </c>
      <c r="M922" s="6">
        <f>HYPERLINK("https://map.naver.com/p/search/부강면 산수리 92-2", "지도Link")</f>
        <v/>
      </c>
      <c r="N922" s="6">
        <f>HYPERLINK("http://www.eum.go.kr/web/ar/lu/luLandDet.jsp?pnu=3611033023100920002&amp;isNoScr=script&amp;mode=search", "토지이음")</f>
        <v/>
      </c>
      <c r="O922" s="3" t="inlineStr">
        <is>
          <t>진성</t>
        </is>
      </c>
      <c r="P922" s="4" t="n">
        <v>1</v>
      </c>
      <c r="Q922" s="4" t="n">
        <v>939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산수리 92-2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35000</v>
      </c>
      <c r="G923" s="4" t="n">
        <v>1352</v>
      </c>
      <c r="H923" s="4" t="n">
        <v>409</v>
      </c>
      <c r="I923" s="5" t="n">
        <v>85.59999999999999</v>
      </c>
      <c r="J923" s="5" t="n">
        <v>37.2</v>
      </c>
      <c r="K923" s="3" t="inlineStr">
        <is>
          <t>산수리 계획관리지역으로 전과 대로 이뤄진 2필지 급매</t>
        </is>
      </c>
      <c r="L923" s="6">
        <f>HYPERLINK("https://fin.land.naver.com/articles/2652535526", "매물Link")</f>
        <v/>
      </c>
      <c r="M923" s="6">
        <f>HYPERLINK("https://map.naver.com/p/search/부강면 산수리 92-2", "지도Link")</f>
        <v/>
      </c>
      <c r="N923" s="6">
        <f>HYPERLINK("http://www.eum.go.kr/web/ar/lu/luLandDet.jsp?pnu=3611033023100920002&amp;isNoScr=script&amp;mode=search", "토지이음")</f>
        <v/>
      </c>
      <c r="O923" s="3" t="inlineStr">
        <is>
          <t>세종대장</t>
        </is>
      </c>
      <c r="P923" s="4" t="n">
        <v>1</v>
      </c>
      <c r="Q923" s="4" t="n">
        <v>939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산수리 산 47-10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23000</v>
      </c>
      <c r="G924" s="4" t="n">
        <v>606</v>
      </c>
      <c r="H924" s="4" t="n">
        <v>183</v>
      </c>
      <c r="I924" s="5" t="n">
        <v>125.7</v>
      </c>
      <c r="J924" s="5" t="n">
        <v>7.6</v>
      </c>
      <c r="K924" s="3" t="inlineStr">
        <is>
          <t>nan</t>
        </is>
      </c>
      <c r="L924" s="6">
        <f>HYPERLINK("https://fin.land.naver.com/articles/2654002362", "매물Link")</f>
        <v/>
      </c>
      <c r="M924" s="6">
        <f>HYPERLINK("https://map.naver.com/p/search/부강면 산수리 산 47-10", "지도Link")</f>
        <v/>
      </c>
      <c r="N924" s="6">
        <f>HYPERLINK("http://www.eum.go.kr/web/ar/lu/luLandDet.jsp?pnu=3611033023200470010&amp;isNoScr=script&amp;mode=search", "토지이음")</f>
        <v/>
      </c>
      <c r="O924" s="3" t="inlineStr">
        <is>
          <t>세종운좋은</t>
        </is>
      </c>
      <c r="P924" s="4" t="n">
        <v>1</v>
      </c>
      <c r="Q924" s="4" t="n">
        <v>376</v>
      </c>
      <c r="R924" s="3" t="inlineStr">
        <is>
          <t>지정되지않음</t>
        </is>
      </c>
      <c r="S924" s="3" t="inlineStr">
        <is>
          <t>자연림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맹지</t>
        </is>
      </c>
    </row>
    <row r="925">
      <c r="A925" s="3" t="inlineStr">
        <is>
          <t>부강면 행산리 118-11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16000</v>
      </c>
      <c r="G925" s="4" t="n">
        <v>155</v>
      </c>
      <c r="H925" s="4" t="n">
        <v>47</v>
      </c>
      <c r="I925" s="5" t="n">
        <v>340.4</v>
      </c>
      <c r="J925" s="5" t="n">
        <v>53.8</v>
      </c>
      <c r="K925" s="3" t="inlineStr">
        <is>
          <t>nan</t>
        </is>
      </c>
      <c r="L925" s="6">
        <f>HYPERLINK("https://fin.land.naver.com/articles/2653076920", "매물Link")</f>
        <v/>
      </c>
      <c r="M925" s="6">
        <f>HYPERLINK("https://map.naver.com/p/search/부강면 행산리 118-11", "지도Link")</f>
        <v/>
      </c>
      <c r="N925" s="6">
        <f>HYPERLINK("http://www.eum.go.kr/web/ar/lu/luLandDet.jsp?pnu=3611033022101180011&amp;isNoScr=script&amp;mode=search", "토지이음")</f>
        <v/>
      </c>
      <c r="O925" s="3" t="inlineStr">
        <is>
          <t>세종제일1</t>
        </is>
      </c>
      <c r="P925" s="4" t="n">
        <v>1</v>
      </c>
      <c r="Q925" s="4" t="n">
        <v>155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부강면 행산리 141-11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33900</v>
      </c>
      <c r="G926" s="4" t="n">
        <v>1130</v>
      </c>
      <c r="H926" s="4" t="n">
        <v>342</v>
      </c>
      <c r="I926" s="5" t="n">
        <v>99.09999999999999</v>
      </c>
      <c r="J926" s="5" t="n">
        <v>25</v>
      </c>
      <c r="K926" s="3" t="inlineStr">
        <is>
          <t>농사짓는 도로 인접</t>
        </is>
      </c>
      <c r="L926" s="6">
        <f>HYPERLINK("https://fin.land.naver.com/articles/2653077327", "매물Link")</f>
        <v/>
      </c>
      <c r="M926" s="6">
        <f>HYPERLINK("https://map.naver.com/p/search/부강면 행산리 141-11", "지도Link")</f>
        <v/>
      </c>
      <c r="N926" s="6">
        <f>HYPERLINK("http://www.eum.go.kr/web/ar/lu/luLandDet.jsp?pnu=3611033022101410011&amp;isNoScr=script&amp;mode=search", "토지이음")</f>
        <v/>
      </c>
      <c r="O926" s="3" t="inlineStr">
        <is>
          <t>세종제일1</t>
        </is>
      </c>
      <c r="P926" s="4" t="n">
        <v>1</v>
      </c>
      <c r="Q926" s="4" t="n">
        <v>1130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맹지</t>
        </is>
      </c>
    </row>
    <row r="927">
      <c r="A927" s="3" t="inlineStr">
        <is>
          <t>부강면 행산리 141-11</t>
        </is>
      </c>
      <c r="B927" s="3" t="inlineStr">
        <is>
          <t>계획관리지역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18800</v>
      </c>
      <c r="G927" s="4" t="n">
        <v>1130</v>
      </c>
      <c r="H927" s="4" t="n">
        <v>342</v>
      </c>
      <c r="I927" s="5" t="n">
        <v>55</v>
      </c>
      <c r="J927" s="5" t="n">
        <v>25</v>
      </c>
      <c r="K927" s="3" t="inlineStr">
        <is>
          <t>nan</t>
        </is>
      </c>
      <c r="L927" s="6">
        <f>HYPERLINK("https://fin.land.naver.com/articles/2653999588", "매물Link")</f>
        <v/>
      </c>
      <c r="M927" s="6">
        <f>HYPERLINK("https://map.naver.com/p/search/부강면 행산리 141-11", "지도Link")</f>
        <v/>
      </c>
      <c r="N927" s="6">
        <f>HYPERLINK("http://www.eum.go.kr/web/ar/lu/luLandDet.jsp?pnu=3611033022101410011&amp;isNoScr=script&amp;mode=search", "토지이음")</f>
        <v/>
      </c>
      <c r="O927" s="3" t="inlineStr">
        <is>
          <t>세종운좋은</t>
        </is>
      </c>
      <c r="P927" s="4" t="n">
        <v>1</v>
      </c>
      <c r="Q927" s="4" t="n">
        <v>1130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부강면 행산리 162-3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504000</v>
      </c>
      <c r="G928" s="4" t="n">
        <v>11751</v>
      </c>
      <c r="H928" s="4" t="n">
        <v>3555</v>
      </c>
      <c r="I928" s="5" t="n">
        <v>141.8</v>
      </c>
      <c r="J928" s="5" t="n">
        <v>41.2</v>
      </c>
      <c r="K928" s="3" t="inlineStr">
        <is>
          <t>세종시 부근에서 공장부지로 최상</t>
        </is>
      </c>
      <c r="L928" s="6">
        <f>HYPERLINK("https://fin.land.naver.com/articles/2653810262", "매물Link")</f>
        <v/>
      </c>
      <c r="M928" s="6">
        <f>HYPERLINK("https://map.naver.com/p/search/부강면 행산리 162-3", "지도Link")</f>
        <v/>
      </c>
      <c r="N928" s="6">
        <f>HYPERLINK("http://www.eum.go.kr/web/ar/lu/luLandDet.jsp?pnu=3611033022101620003&amp;isNoScr=script&amp;mode=search", "토지이음")</f>
        <v/>
      </c>
      <c r="O928" s="3" t="inlineStr">
        <is>
          <t>금화</t>
        </is>
      </c>
      <c r="P928" s="4" t="n">
        <v>1</v>
      </c>
      <c r="Q928" s="4" t="n">
        <v>8024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소로한면</t>
        </is>
      </c>
    </row>
    <row r="929">
      <c r="A929" s="3" t="inlineStr">
        <is>
          <t>부강면 행산리 162-3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390000</v>
      </c>
      <c r="G929" s="4" t="n">
        <v>8024</v>
      </c>
      <c r="H929" s="4" t="n">
        <v>2427</v>
      </c>
      <c r="I929" s="5" t="n">
        <v>160.7</v>
      </c>
      <c r="J929" s="5" t="n">
        <v>41.2</v>
      </c>
      <c r="K929" s="3" t="inlineStr">
        <is>
          <t>공장 및 창고용지로 추천합니다</t>
        </is>
      </c>
      <c r="L929" s="6">
        <f>HYPERLINK("https://fin.land.naver.com/articles/2653810140", "매물Link")</f>
        <v/>
      </c>
      <c r="M929" s="6">
        <f>HYPERLINK("https://map.naver.com/p/search/부강면 행산리 162-3", "지도Link")</f>
        <v/>
      </c>
      <c r="N929" s="6">
        <f>HYPERLINK("http://www.eum.go.kr/web/ar/lu/luLandDet.jsp?pnu=3611033022101620003&amp;isNoScr=script&amp;mode=search", "토지이음")</f>
        <v/>
      </c>
      <c r="O929" s="3" t="inlineStr">
        <is>
          <t>금화</t>
        </is>
      </c>
      <c r="P929" s="4" t="n">
        <v>1</v>
      </c>
      <c r="Q929" s="4" t="n">
        <v>8024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소로한면</t>
        </is>
      </c>
    </row>
    <row r="930">
      <c r="A930" s="3" t="inlineStr">
        <is>
          <t>부강면 행산리 163</t>
        </is>
      </c>
      <c r="B930" s="3" t="inlineStr">
        <is>
          <t>계획관리지역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33000</v>
      </c>
      <c r="G930" s="4" t="n">
        <v>1359</v>
      </c>
      <c r="H930" s="4" t="n">
        <v>411</v>
      </c>
      <c r="I930" s="5" t="n">
        <v>80.3</v>
      </c>
      <c r="J930" s="5" t="n">
        <v>38</v>
      </c>
      <c r="K930" s="3" t="inlineStr">
        <is>
          <t>청주전용도로 부근의 작고 아담한 계획관리 토지</t>
        </is>
      </c>
      <c r="L930" s="6">
        <f>HYPERLINK("https://fin.land.naver.com/articles/2650177374", "매물Link")</f>
        <v/>
      </c>
      <c r="M930" s="6">
        <f>HYPERLINK("https://map.naver.com/p/search/부강면 행산리 163", "지도Link")</f>
        <v/>
      </c>
      <c r="N930" s="6">
        <f>HYPERLINK("http://www.eum.go.kr/web/ar/lu/luLandDet.jsp?pnu=3611033022101630000&amp;isNoScr=script&amp;mode=search", "토지이음")</f>
        <v/>
      </c>
      <c r="O930" s="3" t="inlineStr">
        <is>
          <t>연동스카이</t>
        </is>
      </c>
      <c r="P930" s="4" t="n">
        <v>2</v>
      </c>
      <c r="Q930" s="4" t="n">
        <v>1359</v>
      </c>
      <c r="R930" s="3" t="inlineStr">
        <is>
          <t>농림지역</t>
        </is>
      </c>
      <c r="S930" s="3" t="inlineStr">
        <is>
          <t>전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224</t>
        </is>
      </c>
      <c r="B931" s="3" t="inlineStr">
        <is>
          <t>계획관리지역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85000</v>
      </c>
      <c r="G931" s="4" t="n">
        <v>1660</v>
      </c>
      <c r="H931" s="4" t="n">
        <v>502</v>
      </c>
      <c r="I931" s="5" t="n">
        <v>169.3</v>
      </c>
      <c r="J931" s="5" t="n">
        <v>34.1</v>
      </c>
      <c r="K931" s="3" t="inlineStr">
        <is>
          <t>세종시 부강면 행산리 2차선 도로변  토지 매매</t>
        </is>
      </c>
      <c r="L931" s="6">
        <f>HYPERLINK("https://fin.land.naver.com/articles/2650697330", "매물Link")</f>
        <v/>
      </c>
      <c r="M931" s="6">
        <f>HYPERLINK("https://map.naver.com/p/search/부강면 행산리 224", "지도Link")</f>
        <v/>
      </c>
      <c r="N931" s="6">
        <f>HYPERLINK("http://www.eum.go.kr/web/ar/lu/luLandDet.jsp?pnu=3611033022102240000&amp;isNoScr=script&amp;mode=search", "토지이음")</f>
        <v/>
      </c>
      <c r="O931" s="3" t="inlineStr">
        <is>
          <t>세종행복한</t>
        </is>
      </c>
      <c r="P931" s="4" t="n">
        <v>1</v>
      </c>
      <c r="Q931" s="4" t="n">
        <v>1660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소로한면</t>
        </is>
      </c>
    </row>
    <row r="932">
      <c r="A932" s="3" t="inlineStr">
        <is>
          <t>부강면 행산리 296</t>
        </is>
      </c>
      <c r="B932" s="3" t="inlineStr">
        <is>
          <t>계획관리지역</t>
        </is>
      </c>
      <c r="C932" s="3" t="inlineStr">
        <is>
          <t>목장용지</t>
        </is>
      </c>
      <c r="D932" s="3" t="inlineStr">
        <is>
          <t>목장용지</t>
        </is>
      </c>
      <c r="E932" s="3" t="inlineStr">
        <is>
          <t>매매</t>
        </is>
      </c>
      <c r="F932" s="4" t="n">
        <v>196500</v>
      </c>
      <c r="G932" s="4" t="n">
        <v>2713</v>
      </c>
      <c r="H932" s="4" t="n">
        <v>821</v>
      </c>
      <c r="I932" s="5" t="n">
        <v>239.3</v>
      </c>
      <c r="J932" s="5" t="n">
        <v>71.5</v>
      </c>
      <c r="K932" s="3" t="inlineStr">
        <is>
          <t>부강면 계획관리지역 목장용지, 토지 5,143.4제곱미터 매매</t>
        </is>
      </c>
      <c r="L932" s="6">
        <f>HYPERLINK("https://fin.land.naver.com/articles/2654690988", "매물Link")</f>
        <v/>
      </c>
      <c r="M932" s="6">
        <f>HYPERLINK("https://map.naver.com/p/search/부강면 행산리 296", "지도Link")</f>
        <v/>
      </c>
      <c r="N932" s="6">
        <f>HYPERLINK("http://www.eum.go.kr/web/ar/lu/luLandDet.jsp?pnu=3611033022102960000&amp;isNoScr=script&amp;mode=search", "토지이음")</f>
        <v/>
      </c>
      <c r="O932" s="3" t="inlineStr">
        <is>
          <t>진행</t>
        </is>
      </c>
      <c r="P932" s="4" t="n">
        <v>2</v>
      </c>
      <c r="Q932" s="4" t="n">
        <v>2713</v>
      </c>
      <c r="R932" s="3" t="inlineStr">
        <is>
          <t>지정되지않음</t>
        </is>
      </c>
      <c r="S932" s="3" t="inlineStr">
        <is>
          <t>단독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소로한면</t>
        </is>
      </c>
    </row>
    <row r="933">
      <c r="A933" s="3" t="inlineStr">
        <is>
          <t>부강면 행산리 347-3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124000</v>
      </c>
      <c r="G933" s="4" t="n">
        <v>4099</v>
      </c>
      <c r="H933" s="4" t="n">
        <v>1240</v>
      </c>
      <c r="I933" s="5" t="n">
        <v>100</v>
      </c>
      <c r="J933" s="5" t="n">
        <v>24.8</v>
      </c>
      <c r="K933" s="3" t="inlineStr">
        <is>
          <t>적극조율가능 도로접함 계획관리 골프장인접</t>
        </is>
      </c>
      <c r="L933" s="6">
        <f>HYPERLINK("https://fin.land.naver.com/articles/2654854859", "매물Link")</f>
        <v/>
      </c>
      <c r="M933" s="6">
        <f>HYPERLINK("https://map.naver.com/p/search/부강면 행산리 347-3", "지도Link")</f>
        <v/>
      </c>
      <c r="N933" s="6">
        <f>HYPERLINK("http://www.eum.go.kr/web/ar/lu/luLandDet.jsp?pnu=3611033022103470003&amp;isNoScr=script&amp;mode=search", "토지이음")</f>
        <v/>
      </c>
      <c r="O933" s="3" t="inlineStr">
        <is>
          <t>세종스타</t>
        </is>
      </c>
      <c r="P933" s="4" t="n">
        <v>1</v>
      </c>
      <c r="Q933" s="4" t="n">
        <v>4099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389</t>
        </is>
      </c>
      <c r="B934" s="3" t="inlineStr">
        <is>
          <t>계획관리지역</t>
        </is>
      </c>
      <c r="C934" s="3" t="inlineStr">
        <is>
          <t>과수원</t>
        </is>
      </c>
      <c r="D934" s="3" t="inlineStr">
        <is>
          <t>과수원</t>
        </is>
      </c>
      <c r="E934" s="3" t="inlineStr">
        <is>
          <t>매매</t>
        </is>
      </c>
      <c r="F934" s="4" t="n">
        <v>52000</v>
      </c>
      <c r="G934" s="4" t="n">
        <v>1725</v>
      </c>
      <c r="H934" s="4" t="n">
        <v>522</v>
      </c>
      <c r="I934" s="5" t="n">
        <v>99.59999999999999</v>
      </c>
      <c r="J934" s="5" t="n">
        <v>24.8</v>
      </c>
      <c r="K934" s="3" t="inlineStr">
        <is>
          <t>계획관리지역의 과수원으로 전기 및 인터넷, 상수도 배수시설이 완비된 토지</t>
        </is>
      </c>
      <c r="L934" s="6">
        <f>HYPERLINK("https://fin.land.naver.com/articles/2649861654", "매물Link")</f>
        <v/>
      </c>
      <c r="M934" s="6">
        <f>HYPERLINK("https://map.naver.com/p/search/부강면 행산리 389", "지도Link")</f>
        <v/>
      </c>
      <c r="N934" s="6">
        <f>HYPERLINK("http://www.eum.go.kr/web/ar/lu/luLandDet.jsp?pnu=3611033022103890000&amp;isNoScr=script&amp;mode=search", "토지이음")</f>
        <v/>
      </c>
      <c r="O934" s="3" t="inlineStr">
        <is>
          <t>스마일세종</t>
        </is>
      </c>
      <c r="P934" s="4" t="n">
        <v>2</v>
      </c>
      <c r="Q934" s="4" t="n">
        <v>1725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부강면 행산리 389-3</t>
        </is>
      </c>
      <c r="B935" s="3" t="inlineStr">
        <is>
          <t>계획관리지역</t>
        </is>
      </c>
      <c r="C935" s="3" t="inlineStr">
        <is>
          <t>과수원</t>
        </is>
      </c>
      <c r="D935" s="3" t="inlineStr">
        <is>
          <t>과수원</t>
        </is>
      </c>
      <c r="E935" s="3" t="inlineStr">
        <is>
          <t>매매</t>
        </is>
      </c>
      <c r="F935" s="4" t="n">
        <v>23600</v>
      </c>
      <c r="G935" s="4" t="n">
        <v>779</v>
      </c>
      <c r="H935" s="4" t="n">
        <v>236</v>
      </c>
      <c r="I935" s="5" t="n">
        <v>100</v>
      </c>
      <c r="J935" s="5" t="n">
        <v>24.8</v>
      </c>
      <c r="K935" s="3" t="inlineStr">
        <is>
          <t>급매,도로접한 계획관리지역,다용도 사용목적 가능,투자용 추천</t>
        </is>
      </c>
      <c r="L935" s="6">
        <f>HYPERLINK("https://fin.land.naver.com/articles/2654726224", "매물Link")</f>
        <v/>
      </c>
      <c r="M935" s="6">
        <f>HYPERLINK("https://map.naver.com/p/search/부강면 행산리 389-3", "지도Link")</f>
        <v/>
      </c>
      <c r="N935" s="6">
        <f>HYPERLINK("http://www.eum.go.kr/web/ar/lu/luLandDet.jsp?pnu=3611033022103890003&amp;isNoScr=script&amp;mode=search", "토지이음")</f>
        <v/>
      </c>
      <c r="O935" s="3" t="inlineStr">
        <is>
          <t>고운맘</t>
        </is>
      </c>
      <c r="P935" s="4" t="n">
        <v>1</v>
      </c>
      <c r="Q935" s="4" t="n">
        <v>779</v>
      </c>
      <c r="R935" s="3" t="inlineStr">
        <is>
          <t>지정되지않음</t>
        </is>
      </c>
      <c r="S935" s="3" t="inlineStr">
        <is>
          <t>과수원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부강면 행산리 389-3</t>
        </is>
      </c>
      <c r="B936" s="3" t="inlineStr">
        <is>
          <t>계획관리지역</t>
        </is>
      </c>
      <c r="C936" s="3" t="inlineStr">
        <is>
          <t>과수원</t>
        </is>
      </c>
      <c r="D936" s="3" t="inlineStr">
        <is>
          <t>과수원</t>
        </is>
      </c>
      <c r="E936" s="3" t="inlineStr">
        <is>
          <t>매매</t>
        </is>
      </c>
      <c r="F936" s="4" t="n">
        <v>23600</v>
      </c>
      <c r="G936" s="4" t="n">
        <v>779</v>
      </c>
      <c r="H936" s="4" t="n">
        <v>236</v>
      </c>
      <c r="I936" s="5" t="n">
        <v>100</v>
      </c>
      <c r="J936" s="5" t="n">
        <v>24.8</v>
      </c>
      <c r="K936" s="3" t="inlineStr">
        <is>
          <t>계획관리지역의 과수원으로 농촌 체류형 쉼터나 공방 및 전원주택지로 좋은</t>
        </is>
      </c>
      <c r="L936" s="6">
        <f>HYPERLINK("https://fin.land.naver.com/articles/2650242112", "매물Link")</f>
        <v/>
      </c>
      <c r="M936" s="6">
        <f>HYPERLINK("https://map.naver.com/p/search/부강면 행산리 389-3", "지도Link")</f>
        <v/>
      </c>
      <c r="N936" s="6">
        <f>HYPERLINK("http://www.eum.go.kr/web/ar/lu/luLandDet.jsp?pnu=3611033022103890003&amp;isNoScr=script&amp;mode=search", "토지이음")</f>
        <v/>
      </c>
      <c r="O936" s="3" t="inlineStr">
        <is>
          <t>스마일세종</t>
        </is>
      </c>
      <c r="P936" s="4" t="n">
        <v>1</v>
      </c>
      <c r="Q936" s="4" t="n">
        <v>779</v>
      </c>
      <c r="R936" s="3" t="inlineStr">
        <is>
          <t>지정되지않음</t>
        </is>
      </c>
      <c r="S936" s="3" t="inlineStr">
        <is>
          <t>과수원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부강면 행산리 389-3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38500</v>
      </c>
      <c r="G937" s="4" t="n">
        <v>1273</v>
      </c>
      <c r="H937" s="4" t="n">
        <v>385</v>
      </c>
      <c r="I937" s="5" t="n">
        <v>100</v>
      </c>
      <c r="J937" s="5" t="n">
        <v>24.8</v>
      </c>
      <c r="K937" s="3" t="inlineStr">
        <is>
          <t>감나무 블루베리 등이 식재되어 5생활권 5분거리 과수원</t>
        </is>
      </c>
      <c r="L937" s="6">
        <f>HYPERLINK("https://fin.land.naver.com/articles/2653686533", "매물Link")</f>
        <v/>
      </c>
      <c r="M937" s="6">
        <f>HYPERLINK("https://map.naver.com/p/search/부강면 행산리 389-3", "지도Link")</f>
        <v/>
      </c>
      <c r="N937" s="6">
        <f>HYPERLINK("http://www.eum.go.kr/web/ar/lu/luLandDet.jsp?pnu=3611033022103890003&amp;isNoScr=script&amp;mode=search", "토지이음")</f>
        <v/>
      </c>
      <c r="O937" s="3" t="inlineStr">
        <is>
          <t>지성</t>
        </is>
      </c>
      <c r="P937" s="4" t="n">
        <v>1</v>
      </c>
      <c r="Q937" s="4" t="n">
        <v>779</v>
      </c>
      <c r="R937" s="3" t="inlineStr">
        <is>
          <t>지정되지않음</t>
        </is>
      </c>
      <c r="S937" s="3" t="inlineStr">
        <is>
          <t>과수원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부강면 행산리 389-4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15000</v>
      </c>
      <c r="G938" s="4" t="n">
        <v>494</v>
      </c>
      <c r="H938" s="4" t="n">
        <v>149</v>
      </c>
      <c r="I938" s="5" t="n">
        <v>100.7</v>
      </c>
      <c r="J938" s="5" t="n">
        <v>24.8</v>
      </c>
      <c r="K938" s="3" t="inlineStr">
        <is>
          <t>행산리 황금필지, 세종5생활권의 최대의 수익지 , 건축바로가능</t>
        </is>
      </c>
      <c r="L938" s="6">
        <f>HYPERLINK("https://fin.land.naver.com/articles/2652566007", "매물Link")</f>
        <v/>
      </c>
      <c r="M938" s="6">
        <f>HYPERLINK("https://map.naver.com/p/search/부강면 행산리 389-4", "지도Link")</f>
        <v/>
      </c>
      <c r="N938" s="6">
        <f>HYPERLINK("http://www.eum.go.kr/web/ar/lu/luLandDet.jsp?pnu=3611033022103890004&amp;isNoScr=script&amp;mode=search", "토지이음")</f>
        <v/>
      </c>
      <c r="O938" s="3" t="inlineStr">
        <is>
          <t>이담</t>
        </is>
      </c>
      <c r="P938" s="4" t="n">
        <v>4</v>
      </c>
      <c r="Q938" s="4" t="n">
        <v>494</v>
      </c>
      <c r="R938" s="3" t="inlineStr">
        <is>
          <t>지정되지않음</t>
        </is>
      </c>
      <c r="S938" s="3" t="inlineStr">
        <is>
          <t>과수원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부강면 행산리 389-4</t>
        </is>
      </c>
      <c r="B939" s="3" t="inlineStr">
        <is>
          <t>계획관리지역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15000</v>
      </c>
      <c r="G939" s="4" t="n">
        <v>494</v>
      </c>
      <c r="H939" s="4" t="n">
        <v>149</v>
      </c>
      <c r="I939" s="5" t="n">
        <v>100.7</v>
      </c>
      <c r="J939" s="5" t="n">
        <v>24.8</v>
      </c>
      <c r="K939" s="3" t="inlineStr">
        <is>
          <t>급매,도로접한 계획관리지역,다용도 사용목적 가능,투자용 추천</t>
        </is>
      </c>
      <c r="L939" s="6">
        <f>HYPERLINK("https://fin.land.naver.com/articles/2654725590", "매물Link")</f>
        <v/>
      </c>
      <c r="M939" s="6">
        <f>HYPERLINK("https://map.naver.com/p/search/부강면 행산리 389-4", "지도Link")</f>
        <v/>
      </c>
      <c r="N939" s="6">
        <f>HYPERLINK("http://www.eum.go.kr/web/ar/lu/luLandDet.jsp?pnu=3611033022103890004&amp;isNoScr=script&amp;mode=search", "토지이음")</f>
        <v/>
      </c>
      <c r="O939" s="3" t="inlineStr">
        <is>
          <t>고운맘</t>
        </is>
      </c>
      <c r="P939" s="4" t="n">
        <v>1</v>
      </c>
      <c r="Q939" s="4" t="n">
        <v>494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부강면 행산리 393</t>
        </is>
      </c>
      <c r="B940" s="3" t="inlineStr">
        <is>
          <t>계획관리지역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82000</v>
      </c>
      <c r="G940" s="4" t="n">
        <v>8984</v>
      </c>
      <c r="H940" s="4" t="n">
        <v>2718</v>
      </c>
      <c r="I940" s="5" t="n">
        <v>30.2</v>
      </c>
      <c r="J940" s="5" t="n">
        <v>19.6</v>
      </c>
      <c r="K940" s="3" t="inlineStr">
        <is>
          <t>nan</t>
        </is>
      </c>
      <c r="L940" s="6">
        <f>HYPERLINK("https://fin.land.naver.com/articles/2650179359", "매물Link")</f>
        <v/>
      </c>
      <c r="M940" s="6">
        <f>HYPERLINK("https://map.naver.com/p/search/부강면 행산리 393", "지도Link")</f>
        <v/>
      </c>
      <c r="N940" s="6">
        <f>HYPERLINK("http://www.eum.go.kr/web/ar/lu/luLandDet.jsp?pnu=3611033022103930000&amp;isNoScr=script&amp;mode=search", "토지이음")</f>
        <v/>
      </c>
      <c r="O940" s="3" t="inlineStr">
        <is>
          <t>연동스카이</t>
        </is>
      </c>
      <c r="P940" s="4" t="n">
        <v>1</v>
      </c>
      <c r="Q940" s="4" t="n">
        <v>3269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부강면 행산리 447</t>
        </is>
      </c>
      <c r="B941" s="3" t="inlineStr">
        <is>
          <t>농림지역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24800</v>
      </c>
      <c r="G941" s="4" t="n">
        <v>1491</v>
      </c>
      <c r="H941" s="4" t="n">
        <v>451</v>
      </c>
      <c r="I941" s="5" t="n">
        <v>55</v>
      </c>
      <c r="J941" s="5" t="n">
        <v>18.3</v>
      </c>
      <c r="K941" s="3" t="inlineStr">
        <is>
          <t>매매가 할인2,200만원 대토농지</t>
        </is>
      </c>
      <c r="L941" s="6">
        <f>HYPERLINK("https://fin.land.naver.com/articles/2651396371", "매물Link")</f>
        <v/>
      </c>
      <c r="M941" s="6">
        <f>HYPERLINK("https://map.naver.com/p/search/부강면 행산리 447", "지도Link")</f>
        <v/>
      </c>
      <c r="N941" s="6">
        <f>HYPERLINK("http://www.eum.go.kr/web/ar/lu/luLandDet.jsp?pnu=3611033022104470000&amp;isNoScr=script&amp;mode=search", "토지이음")</f>
        <v/>
      </c>
      <c r="O941" s="3" t="inlineStr">
        <is>
          <t>로데오상가</t>
        </is>
      </c>
      <c r="P941" s="4" t="n">
        <v>1</v>
      </c>
      <c r="Q941" s="4" t="n">
        <v>1490.7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세로장방</t>
        </is>
      </c>
      <c r="V941" s="3" t="inlineStr">
        <is>
          <t>세로한면(가)</t>
        </is>
      </c>
    </row>
    <row r="942">
      <c r="A942" s="3" t="inlineStr">
        <is>
          <t>부강면 행산리 447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24800</v>
      </c>
      <c r="G942" s="4" t="n">
        <v>1490</v>
      </c>
      <c r="H942" s="4" t="n">
        <v>451</v>
      </c>
      <c r="I942" s="5" t="n">
        <v>55</v>
      </c>
      <c r="J942" s="5" t="n">
        <v>18.3</v>
      </c>
      <c r="K942" s="3" t="inlineStr">
        <is>
          <t>대토농지로 추천</t>
        </is>
      </c>
      <c r="L942" s="6">
        <f>HYPERLINK("https://fin.land.naver.com/articles/2651993752", "매물Link")</f>
        <v/>
      </c>
      <c r="M942" s="6">
        <f>HYPERLINK("https://map.naver.com/p/search/부강면 행산리 447", "지도Link")</f>
        <v/>
      </c>
      <c r="N942" s="6">
        <f>HYPERLINK("http://www.eum.go.kr/web/ar/lu/luLandDet.jsp?pnu=3611033022104470000&amp;isNoScr=script&amp;mode=search",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1490.7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세로한면(가)</t>
        </is>
      </c>
    </row>
    <row r="943">
      <c r="A943" s="3" t="inlineStr">
        <is>
          <t>부강면 행산리 448</t>
        </is>
      </c>
      <c r="B943" s="3" t="inlineStr">
        <is>
          <t>농림지역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130000</v>
      </c>
      <c r="G943" s="4" t="n">
        <v>7791</v>
      </c>
      <c r="H943" s="4" t="n">
        <v>2357</v>
      </c>
      <c r="I943" s="5" t="n">
        <v>55.2</v>
      </c>
      <c r="J943" s="5" t="n">
        <v>18.3</v>
      </c>
      <c r="K943" s="3" t="inlineStr">
        <is>
          <t>세종시5생활권입접.대규모농지.인접447번지와동시매매가능.장기투자목적</t>
        </is>
      </c>
      <c r="L943" s="6">
        <f>HYPERLINK("https://fin.land.naver.com/articles/2654871112", "매물Link")</f>
        <v/>
      </c>
      <c r="M943" s="6">
        <f>HYPERLINK("https://map.naver.com/p/search/부강면 행산리 448", "지도Link")</f>
        <v/>
      </c>
      <c r="N943" s="6">
        <f>HYPERLINK("http://www.eum.go.kr/web/ar/lu/luLandDet.jsp?pnu=3611033022104480000&amp;isNoScr=script&amp;mode=search", "토지이음")</f>
        <v/>
      </c>
      <c r="O943" s="3" t="inlineStr">
        <is>
          <t>돈방석</t>
        </is>
      </c>
      <c r="P943" s="4" t="n">
        <v>4</v>
      </c>
      <c r="Q943" s="4" t="n">
        <v>7790.7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부강면 행산리 448</t>
        </is>
      </c>
      <c r="B944" s="3" t="inlineStr">
        <is>
          <t>농림지역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141000</v>
      </c>
      <c r="G944" s="4" t="n">
        <v>7790</v>
      </c>
      <c r="H944" s="4" t="n">
        <v>2356</v>
      </c>
      <c r="I944" s="5" t="n">
        <v>59.8</v>
      </c>
      <c r="J944" s="5" t="n">
        <v>18.3</v>
      </c>
      <c r="K944" s="3" t="inlineStr">
        <is>
          <t>2차선 도로 인접 토지 매매</t>
        </is>
      </c>
      <c r="L944" s="6">
        <f>HYPERLINK("https://fin.land.naver.com/articles/2653135877", "매물Link")</f>
        <v/>
      </c>
      <c r="M944" s="6">
        <f>HYPERLINK("https://map.naver.com/p/search/부강면 행산리 448", "지도Link")</f>
        <v/>
      </c>
      <c r="N944" s="6">
        <f>HYPERLINK("http://www.eum.go.kr/web/ar/lu/luLandDet.jsp?pnu=3611033022104480000&amp;isNoScr=script&amp;mode=search", "토지이음")</f>
        <v/>
      </c>
      <c r="O944" s="3" t="inlineStr">
        <is>
          <t>주식회사넥서스</t>
        </is>
      </c>
      <c r="P944" s="4" t="n">
        <v>3</v>
      </c>
      <c r="Q944" s="4" t="n">
        <v>7790.7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부강면 행산리 448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129600</v>
      </c>
      <c r="G945" s="4" t="n">
        <v>7791</v>
      </c>
      <c r="H945" s="4" t="n">
        <v>2357</v>
      </c>
      <c r="I945" s="5" t="n">
        <v>55</v>
      </c>
      <c r="J945" s="5" t="n">
        <v>18.3</v>
      </c>
      <c r="K945" s="3" t="inlineStr">
        <is>
          <t>행산리 농림지역 대토 농지 논 답</t>
        </is>
      </c>
      <c r="L945" s="6">
        <f>HYPERLINK("https://fin.land.naver.com/articles/2651396542", "매물Link")</f>
        <v/>
      </c>
      <c r="M945" s="6">
        <f>HYPERLINK("https://map.naver.com/p/search/부강면 행산리 448", "지도Link")</f>
        <v/>
      </c>
      <c r="N945" s="6">
        <f>HYPERLINK("http://www.eum.go.kr/web/ar/lu/luLandDet.jsp?pnu=3611033022104480000&amp;isNoScr=script&amp;mode=search", "토지이음")</f>
        <v/>
      </c>
      <c r="O945" s="3" t="inlineStr">
        <is>
          <t>로데오상가</t>
        </is>
      </c>
      <c r="P945" s="4" t="n">
        <v>3</v>
      </c>
      <c r="Q945" s="4" t="n">
        <v>7790.7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세로한면(가)</t>
        </is>
      </c>
    </row>
    <row r="946">
      <c r="A946" s="3" t="inlineStr">
        <is>
          <t>부강면 행산리 552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35000</v>
      </c>
      <c r="G946" s="4" t="n">
        <v>2853</v>
      </c>
      <c r="H946" s="4" t="n">
        <v>863</v>
      </c>
      <c r="I946" s="5" t="n">
        <v>40.6</v>
      </c>
      <c r="J946" s="5" t="n">
        <v>16.9</v>
      </c>
      <c r="K946" s="3" t="inlineStr">
        <is>
          <t>청주에서 세종간 도로중 저산척북로 인근 행산교차로 인근의 경지정리된 논</t>
        </is>
      </c>
      <c r="L946" s="6">
        <f>HYPERLINK("https://fin.land.naver.com/articles/2654763564", "매물Link")</f>
        <v/>
      </c>
      <c r="M946" s="6">
        <f>HYPERLINK("https://map.naver.com/p/search/부강면 행산리 552", "지도Link")</f>
        <v/>
      </c>
      <c r="N946" s="6">
        <f>HYPERLINK("http://www.eum.go.kr/web/ar/lu/luLandDet.jsp?pnu=3611033022105520000&amp;isNoScr=script&amp;mode=search", "토지이음")</f>
        <v/>
      </c>
      <c r="O946" s="3" t="inlineStr">
        <is>
          <t>주식회사정원</t>
        </is>
      </c>
      <c r="P946" s="4" t="n">
        <v>1</v>
      </c>
      <c r="Q946" s="4" t="n">
        <v>2853.3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세로한면(가)</t>
        </is>
      </c>
    </row>
    <row r="947">
      <c r="A947" s="3" t="inlineStr">
        <is>
          <t>부강면 행산리 552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38000</v>
      </c>
      <c r="G947" s="4" t="n">
        <v>2853</v>
      </c>
      <c r="H947" s="4" t="n">
        <v>863</v>
      </c>
      <c r="I947" s="5" t="n">
        <v>44</v>
      </c>
      <c r="J947" s="5" t="n">
        <v>16.9</v>
      </c>
      <c r="K947" s="3" t="inlineStr">
        <is>
          <t>급매물 입니다 평당 45만원 입니다.</t>
        </is>
      </c>
      <c r="L947" s="6">
        <f>HYPERLINK("https://fin.land.naver.com/articles/2649632999", "매물Link")</f>
        <v/>
      </c>
      <c r="M947" s="6">
        <f>HYPERLINK("https://map.naver.com/p/search/부강면 행산리 552", "지도Link")</f>
        <v/>
      </c>
      <c r="N947" s="6">
        <f>HYPERLINK("http://www.eum.go.kr/web/ar/lu/luLandDet.jsp?pnu=3611033022105520000&amp;isNoScr=script&amp;mode=search", "토지이음")</f>
        <v/>
      </c>
      <c r="O947" s="3" t="inlineStr">
        <is>
          <t>승미</t>
        </is>
      </c>
      <c r="P947" s="4" t="n">
        <v>1</v>
      </c>
      <c r="Q947" s="4" t="n">
        <v>2853.3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부강면 행산리 615</t>
        </is>
      </c>
      <c r="B948" s="3" t="inlineStr">
        <is>
          <t>농림지역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57000</v>
      </c>
      <c r="G948" s="4" t="n">
        <v>1871</v>
      </c>
      <c r="H948" s="4" t="n">
        <v>566</v>
      </c>
      <c r="I948" s="5" t="n">
        <v>100.7</v>
      </c>
      <c r="J948" s="5" t="n">
        <v>18.1</v>
      </c>
      <c r="K948" s="3" t="inlineStr">
        <is>
          <t>2차선변 위치,마을인접,토지바로앞에 버스정류장 있어요</t>
        </is>
      </c>
      <c r="L948" s="6">
        <f>HYPERLINK("https://fin.land.naver.com/articles/2654217846", "매물Link")</f>
        <v/>
      </c>
      <c r="M948" s="6">
        <f>HYPERLINK("https://map.naver.com/p/search/부강면 행산리 615", "지도Link")</f>
        <v/>
      </c>
      <c r="N948" s="6">
        <f>HYPERLINK("http://www.eum.go.kr/web/ar/lu/luLandDet.jsp?pnu=3611033022106150000&amp;isNoScr=script&amp;mode=search", "토지이음")</f>
        <v/>
      </c>
      <c r="O948" s="3" t="inlineStr">
        <is>
          <t>가치잇는</t>
        </is>
      </c>
      <c r="P948" s="4" t="n">
        <v>6</v>
      </c>
      <c r="Q948" s="4" t="n">
        <v>1871.1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부강면 행산리 산65</t>
        </is>
      </c>
      <c r="B949" s="3" t="inlineStr">
        <is>
          <t>보전관리지역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18300</v>
      </c>
      <c r="G949" s="4" t="n">
        <v>6236</v>
      </c>
      <c r="H949" s="4" t="n">
        <v>1886</v>
      </c>
      <c r="I949" s="5" t="n">
        <v>9.699999999999999</v>
      </c>
      <c r="J949" s="5" t="n">
        <v>2.6</v>
      </c>
      <c r="K949" s="3" t="inlineStr">
        <is>
          <t>현황도로 접, 뽕나무 등 식재, 자연인  이나 휴식용공간으로 추천</t>
        </is>
      </c>
      <c r="L949" s="6">
        <f>HYPERLINK("https://fin.land.naver.com/articles/2649547090", "매물Link")</f>
        <v/>
      </c>
      <c r="M949" s="6">
        <f>HYPERLINK("https://map.naver.com/p/search/부강면 행산리 산65", "지도Link")</f>
        <v/>
      </c>
      <c r="N949" s="6">
        <f>HYPERLINK("http://www.eum.go.kr/web/ar/lu/luLandDet.jsp?pnu=3611033022200650000&amp;isNoScr=script&amp;mode=search", "토지이음")</f>
        <v/>
      </c>
      <c r="O949" s="3" t="inlineStr">
        <is>
          <t>박단아사사무소</t>
        </is>
      </c>
      <c r="P949" s="4" t="n">
        <v>1</v>
      </c>
      <c r="Q949" s="4" t="n">
        <v>6236</v>
      </c>
      <c r="R949" s="3" t="inlineStr">
        <is>
          <t>지정되지않음</t>
        </is>
      </c>
      <c r="S949" s="3" t="inlineStr">
        <is>
          <t>자연림</t>
        </is>
      </c>
      <c r="T949" s="3" t="inlineStr">
        <is>
          <t>완경사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아름동 1016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51000</v>
      </c>
      <c r="G950" s="4" t="n">
        <v>291</v>
      </c>
      <c r="H950" s="4" t="n">
        <v>88</v>
      </c>
      <c r="I950" s="5" t="n">
        <v>579.5</v>
      </c>
      <c r="J950" s="5" t="n">
        <v>331.9</v>
      </c>
      <c r="K950" s="3" t="inlineStr">
        <is>
          <t>동문에 남향 집 지을 수 있는 땅</t>
        </is>
      </c>
      <c r="L950" s="6">
        <f>HYPERLINK("https://fin.land.naver.com/articles/2652409741", "매물Link")</f>
        <v/>
      </c>
      <c r="M950" s="6">
        <f>HYPERLINK("https://map.naver.com/p/search/아름동 1016", "지도Link")</f>
        <v/>
      </c>
      <c r="N950" s="6">
        <f>HYPERLINK("http://www.eum.go.kr/web/ar/lu/luLandDet.jsp?pnu=3611011300110160000&amp;isNoScr=script&amp;mode=search", "토지이음")</f>
        <v/>
      </c>
      <c r="O950" s="3" t="inlineStr">
        <is>
          <t>세종다정랜드</t>
        </is>
      </c>
      <c r="P950" s="4" t="n">
        <v>1</v>
      </c>
      <c r="Q950" s="4" t="n">
        <v>291.5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소로한면</t>
        </is>
      </c>
    </row>
    <row r="951">
      <c r="A951" s="3" t="inlineStr">
        <is>
          <t>아름동 1037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65000</v>
      </c>
      <c r="G951" s="4" t="n">
        <v>331</v>
      </c>
      <c r="H951" s="4" t="n">
        <v>100</v>
      </c>
      <c r="I951" s="5" t="n">
        <v>650</v>
      </c>
      <c r="J951" s="5" t="n">
        <v>335.5</v>
      </c>
      <c r="K951" s="3" t="inlineStr">
        <is>
          <t>총 100.5p, 위치좋은 아름동 단독주택지 토지</t>
        </is>
      </c>
      <c r="L951" s="6">
        <f>HYPERLINK("https://fin.land.naver.com/articles/2654923828", "매물Link")</f>
        <v/>
      </c>
      <c r="M951" s="6">
        <f>HYPERLINK("https://map.naver.com/p/search/아름동 1037", "지도Link")</f>
        <v/>
      </c>
      <c r="N951" s="6">
        <f>HYPERLINK("http://www.eum.go.kr/web/ar/lu/luLandDet.jsp?pnu=3611011300110370000&amp;isNoScr=script&amp;mode=search",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331.9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소로한면</t>
        </is>
      </c>
    </row>
    <row r="952">
      <c r="A952" s="3" t="inlineStr">
        <is>
          <t>아름동 1037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65000</v>
      </c>
      <c r="G952" s="4" t="n">
        <v>331</v>
      </c>
      <c r="H952" s="4" t="n">
        <v>100</v>
      </c>
      <c r="I952" s="5" t="n">
        <v>650</v>
      </c>
      <c r="J952" s="5" t="n">
        <v>335.5</v>
      </c>
      <c r="K952" s="3" t="inlineStr">
        <is>
          <t>전용100.5p, 국제고인근, 아름동 단독주택지</t>
        </is>
      </c>
      <c r="L952" s="6">
        <f>HYPERLINK("https://fin.land.naver.com/articles/2652837740", "매물Link")</f>
        <v/>
      </c>
      <c r="M952" s="6">
        <f>HYPERLINK("https://map.naver.com/p/search/아름동 1037", "지도Link")</f>
        <v/>
      </c>
      <c r="N952" s="6">
        <f>HYPERLINK("http://www.eum.go.kr/web/ar/lu/luLandDet.jsp?pnu=3611011300110370000&amp;isNoScr=script&amp;mode=search",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331.9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1049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83000</v>
      </c>
      <c r="G953" s="4" t="n">
        <v>363</v>
      </c>
      <c r="H953" s="4" t="n">
        <v>110</v>
      </c>
      <c r="I953" s="5" t="n">
        <v>754.5</v>
      </c>
      <c r="J953" s="5" t="n">
        <v>366.6</v>
      </c>
      <c r="K953" s="3" t="inlineStr">
        <is>
          <t>nan</t>
        </is>
      </c>
      <c r="L953" s="6">
        <f>HYPERLINK("https://fin.land.naver.com/articles/2652410495", "매물Link")</f>
        <v/>
      </c>
      <c r="M953" s="6">
        <f>HYPERLINK("https://map.naver.com/p/search/아름동 1049", "지도Link")</f>
        <v/>
      </c>
      <c r="N953" s="6">
        <f>HYPERLINK("http://www.eum.go.kr/web/ar/lu/luLandDet.jsp?pnu=3611011300110490000&amp;isNoScr=script&amp;mode=search", "토지이음")</f>
        <v/>
      </c>
      <c r="O953" s="3" t="inlineStr">
        <is>
          <t>생명나무</t>
        </is>
      </c>
      <c r="P953" s="4" t="n">
        <v>1</v>
      </c>
      <c r="Q953" s="4" t="n">
        <v>363.6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소로각지</t>
        </is>
      </c>
    </row>
    <row r="954">
      <c r="A954" s="3" t="inlineStr">
        <is>
          <t>아름동 1079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65000</v>
      </c>
      <c r="G954" s="4" t="n">
        <v>357</v>
      </c>
      <c r="H954" s="4" t="n">
        <v>108</v>
      </c>
      <c r="I954" s="5" t="n">
        <v>601.9</v>
      </c>
      <c r="J954" s="5" t="n">
        <v>353.1</v>
      </c>
      <c r="K954" s="3" t="inlineStr">
        <is>
          <t>위치최상 벙커주차장가능 언덕 탁트인시야</t>
        </is>
      </c>
      <c r="L954" s="6">
        <f>HYPERLINK("https://fin.land.naver.com/articles/2653670515", "매물Link")</f>
        <v/>
      </c>
      <c r="M954" s="6">
        <f>HYPERLINK("https://map.naver.com/p/search/아름동 1079", "지도Link")</f>
        <v/>
      </c>
      <c r="N954" s="6">
        <f>HYPERLINK("http://www.eum.go.kr/web/ar/lu/luLandDet.jsp?pnu=3611011300110790000&amp;isNoScr=script&amp;mode=search", "토지이음")</f>
        <v/>
      </c>
      <c r="O954" s="3" t="inlineStr">
        <is>
          <t>세종스타</t>
        </is>
      </c>
      <c r="P954" s="4" t="n">
        <v>1</v>
      </c>
      <c r="Q954" s="4" t="n">
        <v>357.1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1116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83000</v>
      </c>
      <c r="G955" s="4" t="n">
        <v>359</v>
      </c>
      <c r="H955" s="4" t="n">
        <v>109</v>
      </c>
      <c r="I955" s="5" t="n">
        <v>761.5</v>
      </c>
      <c r="J955" s="5" t="n">
        <v>373.9</v>
      </c>
      <c r="K955" s="3" t="inlineStr">
        <is>
          <t>108.9p, 사거리 코너자리, 아름동 최고입지</t>
        </is>
      </c>
      <c r="L955" s="6">
        <f>HYPERLINK("https://fin.land.naver.com/articles/2654694877", "매물Link")</f>
        <v/>
      </c>
      <c r="M955" s="6">
        <f>HYPERLINK("https://map.naver.com/p/search/아름동 1116", "지도Link")</f>
        <v/>
      </c>
      <c r="N955" s="6">
        <f>HYPERLINK("http://www.eum.go.kr/web/ar/lu/luLandDet.jsp?pnu=3611011300111160000&amp;isNoScr=script&amp;mode=search", "토지이음")</f>
        <v/>
      </c>
      <c r="O955" s="3" t="inlineStr">
        <is>
          <t>세종무지개</t>
        </is>
      </c>
      <c r="P955" s="4" t="n">
        <v>1</v>
      </c>
      <c r="Q955" s="4" t="n">
        <v>359.5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소로각지</t>
        </is>
      </c>
    </row>
    <row r="956">
      <c r="A956" s="3" t="inlineStr">
        <is>
          <t>아름동 1116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83000</v>
      </c>
      <c r="G956" s="4" t="n">
        <v>359</v>
      </c>
      <c r="H956" s="4" t="n">
        <v>109</v>
      </c>
      <c r="I956" s="5" t="n">
        <v>761.5</v>
      </c>
      <c r="J956" s="5" t="n">
        <v>373.9</v>
      </c>
      <c r="K956" s="3" t="inlineStr">
        <is>
          <t>총 108.9p, 사거리코너 위치좋은 입지</t>
        </is>
      </c>
      <c r="L956" s="6">
        <f>HYPERLINK("https://fin.land.naver.com/articles/2653682969", "매물Link")</f>
        <v/>
      </c>
      <c r="M956" s="6">
        <f>HYPERLINK("https://map.naver.com/p/search/아름동 1116", "지도Link")</f>
        <v/>
      </c>
      <c r="N956" s="6">
        <f>HYPERLINK("http://www.eum.go.kr/web/ar/lu/luLandDet.jsp?pnu=3611011300111160000&amp;isNoScr=script&amp;mode=search", "토지이음")</f>
        <v/>
      </c>
      <c r="O956" s="3" t="inlineStr">
        <is>
          <t>명진</t>
        </is>
      </c>
      <c r="P956" s="4" t="n">
        <v>1</v>
      </c>
      <c r="Q956" s="4" t="n">
        <v>359.5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소로각지</t>
        </is>
      </c>
    </row>
    <row r="957">
      <c r="A957" s="3" t="inlineStr">
        <is>
          <t>아름동 1118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57000</v>
      </c>
      <c r="G957" s="4" t="n">
        <v>327</v>
      </c>
      <c r="H957" s="4" t="n">
        <v>99</v>
      </c>
      <c r="I957" s="5" t="n">
        <v>575.8</v>
      </c>
      <c r="J957" s="5" t="n">
        <v>373.9</v>
      </c>
      <c r="K957" s="3" t="inlineStr">
        <is>
          <t>코너 정남향 위치최상 조율가능</t>
        </is>
      </c>
      <c r="L957" s="6">
        <f>HYPERLINK("https://fin.land.naver.com/articles/2652418851", "매물Link")</f>
        <v/>
      </c>
      <c r="M957" s="6">
        <f>HYPERLINK("https://map.naver.com/p/search/아름동 1118", "지도Link")</f>
        <v/>
      </c>
      <c r="N957" s="6">
        <f>HYPERLINK("http://www.eum.go.kr/web/ar/lu/luLandDet.jsp?pnu=3611011300111180000&amp;isNoScr=script&amp;mode=search", "토지이음")</f>
        <v/>
      </c>
      <c r="O957" s="3" t="inlineStr">
        <is>
          <t>세종스타</t>
        </is>
      </c>
      <c r="P957" s="4" t="n">
        <v>2</v>
      </c>
      <c r="Q957" s="4" t="n">
        <v>327.4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소로각지</t>
        </is>
      </c>
    </row>
    <row r="958">
      <c r="A958" s="3" t="inlineStr">
        <is>
          <t>아름동 1121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60000</v>
      </c>
      <c r="G958" s="4" t="n">
        <v>355</v>
      </c>
      <c r="H958" s="4" t="n">
        <v>107</v>
      </c>
      <c r="I958" s="5" t="n">
        <v>560.7</v>
      </c>
      <c r="J958" s="5" t="n">
        <v>373.9</v>
      </c>
      <c r="K958" s="3" t="inlineStr">
        <is>
          <t>공원옆 큰평수 추가조율가능</t>
        </is>
      </c>
      <c r="L958" s="6">
        <f>HYPERLINK("https://fin.land.naver.com/articles/2652289224", "매물Link")</f>
        <v/>
      </c>
      <c r="M958" s="6">
        <f>HYPERLINK("https://map.naver.com/p/search/아름동 1121", "지도Link")</f>
        <v/>
      </c>
      <c r="N958" s="6">
        <f>HYPERLINK("http://www.eum.go.kr/web/ar/lu/luLandDet.jsp?pnu=3611011300111210000&amp;isNoScr=script&amp;mode=search",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355.4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1130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85000</v>
      </c>
      <c r="G959" s="4" t="n">
        <v>348</v>
      </c>
      <c r="H959" s="4" t="n">
        <v>105</v>
      </c>
      <c r="I959" s="5" t="n">
        <v>809.5</v>
      </c>
      <c r="J959" s="5" t="n">
        <v>356.4</v>
      </c>
      <c r="K959" s="3" t="inlineStr">
        <is>
          <t>어린이공원 접한 주택지, 위치 좋아요, 가격 잘 맞춰보겠습니다</t>
        </is>
      </c>
      <c r="L959" s="6">
        <f>HYPERLINK("https://fin.land.naver.com/articles/2653004367", "매물Link")</f>
        <v/>
      </c>
      <c r="M959" s="6">
        <f>HYPERLINK("https://map.naver.com/p/search/아름동 1130", "지도Link")</f>
        <v/>
      </c>
      <c r="N959" s="6">
        <f>HYPERLINK("http://www.eum.go.kr/web/ar/lu/luLandDet.jsp?pnu=3611011300111300000&amp;isNoScr=script&amp;mode=search", "토지이음")</f>
        <v/>
      </c>
      <c r="O959" s="3" t="inlineStr">
        <is>
          <t>OK세종 사무소</t>
        </is>
      </c>
      <c r="P959" s="4" t="n">
        <v>1</v>
      </c>
      <c r="Q959" s="4" t="n">
        <v>348.3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소로한면</t>
        </is>
      </c>
    </row>
    <row r="960">
      <c r="A960" s="3" t="inlineStr">
        <is>
          <t>아름동 1135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83000</v>
      </c>
      <c r="G960" s="4" t="n">
        <v>343</v>
      </c>
      <c r="H960" s="4" t="n">
        <v>104</v>
      </c>
      <c r="I960" s="5" t="n">
        <v>798.1</v>
      </c>
      <c r="J960" s="5" t="n">
        <v>356.4</v>
      </c>
      <c r="K960" s="3" t="inlineStr">
        <is>
          <t>아름동 위치좋은 주택지 급매</t>
        </is>
      </c>
      <c r="L960" s="6">
        <f>HYPERLINK("https://fin.land.naver.com/articles/2653003944", "매물Link")</f>
        <v/>
      </c>
      <c r="M960" s="6">
        <f>HYPERLINK("https://map.naver.com/p/search/아름동 1135", "지도Link")</f>
        <v/>
      </c>
      <c r="N960" s="6">
        <f>HYPERLINK("http://www.eum.go.kr/web/ar/lu/luLandDet.jsp?pnu=3611011300111350000&amp;isNoScr=script&amp;mode=search", "토지이음")</f>
        <v/>
      </c>
      <c r="O960" s="3" t="inlineStr">
        <is>
          <t>OK세종 사무소</t>
        </is>
      </c>
      <c r="P960" s="4" t="n">
        <v>1</v>
      </c>
      <c r="Q960" s="4" t="n">
        <v>343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소로한면</t>
        </is>
      </c>
    </row>
    <row r="961">
      <c r="A961" s="3" t="inlineStr">
        <is>
          <t>아름동 1142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52000</v>
      </c>
      <c r="G961" s="4" t="n">
        <v>321</v>
      </c>
      <c r="H961" s="4" t="n">
        <v>97</v>
      </c>
      <c r="I961" s="5" t="n">
        <v>536.1</v>
      </c>
      <c r="J961" s="5" t="n">
        <v>356.4</v>
      </c>
      <c r="K961" s="3" t="inlineStr">
        <is>
          <t>97.6p, 충대병원 인근 토지 급매, 조율도가능</t>
        </is>
      </c>
      <c r="L961" s="6">
        <f>HYPERLINK("https://fin.land.naver.com/articles/2653682221", "매물Link")</f>
        <v/>
      </c>
      <c r="M961" s="6">
        <f>HYPERLINK("https://map.naver.com/p/search/아름동 1142", "지도Link")</f>
        <v/>
      </c>
      <c r="N961" s="6">
        <f>HYPERLINK("http://www.eum.go.kr/web/ar/lu/luLandDet.jsp?pnu=3611011300111420000&amp;isNoScr=script&amp;mode=search",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321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소로한면</t>
        </is>
      </c>
    </row>
    <row r="962">
      <c r="A962" s="3" t="inlineStr">
        <is>
          <t>아름동 1142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52000</v>
      </c>
      <c r="G962" s="4" t="n">
        <v>321</v>
      </c>
      <c r="H962" s="4" t="n">
        <v>97</v>
      </c>
      <c r="I962" s="5" t="n">
        <v>536.1</v>
      </c>
      <c r="J962" s="5" t="n">
        <v>356.4</v>
      </c>
      <c r="K962" s="3" t="inlineStr">
        <is>
          <t>급매 추가조율가능 입지좋은 충대병원인근</t>
        </is>
      </c>
      <c r="L962" s="6">
        <f>HYPERLINK("https://fin.land.naver.com/articles/2651133638", "매물Link")</f>
        <v/>
      </c>
      <c r="M962" s="6">
        <f>HYPERLINK("https://map.naver.com/p/search/아름동 1142", "지도Link")</f>
        <v/>
      </c>
      <c r="N962" s="6">
        <f>HYPERLINK("http://www.eum.go.kr/web/ar/lu/luLandDet.jsp?pnu=3611011300111420000&amp;isNoScr=script&amp;mode=search",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321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1142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52000</v>
      </c>
      <c r="G963" s="4" t="n">
        <v>321</v>
      </c>
      <c r="H963" s="4" t="n">
        <v>97</v>
      </c>
      <c r="I963" s="5" t="n">
        <v>536.1</v>
      </c>
      <c r="J963" s="5" t="n">
        <v>356.4</v>
      </c>
      <c r="K963" s="3" t="inlineStr">
        <is>
          <t>충대병원 인근 가격 좋은 토지, 조율도 가능</t>
        </is>
      </c>
      <c r="L963" s="6">
        <f>HYPERLINK("https://fin.land.naver.com/articles/2650429475", "매물Link")</f>
        <v/>
      </c>
      <c r="M963" s="6">
        <f>HYPERLINK("https://map.naver.com/p/search/아름동 1142", "지도Link")</f>
        <v/>
      </c>
      <c r="N963" s="6">
        <f>HYPERLINK("http://www.eum.go.kr/web/ar/lu/luLandDet.jsp?pnu=3611011300111420000&amp;isNoScr=script&amp;mode=search", "토지이음")</f>
        <v/>
      </c>
      <c r="O963" s="3" t="inlineStr">
        <is>
          <t>세종무지개</t>
        </is>
      </c>
      <c r="P963" s="4" t="n">
        <v>1</v>
      </c>
      <c r="Q963" s="4" t="n">
        <v>321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1144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60000</v>
      </c>
      <c r="G964" s="4" t="n">
        <v>348</v>
      </c>
      <c r="H964" s="4" t="n">
        <v>105</v>
      </c>
      <c r="I964" s="5" t="n">
        <v>571.4</v>
      </c>
      <c r="J964" s="5" t="n">
        <v>373.9</v>
      </c>
      <c r="K964" s="3" t="inlineStr">
        <is>
          <t>입지채광접근성을 갖춘 아름동 최상급 단독주택 용지</t>
        </is>
      </c>
      <c r="L964" s="6">
        <f>HYPERLINK("https://fin.land.naver.com/articles/2655067927", "매물Link")</f>
        <v/>
      </c>
      <c r="M964" s="6">
        <f>HYPERLINK("https://map.naver.com/p/search/아름동 1144", "지도Link")</f>
        <v/>
      </c>
      <c r="N964" s="6">
        <f>HYPERLINK("http://www.eum.go.kr/web/ar/lu/luLandDet.jsp?pnu=3611011300111440000&amp;isNoScr=script&amp;mode=search", "토지이음")</f>
        <v/>
      </c>
      <c r="O964" s="3" t="inlineStr">
        <is>
          <t>백년행정사</t>
        </is>
      </c>
      <c r="P964" s="4" t="n">
        <v>2</v>
      </c>
      <c r="Q964" s="4" t="n">
        <v>348.5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소로각지</t>
        </is>
      </c>
    </row>
    <row r="965">
      <c r="A965" s="3" t="inlineStr">
        <is>
          <t>아름동 1154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70000</v>
      </c>
      <c r="G965" s="4" t="n">
        <v>342</v>
      </c>
      <c r="H965" s="4" t="n">
        <v>103</v>
      </c>
      <c r="I965" s="5" t="n">
        <v>679.6</v>
      </c>
      <c r="J965" s="5" t="n">
        <v>356.4</v>
      </c>
      <c r="K965" s="3" t="inlineStr">
        <is>
          <t>공원인근, 조용한 단독주택 토지</t>
        </is>
      </c>
      <c r="L965" s="6">
        <f>HYPERLINK("https://fin.land.naver.com/articles/2652115592", "매물Link")</f>
        <v/>
      </c>
      <c r="M965" s="6">
        <f>HYPERLINK("https://map.naver.com/p/search/아름동 1154", "지도Link")</f>
        <v/>
      </c>
      <c r="N965" s="6">
        <f>HYPERLINK("http://www.eum.go.kr/web/ar/lu/luLandDet.jsp?pnu=3611011300111540000&amp;isNoScr=script&amp;mode=search",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342.4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정방형</t>
        </is>
      </c>
      <c r="V965" s="3" t="inlineStr">
        <is>
          <t>소로한면</t>
        </is>
      </c>
    </row>
    <row r="966">
      <c r="A966" s="3" t="inlineStr">
        <is>
          <t>아름동 1154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70000</v>
      </c>
      <c r="G966" s="4" t="n">
        <v>342</v>
      </c>
      <c r="H966" s="4" t="n">
        <v>103</v>
      </c>
      <c r="I966" s="5" t="n">
        <v>679.6</v>
      </c>
      <c r="J966" s="5" t="n">
        <v>356.4</v>
      </c>
      <c r="K966" s="3" t="inlineStr">
        <is>
          <t>야산을 품은 아름동 단독주택지</t>
        </is>
      </c>
      <c r="L966" s="6">
        <f>HYPERLINK("https://fin.land.naver.com/articles/2654124683", "매물Link")</f>
        <v/>
      </c>
      <c r="M966" s="6">
        <f>HYPERLINK("https://map.naver.com/p/search/아름동 1154", "지도Link")</f>
        <v/>
      </c>
      <c r="N966" s="6">
        <f>HYPERLINK("http://www.eum.go.kr/web/ar/lu/luLandDet.jsp?pnu=3611011300111540000&amp;isNoScr=script&amp;mode=search", "토지이음")</f>
        <v/>
      </c>
      <c r="O966" s="3" t="inlineStr">
        <is>
          <t>킹세종</t>
        </is>
      </c>
      <c r="P966" s="4" t="n">
        <v>2</v>
      </c>
      <c r="Q966" s="4" t="n">
        <v>342.4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정방형</t>
        </is>
      </c>
      <c r="V966" s="3" t="inlineStr">
        <is>
          <t>소로한면</t>
        </is>
      </c>
    </row>
    <row r="967">
      <c r="A967" s="3" t="inlineStr">
        <is>
          <t>아름동 1163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180000</v>
      </c>
      <c r="G967" s="4" t="n">
        <v>293</v>
      </c>
      <c r="H967" s="4" t="n">
        <v>89</v>
      </c>
      <c r="I967" s="5" t="n">
        <v>2022.5</v>
      </c>
      <c r="J967" s="5" t="n">
        <v>734.2</v>
      </c>
      <c r="K967" s="3" t="inlineStr">
        <is>
          <t>대로변 코너 노출 좋은 입지좋은 근생 토지 매매</t>
        </is>
      </c>
      <c r="L967" s="6">
        <f>HYPERLINK("https://fin.land.naver.com/articles/2651943193", "매물Link")</f>
        <v/>
      </c>
      <c r="M967" s="6">
        <f>HYPERLINK("https://map.naver.com/p/search/아름동 1163", "지도Link")</f>
        <v/>
      </c>
      <c r="N967" s="6">
        <f>HYPERLINK("http://www.eum.go.kr/web/ar/lu/luLandDet.jsp?pnu=3611011300111630000&amp;isNoScr=script&amp;mode=search",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293.7</v>
      </c>
      <c r="R967" s="3" t="inlineStr">
        <is>
          <t>지정되지않음</t>
        </is>
      </c>
      <c r="S967" s="3" t="inlineStr">
        <is>
          <t>상업용</t>
        </is>
      </c>
      <c r="T967" s="3" t="inlineStr">
        <is>
          <t>평지</t>
        </is>
      </c>
      <c r="U967" s="3" t="inlineStr">
        <is>
          <t>세로장방</t>
        </is>
      </c>
      <c r="V967" s="3" t="inlineStr">
        <is>
          <t>소로각지</t>
        </is>
      </c>
    </row>
    <row r="968">
      <c r="A968" s="3" t="inlineStr">
        <is>
          <t>아름동 1163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180000</v>
      </c>
      <c r="G968" s="4" t="n">
        <v>293</v>
      </c>
      <c r="H968" s="4" t="n">
        <v>89</v>
      </c>
      <c r="I968" s="5" t="n">
        <v>2022.5</v>
      </c>
      <c r="J968" s="5" t="n">
        <v>734.2</v>
      </c>
      <c r="K968" s="3" t="inlineStr">
        <is>
          <t>충대병원 인접한 아름동 근생용지, 약국위치로 좋아요</t>
        </is>
      </c>
      <c r="L968" s="6">
        <f>HYPERLINK("https://fin.land.naver.com/articles/2650939008", "매물Link")</f>
        <v/>
      </c>
      <c r="M968" s="6">
        <f>HYPERLINK("https://map.naver.com/p/search/아름동 1163", "지도Link")</f>
        <v/>
      </c>
      <c r="N968" s="6">
        <f>HYPERLINK("http://www.eum.go.kr/web/ar/lu/luLandDet.jsp?pnu=3611011300111630000&amp;isNoScr=script&amp;mode=search", "토지이음")</f>
        <v/>
      </c>
      <c r="O968" s="3" t="inlineStr">
        <is>
          <t>OK세종 사무소</t>
        </is>
      </c>
      <c r="P968" s="4" t="n">
        <v>1</v>
      </c>
      <c r="Q968" s="4" t="n">
        <v>293.7</v>
      </c>
      <c r="R968" s="3" t="inlineStr">
        <is>
          <t>지정되지않음</t>
        </is>
      </c>
      <c r="S968" s="3" t="inlineStr">
        <is>
          <t>상업용</t>
        </is>
      </c>
      <c r="T968" s="3" t="inlineStr">
        <is>
          <t>평지</t>
        </is>
      </c>
      <c r="U968" s="3" t="inlineStr">
        <is>
          <t>세로장방</t>
        </is>
      </c>
      <c r="V968" s="3" t="inlineStr">
        <is>
          <t>소로각지</t>
        </is>
      </c>
    </row>
    <row r="969">
      <c r="A969" s="3" t="inlineStr">
        <is>
          <t>아름동 1163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180000</v>
      </c>
      <c r="G969" s="4" t="n">
        <v>293</v>
      </c>
      <c r="H969" s="4" t="n">
        <v>89</v>
      </c>
      <c r="I969" s="5" t="n">
        <v>2022.5</v>
      </c>
      <c r="J969" s="5" t="n">
        <v>734.2</v>
      </c>
      <c r="K969" s="3" t="inlineStr">
        <is>
          <t>충대병원, 약국추천자리, 근생토지, 대로변 노출 좋은 자리</t>
        </is>
      </c>
      <c r="L969" s="6">
        <f>HYPERLINK("https://fin.land.naver.com/articles/2651770352", "매물Link")</f>
        <v/>
      </c>
      <c r="M969" s="6">
        <f>HYPERLINK("https://map.naver.com/p/search/아름동 1163", "지도Link")</f>
        <v/>
      </c>
      <c r="N969" s="6">
        <f>HYPERLINK("http://www.eum.go.kr/web/ar/lu/luLandDet.jsp?pnu=3611011300111630000&amp;isNoScr=script&amp;mode=search", "토지이음")</f>
        <v/>
      </c>
      <c r="O969" s="3" t="inlineStr">
        <is>
          <t>세종무지개</t>
        </is>
      </c>
      <c r="P969" s="4" t="n">
        <v>1</v>
      </c>
      <c r="Q969" s="4" t="n">
        <v>293.7</v>
      </c>
      <c r="R969" s="3" t="inlineStr">
        <is>
          <t>지정되지않음</t>
        </is>
      </c>
      <c r="S969" s="3" t="inlineStr">
        <is>
          <t>상업용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소로각지</t>
        </is>
      </c>
    </row>
    <row r="970">
      <c r="A970" s="3" t="inlineStr">
        <is>
          <t>아름동 1182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150000</v>
      </c>
      <c r="G970" s="4" t="n">
        <v>317</v>
      </c>
      <c r="H970" s="4" t="n">
        <v>96</v>
      </c>
      <c r="I970" s="5" t="n">
        <v>1562.5</v>
      </c>
      <c r="J970" s="5" t="n">
        <v>756.7</v>
      </c>
      <c r="K970" s="3" t="inlineStr">
        <is>
          <t>근생용지, 도로변 광고효과 및 상권우수, 조율가능</t>
        </is>
      </c>
      <c r="L970" s="6">
        <f>HYPERLINK("https://fin.land.naver.com/articles/2651035239", "매물Link")</f>
        <v/>
      </c>
      <c r="M970" s="6">
        <f>HYPERLINK("https://map.naver.com/p/search/아름동 1182", "지도Link")</f>
        <v/>
      </c>
      <c r="N970" s="6">
        <f>HYPERLINK("http://www.eum.go.kr/web/ar/lu/luLandDet.jsp?pnu=3611011300111820000&amp;isNoScr=script&amp;mode=search", "토지이음")</f>
        <v/>
      </c>
      <c r="O970" s="3" t="inlineStr">
        <is>
          <t>한방</t>
        </is>
      </c>
      <c r="P970" s="4" t="n">
        <v>1</v>
      </c>
      <c r="Q970" s="4" t="n">
        <v>317.1</v>
      </c>
      <c r="R970" s="3" t="inlineStr">
        <is>
          <t>지정되지않음</t>
        </is>
      </c>
      <c r="S970" s="3" t="inlineStr">
        <is>
          <t>상업용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1183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145000</v>
      </c>
      <c r="G971" s="4" t="n">
        <v>317</v>
      </c>
      <c r="H971" s="4" t="n">
        <v>96</v>
      </c>
      <c r="I971" s="5" t="n">
        <v>1510.4</v>
      </c>
      <c r="J971" s="5" t="n">
        <v>724</v>
      </c>
      <c r="K971" s="3" t="inlineStr">
        <is>
          <t>근린생활시설 용지로서 대단위 아파트 전면에 위치하여 최고의 상권</t>
        </is>
      </c>
      <c r="L971" s="6">
        <f>HYPERLINK("https://fin.land.naver.com/articles/2651956271", "매물Link")</f>
        <v/>
      </c>
      <c r="M971" s="6">
        <f>HYPERLINK("https://map.naver.com/p/search/아름동 1183", "지도Link")</f>
        <v/>
      </c>
      <c r="N971" s="6">
        <f>HYPERLINK("http://www.eum.go.kr/web/ar/lu/luLandDet.jsp?pnu=3611011300111830000&amp;isNoScr=script&amp;mode=search", "토지이음")</f>
        <v/>
      </c>
      <c r="O971" s="3" t="inlineStr">
        <is>
          <t>대우마을</t>
        </is>
      </c>
      <c r="P971" s="4" t="n">
        <v>1</v>
      </c>
      <c r="Q971" s="4" t="n">
        <v>317.2</v>
      </c>
      <c r="R971" s="3" t="inlineStr">
        <is>
          <t>지정되지않음</t>
        </is>
      </c>
      <c r="S971" s="3" t="inlineStr">
        <is>
          <t>상업용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1183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150000</v>
      </c>
      <c r="G972" s="4" t="n">
        <v>317</v>
      </c>
      <c r="H972" s="4" t="n">
        <v>96</v>
      </c>
      <c r="I972" s="5" t="n">
        <v>1562.5</v>
      </c>
      <c r="J972" s="5" t="n">
        <v>724</v>
      </c>
      <c r="K972" s="3" t="inlineStr">
        <is>
          <t>96.1p, 근생용지, 도로변 위치 굿, 건축허가완료</t>
        </is>
      </c>
      <c r="L972" s="6">
        <f>HYPERLINK("https://fin.land.naver.com/articles/2653681862", "매물Link")</f>
        <v/>
      </c>
      <c r="M972" s="6">
        <f>HYPERLINK("https://map.naver.com/p/search/아름동 1183", "지도Link")</f>
        <v/>
      </c>
      <c r="N972" s="6">
        <f>HYPERLINK("http://www.eum.go.kr/web/ar/lu/luLandDet.jsp?pnu=3611011300111830000&amp;isNoScr=script&amp;mode=search",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317.2</v>
      </c>
      <c r="R972" s="3" t="inlineStr">
        <is>
          <t>지정되지않음</t>
        </is>
      </c>
      <c r="S972" s="3" t="inlineStr">
        <is>
          <t>상업용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1183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150000</v>
      </c>
      <c r="G973" s="4" t="n">
        <v>317</v>
      </c>
      <c r="H973" s="4" t="n">
        <v>96</v>
      </c>
      <c r="I973" s="5" t="n">
        <v>1562.5</v>
      </c>
      <c r="J973" s="5" t="n">
        <v>724</v>
      </c>
      <c r="K973" s="3" t="inlineStr">
        <is>
          <t>아름동 대로변 근생용지, 96.1p</t>
        </is>
      </c>
      <c r="L973" s="6">
        <f>HYPERLINK("https://fin.land.naver.com/articles/2652839304", "매물Link")</f>
        <v/>
      </c>
      <c r="M973" s="6">
        <f>HYPERLINK("https://map.naver.com/p/search/아름동 1183", "지도Link")</f>
        <v/>
      </c>
      <c r="N973" s="6">
        <f>HYPERLINK("http://www.eum.go.kr/web/ar/lu/luLandDet.jsp?pnu=3611011300111830000&amp;isNoScr=script&amp;mode=search",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317.2</v>
      </c>
      <c r="R973" s="3" t="inlineStr">
        <is>
          <t>지정되지않음</t>
        </is>
      </c>
      <c r="S973" s="3" t="inlineStr">
        <is>
          <t>상업용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1191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75000</v>
      </c>
      <c r="G974" s="4" t="n">
        <v>360</v>
      </c>
      <c r="H974" s="4" t="n">
        <v>109</v>
      </c>
      <c r="I974" s="5" t="n">
        <v>688.1</v>
      </c>
      <c r="J974" s="5" t="n">
        <v>349.4</v>
      </c>
      <c r="K974" s="3" t="inlineStr">
        <is>
          <t>총 109.3p, 사거리코너자리, 충대병원 인접 토지</t>
        </is>
      </c>
      <c r="L974" s="6">
        <f>HYPERLINK("https://fin.land.naver.com/articles/2654224772", "매물Link")</f>
        <v/>
      </c>
      <c r="M974" s="6">
        <f>HYPERLINK("https://map.naver.com/p/search/아름동 1191", "지도Link")</f>
        <v/>
      </c>
      <c r="N974" s="6">
        <f>HYPERLINK("http://www.eum.go.kr/web/ar/lu/luLandDet.jsp?pnu=3611011300111910000&amp;isNoScr=script&amp;mode=search", "토지이음")</f>
        <v/>
      </c>
      <c r="O974" s="3" t="inlineStr">
        <is>
          <t>명진</t>
        </is>
      </c>
      <c r="P974" s="4" t="n">
        <v>1</v>
      </c>
      <c r="Q974" s="4" t="n">
        <v>360.6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소로각지</t>
        </is>
      </c>
    </row>
    <row r="975">
      <c r="A975" s="3" t="inlineStr">
        <is>
          <t>아름동 1191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75000</v>
      </c>
      <c r="G975" s="4" t="n">
        <v>360</v>
      </c>
      <c r="H975" s="4" t="n">
        <v>109</v>
      </c>
      <c r="I975" s="5" t="n">
        <v>688.1</v>
      </c>
      <c r="J975" s="5" t="n">
        <v>349.4</v>
      </c>
      <c r="K975" s="3" t="inlineStr">
        <is>
          <t>급매 남향 코너각지 조율가능 옆필지 연접매매가능</t>
        </is>
      </c>
      <c r="L975" s="6">
        <f>HYPERLINK("https://fin.land.naver.com/articles/2655177213", "매물Link")</f>
        <v/>
      </c>
      <c r="M975" s="6">
        <f>HYPERLINK("https://map.naver.com/p/search/아름동 1191", "지도Link")</f>
        <v/>
      </c>
      <c r="N975" s="6">
        <f>HYPERLINK("http://www.eum.go.kr/web/ar/lu/luLandDet.jsp?pnu=3611011300111910000&amp;isNoScr=script&amp;mode=search", "토지이음")</f>
        <v/>
      </c>
      <c r="O975" s="3" t="inlineStr">
        <is>
          <t>세종스타</t>
        </is>
      </c>
      <c r="P975" s="4" t="n">
        <v>2</v>
      </c>
      <c r="Q975" s="4" t="n">
        <v>360.6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소로각지</t>
        </is>
      </c>
    </row>
    <row r="976">
      <c r="A976" s="3" t="inlineStr">
        <is>
          <t>아름동 1191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75000</v>
      </c>
      <c r="G976" s="4" t="n">
        <v>360</v>
      </c>
      <c r="H976" s="4" t="n">
        <v>109</v>
      </c>
      <c r="I976" s="5" t="n">
        <v>688.1</v>
      </c>
      <c r="J976" s="5" t="n">
        <v>349.4</v>
      </c>
      <c r="K976" s="3" t="inlineStr">
        <is>
          <t>사거리 코너입지 최고, 조율도 가능</t>
        </is>
      </c>
      <c r="L976" s="6">
        <f>HYPERLINK("https://fin.land.naver.com/articles/2654692792", "매물Link")</f>
        <v/>
      </c>
      <c r="M976" s="6">
        <f>HYPERLINK("https://map.naver.com/p/search/아름동 1191", "지도Link")</f>
        <v/>
      </c>
      <c r="N976" s="6">
        <f>HYPERLINK("http://www.eum.go.kr/web/ar/lu/luLandDet.jsp?pnu=3611011300111910000&amp;isNoScr=script&amp;mode=search", "토지이음")</f>
        <v/>
      </c>
      <c r="O976" s="3" t="inlineStr">
        <is>
          <t>세종무지개</t>
        </is>
      </c>
      <c r="P976" s="4" t="n">
        <v>1</v>
      </c>
      <c r="Q976" s="4" t="n">
        <v>360.6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소로각지</t>
        </is>
      </c>
    </row>
    <row r="977">
      <c r="A977" s="3" t="inlineStr">
        <is>
          <t>아름동 1192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374</v>
      </c>
      <c r="H977" s="4" t="n">
        <v>113</v>
      </c>
      <c r="I977" s="5" t="n">
        <v>619.5</v>
      </c>
      <c r="J977" s="5" t="n">
        <v>349.4</v>
      </c>
      <c r="K977" s="3" t="inlineStr">
        <is>
          <t>4거리 코너땅,야산 인접 쾌적함</t>
        </is>
      </c>
      <c r="L977" s="6">
        <f>HYPERLINK("https://fin.land.naver.com/articles/2654118594", "매물Link")</f>
        <v/>
      </c>
      <c r="M977" s="6">
        <f>HYPERLINK("https://map.naver.com/p/search/아름동 1192", "지도Link")</f>
        <v/>
      </c>
      <c r="N977" s="6">
        <f>HYPERLINK("http://www.eum.go.kr/web/ar/lu/luLandDet.jsp?pnu=3611011300111920000&amp;isNoScr=script&amp;mode=search", "토지이음")</f>
        <v/>
      </c>
      <c r="O977" s="3" t="inlineStr">
        <is>
          <t>킹세종</t>
        </is>
      </c>
      <c r="P977" s="4" t="n">
        <v>2</v>
      </c>
      <c r="Q977" s="4" t="n">
        <v>374.8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소로각지</t>
        </is>
      </c>
    </row>
    <row r="978">
      <c r="A978" s="3" t="inlineStr">
        <is>
          <t>아름동 1193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68000</v>
      </c>
      <c r="G978" s="4" t="n">
        <v>374</v>
      </c>
      <c r="H978" s="4" t="n">
        <v>113</v>
      </c>
      <c r="I978" s="5" t="n">
        <v>601.8</v>
      </c>
      <c r="J978" s="5" t="n">
        <v>335.2</v>
      </c>
      <c r="K978" s="3" t="inlineStr">
        <is>
          <t>아름초인근 언덕 개방감좋음 추가조율가능</t>
        </is>
      </c>
      <c r="L978" s="6">
        <f>HYPERLINK("https://fin.land.naver.com/articles/2653667192", "매물Link")</f>
        <v/>
      </c>
      <c r="M978" s="6">
        <f>HYPERLINK("https://map.naver.com/p/search/아름동 1193", "지도Link")</f>
        <v/>
      </c>
      <c r="N978" s="6">
        <f>HYPERLINK("http://www.eum.go.kr/web/ar/lu/luLandDet.jsp?pnu=3611011300111930000&amp;isNoScr=script&amp;mode=search", "토지이음")</f>
        <v/>
      </c>
      <c r="O978" s="3" t="inlineStr">
        <is>
          <t>세종스타</t>
        </is>
      </c>
      <c r="P978" s="4" t="n">
        <v>1</v>
      </c>
      <c r="Q978" s="4" t="n">
        <v>374.7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1204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308</v>
      </c>
      <c r="H979" s="4" t="n">
        <v>93</v>
      </c>
      <c r="I979" s="5" t="n">
        <v>645.2</v>
      </c>
      <c r="J979" s="5" t="n">
        <v>349.4</v>
      </c>
      <c r="K979" s="3" t="inlineStr">
        <is>
          <t>코너,대단지인접,충남대병원도보5분,조율가능</t>
        </is>
      </c>
      <c r="L979" s="6">
        <f>HYPERLINK("https://fin.land.naver.com/articles/2650482125", "매물Link")</f>
        <v/>
      </c>
      <c r="M979" s="6">
        <f>HYPERLINK("https://map.naver.com/p/search/아름동 1204", "지도Link")</f>
        <v/>
      </c>
      <c r="N979" s="6">
        <f>HYPERLINK("http://www.eum.go.kr/web/ar/lu/luLandDet.jsp?pnu=3611011300112040000&amp;isNoScr=script&amp;mode=search", "토지이음")</f>
        <v/>
      </c>
      <c r="O979" s="3" t="inlineStr">
        <is>
          <t>똑똑</t>
        </is>
      </c>
      <c r="P979" s="4" t="n">
        <v>2</v>
      </c>
      <c r="Q979" s="4" t="n">
        <v>308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소로각지</t>
        </is>
      </c>
    </row>
    <row r="980">
      <c r="A980" s="3" t="inlineStr">
        <is>
          <t>아름동 1219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68200</v>
      </c>
      <c r="G980" s="4" t="n">
        <v>364</v>
      </c>
      <c r="H980" s="4" t="n">
        <v>110</v>
      </c>
      <c r="I980" s="5" t="n">
        <v>620</v>
      </c>
      <c r="J980" s="5" t="n">
        <v>349.4</v>
      </c>
      <c r="K980" s="3" t="inlineStr">
        <is>
          <t>뒤에는 산 앞에는 멋진 도시뷰,즉시 건축가능함</t>
        </is>
      </c>
      <c r="L980" s="6">
        <f>HYPERLINK("https://fin.land.naver.com/articles/2653891417", "매물Link")</f>
        <v/>
      </c>
      <c r="M980" s="6">
        <f>HYPERLINK("https://map.naver.com/p/search/아름동 1219", "지도Link")</f>
        <v/>
      </c>
      <c r="N980" s="6">
        <f>HYPERLINK("http://www.eum.go.kr/web/ar/lu/luLandDet.jsp?pnu=3611011300112190000&amp;isNoScr=script&amp;mode=search", "토지이음")</f>
        <v/>
      </c>
      <c r="O980" s="3" t="inlineStr">
        <is>
          <t>세종공주제일</t>
        </is>
      </c>
      <c r="P980" s="4" t="n">
        <v>1</v>
      </c>
      <c r="Q980" s="4" t="n">
        <v>364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소로각지</t>
        </is>
      </c>
    </row>
    <row r="981">
      <c r="A981" s="3" t="inlineStr">
        <is>
          <t>아름동 1219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67100</v>
      </c>
      <c r="G981" s="4" t="n">
        <v>364</v>
      </c>
      <c r="H981" s="4" t="n">
        <v>110</v>
      </c>
      <c r="I981" s="5" t="n">
        <v>610</v>
      </c>
      <c r="J981" s="5" t="n">
        <v>349.4</v>
      </c>
      <c r="K981" s="3" t="inlineStr">
        <is>
          <t>조망이 아주 뛰어납니다.확 트인 시야</t>
        </is>
      </c>
      <c r="L981" s="6">
        <f>HYPERLINK("https://fin.land.naver.com/articles/2652406933", "매물Link")</f>
        <v/>
      </c>
      <c r="M981" s="6">
        <f>HYPERLINK("https://map.naver.com/p/search/아름동 1219", "지도Link")</f>
        <v/>
      </c>
      <c r="N981" s="6">
        <f>HYPERLINK("http://www.eum.go.kr/web/ar/lu/luLandDet.jsp?pnu=3611011300112190000&amp;isNoScr=script&amp;mode=search", "토지이음")</f>
        <v/>
      </c>
      <c r="O981" s="3" t="inlineStr">
        <is>
          <t>세종공주제일</t>
        </is>
      </c>
      <c r="P981" s="4" t="n">
        <v>1</v>
      </c>
      <c r="Q981" s="4" t="n">
        <v>364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소로각지</t>
        </is>
      </c>
    </row>
    <row r="982">
      <c r="A982" s="3" t="inlineStr">
        <is>
          <t>아름동 1221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65000</v>
      </c>
      <c r="G982" s="4" t="n">
        <v>364</v>
      </c>
      <c r="H982" s="4" t="n">
        <v>110</v>
      </c>
      <c r="I982" s="5" t="n">
        <v>590.9</v>
      </c>
      <c r="J982" s="5" t="n">
        <v>335.2</v>
      </c>
      <c r="K982" s="3" t="inlineStr">
        <is>
          <t>nan</t>
        </is>
      </c>
      <c r="L982" s="6">
        <f>HYPERLINK("https://fin.land.naver.com/articles/2651708627", "매물Link")</f>
        <v/>
      </c>
      <c r="M982" s="6">
        <f>HYPERLINK("https://map.naver.com/p/search/아름동 1221", "지도Link")</f>
        <v/>
      </c>
      <c r="N982" s="6">
        <f>HYPERLINK("http://www.eum.go.kr/web/ar/lu/luLandDet.jsp?pnu=3611011300112210000&amp;isNoScr=script&amp;mode=search", "토지이음")</f>
        <v/>
      </c>
      <c r="O982" s="3" t="inlineStr">
        <is>
          <t>세종시삼성래미안</t>
        </is>
      </c>
      <c r="P982" s="4" t="n">
        <v>1</v>
      </c>
      <c r="Q982" s="4" t="n">
        <v>364.4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1231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60000</v>
      </c>
      <c r="G983" s="4" t="n">
        <v>365</v>
      </c>
      <c r="H983" s="4" t="n">
        <v>110</v>
      </c>
      <c r="I983" s="5" t="n">
        <v>545.5</v>
      </c>
      <c r="J983" s="5" t="n">
        <v>343.1</v>
      </c>
      <c r="K983" s="3" t="inlineStr">
        <is>
          <t>급매, 110.7p, 아름초인접, 범지기10단지인근</t>
        </is>
      </c>
      <c r="L983" s="6">
        <f>HYPERLINK("https://fin.land.naver.com/articles/2654927262", "매물Link")</f>
        <v/>
      </c>
      <c r="M983" s="6">
        <f>HYPERLINK("https://map.naver.com/p/search/아름동 1231", "지도Link")</f>
        <v/>
      </c>
      <c r="N983" s="6">
        <f>HYPERLINK("http://www.eum.go.kr/web/ar/lu/luLandDet.jsp?pnu=3611011300112310000&amp;isNoScr=script&amp;mode=search", "토지이음")</f>
        <v/>
      </c>
      <c r="O983" s="3" t="inlineStr">
        <is>
          <t>명진</t>
        </is>
      </c>
      <c r="P983" s="4" t="n">
        <v>1</v>
      </c>
      <c r="Q983" s="4" t="n">
        <v>365.4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1231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343.1</v>
      </c>
      <c r="K984" s="3" t="inlineStr">
        <is>
          <t>급매 추가조율가능 귀한큰평형 아름초도보3분 학원가도보5분 충대병원10분</t>
        </is>
      </c>
      <c r="L984" s="6">
        <f>HYPERLINK("https://fin.land.naver.com/articles/2655176796", "매물Link")</f>
        <v/>
      </c>
      <c r="M984" s="6">
        <f>HYPERLINK("https://map.naver.com/p/search/아름동 1231", "지도Link")</f>
        <v/>
      </c>
      <c r="N984" s="6">
        <f>HYPERLINK("http://www.eum.go.kr/web/ar/lu/luLandDet.jsp?pnu=3611011300112310000&amp;isNoScr=script&amp;mode=search", "토지이음")</f>
        <v/>
      </c>
      <c r="O984" s="3" t="inlineStr">
        <is>
          <t>세종스타</t>
        </is>
      </c>
      <c r="P984" s="4" t="n">
        <v>2</v>
      </c>
      <c r="Q984" s="4" t="n">
        <v>365.4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1231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60000</v>
      </c>
      <c r="G985" s="4" t="n">
        <v>365</v>
      </c>
      <c r="H985" s="4" t="n">
        <v>110</v>
      </c>
      <c r="I985" s="5" t="n">
        <v>545.5</v>
      </c>
      <c r="J985" s="5" t="n">
        <v>343.1</v>
      </c>
      <c r="K985" s="3" t="inlineStr">
        <is>
          <t>총 110.7p, 아파트 단지 옆, 아름초 인근, 위치좋고 가격좋은 토지</t>
        </is>
      </c>
      <c r="L985" s="6">
        <f>HYPERLINK("https://fin.land.naver.com/articles/2652842649", "매물Link")</f>
        <v/>
      </c>
      <c r="M985" s="6">
        <f>HYPERLINK("https://map.naver.com/p/search/아름동 1231", "지도Link")</f>
        <v/>
      </c>
      <c r="N985" s="6">
        <f>HYPERLINK("http://www.eum.go.kr/web/ar/lu/luLandDet.jsp?pnu=3611011300112310000&amp;isNoScr=script&amp;mode=search", "토지이음")</f>
        <v/>
      </c>
      <c r="O985" s="3" t="inlineStr">
        <is>
          <t>세종무지개</t>
        </is>
      </c>
      <c r="P985" s="4" t="n">
        <v>1</v>
      </c>
      <c r="Q985" s="4" t="n">
        <v>365.4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소로한면</t>
        </is>
      </c>
    </row>
    <row r="986">
      <c r="A986" s="3" t="inlineStr">
        <is>
          <t>아름동 1231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60000</v>
      </c>
      <c r="G986" s="4" t="n">
        <v>365</v>
      </c>
      <c r="H986" s="4" t="n">
        <v>110</v>
      </c>
      <c r="I986" s="5" t="n">
        <v>545.5</v>
      </c>
      <c r="J986" s="5" t="n">
        <v>343.1</v>
      </c>
      <c r="K986" s="3" t="inlineStr">
        <is>
          <t>아름동 학교 가까운 주택지</t>
        </is>
      </c>
      <c r="L986" s="6">
        <f>HYPERLINK("https://fin.land.naver.com/articles/2653003576", "매물Link")</f>
        <v/>
      </c>
      <c r="M986" s="6">
        <f>HYPERLINK("https://map.naver.com/p/search/아름동 1231", "지도Link")</f>
        <v/>
      </c>
      <c r="N986" s="6">
        <f>HYPERLINK("http://www.eum.go.kr/web/ar/lu/luLandDet.jsp?pnu=3611011300112310000&amp;isNoScr=script&amp;mode=search", "토지이음")</f>
        <v/>
      </c>
      <c r="O986" s="3" t="inlineStr">
        <is>
          <t>OK세종 사무소</t>
        </is>
      </c>
      <c r="P986" s="4" t="n">
        <v>1</v>
      </c>
      <c r="Q986" s="4" t="n">
        <v>365.4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소로한면</t>
        </is>
      </c>
    </row>
    <row r="987">
      <c r="A987" s="3" t="inlineStr">
        <is>
          <t>아름동 1231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60000</v>
      </c>
      <c r="G987" s="4" t="n">
        <v>365</v>
      </c>
      <c r="H987" s="4" t="n">
        <v>110</v>
      </c>
      <c r="I987" s="5" t="n">
        <v>545.5</v>
      </c>
      <c r="J987" s="5" t="n">
        <v>343.1</v>
      </c>
      <c r="K987" s="3" t="inlineStr">
        <is>
          <t>급매 아름동학원가, 상권이용편리로얄택지, 금액조율가능, 추천매매</t>
        </is>
      </c>
      <c r="L987" s="6">
        <f>HYPERLINK("https://fin.land.naver.com/articles/2653093272", "매물Link")</f>
        <v/>
      </c>
      <c r="M987" s="6">
        <f>HYPERLINK("https://map.naver.com/p/search/아름동 1231", "지도Link")</f>
        <v/>
      </c>
      <c r="N987" s="6">
        <f>HYPERLINK("http://www.eum.go.kr/web/ar/lu/luLandDet.jsp?pnu=3611011300112310000&amp;isNoScr=script&amp;mode=search", "토지이음")</f>
        <v/>
      </c>
      <c r="O987" s="3" t="inlineStr">
        <is>
          <t>한방</t>
        </is>
      </c>
      <c r="P987" s="4" t="n">
        <v>1</v>
      </c>
      <c r="Q987" s="4" t="n">
        <v>365.4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가로장방</t>
        </is>
      </c>
      <c r="V987" s="3" t="inlineStr">
        <is>
          <t>소로한면</t>
        </is>
      </c>
    </row>
    <row r="988">
      <c r="A988" s="3" t="inlineStr">
        <is>
          <t>아름동 1256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70000</v>
      </c>
      <c r="G988" s="4" t="n">
        <v>353</v>
      </c>
      <c r="H988" s="4" t="n">
        <v>107</v>
      </c>
      <c r="I988" s="5" t="n">
        <v>654.2</v>
      </c>
      <c r="J988" s="5" t="n">
        <v>343.1</v>
      </c>
      <c r="K988" s="3" t="inlineStr">
        <is>
          <t>초등학교인접, 대단지 맞은편 아름동 단독주택</t>
        </is>
      </c>
      <c r="L988" s="6">
        <f>HYPERLINK("https://fin.land.naver.com/articles/2650427506", "매물Link")</f>
        <v/>
      </c>
      <c r="M988" s="6">
        <f>HYPERLINK("https://map.naver.com/p/search/아름동 1256", "지도Link")</f>
        <v/>
      </c>
      <c r="N988" s="6">
        <f>HYPERLINK("http://www.eum.go.kr/web/ar/lu/luLandDet.jsp?pnu=3611011300112560000&amp;isNoScr=script&amp;mode=search", "토지이음")</f>
        <v/>
      </c>
      <c r="O988" s="3" t="inlineStr">
        <is>
          <t>세종무지개</t>
        </is>
      </c>
      <c r="P988" s="4" t="n">
        <v>1</v>
      </c>
      <c r="Q988" s="4" t="n">
        <v>354.3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소로한면</t>
        </is>
      </c>
    </row>
    <row r="989">
      <c r="A989" s="3" t="inlineStr">
        <is>
          <t>아름동 1256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70000</v>
      </c>
      <c r="G989" s="4" t="n">
        <v>354</v>
      </c>
      <c r="H989" s="4" t="n">
        <v>107</v>
      </c>
      <c r="I989" s="5" t="n">
        <v>654.2</v>
      </c>
      <c r="J989" s="5" t="n">
        <v>343.1</v>
      </c>
      <c r="K989" s="3" t="inlineStr">
        <is>
          <t>총 107.4p, 아름초인근, 위치좋은 단독주택지 추천</t>
        </is>
      </c>
      <c r="L989" s="6">
        <f>HYPERLINK("https://fin.land.naver.com/articles/2651902228", "매물Link")</f>
        <v/>
      </c>
      <c r="M989" s="6">
        <f>HYPERLINK("https://map.naver.com/p/search/아름동 1256", "지도Link")</f>
        <v/>
      </c>
      <c r="N989" s="6">
        <f>HYPERLINK("http://www.eum.go.kr/web/ar/lu/luLandDet.jsp?pnu=3611011300112560000&amp;isNoScr=script&amp;mode=search",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354.3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소로한면</t>
        </is>
      </c>
    </row>
    <row r="990">
      <c r="A990" s="3" t="inlineStr">
        <is>
          <t>아름동 1365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52000</v>
      </c>
      <c r="G990" s="4" t="n">
        <v>342</v>
      </c>
      <c r="H990" s="4" t="n">
        <v>103</v>
      </c>
      <c r="I990" s="5" t="n">
        <v>504.9</v>
      </c>
      <c r="J990" s="5" t="n">
        <v>380.5</v>
      </c>
      <c r="K990" s="3" t="inlineStr">
        <is>
          <t>103.7p, 삼거리 코너자리, 왼쪽 토지 활용도 높은 좋은 위치</t>
        </is>
      </c>
      <c r="L990" s="6">
        <f>HYPERLINK("https://fin.land.naver.com/articles/2654920262", "매물Link")</f>
        <v/>
      </c>
      <c r="M990" s="6">
        <f>HYPERLINK("https://map.naver.com/p/search/아름동 1365", "지도Link")</f>
        <v/>
      </c>
      <c r="N990" s="6">
        <f>HYPERLINK("http://www.eum.go.kr/web/ar/lu/luLandDet.jsp?pnu=3611011300113650000&amp;isNoScr=script&amp;mode=search",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342.1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가로장방</t>
        </is>
      </c>
      <c r="V990" s="3" t="inlineStr">
        <is>
          <t>중로각지</t>
        </is>
      </c>
    </row>
    <row r="991">
      <c r="A991" s="3" t="inlineStr">
        <is>
          <t>아름동 1365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52000</v>
      </c>
      <c r="G991" s="4" t="n">
        <v>342</v>
      </c>
      <c r="H991" s="4" t="n">
        <v>103</v>
      </c>
      <c r="I991" s="5" t="n">
        <v>504.9</v>
      </c>
      <c r="J991" s="5" t="n">
        <v>380.5</v>
      </c>
      <c r="K991" s="3" t="inlineStr">
        <is>
          <t>총 103.7p, 아름동 삼거리 코너, 아파트 단지 근처</t>
        </is>
      </c>
      <c r="L991" s="6">
        <f>HYPERLINK("https://fin.land.naver.com/articles/2652842249", "매물Link")</f>
        <v/>
      </c>
      <c r="M991" s="6">
        <f>HYPERLINK("https://map.naver.com/p/search/아름동 1365", "지도Link")</f>
        <v/>
      </c>
      <c r="N991" s="6">
        <f>HYPERLINK("http://www.eum.go.kr/web/ar/lu/luLandDet.jsp?pnu=3611011300113650000&amp;isNoScr=script&amp;mode=search", "토지이음")</f>
        <v/>
      </c>
      <c r="O991" s="3" t="inlineStr">
        <is>
          <t>세종무지개</t>
        </is>
      </c>
      <c r="P991" s="4" t="n">
        <v>1</v>
      </c>
      <c r="Q991" s="4" t="n">
        <v>342.1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가로장방</t>
        </is>
      </c>
      <c r="V991" s="3" t="inlineStr">
        <is>
          <t>중로각지</t>
        </is>
      </c>
    </row>
    <row r="992">
      <c r="A992" s="3" t="inlineStr">
        <is>
          <t>아름동 1365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52000</v>
      </c>
      <c r="G992" s="4" t="n">
        <v>342</v>
      </c>
      <c r="H992" s="4" t="n">
        <v>103</v>
      </c>
      <c r="I992" s="5" t="n">
        <v>504.9</v>
      </c>
      <c r="J992" s="5" t="n">
        <v>380.5</v>
      </c>
      <c r="K992" s="3" t="inlineStr">
        <is>
          <t>조율가능 학원가최인접 땅모양 건축하기 좋음</t>
        </is>
      </c>
      <c r="L992" s="6">
        <f>HYPERLINK("https://fin.land.naver.com/articles/2655004786", "매물Link")</f>
        <v/>
      </c>
      <c r="M992" s="6">
        <f>HYPERLINK("https://map.naver.com/p/search/아름동 1365", "지도Link")</f>
        <v/>
      </c>
      <c r="N992" s="6">
        <f>HYPERLINK("http://www.eum.go.kr/web/ar/lu/luLandDet.jsp?pnu=3611011300113650000&amp;isNoScr=script&amp;mode=search", "토지이음")</f>
        <v/>
      </c>
      <c r="O992" s="3" t="inlineStr">
        <is>
          <t>세종스타</t>
        </is>
      </c>
      <c r="P992" s="4" t="n">
        <v>4</v>
      </c>
      <c r="Q992" s="4" t="n">
        <v>342.1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가로장방</t>
        </is>
      </c>
      <c r="V992" s="3" t="inlineStr">
        <is>
          <t>중로각지</t>
        </is>
      </c>
    </row>
    <row r="993">
      <c r="A993" s="3" t="inlineStr">
        <is>
          <t>아름동 1370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60000</v>
      </c>
      <c r="G993" s="4" t="n">
        <v>363</v>
      </c>
      <c r="H993" s="4" t="n">
        <v>110</v>
      </c>
      <c r="I993" s="5" t="n">
        <v>545.5</v>
      </c>
      <c r="J993" s="5" t="n">
        <v>338.2</v>
      </c>
      <c r="K993" s="3" t="inlineStr">
        <is>
          <t>아름동 단독주택 토지매매, 위치 좋은 자리</t>
        </is>
      </c>
      <c r="L993" s="6">
        <f>HYPERLINK("https://fin.land.naver.com/articles/2649577908", "매물Link")</f>
        <v/>
      </c>
      <c r="M993" s="6">
        <f>HYPERLINK("https://map.naver.com/p/search/아름동 1370", "지도Link")</f>
        <v/>
      </c>
      <c r="N993" s="6">
        <f>HYPERLINK("http://www.eum.go.kr/web/ar/lu/luLandDet.jsp?pnu=3611011300113700000&amp;isNoScr=script&amp;mode=search", "토지이음")</f>
        <v/>
      </c>
      <c r="O993" s="3" t="inlineStr">
        <is>
          <t>세종무지개</t>
        </is>
      </c>
      <c r="P993" s="4" t="n">
        <v>1</v>
      </c>
      <c r="Q993" s="4" t="n">
        <v>365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소로한면</t>
        </is>
      </c>
    </row>
    <row r="994">
      <c r="A994" s="3" t="inlineStr">
        <is>
          <t>아름동 1370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66000</v>
      </c>
      <c r="G994" s="4" t="n">
        <v>365</v>
      </c>
      <c r="H994" s="4" t="n">
        <v>110</v>
      </c>
      <c r="I994" s="5" t="n">
        <v>600</v>
      </c>
      <c r="J994" s="5" t="n">
        <v>338.2</v>
      </c>
      <c r="K994" s="3" t="inlineStr">
        <is>
          <t>(급매) 단독주택 건축을 고려하시면 추천합니다.</t>
        </is>
      </c>
      <c r="L994" s="6">
        <f>HYPERLINK("https://fin.land.naver.com/articles/2650054888", "매물Link")</f>
        <v/>
      </c>
      <c r="M994" s="6">
        <f>HYPERLINK("https://map.naver.com/p/search/아름동 1370", "지도Link")</f>
        <v/>
      </c>
      <c r="N994" s="6">
        <f>HYPERLINK("http://www.eum.go.kr/web/ar/lu/luLandDet.jsp?pnu=3611011300113700000&amp;isNoScr=script&amp;mode=search", "토지이음")</f>
        <v/>
      </c>
      <c r="O994" s="3" t="inlineStr">
        <is>
          <t>리치빌아주</t>
        </is>
      </c>
      <c r="P994" s="4" t="n">
        <v>1</v>
      </c>
      <c r="Q994" s="4" t="n">
        <v>365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소로한면</t>
        </is>
      </c>
    </row>
    <row r="995">
      <c r="A995" s="3" t="inlineStr">
        <is>
          <t>아름동 1370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365</v>
      </c>
      <c r="H995" s="4" t="n">
        <v>110</v>
      </c>
      <c r="I995" s="5" t="n">
        <v>545.5</v>
      </c>
      <c r="J995" s="5" t="n">
        <v>338.2</v>
      </c>
      <c r="K995" s="3" t="inlineStr">
        <is>
          <t>4단지 맞은편, 단독주택 토지 매매</t>
        </is>
      </c>
      <c r="L995" s="6">
        <f>HYPERLINK("https://fin.land.naver.com/articles/2649878133", "매물Link")</f>
        <v/>
      </c>
      <c r="M995" s="6">
        <f>HYPERLINK("https://map.naver.com/p/search/아름동 1370", "지도Link")</f>
        <v/>
      </c>
      <c r="N995" s="6">
        <f>HYPERLINK("http://www.eum.go.kr/web/ar/lu/luLandDet.jsp?pnu=3611011300113700000&amp;isNoScr=script&amp;mode=search",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365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소로한면</t>
        </is>
      </c>
    </row>
    <row r="996">
      <c r="A996" s="3" t="inlineStr">
        <is>
          <t>아름동 1380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45000</v>
      </c>
      <c r="G996" s="4" t="n">
        <v>300</v>
      </c>
      <c r="H996" s="4" t="n">
        <v>91</v>
      </c>
      <c r="I996" s="5" t="n">
        <v>494.5</v>
      </c>
      <c r="J996" s="5" t="n">
        <v>352.4</v>
      </c>
      <c r="K996" s="3" t="inlineStr">
        <is>
          <t>추천급매  가격조율가능  코너각지   생활 편리한 근린상가 근접</t>
        </is>
      </c>
      <c r="L996" s="6">
        <f>HYPERLINK("https://fin.land.naver.com/articles/2654597449", "매물Link")</f>
        <v/>
      </c>
      <c r="M996" s="6">
        <f>HYPERLINK("https://map.naver.com/p/search/아름동 1380", "지도Link")</f>
        <v/>
      </c>
      <c r="N996" s="6">
        <f>HYPERLINK("http://www.eum.go.kr/web/ar/lu/luLandDet.jsp?pnu=3611011300113800000&amp;isNoScr=script&amp;mode=search", "토지이음")</f>
        <v/>
      </c>
      <c r="O996" s="3" t="inlineStr">
        <is>
          <t>고운힐스테이트</t>
        </is>
      </c>
      <c r="P996" s="4" t="n">
        <v>13</v>
      </c>
      <c r="Q996" s="4" t="n">
        <v>300.2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소로각지</t>
        </is>
      </c>
    </row>
    <row r="997">
      <c r="A997" s="3" t="inlineStr">
        <is>
          <t>아름동 1380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45000</v>
      </c>
      <c r="G997" s="4" t="n">
        <v>300</v>
      </c>
      <c r="H997" s="4" t="n">
        <v>91</v>
      </c>
      <c r="I997" s="5" t="n">
        <v>494.5</v>
      </c>
      <c r="J997" s="5" t="n">
        <v>352.4</v>
      </c>
      <c r="K997" s="3" t="inlineStr">
        <is>
          <t>급매 아름동학원가, 상권이용편리로얄택지, 금액조율가능, 추천매매</t>
        </is>
      </c>
      <c r="L997" s="6">
        <f>HYPERLINK("https://fin.land.naver.com/articles/2650559948", "매물Link")</f>
        <v/>
      </c>
      <c r="M997" s="6">
        <f>HYPERLINK("https://map.naver.com/p/search/아름동 1380", "지도Link")</f>
        <v/>
      </c>
      <c r="N997" s="6">
        <f>HYPERLINK("http://www.eum.go.kr/web/ar/lu/luLandDet.jsp?pnu=3611011300113800000&amp;isNoScr=script&amp;mode=search", "토지이음")</f>
        <v/>
      </c>
      <c r="O997" s="3" t="inlineStr">
        <is>
          <t>한방</t>
        </is>
      </c>
      <c r="P997" s="4" t="n">
        <v>1</v>
      </c>
      <c r="Q997" s="4" t="n">
        <v>300.2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소로각지</t>
        </is>
      </c>
    </row>
    <row r="998">
      <c r="A998" s="3" t="inlineStr">
        <is>
          <t>아름동 1380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45000</v>
      </c>
      <c r="G998" s="4" t="n">
        <v>300</v>
      </c>
      <c r="H998" s="4" t="n">
        <v>91</v>
      </c>
      <c r="I998" s="5" t="n">
        <v>494.5</v>
      </c>
      <c r="J998" s="5" t="n">
        <v>352.4</v>
      </c>
      <c r="K998" s="3" t="inlineStr">
        <is>
          <t>아름동 주택지 저렴한 가격 급매, 코너각지, 위치좋음</t>
        </is>
      </c>
      <c r="L998" s="6">
        <f>HYPERLINK("https://fin.land.naver.com/articles/2653003304", "매물Link")</f>
        <v/>
      </c>
      <c r="M998" s="6">
        <f>HYPERLINK("https://map.naver.com/p/search/아름동 1380", "지도Link")</f>
        <v/>
      </c>
      <c r="N998" s="6">
        <f>HYPERLINK("http://www.eum.go.kr/web/ar/lu/luLandDet.jsp?pnu=3611011300113800000&amp;isNoScr=script&amp;mode=search", "토지이음")</f>
        <v/>
      </c>
      <c r="O998" s="3" t="inlineStr">
        <is>
          <t>OK세종 사무소</t>
        </is>
      </c>
      <c r="P998" s="4" t="n">
        <v>2</v>
      </c>
      <c r="Q998" s="4" t="n">
        <v>300.2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소로각지</t>
        </is>
      </c>
    </row>
    <row r="999">
      <c r="A999" s="3" t="inlineStr">
        <is>
          <t>아름동 1380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45000</v>
      </c>
      <c r="G999" s="4" t="n">
        <v>300</v>
      </c>
      <c r="H999" s="4" t="n">
        <v>91</v>
      </c>
      <c r="I999" s="5" t="n">
        <v>494.5</v>
      </c>
      <c r="J999" s="5" t="n">
        <v>352.4</v>
      </c>
      <c r="K999" s="3" t="inlineStr">
        <is>
          <t>급매, 총 91p, 삼거리코너, 아파트 단지 밑</t>
        </is>
      </c>
      <c r="L999" s="6">
        <f>HYPERLINK("https://fin.land.naver.com/articles/2652838634", "매물Link")</f>
        <v/>
      </c>
      <c r="M999" s="6">
        <f>HYPERLINK("https://map.naver.com/p/search/아름동 1380", "지도Link")</f>
        <v/>
      </c>
      <c r="N999" s="6">
        <f>HYPERLINK("http://www.eum.go.kr/web/ar/lu/luLandDet.jsp?pnu=3611011300113800000&amp;isNoScr=script&amp;mode=search",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300.2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소로각지</t>
        </is>
      </c>
    </row>
    <row r="1000">
      <c r="A1000" s="3" t="inlineStr">
        <is>
          <t>아름동 1380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45000</v>
      </c>
      <c r="G1000" s="4" t="n">
        <v>300</v>
      </c>
      <c r="H1000" s="4" t="n">
        <v>91</v>
      </c>
      <c r="I1000" s="5" t="n">
        <v>494.5</v>
      </c>
      <c r="J1000" s="5" t="n">
        <v>352.4</v>
      </c>
      <c r="K1000" s="3" t="inlineStr">
        <is>
          <t>D8중 최저가.네고 가능.초,중,고 가깝고,마트.교통까지 편리</t>
        </is>
      </c>
      <c r="L1000" s="6">
        <f>HYPERLINK("https://fin.land.naver.com/articles/2650707273", "매물Link")</f>
        <v/>
      </c>
      <c r="M1000" s="6">
        <f>HYPERLINK("https://map.naver.com/p/search/아름동 1380", "지도Link")</f>
        <v/>
      </c>
      <c r="N1000" s="6">
        <f>HYPERLINK("http://www.eum.go.kr/web/ar/lu/luLandDet.jsp?pnu=3611011300113800000&amp;isNoScr=script&amp;mode=search", "토지이음")</f>
        <v/>
      </c>
      <c r="O1000" s="3" t="inlineStr">
        <is>
          <t>수자인</t>
        </is>
      </c>
      <c r="P1000" s="4" t="n">
        <v>1</v>
      </c>
      <c r="Q1000" s="4" t="n">
        <v>300.2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소로각지</t>
        </is>
      </c>
    </row>
    <row r="1001">
      <c r="A1001" s="3" t="inlineStr">
        <is>
          <t>아름동 1380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45000</v>
      </c>
      <c r="G1001" s="4" t="n">
        <v>300</v>
      </c>
      <c r="H1001" s="4" t="n">
        <v>91</v>
      </c>
      <c r="I1001" s="5" t="n">
        <v>494.5</v>
      </c>
      <c r="J1001" s="5" t="n">
        <v>352.4</v>
      </c>
      <c r="K1001" s="3" t="inlineStr">
        <is>
          <t>급매, 학교, 편의시설, 정부청사 가까워 생활편리, 보행도로접 코너각지</t>
        </is>
      </c>
      <c r="L1001" s="6">
        <f>HYPERLINK("https://fin.land.naver.com/articles/2649697166", "매물Link")</f>
        <v/>
      </c>
      <c r="M1001" s="6">
        <f>HYPERLINK("https://map.naver.com/p/search/아름동 1380", "지도Link")</f>
        <v/>
      </c>
      <c r="N1001" s="6">
        <f>HYPERLINK("http://www.eum.go.kr/web/ar/lu/luLandDet.jsp?pnu=3611011300113800000&amp;isNoScr=script&amp;mode=search", "토지이음")</f>
        <v/>
      </c>
      <c r="O1001" s="3" t="inlineStr">
        <is>
          <t>온뜰</t>
        </is>
      </c>
      <c r="P1001" s="4" t="n">
        <v>1</v>
      </c>
      <c r="Q1001" s="4" t="n">
        <v>300.2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소로각지</t>
        </is>
      </c>
    </row>
    <row r="1002">
      <c r="A1002" s="3" t="inlineStr">
        <is>
          <t>아름동 1380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45000</v>
      </c>
      <c r="G1002" s="4" t="n">
        <v>300</v>
      </c>
      <c r="H1002" s="4" t="n">
        <v>91</v>
      </c>
      <c r="I1002" s="5" t="n">
        <v>494.5</v>
      </c>
      <c r="J1002" s="5" t="n">
        <v>352.4</v>
      </c>
      <c r="K1002" s="3" t="inlineStr">
        <is>
          <t>총 91p, 삼거리 코너, 단지 인접, 급매</t>
        </is>
      </c>
      <c r="L1002" s="6">
        <f>HYPERLINK("https://fin.land.naver.com/articles/2654223009", "매물Link")</f>
        <v/>
      </c>
      <c r="M1002" s="6">
        <f>HYPERLINK("https://map.naver.com/p/search/아름동 1380", "지도Link")</f>
        <v/>
      </c>
      <c r="N1002" s="6">
        <f>HYPERLINK("http://www.eum.go.kr/web/ar/lu/luLandDet.jsp?pnu=3611011300113800000&amp;isNoScr=script&amp;mode=search",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300.2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소로각지</t>
        </is>
      </c>
    </row>
    <row r="1003">
      <c r="A1003" s="3" t="inlineStr">
        <is>
          <t>아름동 1390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65000</v>
      </c>
      <c r="G1003" s="4" t="n">
        <v>304</v>
      </c>
      <c r="H1003" s="4" t="n">
        <v>92</v>
      </c>
      <c r="I1003" s="5" t="n">
        <v>706.5</v>
      </c>
      <c r="J1003" s="5" t="n">
        <v>338.2</v>
      </c>
      <c r="K1003" s="3" t="inlineStr">
        <is>
          <t>nan</t>
        </is>
      </c>
      <c r="L1003" s="6">
        <f>HYPERLINK("https://fin.land.naver.com/articles/2655009804", "매물Link")</f>
        <v/>
      </c>
      <c r="M1003" s="6">
        <f>HYPERLINK("https://map.naver.com/p/search/아름동 1390", "지도Link")</f>
        <v/>
      </c>
      <c r="N1003" s="6">
        <f>HYPERLINK("http://www.eum.go.kr/web/ar/lu/luLandDet.jsp?pnu=3611011300113900000&amp;isNoScr=script&amp;mode=search", "토지이음")</f>
        <v/>
      </c>
      <c r="O1003" s="3" t="inlineStr">
        <is>
          <t>디아트성심</t>
        </is>
      </c>
      <c r="P1003" s="4" t="n">
        <v>1</v>
      </c>
      <c r="Q1003" s="4" t="n">
        <v>304.2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아름동 1392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60000</v>
      </c>
      <c r="G1004" s="4" t="n">
        <v>304</v>
      </c>
      <c r="H1004" s="4" t="n">
        <v>92</v>
      </c>
      <c r="I1004" s="5" t="n">
        <v>652.2</v>
      </c>
      <c r="J1004" s="5" t="n">
        <v>352.4</v>
      </c>
      <c r="K1004" s="3" t="inlineStr">
        <is>
          <t>학원가와 가까운 입지의 코너 토지 급매매</t>
        </is>
      </c>
      <c r="L1004" s="6">
        <f>HYPERLINK("https://fin.land.naver.com/articles/2651281497", "매물Link")</f>
        <v/>
      </c>
      <c r="M1004" s="6">
        <f>HYPERLINK("https://map.naver.com/p/search/아름동 1392", "지도Link")</f>
        <v/>
      </c>
      <c r="N1004" s="6">
        <f>HYPERLINK("http://www.eum.go.kr/web/ar/lu/luLandDet.jsp?pnu=3611011300113920000&amp;isNoScr=script&amp;mode=search", "토지이음")</f>
        <v/>
      </c>
      <c r="O1004" s="3" t="inlineStr">
        <is>
          <t>킹세종</t>
        </is>
      </c>
      <c r="P1004" s="4" t="n">
        <v>1</v>
      </c>
      <c r="Q1004" s="4" t="n">
        <v>304.3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소로각지</t>
        </is>
      </c>
    </row>
    <row r="1005">
      <c r="A1005" s="3" t="inlineStr">
        <is>
          <t>아름동 1418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55000</v>
      </c>
      <c r="G1005" s="4" t="n">
        <v>303</v>
      </c>
      <c r="H1005" s="4" t="n">
        <v>92</v>
      </c>
      <c r="I1005" s="5" t="n">
        <v>597.8</v>
      </c>
      <c r="J1005" s="5" t="n">
        <v>352.4</v>
      </c>
      <c r="K1005" s="3" t="inlineStr">
        <is>
          <t>코너각지 홈플러스인근 아름동학원가 인접 조율가능</t>
        </is>
      </c>
      <c r="L1005" s="6">
        <f>HYPERLINK("https://fin.land.naver.com/articles/2655177594", "매물Link")</f>
        <v/>
      </c>
      <c r="M1005" s="6">
        <f>HYPERLINK("https://map.naver.com/p/search/아름동 1418", "지도Link")</f>
        <v/>
      </c>
      <c r="N1005" s="6">
        <f>HYPERLINK("http://www.eum.go.kr/web/ar/lu/luLandDet.jsp?pnu=3611011300114180000&amp;isNoScr=script&amp;mode=search", "토지이음")</f>
        <v/>
      </c>
      <c r="O1005" s="3" t="inlineStr">
        <is>
          <t>세종스타</t>
        </is>
      </c>
      <c r="P1005" s="4" t="n">
        <v>1</v>
      </c>
      <c r="Q1005" s="4" t="n">
        <v>303.9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1418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55000</v>
      </c>
      <c r="G1006" s="4" t="n">
        <v>303</v>
      </c>
      <c r="H1006" s="4" t="n">
        <v>92</v>
      </c>
      <c r="I1006" s="5" t="n">
        <v>597.8</v>
      </c>
      <c r="J1006" s="5" t="n">
        <v>352.4</v>
      </c>
      <c r="K1006" s="3" t="inlineStr">
        <is>
          <t>92.1p, 초급매, 가격조율가능, 코너최고자리</t>
        </is>
      </c>
      <c r="L1006" s="6">
        <f>HYPERLINK("https://fin.land.naver.com/articles/2654924787", "매물Link")</f>
        <v/>
      </c>
      <c r="M1006" s="6">
        <f>HYPERLINK("https://map.naver.com/p/search/아름동 1418", "지도Link")</f>
        <v/>
      </c>
      <c r="N1006" s="6">
        <f>HYPERLINK("http://www.eum.go.kr/web/ar/lu/luLandDet.jsp?pnu=3611011300114180000&amp;isNoScr=script&amp;mode=search",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303.9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소로각지</t>
        </is>
      </c>
    </row>
    <row r="1007">
      <c r="A1007" s="3" t="inlineStr">
        <is>
          <t>아름동 1420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70000</v>
      </c>
      <c r="G1007" s="4" t="n">
        <v>303</v>
      </c>
      <c r="H1007" s="4" t="n">
        <v>92</v>
      </c>
      <c r="I1007" s="5" t="n">
        <v>760.9</v>
      </c>
      <c r="J1007" s="5" t="n">
        <v>338.2</v>
      </c>
      <c r="K1007" s="3" t="inlineStr">
        <is>
          <t>92.1p, 단지 바로 옆, 아름동 단독주택지</t>
        </is>
      </c>
      <c r="L1007" s="6">
        <f>HYPERLINK("https://fin.land.naver.com/articles/2654703335", "매물Link")</f>
        <v/>
      </c>
      <c r="M1007" s="6">
        <f>HYPERLINK("https://map.naver.com/p/search/아름동 1420", "지도Link")</f>
        <v/>
      </c>
      <c r="N1007" s="6">
        <f>HYPERLINK("http://www.eum.go.kr/web/ar/lu/luLandDet.jsp?pnu=3611011300114200000&amp;isNoScr=script&amp;mode=search",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303.9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1443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65000</v>
      </c>
      <c r="G1008" s="4" t="n">
        <v>344</v>
      </c>
      <c r="H1008" s="4" t="n">
        <v>104</v>
      </c>
      <c r="I1008" s="5" t="n">
        <v>625</v>
      </c>
      <c r="J1008" s="5" t="n">
        <v>338.2</v>
      </c>
      <c r="K1008" s="3" t="inlineStr">
        <is>
          <t>접근성 좋은 아름동 택지</t>
        </is>
      </c>
      <c r="L1008" s="6">
        <f>HYPERLINK("https://fin.land.naver.com/articles/2652794578", "매물Link")</f>
        <v/>
      </c>
      <c r="M1008" s="6">
        <f>HYPERLINK("https://map.naver.com/p/search/아름동 1443", "지도Link")</f>
        <v/>
      </c>
      <c r="N1008" s="6">
        <f>HYPERLINK("http://www.eum.go.kr/web/ar/lu/luLandDet.jsp?pnu=3611011300114430000&amp;isNoScr=script&amp;mode=search", "토지이음")</f>
        <v/>
      </c>
      <c r="O1008" s="3" t="inlineStr">
        <is>
          <t>강아지풀</t>
        </is>
      </c>
      <c r="P1008" s="4" t="n">
        <v>1</v>
      </c>
      <c r="Q1008" s="4" t="n">
        <v>344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1443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65000</v>
      </c>
      <c r="G1009" s="4" t="n">
        <v>344</v>
      </c>
      <c r="H1009" s="4" t="n">
        <v>104</v>
      </c>
      <c r="I1009" s="5" t="n">
        <v>625</v>
      </c>
      <c r="J1009" s="5" t="n">
        <v>338.2</v>
      </c>
      <c r="K1009" s="3" t="inlineStr">
        <is>
          <t>단독주택지.대지</t>
        </is>
      </c>
      <c r="L1009" s="6">
        <f>HYPERLINK("https://fin.land.naver.com/articles/2651582608", "매물Link")</f>
        <v/>
      </c>
      <c r="M1009" s="6">
        <f>HYPERLINK("https://map.naver.com/p/search/아름동 1443", "지도Link")</f>
        <v/>
      </c>
      <c r="N1009" s="6">
        <f>HYPERLINK("http://www.eum.go.kr/web/ar/lu/luLandDet.jsp?pnu=3611011300114430000&amp;isNoScr=script&amp;mode=search", "토지이음")</f>
        <v/>
      </c>
      <c r="O1009" s="3" t="inlineStr">
        <is>
          <t>세종몽땅</t>
        </is>
      </c>
      <c r="P1009" s="4" t="n">
        <v>1</v>
      </c>
      <c r="Q1009" s="4" t="n">
        <v>344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1452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55000</v>
      </c>
      <c r="G1010" s="4" t="n">
        <v>319</v>
      </c>
      <c r="H1010" s="4" t="n">
        <v>96</v>
      </c>
      <c r="I1010" s="5" t="n">
        <v>572.9</v>
      </c>
      <c r="J1010" s="5" t="n">
        <v>334.5</v>
      </c>
      <c r="K1010" s="3" t="inlineStr">
        <is>
          <t>총 96.7p, 12단지 맞은편 위치좋은 단독주택지</t>
        </is>
      </c>
      <c r="L1010" s="6">
        <f>HYPERLINK("https://fin.land.naver.com/articles/2651908937", "매물Link")</f>
        <v/>
      </c>
      <c r="M1010" s="6">
        <f>HYPERLINK("https://map.naver.com/p/search/아름동 1452", "지도Link")</f>
        <v/>
      </c>
      <c r="N1010" s="6">
        <f>HYPERLINK("http://www.eum.go.kr/web/ar/lu/luLandDet.jsp?pnu=3611011300114520000&amp;isNoScr=script&amp;mode=search", "토지이음")</f>
        <v/>
      </c>
      <c r="O1010" s="3" t="inlineStr">
        <is>
          <t>명진</t>
        </is>
      </c>
      <c r="P1010" s="4" t="n">
        <v>1</v>
      </c>
      <c r="Q1010" s="4" t="n">
        <v>319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소로한면</t>
        </is>
      </c>
    </row>
    <row r="1011">
      <c r="A1011" s="3" t="inlineStr">
        <is>
          <t>아름동 1452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55000</v>
      </c>
      <c r="G1011" s="4" t="n">
        <v>319</v>
      </c>
      <c r="H1011" s="4" t="n">
        <v>96</v>
      </c>
      <c r="I1011" s="5" t="n">
        <v>572.9</v>
      </c>
      <c r="J1011" s="5" t="n">
        <v>334.5</v>
      </c>
      <c r="K1011" s="3" t="inlineStr">
        <is>
          <t>96.7p, 단지 맞은편, 사거리 코너자리</t>
        </is>
      </c>
      <c r="L1011" s="6">
        <f>HYPERLINK("https://fin.land.naver.com/articles/2653565169", "매물Link")</f>
        <v/>
      </c>
      <c r="M1011" s="6">
        <f>HYPERLINK("https://map.naver.com/p/search/아름동 1452", "지도Link")</f>
        <v/>
      </c>
      <c r="N1011" s="6">
        <f>HYPERLINK("http://www.eum.go.kr/web/ar/lu/luLandDet.jsp?pnu=3611011300114520000&amp;isNoScr=script&amp;mode=search",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319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소로한면</t>
        </is>
      </c>
    </row>
    <row r="1012">
      <c r="A1012" s="3" t="inlineStr">
        <is>
          <t>아름동 815</t>
        </is>
      </c>
      <c r="B1012" s="3" t="inlineStr">
        <is>
          <t>제2종일반주거지역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120000</v>
      </c>
      <c r="G1012" s="4" t="n">
        <v>500</v>
      </c>
      <c r="H1012" s="4" t="n">
        <v>151</v>
      </c>
      <c r="I1012" s="5" t="n">
        <v>794.7</v>
      </c>
      <c r="J1012" s="5" t="n">
        <v>172.1</v>
      </c>
      <c r="K1012" s="3" t="inlineStr">
        <is>
          <t>151.5p, 데이터센터, 방송관련 사옥 추천, 조율가능, 입지좋은 토지</t>
        </is>
      </c>
      <c r="L1012" s="6">
        <f>HYPERLINK("https://fin.land.naver.com/articles/2654888844", "매물Link")</f>
        <v/>
      </c>
      <c r="M1012" s="6">
        <f>HYPERLINK("https://map.naver.com/p/search/아름동 815", "지도Link")</f>
        <v/>
      </c>
      <c r="N1012" s="6">
        <f>HYPERLINK("http://www.eum.go.kr/web/ar/lu/luLandDet.jsp?pnu=3611011300108150000&amp;isNoScr=script&amp;mode=search", "토지이음")</f>
        <v/>
      </c>
      <c r="O1012" s="3" t="inlineStr">
        <is>
          <t>명진</t>
        </is>
      </c>
      <c r="P1012" s="4" t="n">
        <v>1</v>
      </c>
      <c r="Q1012" s="4" t="n">
        <v>500</v>
      </c>
      <c r="R1012" s="3" t="inlineStr">
        <is>
          <t>지정되지않음</t>
        </is>
      </c>
      <c r="S1012" s="3" t="inlineStr">
        <is>
          <t>도로등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지정되지않음</t>
        </is>
      </c>
    </row>
    <row r="1013">
      <c r="A1013" s="3" t="inlineStr">
        <is>
          <t>아름동 815</t>
        </is>
      </c>
      <c r="B1013" s="3" t="inlineStr">
        <is>
          <t>제2종일반주거지역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120000</v>
      </c>
      <c r="G1013" s="4" t="n">
        <v>500</v>
      </c>
      <c r="H1013" s="4" t="n">
        <v>151</v>
      </c>
      <c r="I1013" s="5" t="n">
        <v>794.7</v>
      </c>
      <c r="J1013" s="5" t="n">
        <v>172.1</v>
      </c>
      <c r="K1013" s="3" t="inlineStr">
        <is>
          <t>방송통신용지 데이터센터 또는 방송관련 사옥으로 최적 가격조율가능</t>
        </is>
      </c>
      <c r="L1013" s="6">
        <f>HYPERLINK("https://fin.land.naver.com/articles/2653000172", "매물Link")</f>
        <v/>
      </c>
      <c r="M1013" s="6">
        <f>HYPERLINK("https://map.naver.com/p/search/아름동 815", "지도Link")</f>
        <v/>
      </c>
      <c r="N1013" s="6">
        <f>HYPERLINK("http://www.eum.go.kr/web/ar/lu/luLandDet.jsp?pnu=3611011300108150000&amp;isNoScr=script&amp;mode=search", "토지이음")</f>
        <v/>
      </c>
      <c r="O1013" s="3" t="inlineStr">
        <is>
          <t>뉴엘리트탑</t>
        </is>
      </c>
      <c r="P1013" s="4" t="n">
        <v>1</v>
      </c>
      <c r="Q1013" s="4" t="n">
        <v>500</v>
      </c>
      <c r="R1013" s="3" t="inlineStr">
        <is>
          <t>지정되지않음</t>
        </is>
      </c>
      <c r="S1013" s="3" t="inlineStr">
        <is>
          <t>도로등</t>
        </is>
      </c>
      <c r="T1013" s="3" t="inlineStr">
        <is>
          <t>평지</t>
        </is>
      </c>
      <c r="U1013" s="3" t="inlineStr">
        <is>
          <t>부정형</t>
        </is>
      </c>
      <c r="V1013" s="3" t="inlineStr">
        <is>
          <t>지정되지않음</t>
        </is>
      </c>
    </row>
    <row r="1014">
      <c r="A1014" s="3" t="inlineStr">
        <is>
          <t>아름동 815</t>
        </is>
      </c>
      <c r="B1014" s="3" t="inlineStr">
        <is>
          <t>제2종일반주거지역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120000</v>
      </c>
      <c r="G1014" s="4" t="n">
        <v>500</v>
      </c>
      <c r="H1014" s="4" t="n">
        <v>151</v>
      </c>
      <c r="I1014" s="5" t="n">
        <v>794.7</v>
      </c>
      <c r="J1014" s="5" t="n">
        <v>172.1</v>
      </c>
      <c r="K1014" s="3" t="inlineStr">
        <is>
          <t>데이터센터, 방송국 사옥부지, 조율가능, 정보통신업 추천</t>
        </is>
      </c>
      <c r="L1014" s="6">
        <f>HYPERLINK("https://fin.land.naver.com/articles/2653569005", "매물Link")</f>
        <v/>
      </c>
      <c r="M1014" s="6">
        <f>HYPERLINK("https://map.naver.com/p/search/아름동 815", "지도Link")</f>
        <v/>
      </c>
      <c r="N1014" s="6">
        <f>HYPERLINK("http://www.eum.go.kr/web/ar/lu/luLandDet.jsp?pnu=3611011300108150000&amp;isNoScr=script&amp;mode=search", "토지이음")</f>
        <v/>
      </c>
      <c r="O1014" s="3" t="inlineStr">
        <is>
          <t>세종무지개</t>
        </is>
      </c>
      <c r="P1014" s="4" t="n">
        <v>1</v>
      </c>
      <c r="Q1014" s="4" t="n">
        <v>500</v>
      </c>
      <c r="R1014" s="3" t="inlineStr">
        <is>
          <t>지정되지않음</t>
        </is>
      </c>
      <c r="S1014" s="3" t="inlineStr">
        <is>
          <t>도로등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지정되지않음</t>
        </is>
      </c>
    </row>
    <row r="1015">
      <c r="A1015" s="3" t="inlineStr">
        <is>
          <t>아름동 826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65000</v>
      </c>
      <c r="G1015" s="4" t="n">
        <v>305</v>
      </c>
      <c r="H1015" s="4" t="n">
        <v>92</v>
      </c>
      <c r="I1015" s="5" t="n">
        <v>706.5</v>
      </c>
      <c r="J1015" s="5" t="n">
        <v>339.5</v>
      </c>
      <c r="K1015" s="3" t="inlineStr">
        <is>
          <t>아름동 국제고 인근, 입지좋은 단독주택 토지매매</t>
        </is>
      </c>
      <c r="L1015" s="6">
        <f>HYPERLINK("https://fin.land.naver.com/articles/2654227049", "매물Link")</f>
        <v/>
      </c>
      <c r="M1015" s="6">
        <f>HYPERLINK("https://map.naver.com/p/search/아름동 826", "지도Link")</f>
        <v/>
      </c>
      <c r="N1015" s="6">
        <f>HYPERLINK("http://www.eum.go.kr/web/ar/lu/luLandDet.jsp?pnu=3611011300108260000&amp;isNoScr=script&amp;mode=search", "토지이음")</f>
        <v/>
      </c>
      <c r="O1015" s="3" t="inlineStr">
        <is>
          <t>명진</t>
        </is>
      </c>
      <c r="P1015" s="4" t="n">
        <v>1</v>
      </c>
      <c r="Q1015" s="4" t="n">
        <v>305.5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소로한면</t>
        </is>
      </c>
    </row>
    <row r="1016">
      <c r="A1016" s="3" t="inlineStr">
        <is>
          <t>아름동 826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65000</v>
      </c>
      <c r="G1016" s="4" t="n">
        <v>305</v>
      </c>
      <c r="H1016" s="4" t="n">
        <v>92</v>
      </c>
      <c r="I1016" s="5" t="n">
        <v>706.5</v>
      </c>
      <c r="J1016" s="5" t="n">
        <v>339.5</v>
      </c>
      <c r="K1016" s="3" t="inlineStr">
        <is>
          <t>국제고 인근, 충대병원 가까운 아름동 단독주택 토지매매</t>
        </is>
      </c>
      <c r="L1016" s="6">
        <f>HYPERLINK("https://fin.land.naver.com/articles/2652839214", "매물Link")</f>
        <v/>
      </c>
      <c r="M1016" s="6">
        <f>HYPERLINK("https://map.naver.com/p/search/아름동 826", "지도Link")</f>
        <v/>
      </c>
      <c r="N1016" s="6">
        <f>HYPERLINK("http://www.eum.go.kr/web/ar/lu/luLandDet.jsp?pnu=3611011300108260000&amp;isNoScr=script&amp;mode=search", "토지이음")</f>
        <v/>
      </c>
      <c r="O1016" s="3" t="inlineStr">
        <is>
          <t>세종무지개</t>
        </is>
      </c>
      <c r="P1016" s="4" t="n">
        <v>1</v>
      </c>
      <c r="Q1016" s="4" t="n">
        <v>305.5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소로한면</t>
        </is>
      </c>
    </row>
    <row r="1017">
      <c r="A1017" s="3" t="inlineStr">
        <is>
          <t>아름동 826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65000</v>
      </c>
      <c r="G1017" s="4" t="n">
        <v>305</v>
      </c>
      <c r="H1017" s="4" t="n">
        <v>92</v>
      </c>
      <c r="I1017" s="5" t="n">
        <v>706.5</v>
      </c>
      <c r="J1017" s="5" t="n">
        <v>339.5</v>
      </c>
      <c r="K1017" s="3" t="inlineStr">
        <is>
          <t>조율가능 국제고인근 시유지접함 언덕택지</t>
        </is>
      </c>
      <c r="L1017" s="6">
        <f>HYPERLINK("https://fin.land.naver.com/articles/2655021697", "매물Link")</f>
        <v/>
      </c>
      <c r="M1017" s="6">
        <f>HYPERLINK("https://map.naver.com/p/search/아름동 826", "지도Link")</f>
        <v/>
      </c>
      <c r="N1017" s="6">
        <f>HYPERLINK("http://www.eum.go.kr/web/ar/lu/luLandDet.jsp?pnu=3611011300108260000&amp;isNoScr=script&amp;mode=search", "토지이음")</f>
        <v/>
      </c>
      <c r="O1017" s="3" t="inlineStr">
        <is>
          <t>세종스타</t>
        </is>
      </c>
      <c r="P1017" s="4" t="n">
        <v>1</v>
      </c>
      <c r="Q1017" s="4" t="n">
        <v>305.5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소로한면</t>
        </is>
      </c>
    </row>
    <row r="1018">
      <c r="A1018" s="3" t="inlineStr">
        <is>
          <t>아름동 863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80000</v>
      </c>
      <c r="G1018" s="4" t="n">
        <v>316</v>
      </c>
      <c r="H1018" s="4" t="n">
        <v>96</v>
      </c>
      <c r="I1018" s="5" t="n">
        <v>833.3</v>
      </c>
      <c r="J1018" s="5" t="n">
        <v>339.8</v>
      </c>
      <c r="K1018" s="3" t="inlineStr">
        <is>
          <t>세종 국제고, 영재고, 충대병원, 공원인접한 살기 좋은 동네 택지</t>
        </is>
      </c>
      <c r="L1018" s="6">
        <f>HYPERLINK("https://fin.land.naver.com/articles/2650958863", "매물Link")</f>
        <v/>
      </c>
      <c r="M1018" s="6">
        <f>HYPERLINK("https://map.naver.com/p/search/아름동 863", "지도Link")</f>
        <v/>
      </c>
      <c r="N1018" s="6">
        <f>HYPERLINK("http://www.eum.go.kr/web/ar/lu/luLandDet.jsp?pnu=3611011300108630000&amp;isNoScr=script&amp;mode=search", "토지이음")</f>
        <v/>
      </c>
      <c r="O1018" s="3" t="inlineStr">
        <is>
          <t>새롬삼둥이</t>
        </is>
      </c>
      <c r="P1018" s="4" t="n">
        <v>2</v>
      </c>
      <c r="Q1018" s="4" t="n">
        <v>316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874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70000</v>
      </c>
      <c r="G1019" s="4" t="n">
        <v>340</v>
      </c>
      <c r="H1019" s="4" t="n">
        <v>103</v>
      </c>
      <c r="I1019" s="5" t="n">
        <v>679.6</v>
      </c>
      <c r="J1019" s="5" t="n">
        <v>339.5</v>
      </c>
      <c r="K1019" s="3" t="inlineStr">
        <is>
          <t>103p, 충대병원인근, 아름동 입지좋은 토지</t>
        </is>
      </c>
      <c r="L1019" s="6">
        <f>HYPERLINK("https://fin.land.naver.com/articles/2654694214", "매물Link")</f>
        <v/>
      </c>
      <c r="M1019" s="6">
        <f>HYPERLINK("https://map.naver.com/p/search/아름동 874", "지도Link")</f>
        <v/>
      </c>
      <c r="N1019" s="6">
        <f>HYPERLINK("http://www.eum.go.kr/web/ar/lu/luLandDet.jsp?pnu=3611011300108740000&amp;isNoScr=script&amp;mode=search",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340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소로한면</t>
        </is>
      </c>
    </row>
    <row r="1020">
      <c r="A1020" s="3" t="inlineStr">
        <is>
          <t>아름동 879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59000</v>
      </c>
      <c r="G1020" s="4" t="n">
        <v>321</v>
      </c>
      <c r="H1020" s="4" t="n">
        <v>97</v>
      </c>
      <c r="I1020" s="5" t="n">
        <v>608.2</v>
      </c>
      <c r="J1020" s="5" t="n">
        <v>339.8</v>
      </c>
      <c r="K1020" s="3" t="inlineStr">
        <is>
          <t>급매 뒤로 넓은 공원낀위치 우측 연결녹지 넓어 쾌적한곳</t>
        </is>
      </c>
      <c r="L1020" s="6">
        <f>HYPERLINK("https://fin.land.naver.com/articles/2652418910", "매물Link")</f>
        <v/>
      </c>
      <c r="M1020" s="6">
        <f>HYPERLINK("https://map.naver.com/p/search/아름동 879", "지도Link")</f>
        <v/>
      </c>
      <c r="N1020" s="6">
        <f>HYPERLINK("http://www.eum.go.kr/web/ar/lu/luLandDet.jsp?pnu=3611011300108790000&amp;isNoScr=script&amp;mode=search", "토지이음")</f>
        <v/>
      </c>
      <c r="O1020" s="3" t="inlineStr">
        <is>
          <t>세종스타</t>
        </is>
      </c>
      <c r="P1020" s="4" t="n">
        <v>2</v>
      </c>
      <c r="Q1020" s="4" t="n">
        <v>321.9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가로장방</t>
        </is>
      </c>
      <c r="V1020" s="3" t="inlineStr">
        <is>
          <t>소로한면</t>
        </is>
      </c>
    </row>
    <row r="1021">
      <c r="A1021" s="3" t="inlineStr">
        <is>
          <t>아름동 879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59000</v>
      </c>
      <c r="G1021" s="4" t="n">
        <v>321</v>
      </c>
      <c r="H1021" s="4" t="n">
        <v>97</v>
      </c>
      <c r="I1021" s="5" t="n">
        <v>608.2</v>
      </c>
      <c r="J1021" s="5" t="n">
        <v>339.8</v>
      </c>
      <c r="K1021" s="3" t="inlineStr">
        <is>
          <t>급매 ,아름동 최상 택지,충남대병원 인접 생활권 편리,어린이공원접</t>
        </is>
      </c>
      <c r="L1021" s="6">
        <f>HYPERLINK("https://fin.land.naver.com/articles/2650851626", "매물Link")</f>
        <v/>
      </c>
      <c r="M1021" s="6">
        <f>HYPERLINK("https://map.naver.com/p/search/아름동 879", "지도Link")</f>
        <v/>
      </c>
      <c r="N1021" s="6">
        <f>HYPERLINK("http://www.eum.go.kr/web/ar/lu/luLandDet.jsp?pnu=3611011300108790000&amp;isNoScr=script&amp;mode=search", "토지이음")</f>
        <v/>
      </c>
      <c r="O1021" s="3" t="inlineStr">
        <is>
          <t>고운맘</t>
        </is>
      </c>
      <c r="P1021" s="4" t="n">
        <v>1</v>
      </c>
      <c r="Q1021" s="4" t="n">
        <v>321.9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881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74000</v>
      </c>
      <c r="G1022" s="4" t="n">
        <v>326</v>
      </c>
      <c r="H1022" s="4" t="n">
        <v>99</v>
      </c>
      <c r="I1022" s="5" t="n">
        <v>747.5</v>
      </c>
      <c r="J1022" s="5" t="n">
        <v>339.8</v>
      </c>
      <c r="K1022" s="3" t="inlineStr">
        <is>
          <t>입출입이 편리한 단독주택지입니다.</t>
        </is>
      </c>
      <c r="L1022" s="6">
        <f>HYPERLINK("https://fin.land.naver.com/articles/2652479836", "매물Link")</f>
        <v/>
      </c>
      <c r="M1022" s="6">
        <f>HYPERLINK("https://map.naver.com/p/search/아름동 881", "지도Link")</f>
        <v/>
      </c>
      <c r="N1022" s="6">
        <f>HYPERLINK("http://www.eum.go.kr/web/ar/lu/luLandDet.jsp?pnu=3611011300108810000&amp;isNoScr=script&amp;mode=search", "토지이음")</f>
        <v/>
      </c>
      <c r="O1022" s="3" t="inlineStr">
        <is>
          <t>아름</t>
        </is>
      </c>
      <c r="P1022" s="4" t="n">
        <v>1</v>
      </c>
      <c r="Q1022" s="4" t="n">
        <v>326.2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900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70000</v>
      </c>
      <c r="G1023" s="4" t="n">
        <v>338</v>
      </c>
      <c r="H1023" s="4" t="n">
        <v>102</v>
      </c>
      <c r="I1023" s="5" t="n">
        <v>686.3</v>
      </c>
      <c r="J1023" s="5" t="n">
        <v>344.5</v>
      </c>
      <c r="K1023" s="3" t="inlineStr">
        <is>
          <t>nan</t>
        </is>
      </c>
      <c r="L1023" s="6">
        <f>HYPERLINK("https://fin.land.naver.com/articles/2655009959", "매물Link")</f>
        <v/>
      </c>
      <c r="M1023" s="6">
        <f>HYPERLINK("https://map.naver.com/p/search/아름동 900", "지도Link")</f>
        <v/>
      </c>
      <c r="N1023" s="6">
        <f>HYPERLINK("http://www.eum.go.kr/web/ar/lu/luLandDet.jsp?pnu=3611011300109000000&amp;isNoScr=script&amp;mode=search", "토지이음")</f>
        <v/>
      </c>
      <c r="O1023" s="3" t="inlineStr">
        <is>
          <t>디아트성심</t>
        </is>
      </c>
      <c r="P1023" s="4" t="n">
        <v>1</v>
      </c>
      <c r="Q1023" s="4" t="n">
        <v>338.4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소로각지</t>
        </is>
      </c>
    </row>
    <row r="1024">
      <c r="A1024" s="3" t="inlineStr">
        <is>
          <t>아름동 914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80000</v>
      </c>
      <c r="G1024" s="4" t="n">
        <v>318</v>
      </c>
      <c r="H1024" s="4" t="n">
        <v>96</v>
      </c>
      <c r="I1024" s="5" t="n">
        <v>833.3</v>
      </c>
      <c r="J1024" s="5" t="n">
        <v>330.6</v>
      </c>
      <c r="K1024" s="3" t="inlineStr">
        <is>
          <t>네모 반듯한 예쁜 토지.국제고,영재고 인근.햇볕 잘 드는 최고의 토지.</t>
        </is>
      </c>
      <c r="L1024" s="6">
        <f>HYPERLINK("https://fin.land.naver.com/articles/2650707732", "매물Link")</f>
        <v/>
      </c>
      <c r="M1024" s="6">
        <f>HYPERLINK("https://map.naver.com/p/search/아름동 914", "지도Link")</f>
        <v/>
      </c>
      <c r="N1024" s="6">
        <f>HYPERLINK("http://www.eum.go.kr/web/ar/lu/luLandDet.jsp?pnu=3611011300109140000&amp;isNoScr=script&amp;mode=search", "토지이음")</f>
        <v/>
      </c>
      <c r="O1024" s="3" t="inlineStr">
        <is>
          <t>수자인</t>
        </is>
      </c>
      <c r="P1024" s="4" t="n">
        <v>1</v>
      </c>
      <c r="Q1024" s="4" t="n">
        <v>318.7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925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82000</v>
      </c>
      <c r="G1025" s="4" t="n">
        <v>298</v>
      </c>
      <c r="H1025" s="4" t="n">
        <v>90</v>
      </c>
      <c r="I1025" s="5" t="n">
        <v>911.1</v>
      </c>
      <c r="J1025" s="5" t="n">
        <v>339.8</v>
      </c>
      <c r="K1025" s="3" t="inlineStr">
        <is>
          <t>90.6p, 아름동 국제고 인근 위치 좋은 토지 매매</t>
        </is>
      </c>
      <c r="L1025" s="6">
        <f>HYPERLINK("https://fin.land.naver.com/articles/2651940283", "매물Link")</f>
        <v/>
      </c>
      <c r="M1025" s="6">
        <f>HYPERLINK("https://map.naver.com/p/search/아름동 925", "지도Link")</f>
        <v/>
      </c>
      <c r="N1025" s="6">
        <f>HYPERLINK("http://www.eum.go.kr/web/ar/lu/luLandDet.jsp?pnu=3611011300109250000&amp;isNoScr=script&amp;mode=search", "토지이음")</f>
        <v/>
      </c>
      <c r="O1025" s="3" t="inlineStr">
        <is>
          <t>명진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소로한면</t>
        </is>
      </c>
    </row>
    <row r="1026">
      <c r="A1026" s="3" t="inlineStr">
        <is>
          <t>아름동 925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82000</v>
      </c>
      <c r="G1026" s="4" t="n">
        <v>298</v>
      </c>
      <c r="H1026" s="4" t="n">
        <v>90</v>
      </c>
      <c r="I1026" s="5" t="n">
        <v>911.1</v>
      </c>
      <c r="J1026" s="5" t="n">
        <v>339.8</v>
      </c>
      <c r="K1026" s="3" t="inlineStr">
        <is>
          <t>90.6p, 국제고 인근, 공원인접, 조율가능</t>
        </is>
      </c>
      <c r="L1026" s="6">
        <f>HYPERLINK("https://fin.land.naver.com/articles/2650427336", "매물Link")</f>
        <v/>
      </c>
      <c r="M1026" s="6">
        <f>HYPERLINK("https://map.naver.com/p/search/아름동 925", "지도Link")</f>
        <v/>
      </c>
      <c r="N1026" s="6">
        <f>HYPERLINK("http://www.eum.go.kr/web/ar/lu/luLandDet.jsp?pnu=3611011300109250000&amp;isNoScr=script&amp;mode=search", "토지이음")</f>
        <v/>
      </c>
      <c r="O1026" s="3" t="inlineStr">
        <is>
          <t>세종무지개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소로한면</t>
        </is>
      </c>
    </row>
    <row r="1027">
      <c r="A1027" s="3" t="inlineStr">
        <is>
          <t>아름동 925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82000</v>
      </c>
      <c r="G1027" s="4" t="n">
        <v>298</v>
      </c>
      <c r="H1027" s="4" t="n">
        <v>90</v>
      </c>
      <c r="I1027" s="5" t="n">
        <v>911.1</v>
      </c>
      <c r="J1027" s="5" t="n">
        <v>339.8</v>
      </c>
      <c r="K1027" s="3" t="inlineStr">
        <is>
          <t>국제고인근 위치좋은 코너각지, 공원인접,보행로연결</t>
        </is>
      </c>
      <c r="L1027" s="6">
        <f>HYPERLINK("https://fin.land.naver.com/articles/2650825128", "매물Link")</f>
        <v/>
      </c>
      <c r="M1027" s="6">
        <f>HYPERLINK("https://map.naver.com/p/search/아름동 925", "지도Link")</f>
        <v/>
      </c>
      <c r="N1027" s="6">
        <f>HYPERLINK("http://www.eum.go.kr/web/ar/lu/luLandDet.jsp?pnu=3611011300109250000&amp;isNoScr=script&amp;mode=search", "토지이음")</f>
        <v/>
      </c>
      <c r="O1027" s="3" t="inlineStr">
        <is>
          <t>똑똑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소로한면</t>
        </is>
      </c>
    </row>
    <row r="1028">
      <c r="A1028" s="3" t="inlineStr">
        <is>
          <t>아름동 929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63000</v>
      </c>
      <c r="G1028" s="4" t="n">
        <v>299</v>
      </c>
      <c r="H1028" s="4" t="n">
        <v>90</v>
      </c>
      <c r="I1028" s="5" t="n">
        <v>700</v>
      </c>
      <c r="J1028" s="5" t="n">
        <v>339.8</v>
      </c>
      <c r="K1028" s="3" t="inlineStr">
        <is>
          <t>총 90.6p, 국제고인근 단독주택 토지매매</t>
        </is>
      </c>
      <c r="L1028" s="6">
        <f>HYPERLINK("https://fin.land.naver.com/articles/2652842317", "매물Link")</f>
        <v/>
      </c>
      <c r="M1028" s="6">
        <f>HYPERLINK("https://map.naver.com/p/search/아름동 929", "지도Link")</f>
        <v/>
      </c>
      <c r="N1028" s="6">
        <f>HYPERLINK("http://www.eum.go.kr/web/ar/lu/luLandDet.jsp?pnu=3611011300109290000&amp;isNoScr=script&amp;mode=search", "토지이음")</f>
        <v/>
      </c>
      <c r="O1028" s="3" t="inlineStr">
        <is>
          <t>세종무지개</t>
        </is>
      </c>
      <c r="P1028" s="4" t="n">
        <v>1</v>
      </c>
      <c r="Q1028" s="4" t="n">
        <v>299.1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소로한면</t>
        </is>
      </c>
    </row>
    <row r="1029">
      <c r="A1029" s="3" t="inlineStr">
        <is>
          <t>아름동 929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63000</v>
      </c>
      <c r="G1029" s="4" t="n">
        <v>299</v>
      </c>
      <c r="H1029" s="4" t="n">
        <v>90</v>
      </c>
      <c r="I1029" s="5" t="n">
        <v>700</v>
      </c>
      <c r="J1029" s="5" t="n">
        <v>339.8</v>
      </c>
      <c r="K1029" s="3" t="inlineStr">
        <is>
          <t>조율가능 공공조경접함 건축하기 좋은 땅모양</t>
        </is>
      </c>
      <c r="L1029" s="6">
        <f>HYPERLINK("https://fin.land.naver.com/articles/2652418932", "매물Link")</f>
        <v/>
      </c>
      <c r="M1029" s="6">
        <f>HYPERLINK("https://map.naver.com/p/search/아름동 929", "지도Link")</f>
        <v/>
      </c>
      <c r="N1029" s="6">
        <f>HYPERLINK("http://www.eum.go.kr/web/ar/lu/luLandDet.jsp?pnu=3611011300109290000&amp;isNoScr=script&amp;mode=search", "토지이음")</f>
        <v/>
      </c>
      <c r="O1029" s="3" t="inlineStr">
        <is>
          <t>세종스타</t>
        </is>
      </c>
      <c r="P1029" s="4" t="n">
        <v>2</v>
      </c>
      <c r="Q1029" s="4" t="n">
        <v>299.1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소로한면</t>
        </is>
      </c>
    </row>
    <row r="1030">
      <c r="A1030" s="3" t="inlineStr">
        <is>
          <t>아름동 929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63000</v>
      </c>
      <c r="G1030" s="4" t="n">
        <v>299</v>
      </c>
      <c r="H1030" s="4" t="n">
        <v>90</v>
      </c>
      <c r="I1030" s="5" t="n">
        <v>700</v>
      </c>
      <c r="J1030" s="5" t="n">
        <v>339.8</v>
      </c>
      <c r="K1030" s="3" t="inlineStr">
        <is>
          <t>90.6p, 국제고, 충남대병원 인근 아름동 단독주택지</t>
        </is>
      </c>
      <c r="L1030" s="6">
        <f>HYPERLINK("https://fin.land.naver.com/articles/2654893286", "매물Link")</f>
        <v/>
      </c>
      <c r="M1030" s="6">
        <f>HYPERLINK("https://map.naver.com/p/search/아름동 929", "지도Link")</f>
        <v/>
      </c>
      <c r="N1030" s="6">
        <f>HYPERLINK("http://www.eum.go.kr/web/ar/lu/luLandDet.jsp?pnu=3611011300109290000&amp;isNoScr=script&amp;mode=search", "토지이음")</f>
        <v/>
      </c>
      <c r="O1030" s="3" t="inlineStr">
        <is>
          <t>명진</t>
        </is>
      </c>
      <c r="P1030" s="4" t="n">
        <v>1</v>
      </c>
      <c r="Q1030" s="4" t="n">
        <v>299.1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세로장방</t>
        </is>
      </c>
      <c r="V1030" s="3" t="inlineStr">
        <is>
          <t>소로한면</t>
        </is>
      </c>
    </row>
    <row r="1031">
      <c r="A1031" s="3" t="inlineStr">
        <is>
          <t>아름동 961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65000</v>
      </c>
      <c r="G1031" s="4" t="n">
        <v>299</v>
      </c>
      <c r="H1031" s="4" t="n">
        <v>90</v>
      </c>
      <c r="I1031" s="5" t="n">
        <v>722.2</v>
      </c>
      <c r="J1031" s="5" t="n">
        <v>344.5</v>
      </c>
      <c r="K1031" s="3" t="inlineStr">
        <is>
          <t>좋은매물 단독주택등추천 협의</t>
        </is>
      </c>
      <c r="L1031" s="6">
        <f>HYPERLINK("https://fin.land.naver.com/articles/2652055256", "매물Link")</f>
        <v/>
      </c>
      <c r="M1031" s="6">
        <f>HYPERLINK("https://map.naver.com/p/search/아름동 961", "지도Link")</f>
        <v/>
      </c>
      <c r="N1031" s="6">
        <f>HYPERLINK("http://www.eum.go.kr/web/ar/lu/luLandDet.jsp?pnu=3611011300109610000&amp;isNoScr=script&amp;mode=search", "토지이음")</f>
        <v/>
      </c>
      <c r="O1031" s="3" t="inlineStr">
        <is>
          <t>세석</t>
        </is>
      </c>
      <c r="P1031" s="4" t="n">
        <v>1</v>
      </c>
      <c r="Q1031" s="4" t="n">
        <v>299.1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소로각지</t>
        </is>
      </c>
    </row>
    <row r="1032">
      <c r="A1032" s="3" t="inlineStr">
        <is>
          <t>아름동 961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65000</v>
      </c>
      <c r="G1032" s="4" t="n">
        <v>299</v>
      </c>
      <c r="H1032" s="4" t="n">
        <v>90</v>
      </c>
      <c r="I1032" s="5" t="n">
        <v>722.2</v>
      </c>
      <c r="J1032" s="5" t="n">
        <v>344.5</v>
      </c>
      <c r="K1032" s="3" t="inlineStr">
        <is>
          <t>삼거리 코너, 아름동 입지 좋은 단독주택지</t>
        </is>
      </c>
      <c r="L1032" s="6">
        <f>HYPERLINK("https://fin.land.naver.com/articles/2653682488", "매물Link")</f>
        <v/>
      </c>
      <c r="M1032" s="6">
        <f>HYPERLINK("https://map.naver.com/p/search/아름동 961", "지도Link")</f>
        <v/>
      </c>
      <c r="N1032" s="6">
        <f>HYPERLINK("http://www.eum.go.kr/web/ar/lu/luLandDet.jsp?pnu=3611011300109610000&amp;isNoScr=script&amp;mode=search", "토지이음")</f>
        <v/>
      </c>
      <c r="O1032" s="3" t="inlineStr">
        <is>
          <t>명진</t>
        </is>
      </c>
      <c r="P1032" s="4" t="n">
        <v>1</v>
      </c>
      <c r="Q1032" s="4" t="n">
        <v>299.1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소로각지</t>
        </is>
      </c>
    </row>
    <row r="1033">
      <c r="A1033" s="3" t="inlineStr">
        <is>
          <t>아름동 962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51000</v>
      </c>
      <c r="G1033" s="4" t="n">
        <v>300</v>
      </c>
      <c r="H1033" s="4" t="n">
        <v>91</v>
      </c>
      <c r="I1033" s="5" t="n">
        <v>560.4</v>
      </c>
      <c r="J1033" s="5" t="n">
        <v>330.6</v>
      </c>
      <c r="K1033" s="3" t="inlineStr">
        <is>
          <t>급매토지입니다. 도심속 전원주택지</t>
        </is>
      </c>
      <c r="L1033" s="6">
        <f>HYPERLINK("https://fin.land.naver.com/articles/2653985243", "매물Link")</f>
        <v/>
      </c>
      <c r="M1033" s="6">
        <f>HYPERLINK("https://map.naver.com/p/search/아름동 962", "지도Link")</f>
        <v/>
      </c>
      <c r="N1033" s="6">
        <f>HYPERLINK("http://www.eum.go.kr/web/ar/lu/luLandDet.jsp?pnu=3611011300109620000&amp;isNoScr=script&amp;mode=search", "토지이음")</f>
        <v/>
      </c>
      <c r="O1033" s="3" t="inlineStr">
        <is>
          <t>장원</t>
        </is>
      </c>
      <c r="P1033" s="4" t="n">
        <v>1</v>
      </c>
      <c r="Q1033" s="4" t="n">
        <v>300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가로장방</t>
        </is>
      </c>
      <c r="V1033" s="3" t="inlineStr">
        <is>
          <t>소로한면</t>
        </is>
      </c>
    </row>
    <row r="1034">
      <c r="A1034" s="3" t="inlineStr">
        <is>
          <t>아름동 963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60000</v>
      </c>
      <c r="G1034" s="4" t="n">
        <v>298</v>
      </c>
      <c r="H1034" s="4" t="n">
        <v>90</v>
      </c>
      <c r="I1034" s="5" t="n">
        <v>666.7</v>
      </c>
      <c r="J1034" s="5" t="n">
        <v>330.6</v>
      </c>
      <c r="K1034" s="3" t="inlineStr">
        <is>
          <t>언덕형 지대높음 채광 개방감 좋음 조율가능</t>
        </is>
      </c>
      <c r="L1034" s="6">
        <f>HYPERLINK("https://fin.land.naver.com/articles/2651114707", "매물Link")</f>
        <v/>
      </c>
      <c r="M1034" s="6">
        <f>HYPERLINK("https://map.naver.com/p/search/아름동 963", "지도Link")</f>
        <v/>
      </c>
      <c r="N1034" s="6">
        <f>HYPERLINK("http://www.eum.go.kr/web/ar/lu/luLandDet.jsp?pnu=3611011300109630000&amp;isNoScr=script&amp;mode=search", "토지이음")</f>
        <v/>
      </c>
      <c r="O1034" s="3" t="inlineStr">
        <is>
          <t>세종스타</t>
        </is>
      </c>
      <c r="P1034" s="4" t="n">
        <v>1</v>
      </c>
      <c r="Q1034" s="4" t="n">
        <v>298.9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가로장방</t>
        </is>
      </c>
      <c r="V1034" s="3" t="inlineStr">
        <is>
          <t>소로한면</t>
        </is>
      </c>
    </row>
    <row r="1035">
      <c r="A1035" s="3" t="inlineStr">
        <is>
          <t>아름동 963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60000</v>
      </c>
      <c r="G1035" s="4" t="n">
        <v>298</v>
      </c>
      <c r="H1035" s="4" t="n">
        <v>90</v>
      </c>
      <c r="I1035" s="5" t="n">
        <v>666.7</v>
      </c>
      <c r="J1035" s="5" t="n">
        <v>330.6</v>
      </c>
      <c r="K1035" s="3" t="inlineStr">
        <is>
          <t>조율가능, 급매, 아름동 위치좋은 단독주택지</t>
        </is>
      </c>
      <c r="L1035" s="6">
        <f>HYPERLINK("https://fin.land.naver.com/articles/2649873097", "매물Link")</f>
        <v/>
      </c>
      <c r="M1035" s="6">
        <f>HYPERLINK("https://map.naver.com/p/search/아름동 963", "지도Link")</f>
        <v/>
      </c>
      <c r="N1035" s="6">
        <f>HYPERLINK("http://www.eum.go.kr/web/ar/lu/luLandDet.jsp?pnu=3611011300109630000&amp;isNoScr=script&amp;mode=search", "토지이음")</f>
        <v/>
      </c>
      <c r="O1035" s="3" t="inlineStr">
        <is>
          <t>명진</t>
        </is>
      </c>
      <c r="P1035" s="4" t="n">
        <v>1</v>
      </c>
      <c r="Q1035" s="4" t="n">
        <v>298.9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가로장방</t>
        </is>
      </c>
      <c r="V1035" s="3" t="inlineStr">
        <is>
          <t>소로한면</t>
        </is>
      </c>
    </row>
    <row r="1036">
      <c r="A1036" s="3" t="inlineStr">
        <is>
          <t>아름동 963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60000</v>
      </c>
      <c r="G1036" s="4" t="n">
        <v>298</v>
      </c>
      <c r="H1036" s="4" t="n">
        <v>90</v>
      </c>
      <c r="I1036" s="5" t="n">
        <v>666.7</v>
      </c>
      <c r="J1036" s="5" t="n">
        <v>330.6</v>
      </c>
      <c r="K1036" s="3" t="inlineStr">
        <is>
          <t>급매,전원주택지로 충대병원 인접, 교통 및 학군 편리한 생활권</t>
        </is>
      </c>
      <c r="L1036" s="6">
        <f>HYPERLINK("https://fin.land.naver.com/articles/2650851379", "매물Link")</f>
        <v/>
      </c>
      <c r="M1036" s="6">
        <f>HYPERLINK("https://map.naver.com/p/search/아름동 963", "지도Link")</f>
        <v/>
      </c>
      <c r="N1036" s="6">
        <f>HYPERLINK("http://www.eum.go.kr/web/ar/lu/luLandDet.jsp?pnu=3611011300109630000&amp;isNoScr=script&amp;mode=search", "토지이음")</f>
        <v/>
      </c>
      <c r="O1036" s="3" t="inlineStr">
        <is>
          <t>고운맘</t>
        </is>
      </c>
      <c r="P1036" s="4" t="n">
        <v>1</v>
      </c>
      <c r="Q1036" s="4" t="n">
        <v>298.9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가로장방</t>
        </is>
      </c>
      <c r="V1036" s="3" t="inlineStr">
        <is>
          <t>소로한면</t>
        </is>
      </c>
    </row>
    <row r="1037">
      <c r="A1037" s="3" t="inlineStr">
        <is>
          <t>아름동 964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77000</v>
      </c>
      <c r="G1037" s="4" t="n">
        <v>298</v>
      </c>
      <c r="H1037" s="4" t="n">
        <v>90</v>
      </c>
      <c r="I1037" s="5" t="n">
        <v>855.6</v>
      </c>
      <c r="J1037" s="5" t="n">
        <v>344.5</v>
      </c>
      <c r="K1037" s="3" t="inlineStr">
        <is>
          <t>국제고인근.코너각지. 충대병원인접. 위치,교통 편리한 지역.조정가능</t>
        </is>
      </c>
      <c r="L1037" s="6">
        <f>HYPERLINK("https://fin.land.naver.com/articles/2651892393", "매물Link")</f>
        <v/>
      </c>
      <c r="M1037" s="6">
        <f>HYPERLINK("https://map.naver.com/p/search/아름동 964", "지도Link")</f>
        <v/>
      </c>
      <c r="N1037" s="6">
        <f>HYPERLINK("http://www.eum.go.kr/web/ar/lu/luLandDet.jsp?pnu=3611011300109640000&amp;isNoScr=script&amp;mode=search", "토지이음")</f>
        <v/>
      </c>
      <c r="O1037" s="3" t="inlineStr">
        <is>
          <t>새롬삼둥이</t>
        </is>
      </c>
      <c r="P1037" s="4" t="n">
        <v>1</v>
      </c>
      <c r="Q1037" s="4" t="n">
        <v>298.9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소로각지</t>
        </is>
      </c>
    </row>
    <row r="1038">
      <c r="A1038" s="3" t="inlineStr">
        <is>
          <t>아름동 964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77000</v>
      </c>
      <c r="G1038" s="4" t="n">
        <v>298</v>
      </c>
      <c r="H1038" s="4" t="n">
        <v>90</v>
      </c>
      <c r="I1038" s="5" t="n">
        <v>855.6</v>
      </c>
      <c r="J1038" s="5" t="n">
        <v>344.5</v>
      </c>
      <c r="K1038" s="3" t="inlineStr">
        <is>
          <t>총 90.6p, 조율가능, 아름동 단독주택지, 국제고 인근</t>
        </is>
      </c>
      <c r="L1038" s="6">
        <f>HYPERLINK("https://fin.land.naver.com/articles/2652837454", "매물Link")</f>
        <v/>
      </c>
      <c r="M1038" s="6">
        <f>HYPERLINK("https://map.naver.com/p/search/아름동 964", "지도Link")</f>
        <v/>
      </c>
      <c r="N1038" s="6">
        <f>HYPERLINK("http://www.eum.go.kr/web/ar/lu/luLandDet.jsp?pnu=3611011300109640000&amp;isNoScr=script&amp;mode=search",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298.9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소로각지</t>
        </is>
      </c>
    </row>
    <row r="1039">
      <c r="A1039" s="3" t="inlineStr">
        <is>
          <t>아름동 966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85000</v>
      </c>
      <c r="G1039" s="4" t="n">
        <v>353</v>
      </c>
      <c r="H1039" s="4" t="n">
        <v>107</v>
      </c>
      <c r="I1039" s="5" t="n">
        <v>794.4</v>
      </c>
      <c r="J1039" s="5" t="n">
        <v>330.6</v>
      </c>
      <c r="K1039" s="3" t="inlineStr">
        <is>
          <t>총 107.2p, 국제고, 충남대병원인근</t>
        </is>
      </c>
      <c r="L1039" s="6">
        <f>HYPERLINK("https://fin.land.naver.com/articles/2654231996", "매물Link")</f>
        <v/>
      </c>
      <c r="M1039" s="6">
        <f>HYPERLINK("https://map.naver.com/p/search/아름동 966", "지도Link")</f>
        <v/>
      </c>
      <c r="N1039" s="6">
        <f>HYPERLINK("http://www.eum.go.kr/web/ar/lu/luLandDet.jsp?pnu=3611011300109660000&amp;isNoScr=script&amp;mode=search", "토지이음")</f>
        <v/>
      </c>
      <c r="O1039" s="3" t="inlineStr">
        <is>
          <t>명진</t>
        </is>
      </c>
      <c r="P1039" s="4" t="n">
        <v>1</v>
      </c>
      <c r="Q1039" s="4" t="n">
        <v>353.6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가로장방</t>
        </is>
      </c>
      <c r="V1039" s="3" t="inlineStr">
        <is>
          <t>소로한면</t>
        </is>
      </c>
    </row>
    <row r="1040">
      <c r="A1040" s="3" t="inlineStr">
        <is>
          <t>아름동 966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85000</v>
      </c>
      <c r="G1040" s="4" t="n">
        <v>353</v>
      </c>
      <c r="H1040" s="4" t="n">
        <v>107</v>
      </c>
      <c r="I1040" s="5" t="n">
        <v>794.4</v>
      </c>
      <c r="J1040" s="5" t="n">
        <v>330.6</v>
      </c>
      <c r="K1040" s="3" t="inlineStr">
        <is>
          <t>국제고, 영재고, 충대병원인근, IC인접 107.2p</t>
        </is>
      </c>
      <c r="L1040" s="6">
        <f>HYPERLINK("https://fin.land.naver.com/articles/2652841023", "매물Link")</f>
        <v/>
      </c>
      <c r="M1040" s="6">
        <f>HYPERLINK("https://map.naver.com/p/search/아름동 966", "지도Link")</f>
        <v/>
      </c>
      <c r="N1040" s="6">
        <f>HYPERLINK("http://www.eum.go.kr/web/ar/lu/luLandDet.jsp?pnu=3611011300109660000&amp;isNoScr=script&amp;mode=search",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353.6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가로장방</t>
        </is>
      </c>
      <c r="V1040" s="3" t="inlineStr">
        <is>
          <t>소로한면</t>
        </is>
      </c>
    </row>
    <row r="1041">
      <c r="A1041" s="3" t="inlineStr">
        <is>
          <t>아름동 971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79560</v>
      </c>
      <c r="G1041" s="4" t="n">
        <v>308</v>
      </c>
      <c r="H1041" s="4" t="n">
        <v>93</v>
      </c>
      <c r="I1041" s="5" t="n">
        <v>855.5</v>
      </c>
      <c r="J1041" s="5" t="n">
        <v>330.6</v>
      </c>
      <c r="K1041" s="3" t="inlineStr">
        <is>
          <t>공원앞, 충대병원, 국제고 인근, 아름동 단독주택지</t>
        </is>
      </c>
      <c r="L1041" s="6">
        <f>HYPERLINK("https://fin.land.naver.com/articles/2650427802", "매물Link")</f>
        <v/>
      </c>
      <c r="M1041" s="6">
        <f>HYPERLINK("https://map.naver.com/p/search/아름동 971", "지도Link")</f>
        <v/>
      </c>
      <c r="N1041" s="6">
        <f>HYPERLINK("http://www.eum.go.kr/web/ar/lu/luLandDet.jsp?pnu=3611011300109710000&amp;isNoScr=script&amp;mode=search", "토지이음")</f>
        <v/>
      </c>
      <c r="O1041" s="3" t="inlineStr">
        <is>
          <t>세종무지개</t>
        </is>
      </c>
      <c r="P1041" s="4" t="n">
        <v>1</v>
      </c>
      <c r="Q1041" s="4" t="n">
        <v>308.9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소로한면</t>
        </is>
      </c>
    </row>
    <row r="1042">
      <c r="A1042" s="3" t="inlineStr">
        <is>
          <t>아름동 994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75000</v>
      </c>
      <c r="G1042" s="4" t="n">
        <v>324</v>
      </c>
      <c r="H1042" s="4" t="n">
        <v>98</v>
      </c>
      <c r="I1042" s="5" t="n">
        <v>765.3</v>
      </c>
      <c r="J1042" s="5" t="n">
        <v>335.5</v>
      </c>
      <c r="K1042" s="3" t="inlineStr">
        <is>
          <t>급매 최상단 뻥조망 위치최상 벙커주차장가능</t>
        </is>
      </c>
      <c r="L1042" s="6">
        <f>HYPERLINK("https://fin.land.naver.com/articles/2651086404", "매물Link")</f>
        <v/>
      </c>
      <c r="M1042" s="6">
        <f>HYPERLINK("https://map.naver.com/p/search/아름동 994", "지도Link")</f>
        <v/>
      </c>
      <c r="N1042" s="6">
        <f>HYPERLINK("http://www.eum.go.kr/web/ar/lu/luLandDet.jsp?pnu=3611011300109940000&amp;isNoScr=script&amp;mode=search", "토지이음")</f>
        <v/>
      </c>
      <c r="O1042" s="3" t="inlineStr">
        <is>
          <t>세종스타</t>
        </is>
      </c>
      <c r="P1042" s="4" t="n">
        <v>1</v>
      </c>
      <c r="Q1042" s="4" t="n">
        <v>324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연동면 내판리 10-1</t>
        </is>
      </c>
      <c r="B1043" s="3" t="inlineStr">
        <is>
          <t>계획관리지역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36000</v>
      </c>
      <c r="G1043" s="4" t="n">
        <v>330</v>
      </c>
      <c r="H1043" s="4" t="n">
        <v>100</v>
      </c>
      <c r="I1043" s="5" t="n">
        <v>360</v>
      </c>
      <c r="J1043" s="5" t="n">
        <v>106.7</v>
      </c>
      <c r="K1043" s="3" t="inlineStr">
        <is>
          <t>세종 내판리 토지 매매.지목 대지구단위계획구역</t>
        </is>
      </c>
      <c r="L1043" s="6">
        <f>HYPERLINK("https://fin.land.naver.com/articles/2655139659", "매물Link")</f>
        <v/>
      </c>
      <c r="M1043" s="6">
        <f>HYPERLINK("https://map.naver.com/p/search/연동면 내판리 10-1", "지도Link")</f>
        <v/>
      </c>
      <c r="N1043" s="6">
        <f>HYPERLINK("http://www.eum.go.kr/web/ar/lu/luLandDet.jsp?pnu=3611032021100100001&amp;isNoScr=script&amp;mode=search", "토지이음")</f>
        <v/>
      </c>
      <c r="O1043" s="3" t="inlineStr">
        <is>
          <t>세종몽땅</t>
        </is>
      </c>
      <c r="P1043" s="4" t="n">
        <v>1</v>
      </c>
      <c r="Q1043" s="4" t="n">
        <v>330</v>
      </c>
      <c r="R1043" s="3" t="inlineStr">
        <is>
          <t>지정되지않음</t>
        </is>
      </c>
      <c r="S1043" s="3" t="inlineStr">
        <is>
          <t>단독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10-8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24500</v>
      </c>
      <c r="G1044" s="4" t="n">
        <v>230</v>
      </c>
      <c r="H1044" s="4" t="n">
        <v>70</v>
      </c>
      <c r="I1044" s="5" t="n">
        <v>350</v>
      </c>
      <c r="J1044" s="5" t="n">
        <v>94.90000000000001</v>
      </c>
      <c r="K1044" s="3" t="inlineStr">
        <is>
          <t>계획관리지역,대지</t>
        </is>
      </c>
      <c r="L1044" s="6">
        <f>HYPERLINK("https://fin.land.naver.com/articles/2655086108", "매물Link")</f>
        <v/>
      </c>
      <c r="M1044" s="6">
        <f>HYPERLINK("https://map.naver.com/p/search/연동면 내판리 10-8", "지도Link")</f>
        <v/>
      </c>
      <c r="N1044" s="6">
        <f>HYPERLINK("http://www.eum.go.kr/web/ar/lu/luLandDet.jsp?pnu=3611032021100100008&amp;isNoScr=script&amp;mode=search", "토지이음")</f>
        <v/>
      </c>
      <c r="O1044" s="3" t="inlineStr">
        <is>
          <t>세종대박</t>
        </is>
      </c>
      <c r="P1044" s="4" t="n">
        <v>1</v>
      </c>
      <c r="Q1044" s="4" t="n">
        <v>191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내판리 104</t>
        </is>
      </c>
      <c r="B1045" s="3" t="inlineStr">
        <is>
          <t>계획관리지역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67000</v>
      </c>
      <c r="G1045" s="4" t="n">
        <v>2767</v>
      </c>
      <c r="H1045" s="4" t="n">
        <v>837</v>
      </c>
      <c r="I1045" s="5" t="n">
        <v>80</v>
      </c>
      <c r="J1045" s="5" t="n">
        <v>36.2</v>
      </c>
      <c r="K1045" s="3" t="inlineStr">
        <is>
          <t>계확관리 아파트건설 호재가 있는  토지 중학교 옆위치 조율가능</t>
        </is>
      </c>
      <c r="L1045" s="6">
        <f>HYPERLINK("https://fin.land.naver.com/articles/2653589993", "매물Link")</f>
        <v/>
      </c>
      <c r="M1045" s="6">
        <f>HYPERLINK("https://map.naver.com/p/search/연동면 내판리 104", "지도Link")</f>
        <v/>
      </c>
      <c r="N1045" s="6">
        <f>HYPERLINK("http://www.eum.go.kr/web/ar/lu/luLandDet.jsp?pnu=3611032021101040000&amp;isNoScr=script&amp;mode=search", "토지이음")</f>
        <v/>
      </c>
      <c r="O1045" s="3" t="inlineStr">
        <is>
          <t>도안부자</t>
        </is>
      </c>
      <c r="P1045" s="4" t="n">
        <v>1</v>
      </c>
      <c r="Q1045" s="4" t="n">
        <v>2767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맹지</t>
        </is>
      </c>
    </row>
    <row r="1046">
      <c r="A1046" s="3" t="inlineStr">
        <is>
          <t>연동면 내판리 114-1</t>
        </is>
      </c>
      <c r="B1046" s="3" t="inlineStr">
        <is>
          <t>계획관리지역</t>
        </is>
      </c>
      <c r="C1046" s="3" t="inlineStr">
        <is>
          <t>임야</t>
        </is>
      </c>
      <c r="D1046" s="3" t="inlineStr">
        <is>
          <t>임야</t>
        </is>
      </c>
      <c r="E1046" s="3" t="inlineStr">
        <is>
          <t>월세</t>
        </is>
      </c>
      <c r="F1046" s="4" t="n">
        <v>2000</v>
      </c>
      <c r="G1046" s="4" t="n">
        <v>660</v>
      </c>
      <c r="H1046" s="4" t="n">
        <v>200</v>
      </c>
      <c r="I1046" s="5" t="n">
        <v>0.3</v>
      </c>
      <c r="J1046" s="5" t="n">
        <v>62</v>
      </c>
      <c r="K1046" s="3" t="inlineStr">
        <is>
          <t>건축완료, 사무실용도, 인근산단많아서 직원들 숙소도 가능가격조율가능</t>
        </is>
      </c>
      <c r="L1046" s="6">
        <f>HYPERLINK("https://fin.land.naver.com/articles/2654882942", "매물Link")</f>
        <v/>
      </c>
      <c r="M1046" s="6">
        <f>HYPERLINK("https://map.naver.com/p/search/연동면 내판리 114-1", "지도Link")</f>
        <v/>
      </c>
      <c r="N1046" s="6">
        <f>HYPERLINK("http://www.eum.go.kr/web/ar/lu/luLandDet.jsp?pnu=3611032021101140001&amp;isNoScr=script&amp;mode=search", "토지이음")</f>
        <v/>
      </c>
      <c r="O1046" s="3" t="inlineStr">
        <is>
          <t>세종복댕이</t>
        </is>
      </c>
      <c r="P1046" s="4" t="n">
        <v>1</v>
      </c>
      <c r="Q1046" s="4" t="n">
        <v>660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완경사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연동면 내판리 175-1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190000</v>
      </c>
      <c r="G1047" s="4" t="n">
        <v>2710</v>
      </c>
      <c r="H1047" s="4" t="n">
        <v>820</v>
      </c>
      <c r="I1047" s="5" t="n">
        <v>231.7</v>
      </c>
      <c r="J1047" s="5" t="n">
        <v>71.90000000000001</v>
      </c>
      <c r="K1047" s="3" t="inlineStr">
        <is>
          <t>세종시 연동면내판리 2차선 토지매매</t>
        </is>
      </c>
      <c r="L1047" s="6">
        <f>HYPERLINK("https://fin.land.naver.com/articles/2652504504", "매물Link")</f>
        <v/>
      </c>
      <c r="M1047" s="6">
        <f>HYPERLINK("https://map.naver.com/p/search/연동면 내판리 175-1", "지도Link")</f>
        <v/>
      </c>
      <c r="N1047" s="6">
        <f>HYPERLINK("http://www.eum.go.kr/web/ar/lu/luLandDet.jsp?pnu=3611032021101750001&amp;isNoScr=script&amp;mode=search", "토지이음")</f>
        <v/>
      </c>
      <c r="O1047" s="3" t="inlineStr">
        <is>
          <t>동원</t>
        </is>
      </c>
      <c r="P1047" s="4" t="n">
        <v>1</v>
      </c>
      <c r="Q1047" s="4" t="n">
        <v>2340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175-12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96000</v>
      </c>
      <c r="G1048" s="4" t="n">
        <v>1095</v>
      </c>
      <c r="H1048" s="4" t="n">
        <v>331</v>
      </c>
      <c r="I1048" s="5" t="n">
        <v>290</v>
      </c>
      <c r="J1048" s="5" t="n">
        <v>61.4</v>
      </c>
      <c r="K1048" s="3" t="inlineStr">
        <is>
          <t>내판리 계획관리지역  5생활권 인접한 명학산업단지 부근</t>
        </is>
      </c>
      <c r="L1048" s="6">
        <f>HYPERLINK("https://fin.land.naver.com/articles/2653639529", "매물Link")</f>
        <v/>
      </c>
      <c r="M1048" s="6">
        <f>HYPERLINK("https://map.naver.com/p/search/연동면 내판리 175-12", "지도Link")</f>
        <v/>
      </c>
      <c r="N1048" s="6">
        <f>HYPERLINK("http://www.eum.go.kr/web/ar/lu/luLandDet.jsp?pnu=3611032021101750012&amp;isNoScr=script&amp;mode=search", "토지이음")</f>
        <v/>
      </c>
      <c r="O1048" s="3" t="inlineStr">
        <is>
          <t>레몬</t>
        </is>
      </c>
      <c r="P1048" s="4" t="n">
        <v>1</v>
      </c>
      <c r="Q1048" s="4" t="n">
        <v>475</v>
      </c>
      <c r="R1048" s="3" t="inlineStr">
        <is>
          <t>지정되지않음</t>
        </is>
      </c>
      <c r="S1048" s="3" t="inlineStr">
        <is>
          <t>전기타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연동면 내판리 254</t>
        </is>
      </c>
      <c r="B1049" s="3" t="inlineStr">
        <is>
          <t>계획관리지역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65000</v>
      </c>
      <c r="G1049" s="4" t="n">
        <v>1884</v>
      </c>
      <c r="H1049" s="4" t="n">
        <v>570</v>
      </c>
      <c r="I1049" s="5" t="n">
        <v>114</v>
      </c>
      <c r="J1049" s="5" t="n">
        <v>65.8</v>
      </c>
      <c r="K1049" s="3" t="inlineStr">
        <is>
          <t>실 570. 행정중심복합도시 수혜지역 매매. 대통령집무실 이전유력지 호재</t>
        </is>
      </c>
      <c r="L1049" s="6">
        <f>HYPERLINK("https://fin.land.naver.com/articles/2651758585", "매물Link")</f>
        <v/>
      </c>
      <c r="M1049" s="6">
        <f>HYPERLINK("https://map.naver.com/p/search/연동면 내판리 254", "지도Link")</f>
        <v/>
      </c>
      <c r="N1049" s="6">
        <f>HYPERLINK("http://www.eum.go.kr/web/ar/lu/luLandDet.jsp?pnu=3611032021102540000&amp;isNoScr=script&amp;mode=search", "토지이음")</f>
        <v/>
      </c>
      <c r="O1049" s="3" t="inlineStr">
        <is>
          <t>길</t>
        </is>
      </c>
      <c r="P1049" s="4" t="n">
        <v>1</v>
      </c>
      <c r="Q1049" s="4" t="n">
        <v>1884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맹지</t>
        </is>
      </c>
    </row>
    <row r="1050">
      <c r="A1050" s="3" t="inlineStr">
        <is>
          <t>연동면 내판리 337-1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191664</v>
      </c>
      <c r="G1050" s="4" t="n">
        <v>1152</v>
      </c>
      <c r="H1050" s="4" t="n">
        <v>348</v>
      </c>
      <c r="I1050" s="5" t="n">
        <v>550.8</v>
      </c>
      <c r="J1050" s="5" t="n">
        <v>112.8</v>
      </c>
      <c r="K1050" s="3" t="inlineStr">
        <is>
          <t>명학산업단지 근처 6미터 도로접 투자용</t>
        </is>
      </c>
      <c r="L1050" s="6">
        <f>HYPERLINK("https://fin.land.naver.com/articles/2652376217", "매물Link")</f>
        <v/>
      </c>
      <c r="M1050" s="6">
        <f>HYPERLINK("https://map.naver.com/p/search/연동면 내판리 337-1", "지도Link")</f>
        <v/>
      </c>
      <c r="N1050" s="6">
        <f>HYPERLINK("http://www.eum.go.kr/web/ar/lu/luLandDet.jsp?pnu=3611032021103370001&amp;isNoScr=script&amp;mode=search", "토지이음")</f>
        <v/>
      </c>
      <c r="O1050" s="3" t="inlineStr">
        <is>
          <t>도안재벌</t>
        </is>
      </c>
      <c r="P1050" s="4" t="n">
        <v>1</v>
      </c>
      <c r="Q1050" s="4" t="n">
        <v>1152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337-8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133100</v>
      </c>
      <c r="G1051" s="4" t="n">
        <v>800</v>
      </c>
      <c r="H1051" s="4" t="n">
        <v>242</v>
      </c>
      <c r="I1051" s="5" t="n">
        <v>550</v>
      </c>
      <c r="J1051" s="5" t="n">
        <v>183.9</v>
      </c>
      <c r="K1051" s="3" t="inlineStr">
        <is>
          <t>명학산업단지 근처 6미터 도로접 투자용</t>
        </is>
      </c>
      <c r="L1051" s="6">
        <f>HYPERLINK("https://fin.land.naver.com/articles/2652376203", "매물Link")</f>
        <v/>
      </c>
      <c r="M1051" s="6">
        <f>HYPERLINK("https://map.naver.com/p/search/연동면 내판리 337-8", "지도Link")</f>
        <v/>
      </c>
      <c r="N1051" s="6">
        <f>HYPERLINK("http://www.eum.go.kr/web/ar/lu/luLandDet.jsp?pnu=3611032021103370008&amp;isNoScr=script&amp;mode=search", "토지이음")</f>
        <v/>
      </c>
      <c r="O1051" s="3" t="inlineStr">
        <is>
          <t>도안재벌</t>
        </is>
      </c>
      <c r="P1051" s="4" t="n">
        <v>1</v>
      </c>
      <c r="Q1051" s="4" t="n">
        <v>800</v>
      </c>
      <c r="R1051" s="3" t="inlineStr">
        <is>
          <t>지정되지않음</t>
        </is>
      </c>
      <c r="S1051" s="3" t="inlineStr">
        <is>
          <t>상업용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연동면 내판리 337-9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140000</v>
      </c>
      <c r="G1052" s="4" t="n">
        <v>737</v>
      </c>
      <c r="H1052" s="4" t="n">
        <v>223</v>
      </c>
      <c r="I1052" s="5" t="n">
        <v>627.8</v>
      </c>
      <c r="J1052" s="5" t="n">
        <v>183.9</v>
      </c>
      <c r="K1052" s="3" t="inlineStr">
        <is>
          <t>nan</t>
        </is>
      </c>
      <c r="L1052" s="6">
        <f>HYPERLINK("https://fin.land.naver.com/articles/2652045510", "매물Link")</f>
        <v/>
      </c>
      <c r="M1052" s="6">
        <f>HYPERLINK("https://map.naver.com/p/search/연동면 내판리 337-9", "지도Link")</f>
        <v/>
      </c>
      <c r="N1052" s="6">
        <f>HYPERLINK("http://www.eum.go.kr/web/ar/lu/luLandDet.jsp?pnu=3611032021103370009&amp;isNoScr=script&amp;mode=search",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737</v>
      </c>
      <c r="R1052" s="3" t="inlineStr">
        <is>
          <t>지정되지않음</t>
        </is>
      </c>
      <c r="S1052" s="3" t="inlineStr">
        <is>
          <t>상업용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연동면 내판리 35-5</t>
        </is>
      </c>
      <c r="B1053" s="3" t="inlineStr">
        <is>
          <t>계획관리지역</t>
        </is>
      </c>
      <c r="C1053" s="3" t="inlineStr">
        <is>
          <t>임야</t>
        </is>
      </c>
      <c r="D1053" s="3" t="inlineStr">
        <is>
          <t>임야</t>
        </is>
      </c>
      <c r="E1053" s="3" t="inlineStr">
        <is>
          <t>매매</t>
        </is>
      </c>
      <c r="F1053" s="4" t="n">
        <v>205000</v>
      </c>
      <c r="G1053" s="4" t="n">
        <v>5683</v>
      </c>
      <c r="H1053" s="4" t="n">
        <v>1719</v>
      </c>
      <c r="I1053" s="5" t="n">
        <v>119.3</v>
      </c>
      <c r="J1053" s="5" t="n">
        <v>41.8</v>
      </c>
      <c r="K1053" s="3" t="inlineStr">
        <is>
          <t>급매  저렴한 매물    추천매물</t>
        </is>
      </c>
      <c r="L1053" s="6">
        <f>HYPERLINK("https://fin.land.naver.com/articles/2653315073", "매물Link")</f>
        <v/>
      </c>
      <c r="M1053" s="6">
        <f>HYPERLINK("https://map.naver.com/p/search/연동면 내판리 35-5", "지도Link")</f>
        <v/>
      </c>
      <c r="N1053" s="6">
        <f>HYPERLINK("http://www.eum.go.kr/web/ar/lu/luLandDet.jsp?pnu=3611032021100350005&amp;isNoScr=script&amp;mode=search", "토지이음")</f>
        <v/>
      </c>
      <c r="O1053" s="3" t="inlineStr">
        <is>
          <t>세종푸르지오</t>
        </is>
      </c>
      <c r="P1053" s="4" t="n">
        <v>2</v>
      </c>
      <c r="Q1053" s="4" t="n">
        <v>5683</v>
      </c>
      <c r="R1053" s="3" t="inlineStr">
        <is>
          <t>지정되지않음</t>
        </is>
      </c>
      <c r="S1053" s="3" t="inlineStr">
        <is>
          <t>자연림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내판리 35-5</t>
        </is>
      </c>
      <c r="B1054" s="3" t="inlineStr">
        <is>
          <t>계획관리지역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210000</v>
      </c>
      <c r="G1054" s="4" t="n">
        <v>5683</v>
      </c>
      <c r="H1054" s="4" t="n">
        <v>1719</v>
      </c>
      <c r="I1054" s="5" t="n">
        <v>122.2</v>
      </c>
      <c r="J1054" s="5" t="n">
        <v>41.8</v>
      </c>
      <c r="K1054" s="3" t="inlineStr">
        <is>
          <t>시세보다 저렴한  최상의 위치로  계획관리 토지로 용도다양</t>
        </is>
      </c>
      <c r="L1054" s="6">
        <f>HYPERLINK("https://fin.land.naver.com/articles/2651026655", "매물Link")</f>
        <v/>
      </c>
      <c r="M1054" s="6">
        <f>HYPERLINK("https://map.naver.com/p/search/연동면 내판리 35-5", "지도Link")</f>
        <v/>
      </c>
      <c r="N1054" s="6">
        <f>HYPERLINK("http://www.eum.go.kr/web/ar/lu/luLandDet.jsp?pnu=3611032021100350005&amp;isNoScr=script&amp;mode=search", "토지이음")</f>
        <v/>
      </c>
      <c r="O1054" s="3" t="inlineStr">
        <is>
          <t>연동스카이</t>
        </is>
      </c>
      <c r="P1054" s="4" t="n">
        <v>1</v>
      </c>
      <c r="Q1054" s="4" t="n">
        <v>5683</v>
      </c>
      <c r="R1054" s="3" t="inlineStr">
        <is>
          <t>지정되지않음</t>
        </is>
      </c>
      <c r="S1054" s="3" t="inlineStr">
        <is>
          <t>자연림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연동면 내판리 35-5</t>
        </is>
      </c>
      <c r="B1055" s="3" t="inlineStr">
        <is>
          <t>계획관리지역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203000</v>
      </c>
      <c r="G1055" s="4" t="n">
        <v>5683</v>
      </c>
      <c r="H1055" s="4" t="n">
        <v>1719</v>
      </c>
      <c r="I1055" s="5" t="n">
        <v>118.1</v>
      </c>
      <c r="J1055" s="5" t="n">
        <v>41.8</v>
      </c>
      <c r="K1055" s="3" t="inlineStr">
        <is>
          <t>계획관리지역 건축부지 시세이하가격</t>
        </is>
      </c>
      <c r="L1055" s="6">
        <f>HYPERLINK("https://fin.land.naver.com/articles/2650899167", "매물Link")</f>
        <v/>
      </c>
      <c r="M1055" s="6">
        <f>HYPERLINK("https://map.naver.com/p/search/연동면 내판리 35-5", "지도Link")</f>
        <v/>
      </c>
      <c r="N1055" s="6">
        <f>HYPERLINK("http://www.eum.go.kr/web/ar/lu/luLandDet.jsp?pnu=3611032021100350005&amp;isNoScr=script&amp;mode=search", "토지이음")</f>
        <v/>
      </c>
      <c r="O1055" s="3" t="inlineStr">
        <is>
          <t>(주)경진컨설팅</t>
        </is>
      </c>
      <c r="P1055" s="4" t="n">
        <v>1</v>
      </c>
      <c r="Q1055" s="4" t="n">
        <v>5683</v>
      </c>
      <c r="R1055" s="3" t="inlineStr">
        <is>
          <t>지정되지않음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연동면 내판리 363-6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80000</v>
      </c>
      <c r="G1056" s="4" t="n">
        <v>663</v>
      </c>
      <c r="H1056" s="4" t="n">
        <v>201</v>
      </c>
      <c r="I1056" s="5" t="n">
        <v>398</v>
      </c>
      <c r="J1056" s="5" t="n">
        <v>95</v>
      </c>
      <c r="K1056" s="3" t="inlineStr">
        <is>
          <t>계획관리포장도로전기 인접, 오송산단 접근 좋은 전원형 토지</t>
        </is>
      </c>
      <c r="L1056" s="6">
        <f>HYPERLINK("https://fin.land.naver.com/articles/2651802843", "매물Link")</f>
        <v/>
      </c>
      <c r="M1056" s="6">
        <f>HYPERLINK("https://map.naver.com/p/search/연동면 내판리 363-6", "지도Link")</f>
        <v/>
      </c>
      <c r="N1056" s="6">
        <f>HYPERLINK("http://www.eum.go.kr/web/ar/lu/luLandDet.jsp?pnu=3611032021103630006&amp;isNoScr=script&amp;mode=search", "토지이음")</f>
        <v/>
      </c>
      <c r="O1056" s="3" t="inlineStr">
        <is>
          <t>세종소담황금</t>
        </is>
      </c>
      <c r="P1056" s="4" t="n">
        <v>1</v>
      </c>
      <c r="Q1056" s="4" t="n">
        <v>82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내판리 365-5</t>
        </is>
      </c>
      <c r="B1057" s="3" t="inlineStr">
        <is>
          <t>계획관리지역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80000</v>
      </c>
      <c r="G1057" s="4" t="n">
        <v>664</v>
      </c>
      <c r="H1057" s="4" t="n">
        <v>201</v>
      </c>
      <c r="I1057" s="5" t="n">
        <v>398</v>
      </c>
      <c r="J1057" s="5" t="n">
        <v>95</v>
      </c>
      <c r="K1057" s="3" t="inlineStr">
        <is>
          <t>세종시 5생활권 스마트시티 300m 7,500세대 아파트 호재 중심</t>
        </is>
      </c>
      <c r="L1057" s="6">
        <f>HYPERLINK("https://fin.land.naver.com/articles/2654053900", "매물Link")</f>
        <v/>
      </c>
      <c r="M1057" s="6">
        <f>HYPERLINK("https://map.naver.com/p/search/연동면 내판리 365-5", "지도Link")</f>
        <v/>
      </c>
      <c r="N1057" s="6">
        <f>HYPERLINK("http://www.eum.go.kr/web/ar/lu/luLandDet.jsp?pnu=3611032021103650005&amp;isNoScr=script&amp;mode=search", "토지이음")</f>
        <v/>
      </c>
      <c r="O1057" s="3" t="inlineStr">
        <is>
          <t>찬스</t>
        </is>
      </c>
      <c r="P1057" s="4" t="n">
        <v>1</v>
      </c>
      <c r="Q1057" s="4" t="n">
        <v>473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연동면 내판리 418</t>
        </is>
      </c>
      <c r="B1058" s="3" t="inlineStr">
        <is>
          <t>계획관리지역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234600</v>
      </c>
      <c r="G1058" s="4" t="n">
        <v>2585</v>
      </c>
      <c r="H1058" s="4" t="n">
        <v>782</v>
      </c>
      <c r="I1058" s="5" t="n">
        <v>300</v>
      </c>
      <c r="J1058" s="5" t="n">
        <v>74.09999999999999</v>
      </c>
      <c r="K1058" s="3" t="inlineStr">
        <is>
          <t>투자와 실사용 모두 적합,인프라 근접</t>
        </is>
      </c>
      <c r="L1058" s="6">
        <f>HYPERLINK("https://fin.land.naver.com/articles/2650476322", "매물Link")</f>
        <v/>
      </c>
      <c r="M1058" s="6">
        <f>HYPERLINK("https://map.naver.com/p/search/연동면 내판리 418", "지도Link")</f>
        <v/>
      </c>
      <c r="N1058" s="6">
        <f>HYPERLINK("http://www.eum.go.kr/web/ar/lu/luLandDet.jsp?pnu=3611032021104180000&amp;isNoScr=script&amp;mode=search", "토지이음")</f>
        <v/>
      </c>
      <c r="O1058" s="3" t="inlineStr">
        <is>
          <t>가치잇는</t>
        </is>
      </c>
      <c r="P1058" s="4" t="n">
        <v>1</v>
      </c>
      <c r="Q1058" s="4" t="n">
        <v>2585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세로각지(가)</t>
        </is>
      </c>
    </row>
    <row r="1059">
      <c r="A1059" s="3" t="inlineStr">
        <is>
          <t>연동면 내판리 419</t>
        </is>
      </c>
      <c r="B1059" s="3" t="inlineStr">
        <is>
          <t>계획관리지역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115500</v>
      </c>
      <c r="G1059" s="4" t="n">
        <v>1273</v>
      </c>
      <c r="H1059" s="4" t="n">
        <v>385</v>
      </c>
      <c r="I1059" s="5" t="n">
        <v>300</v>
      </c>
      <c r="J1059" s="5" t="n">
        <v>63.7</v>
      </c>
      <c r="K1059" s="3" t="inlineStr">
        <is>
          <t>세종 생활권 가까워 투자가치와 활용도 높은 토지</t>
        </is>
      </c>
      <c r="L1059" s="6">
        <f>HYPERLINK("https://fin.land.naver.com/articles/2650478669", "매물Link")</f>
        <v/>
      </c>
      <c r="M1059" s="6">
        <f>HYPERLINK("https://map.naver.com/p/search/연동면 내판리 419", "지도Link")</f>
        <v/>
      </c>
      <c r="N1059" s="6">
        <f>HYPERLINK("http://www.eum.go.kr/web/ar/lu/luLandDet.jsp?pnu=3611032021104190000&amp;isNoScr=script&amp;mode=search", "토지이음")</f>
        <v/>
      </c>
      <c r="O1059" s="3" t="inlineStr">
        <is>
          <t>가치잇는</t>
        </is>
      </c>
      <c r="P1059" s="4" t="n">
        <v>1</v>
      </c>
      <c r="Q1059" s="4" t="n">
        <v>1273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세로한면(불)</t>
        </is>
      </c>
    </row>
    <row r="1060">
      <c r="A1060" s="3" t="inlineStr">
        <is>
          <t>연동면 내판리 422</t>
        </is>
      </c>
      <c r="B1060" s="3" t="inlineStr">
        <is>
          <t>계획관리지역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169000</v>
      </c>
      <c r="G1060" s="4" t="n">
        <v>1603</v>
      </c>
      <c r="H1060" s="4" t="n">
        <v>485</v>
      </c>
      <c r="I1060" s="5" t="n">
        <v>348.5</v>
      </c>
      <c r="J1060" s="5" t="n">
        <v>60.3</v>
      </c>
      <c r="K1060" s="3" t="inlineStr">
        <is>
          <t>내판리 도로변 계획관리지역 답</t>
        </is>
      </c>
      <c r="L1060" s="6">
        <f>HYPERLINK("https://fin.land.naver.com/articles/2650438078", "매물Link")</f>
        <v/>
      </c>
      <c r="M1060" s="6">
        <f>HYPERLINK("https://map.naver.com/p/search/연동면 내판리 422", "지도Link")</f>
        <v/>
      </c>
      <c r="N1060" s="6">
        <f>HYPERLINK("http://www.eum.go.kr/web/ar/lu/luLandDet.jsp?pnu=3611032021104220000&amp;isNoScr=script&amp;mode=search", "토지이음")</f>
        <v/>
      </c>
      <c r="O1060" s="3" t="inlineStr">
        <is>
          <t>세종천지</t>
        </is>
      </c>
      <c r="P1060" s="4" t="n">
        <v>1</v>
      </c>
      <c r="Q1060" s="4" t="n">
        <v>1603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연동면 내판리 50-3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180000</v>
      </c>
      <c r="G1061" s="4" t="n">
        <v>2406</v>
      </c>
      <c r="H1061" s="4" t="n">
        <v>728</v>
      </c>
      <c r="I1061" s="5" t="n">
        <v>247.3</v>
      </c>
      <c r="J1061" s="5" t="n">
        <v>76.5</v>
      </c>
      <c r="K1061" s="3" t="inlineStr">
        <is>
          <t>2차선 도로에 접해있는 계획관리 농지</t>
        </is>
      </c>
      <c r="L1061" s="6">
        <f>HYPERLINK("https://fin.land.naver.com/articles/2655147951", "매물Link")</f>
        <v/>
      </c>
      <c r="M1061" s="6">
        <f>HYPERLINK("https://map.naver.com/p/search/연동면 내판리 50-3", "지도Link")</f>
        <v/>
      </c>
      <c r="N1061" s="6">
        <f>HYPERLINK("http://www.eum.go.kr/web/ar/lu/luLandDet.jsp?pnu=3611032021100500003&amp;isNoScr=script&amp;mode=search", "토지이음")</f>
        <v/>
      </c>
      <c r="O1061" s="3" t="inlineStr">
        <is>
          <t>오송랜드</t>
        </is>
      </c>
      <c r="P1061" s="4" t="n">
        <v>1</v>
      </c>
      <c r="Q1061" s="4" t="n">
        <v>1188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내판리 556</t>
        </is>
      </c>
      <c r="B1062" s="3" t="inlineStr">
        <is>
          <t>생산관리지역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80000</v>
      </c>
      <c r="G1062" s="4" t="n">
        <v>2733</v>
      </c>
      <c r="H1062" s="4" t="n">
        <v>827</v>
      </c>
      <c r="I1062" s="5" t="n">
        <v>96.7</v>
      </c>
      <c r="J1062" s="5" t="n">
        <v>71.2</v>
      </c>
      <c r="K1062" s="3" t="inlineStr">
        <is>
          <t>nan</t>
        </is>
      </c>
      <c r="L1062" s="6">
        <f>HYPERLINK("https://fin.land.naver.com/articles/2651729266", "매물Link")</f>
        <v/>
      </c>
      <c r="M1062" s="6">
        <f>HYPERLINK("https://map.naver.com/p/search/연동면 내판리 556", "지도Link")</f>
        <v/>
      </c>
      <c r="N1062" s="6">
        <f>HYPERLINK("http://www.eum.go.kr/web/ar/lu/luLandDet.jsp?pnu=3611032021105560000&amp;isNoScr=script&amp;mode=search", "토지이음")</f>
        <v/>
      </c>
      <c r="O1062" s="3" t="inlineStr">
        <is>
          <t>세종땅전문</t>
        </is>
      </c>
      <c r="P1062" s="4" t="n">
        <v>1</v>
      </c>
      <c r="Q1062" s="4" t="n">
        <v>2169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내판리 572-1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12000</v>
      </c>
      <c r="G1063" s="4" t="n">
        <v>97</v>
      </c>
      <c r="H1063" s="4" t="n">
        <v>29</v>
      </c>
      <c r="I1063" s="5" t="n">
        <v>413.8</v>
      </c>
      <c r="J1063" s="5" t="n">
        <v>63.2</v>
      </c>
      <c r="K1063" s="3" t="inlineStr">
        <is>
          <t>세종시5생활권주변지역 위치좋은 매물</t>
        </is>
      </c>
      <c r="L1063" s="6">
        <f>HYPERLINK("https://fin.land.naver.com/articles/2654051858", "매물Link")</f>
        <v/>
      </c>
      <c r="M1063" s="6">
        <f>HYPERLINK("https://map.naver.com/p/search/연동면 내판리 572-1", "지도Link")</f>
        <v/>
      </c>
      <c r="N1063" s="6">
        <f>HYPERLINK("http://www.eum.go.kr/web/ar/lu/luLandDet.jsp?pnu=3611032021105720001&amp;isNoScr=script&amp;mode=search", "토지이음")</f>
        <v/>
      </c>
      <c r="O1063" s="3" t="inlineStr">
        <is>
          <t>대박</t>
        </is>
      </c>
      <c r="P1063" s="4" t="n">
        <v>1</v>
      </c>
      <c r="Q1063" s="4" t="n">
        <v>97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연동면 내판리 63-1</t>
        </is>
      </c>
      <c r="B1064" s="3" t="inlineStr">
        <is>
          <t>계획관리지역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60000</v>
      </c>
      <c r="G1064" s="4" t="n">
        <v>640</v>
      </c>
      <c r="H1064" s="4" t="n">
        <v>194</v>
      </c>
      <c r="I1064" s="5" t="n">
        <v>309.3</v>
      </c>
      <c r="J1064" s="5" t="n">
        <v>71.5</v>
      </c>
      <c r="K1064" s="3" t="inlineStr">
        <is>
          <t>농업용창고있음.도로에 접해있는 땅으로 접근성 좋습니다.</t>
        </is>
      </c>
      <c r="L1064" s="6">
        <f>HYPERLINK("https://fin.land.naver.com/articles/2650744703", "매물Link")</f>
        <v/>
      </c>
      <c r="M1064" s="6">
        <f>HYPERLINK("https://map.naver.com/p/search/연동면 내판리 63-1", "지도Link")</f>
        <v/>
      </c>
      <c r="N1064" s="6">
        <f>HYPERLINK("http://www.eum.go.kr/web/ar/lu/luLandDet.jsp?pnu=3611032021100630001&amp;isNoScr=script&amp;mode=search", "토지이음")</f>
        <v/>
      </c>
      <c r="O1064" s="3" t="inlineStr">
        <is>
          <t>복수자이</t>
        </is>
      </c>
      <c r="P1064" s="4" t="n">
        <v>1</v>
      </c>
      <c r="Q1064" s="4" t="n">
        <v>640</v>
      </c>
      <c r="R1064" s="3" t="inlineStr">
        <is>
          <t>지정되지않음</t>
        </is>
      </c>
      <c r="S1064" s="3" t="inlineStr">
        <is>
          <t>답기타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내판리 64-1</t>
        </is>
      </c>
      <c r="B1065" s="3" t="inlineStr">
        <is>
          <t>계획관리지역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88000</v>
      </c>
      <c r="G1065" s="4" t="n">
        <v>1167</v>
      </c>
      <c r="H1065" s="4" t="n">
        <v>353</v>
      </c>
      <c r="I1065" s="5" t="n">
        <v>249.3</v>
      </c>
      <c r="J1065" s="5" t="n">
        <v>83.3</v>
      </c>
      <c r="K1065" s="3" t="inlineStr">
        <is>
          <t>급매, 계획관리지역,성장관리계획구역 도로접</t>
        </is>
      </c>
      <c r="L1065" s="6">
        <f>HYPERLINK("https://fin.land.naver.com/articles/2652592592", "매물Link")</f>
        <v/>
      </c>
      <c r="M1065" s="6">
        <f>HYPERLINK("https://map.naver.com/p/search/연동면 내판리 64-1", "지도Link")</f>
        <v/>
      </c>
      <c r="N1065" s="6">
        <f>HYPERLINK("http://www.eum.go.kr/web/ar/lu/luLandDet.jsp?pnu=3611032021100640001&amp;isNoScr=script&amp;mode=search", "토지이음")</f>
        <v/>
      </c>
      <c r="O1065" s="3" t="inlineStr">
        <is>
          <t>굿모닝한라</t>
        </is>
      </c>
      <c r="P1065" s="4" t="n">
        <v>1</v>
      </c>
      <c r="Q1065" s="4" t="n">
        <v>1167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내판리 65-1</t>
        </is>
      </c>
      <c r="B1066" s="3" t="inlineStr">
        <is>
          <t>계획관리지역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145000</v>
      </c>
      <c r="G1066" s="4" t="n">
        <v>2635</v>
      </c>
      <c r="H1066" s="4" t="n">
        <v>797</v>
      </c>
      <c r="I1066" s="5" t="n">
        <v>181.9</v>
      </c>
      <c r="J1066" s="5" t="n">
        <v>83.3</v>
      </c>
      <c r="K1066" s="3" t="inlineStr">
        <is>
          <t>급매,계획관리구역,성장관리계획구역</t>
        </is>
      </c>
      <c r="L1066" s="6">
        <f>HYPERLINK("https://fin.land.naver.com/articles/2652592516", "매물Link")</f>
        <v/>
      </c>
      <c r="M1066" s="6">
        <f>HYPERLINK("https://map.naver.com/p/search/연동면 내판리 65-1", "지도Link")</f>
        <v/>
      </c>
      <c r="N1066" s="6">
        <f>HYPERLINK("http://www.eum.go.kr/web/ar/lu/luLandDet.jsp?pnu=3611032021100650001&amp;isNoScr=script&amp;mode=search", "토지이음")</f>
        <v/>
      </c>
      <c r="O1066" s="3" t="inlineStr">
        <is>
          <t>굿모닝한라</t>
        </is>
      </c>
      <c r="P1066" s="4" t="n">
        <v>1</v>
      </c>
      <c r="Q1066" s="4" t="n">
        <v>1468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내판리 65-1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280000</v>
      </c>
      <c r="G1067" s="4" t="n">
        <v>1428</v>
      </c>
      <c r="H1067" s="4" t="n">
        <v>432</v>
      </c>
      <c r="I1067" s="5" t="n">
        <v>648.1</v>
      </c>
      <c r="J1067" s="5" t="n">
        <v>83.3</v>
      </c>
      <c r="K1067" s="3" t="inlineStr">
        <is>
          <t>세종5생활권 2차도로 접도 계획관리 토지 매매</t>
        </is>
      </c>
      <c r="L1067" s="6">
        <f>HYPERLINK("https://fin.land.naver.com/articles/2649688971", "매물Link")</f>
        <v/>
      </c>
      <c r="M1067" s="6">
        <f>HYPERLINK("https://map.naver.com/p/search/연동면 내판리 65-1", "지도Link")</f>
        <v/>
      </c>
      <c r="N1067" s="6">
        <f>HYPERLINK("http://www.eum.go.kr/web/ar/lu/luLandDet.jsp?pnu=3611032021100650001&amp;isNoScr=script&amp;mode=search", "토지이음")</f>
        <v/>
      </c>
      <c r="O1067" s="3" t="inlineStr">
        <is>
          <t>행운</t>
        </is>
      </c>
      <c r="P1067" s="4" t="n">
        <v>1</v>
      </c>
      <c r="Q1067" s="4" t="n">
        <v>1468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내판리 산2</t>
        </is>
      </c>
      <c r="B1068" s="3" t="inlineStr">
        <is>
          <t>계획관리지역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100000</v>
      </c>
      <c r="G1068" s="4" t="n">
        <v>1587</v>
      </c>
      <c r="H1068" s="4" t="n">
        <v>480</v>
      </c>
      <c r="I1068" s="5" t="n">
        <v>208.3</v>
      </c>
      <c r="J1068" s="5" t="n">
        <v>36.2</v>
      </c>
      <c r="K1068" s="3" t="inlineStr">
        <is>
          <t>계획관리,도시계획도로접,지구단위계획구역,땅모양좋음,조정가</t>
        </is>
      </c>
      <c r="L1068" s="6">
        <f>HYPERLINK("https://fin.land.naver.com/articles/2650882718", "매물Link")</f>
        <v/>
      </c>
      <c r="M1068" s="6">
        <f>HYPERLINK("https://map.naver.com/p/search/연동면 내판리 산2", "지도Link")</f>
        <v/>
      </c>
      <c r="N1068" s="6">
        <f>HYPERLINK("http://www.eum.go.kr/web/ar/lu/luLandDet.jsp?pnu=3611032021200020000&amp;isNoScr=script&amp;mode=search", "토지이음")</f>
        <v/>
      </c>
      <c r="O1068" s="3" t="inlineStr">
        <is>
          <t>힐스테이트행복</t>
        </is>
      </c>
      <c r="P1068" s="4" t="n">
        <v>1</v>
      </c>
      <c r="Q1068" s="4" t="n">
        <v>1587</v>
      </c>
      <c r="R1068" s="3" t="inlineStr">
        <is>
          <t>지정되지않음</t>
        </is>
      </c>
      <c r="S1068" s="3" t="inlineStr">
        <is>
          <t>자연림</t>
        </is>
      </c>
      <c r="T1068" s="3" t="inlineStr">
        <is>
          <t>완경사</t>
        </is>
      </c>
      <c r="U1068" s="3" t="inlineStr">
        <is>
          <t>가로장방</t>
        </is>
      </c>
      <c r="V1068" s="3" t="inlineStr">
        <is>
          <t>세로각지(가)</t>
        </is>
      </c>
    </row>
    <row r="1069">
      <c r="A1069" s="3" t="inlineStr">
        <is>
          <t>연동면 노송리 221</t>
        </is>
      </c>
      <c r="B1069" s="3" t="inlineStr">
        <is>
          <t>계획관리지역</t>
        </is>
      </c>
      <c r="C1069" s="3" t="inlineStr"/>
      <c r="D1069" s="3" t="inlineStr">
        <is>
          <t>과수원</t>
        </is>
      </c>
      <c r="E1069" s="3" t="inlineStr">
        <is>
          <t>매매</t>
        </is>
      </c>
      <c r="F1069" s="4" t="n">
        <v>86000</v>
      </c>
      <c r="G1069" s="4" t="n">
        <v>2364</v>
      </c>
      <c r="H1069" s="4" t="n">
        <v>715</v>
      </c>
      <c r="I1069" s="5" t="n">
        <v>120.3</v>
      </c>
      <c r="J1069" s="5" t="n">
        <v>39.5</v>
      </c>
      <c r="K1069" s="3" t="inlineStr">
        <is>
          <t>연동면 노송리 저렴한 계획관리 토지, 도로접, 투자 추천</t>
        </is>
      </c>
      <c r="L1069" s="6">
        <f>HYPERLINK("https://fin.land.naver.com/articles/2654025020", "매물Link")</f>
        <v/>
      </c>
      <c r="M1069" s="6">
        <f>HYPERLINK("https://map.naver.com/p/search/연동면 노송리 221", "지도Link")</f>
        <v/>
      </c>
      <c r="N1069" s="6">
        <f>HYPERLINK("http://www.eum.go.kr/web/ar/lu/luLandDet.jsp?pnu=3611032025102210000&amp;isNoScr=script&amp;mode=search", "토지이음")</f>
        <v/>
      </c>
      <c r="O1069" s="3" t="inlineStr">
        <is>
          <t>스카이</t>
        </is>
      </c>
      <c r="P1069" s="4" t="n">
        <v>1</v>
      </c>
      <c r="Q1069" s="4" t="n">
        <v>0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연동면 노송리 234-1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17800</v>
      </c>
      <c r="G1070" s="4" t="n">
        <v>283</v>
      </c>
      <c r="H1070" s="4" t="n">
        <v>86</v>
      </c>
      <c r="I1070" s="5" t="n">
        <v>207</v>
      </c>
      <c r="J1070" s="5" t="n">
        <v>73.40000000000001</v>
      </c>
      <c r="K1070" s="3" t="inlineStr">
        <is>
          <t>nan</t>
        </is>
      </c>
      <c r="L1070" s="6">
        <f>HYPERLINK("https://fin.land.naver.com/articles/2653388757", "매물Link")</f>
        <v/>
      </c>
      <c r="M1070" s="6">
        <f>HYPERLINK("https://map.naver.com/p/search/연동면 노송리 234-1", "지도Link")</f>
        <v/>
      </c>
      <c r="N1070" s="6">
        <f>HYPERLINK("http://www.eum.go.kr/web/ar/lu/luLandDet.jsp?pnu=3611032025102340001&amp;isNoScr=script&amp;mode=search", "토지이음")</f>
        <v/>
      </c>
      <c r="O1070" s="3" t="inlineStr">
        <is>
          <t>다산</t>
        </is>
      </c>
      <c r="P1070" s="4" t="n">
        <v>2</v>
      </c>
      <c r="Q1070" s="4" t="n">
        <v>283</v>
      </c>
      <c r="R1070" s="3" t="inlineStr">
        <is>
          <t>지정되지않음</t>
        </is>
      </c>
      <c r="S1070" s="3" t="inlineStr">
        <is>
          <t>단독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연동면 노송리 24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12600</v>
      </c>
      <c r="G1071" s="4" t="n">
        <v>417</v>
      </c>
      <c r="H1071" s="4" t="n">
        <v>126</v>
      </c>
      <c r="I1071" s="5" t="n">
        <v>100</v>
      </c>
      <c r="J1071" s="5" t="n">
        <v>65</v>
      </c>
      <c r="K1071" s="3" t="inlineStr">
        <is>
          <t>지대가 높아 남향으로 집을 지으면 조망이 좋은 계획관리지역의 대지입니다</t>
        </is>
      </c>
      <c r="L1071" s="6">
        <f>HYPERLINK("https://fin.land.naver.com/articles/2652192028", "매물Link")</f>
        <v/>
      </c>
      <c r="M1071" s="6">
        <f>HYPERLINK("https://map.naver.com/p/search/연동면 노송리 24", "지도Link")</f>
        <v/>
      </c>
      <c r="N1071" s="6">
        <f>HYPERLINK("http://www.eum.go.kr/web/ar/lu/luLandDet.jsp?pnu=3611032025100240000&amp;isNoScr=script&amp;mode=search",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179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연동면 노송리 246-2</t>
        </is>
      </c>
      <c r="B1072" s="3" t="inlineStr">
        <is>
          <t>계획관리지역</t>
        </is>
      </c>
      <c r="C1072" s="3" t="inlineStr">
        <is>
          <t>과수원</t>
        </is>
      </c>
      <c r="D1072" s="3" t="inlineStr">
        <is>
          <t>전</t>
        </is>
      </c>
      <c r="E1072" s="3" t="inlineStr">
        <is>
          <t>매매</t>
        </is>
      </c>
      <c r="F1072" s="4" t="n">
        <v>92000</v>
      </c>
      <c r="G1072" s="4" t="n">
        <v>2034</v>
      </c>
      <c r="H1072" s="4" t="n">
        <v>615</v>
      </c>
      <c r="I1072" s="5" t="n">
        <v>149.6</v>
      </c>
      <c r="J1072" s="5" t="n">
        <v>46.3</v>
      </c>
      <c r="K1072" s="3" t="inlineStr">
        <is>
          <t>연접된 2필지 토지로 지목은 전, 과수원으로 구성됨</t>
        </is>
      </c>
      <c r="L1072" s="6">
        <f>HYPERLINK("https://fin.land.naver.com/articles/2650782555", "매물Link")</f>
        <v/>
      </c>
      <c r="M1072" s="6">
        <f>HYPERLINK("https://map.naver.com/p/search/연동면 노송리 246-2", "지도Link")</f>
        <v/>
      </c>
      <c r="N1072" s="6">
        <f>HYPERLINK("http://www.eum.go.kr/web/ar/lu/luLandDet.jsp?pnu=3611032025102460002&amp;isNoScr=script&amp;mode=search", "토지이음")</f>
        <v/>
      </c>
      <c r="O1072" s="3" t="inlineStr">
        <is>
          <t>탑</t>
        </is>
      </c>
      <c r="P1072" s="4" t="n">
        <v>1</v>
      </c>
      <c r="Q1072" s="4" t="n">
        <v>1090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연동면 노송리 275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39500</v>
      </c>
      <c r="G1073" s="4" t="n">
        <v>724</v>
      </c>
      <c r="H1073" s="4" t="n">
        <v>219</v>
      </c>
      <c r="I1073" s="5" t="n">
        <v>180.4</v>
      </c>
      <c r="J1073" s="5" t="n">
        <v>67.7</v>
      </c>
      <c r="K1073" s="3" t="inlineStr">
        <is>
          <t>매매가 조절가능,집 짓고 텃밭하기 좋은 땅</t>
        </is>
      </c>
      <c r="L1073" s="6">
        <f>HYPERLINK("https://fin.land.naver.com/articles/2651247824", "매물Link")</f>
        <v/>
      </c>
      <c r="M1073" s="6">
        <f>HYPERLINK("https://map.naver.com/p/search/연동면 노송리 275", "지도Link")</f>
        <v/>
      </c>
      <c r="N1073" s="6">
        <f>HYPERLINK("http://www.eum.go.kr/web/ar/lu/luLandDet.jsp?pnu=3611032025102750000&amp;isNoScr=script&amp;mode=search", "토지이음")</f>
        <v/>
      </c>
      <c r="O1073" s="3" t="inlineStr">
        <is>
          <t>엘리프단지내대표</t>
        </is>
      </c>
      <c r="P1073" s="4" t="n">
        <v>1</v>
      </c>
      <c r="Q1073" s="4" t="n">
        <v>724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세로한면(가)</t>
        </is>
      </c>
    </row>
    <row r="1074">
      <c r="A1074" s="3" t="inlineStr">
        <is>
          <t>연동면 노송리 28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180000</v>
      </c>
      <c r="G1074" s="4" t="n">
        <v>1001</v>
      </c>
      <c r="H1074" s="4" t="n">
        <v>303</v>
      </c>
      <c r="I1074" s="5" t="n">
        <v>594.1</v>
      </c>
      <c r="J1074" s="5" t="n">
        <v>68.90000000000001</v>
      </c>
      <c r="K1074" s="3" t="inlineStr">
        <is>
          <t>계획관리 자연취락지구 3필지일괄매각 분할매각도가능 가격절충가능</t>
        </is>
      </c>
      <c r="L1074" s="6">
        <f>HYPERLINK("https://fin.land.naver.com/articles/2651719062", "매물Link")</f>
        <v/>
      </c>
      <c r="M1074" s="6">
        <f>HYPERLINK("https://map.naver.com/p/search/연동면 노송리 28", "지도Link")</f>
        <v/>
      </c>
      <c r="N1074" s="6">
        <f>HYPERLINK("http://www.eum.go.kr/web/ar/lu/luLandDet.jsp?pnu=3611032025100280000&amp;isNoScr=script&amp;mode=search", "토지이음")</f>
        <v/>
      </c>
      <c r="O1074" s="3" t="inlineStr">
        <is>
          <t>레몬</t>
        </is>
      </c>
      <c r="P1074" s="4" t="n">
        <v>1</v>
      </c>
      <c r="Q1074" s="4" t="n">
        <v>1001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세로각지(가)</t>
        </is>
      </c>
    </row>
    <row r="1075">
      <c r="A1075" s="3" t="inlineStr">
        <is>
          <t>연동면 노송리 28-6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35000</v>
      </c>
      <c r="G1075" s="4" t="n">
        <v>465</v>
      </c>
      <c r="H1075" s="4" t="n">
        <v>141</v>
      </c>
      <c r="I1075" s="5" t="n">
        <v>248.2</v>
      </c>
      <c r="J1075" s="5" t="n">
        <v>68.40000000000001</v>
      </c>
      <c r="K1075" s="3" t="inlineStr">
        <is>
          <t>바로 건축할수 있는 나대지,3미터 포장도로 진입가능</t>
        </is>
      </c>
      <c r="L1075" s="6">
        <f>HYPERLINK("https://fin.land.naver.com/articles/2653850563", "매물Link")</f>
        <v/>
      </c>
      <c r="M1075" s="6">
        <f>HYPERLINK("https://map.naver.com/p/search/연동면 노송리 28-6", "지도Link")</f>
        <v/>
      </c>
      <c r="N1075" s="6">
        <f>HYPERLINK("http://www.eum.go.kr/web/ar/lu/luLandDet.jsp?pnu=3611032025100280006&amp;isNoScr=script&amp;mode=search", "토지이음")</f>
        <v/>
      </c>
      <c r="O1075" s="3" t="inlineStr">
        <is>
          <t>보람최고</t>
        </is>
      </c>
      <c r="P1075" s="4" t="n">
        <v>2</v>
      </c>
      <c r="Q1075" s="4" t="n">
        <v>465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세로한면(가)</t>
        </is>
      </c>
    </row>
    <row r="1076">
      <c r="A1076" s="3" t="inlineStr">
        <is>
          <t>연동면 노송리 28-6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35000</v>
      </c>
      <c r="G1076" s="4" t="n">
        <v>465</v>
      </c>
      <c r="H1076" s="4" t="n">
        <v>141</v>
      </c>
      <c r="I1076" s="5" t="n">
        <v>248.2</v>
      </c>
      <c r="J1076" s="5" t="n">
        <v>68.40000000000001</v>
      </c>
      <c r="K1076" s="3" t="inlineStr">
        <is>
          <t>지목 대 계획관리 자연취락지구 진입도로있음</t>
        </is>
      </c>
      <c r="L1076" s="6">
        <f>HYPERLINK("https://fin.land.naver.com/articles/2651719061", "매물Link")</f>
        <v/>
      </c>
      <c r="M1076" s="6">
        <f>HYPERLINK("https://map.naver.com/p/search/연동면 노송리 28-6", "지도Link")</f>
        <v/>
      </c>
      <c r="N1076" s="6">
        <f>HYPERLINK("http://www.eum.go.kr/web/ar/lu/luLandDet.jsp?pnu=3611032025100280006&amp;isNoScr=script&amp;mode=search", "토지이음")</f>
        <v/>
      </c>
      <c r="O1076" s="3" t="inlineStr">
        <is>
          <t>레몬</t>
        </is>
      </c>
      <c r="P1076" s="4" t="n">
        <v>1</v>
      </c>
      <c r="Q1076" s="4" t="n">
        <v>465</v>
      </c>
      <c r="R1076" s="3" t="inlineStr">
        <is>
          <t>지정되지않음</t>
        </is>
      </c>
      <c r="S1076" s="3" t="inlineStr">
        <is>
          <t>단독</t>
        </is>
      </c>
      <c r="T1076" s="3" t="inlineStr">
        <is>
          <t>완경사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연동면 노송리 302-1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162000</v>
      </c>
      <c r="G1077" s="4" t="n">
        <v>1983</v>
      </c>
      <c r="H1077" s="4" t="n">
        <v>600</v>
      </c>
      <c r="I1077" s="5" t="n">
        <v>270</v>
      </c>
      <c r="J1077" s="5" t="n">
        <v>13.9</v>
      </c>
      <c r="K1077" s="3" t="inlineStr">
        <is>
          <t>계획관리 투자용으로도 좋아요</t>
        </is>
      </c>
      <c r="L1077" s="6">
        <f>HYPERLINK("https://fin.land.naver.com/articles/2654181421", "매물Link")</f>
        <v/>
      </c>
      <c r="M1077" s="6">
        <f>HYPERLINK("https://map.naver.com/p/search/연동면 노송리 302-1", "지도Link")</f>
        <v/>
      </c>
      <c r="N1077" s="6">
        <f>HYPERLINK("http://www.eum.go.kr/web/ar/lu/luLandDet.jsp?pnu=3611032025103020001&amp;isNoScr=script&amp;mode=search", "토지이음")</f>
        <v/>
      </c>
      <c r="O1077" s="3" t="inlineStr">
        <is>
          <t>가치잇는</t>
        </is>
      </c>
      <c r="P1077" s="4" t="n">
        <v>1</v>
      </c>
      <c r="Q1077" s="4" t="n">
        <v>30</v>
      </c>
      <c r="R1077" s="3" t="inlineStr">
        <is>
          <t>지정되지않음</t>
        </is>
      </c>
      <c r="S1077" s="3" t="inlineStr">
        <is>
          <t>도로등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지정되지않음</t>
        </is>
      </c>
    </row>
    <row r="1078">
      <c r="A1078" s="3" t="inlineStr">
        <is>
          <t>연동면 노송리 310-10</t>
        </is>
      </c>
      <c r="B1078" s="3" t="inlineStr">
        <is>
          <t>계획관리지역</t>
        </is>
      </c>
      <c r="C1078" s="3" t="inlineStr">
        <is>
          <t>임야</t>
        </is>
      </c>
      <c r="D1078" s="3" t="inlineStr">
        <is>
          <t>임야</t>
        </is>
      </c>
      <c r="E1078" s="3" t="inlineStr">
        <is>
          <t>매매</t>
        </is>
      </c>
      <c r="F1078" s="4" t="n">
        <v>45000</v>
      </c>
      <c r="G1078" s="4" t="n">
        <v>616</v>
      </c>
      <c r="H1078" s="4" t="n">
        <v>186</v>
      </c>
      <c r="I1078" s="5" t="n">
        <v>241.9</v>
      </c>
      <c r="J1078" s="5" t="n">
        <v>18.9</v>
      </c>
      <c r="K1078" s="3" t="inlineStr">
        <is>
          <t>투자용으로 좋아요.</t>
        </is>
      </c>
      <c r="L1078" s="6">
        <f>HYPERLINK("https://fin.land.naver.com/articles/2650453793", "매물Link")</f>
        <v/>
      </c>
      <c r="M1078" s="6">
        <f>HYPERLINK("https://map.naver.com/p/search/연동면 노송리 310-10", "지도Link")</f>
        <v/>
      </c>
      <c r="N1078" s="6">
        <f>HYPERLINK("http://www.eum.go.kr/web/ar/lu/luLandDet.jsp?pnu=3611032025103100010&amp;isNoScr=script&amp;mode=search", "토지이음")</f>
        <v/>
      </c>
      <c r="O1078" s="3" t="inlineStr">
        <is>
          <t>고운동리치세종</t>
        </is>
      </c>
      <c r="P1078" s="4" t="n">
        <v>1</v>
      </c>
      <c r="Q1078" s="4" t="n">
        <v>616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소로한면</t>
        </is>
      </c>
    </row>
    <row r="1079">
      <c r="A1079" s="3" t="inlineStr">
        <is>
          <t>연동면 노송리 327-2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133750</v>
      </c>
      <c r="G1079" s="4" t="n">
        <v>1507</v>
      </c>
      <c r="H1079" s="4" t="n">
        <v>456</v>
      </c>
      <c r="I1079" s="5" t="n">
        <v>293.3</v>
      </c>
      <c r="J1079" s="5" t="n">
        <v>45</v>
      </c>
      <c r="K1079" s="3" t="inlineStr">
        <is>
          <t>추천. 연동면 도로낀 계획관리</t>
        </is>
      </c>
      <c r="L1079" s="6">
        <f>HYPERLINK("https://fin.land.naver.com/articles/2651935386", "매물Link")</f>
        <v/>
      </c>
      <c r="M1079" s="6">
        <f>HYPERLINK("https://map.naver.com/p/search/연동면 노송리 327-2", "지도Link")</f>
        <v/>
      </c>
      <c r="N1079" s="6">
        <f>HYPERLINK("http://www.eum.go.kr/web/ar/lu/luLandDet.jsp?pnu=3611032025103270002&amp;isNoScr=script&amp;mode=search", "토지이음")</f>
        <v/>
      </c>
      <c r="O1079" s="3" t="inlineStr">
        <is>
          <t>강아지풀</t>
        </is>
      </c>
      <c r="P1079" s="4" t="n">
        <v>1</v>
      </c>
      <c r="Q1079" s="4" t="n">
        <v>1507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완경사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연동면 노송리 329-5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23000</v>
      </c>
      <c r="G1080" s="4" t="n">
        <v>254</v>
      </c>
      <c r="H1080" s="4" t="n">
        <v>77</v>
      </c>
      <c r="I1080" s="5" t="n">
        <v>298.7</v>
      </c>
      <c r="J1080" s="5" t="n">
        <v>47.2</v>
      </c>
      <c r="K1080" s="3" t="inlineStr">
        <is>
          <t>2차선 도로에 접함, 건축허가 득함</t>
        </is>
      </c>
      <c r="L1080" s="6">
        <f>HYPERLINK("https://fin.land.naver.com/articles/2649582469", "매물Link")</f>
        <v/>
      </c>
      <c r="M1080" s="6">
        <f>HYPERLINK("https://map.naver.com/p/search/연동면 노송리 329-5", "지도Link")</f>
        <v/>
      </c>
      <c r="N1080" s="6">
        <f>HYPERLINK("http://www.eum.go.kr/web/ar/lu/luLandDet.jsp?pnu=3611032025103290005&amp;isNoScr=script&amp;mode=search", "토지이음")</f>
        <v/>
      </c>
      <c r="O1080" s="3" t="inlineStr">
        <is>
          <t>제이</t>
        </is>
      </c>
      <c r="P1080" s="4" t="n">
        <v>1</v>
      </c>
      <c r="Q1080" s="4" t="n">
        <v>254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연동면 노송리 384</t>
        </is>
      </c>
      <c r="B1081" s="3" t="inlineStr">
        <is>
          <t>계획관리지역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104400</v>
      </c>
      <c r="G1081" s="4" t="n">
        <v>2876</v>
      </c>
      <c r="H1081" s="4" t="n">
        <v>870</v>
      </c>
      <c r="I1081" s="5" t="n">
        <v>120</v>
      </c>
      <c r="J1081" s="5" t="n">
        <v>32.8</v>
      </c>
      <c r="K1081" s="3" t="inlineStr">
        <is>
          <t>연동면 노송리 계획관리 토지, 연동면 소재지 인근</t>
        </is>
      </c>
      <c r="L1081" s="6">
        <f>HYPERLINK("https://fin.land.naver.com/articles/2654025316", "매물Link")</f>
        <v/>
      </c>
      <c r="M1081" s="6">
        <f>HYPERLINK("https://map.naver.com/p/search/연동면 노송리 384", "지도Link")</f>
        <v/>
      </c>
      <c r="N1081" s="6">
        <f>HYPERLINK("http://www.eum.go.kr/web/ar/lu/luLandDet.jsp?pnu=3611032025103840000&amp;isNoScr=script&amp;mode=search", "토지이음")</f>
        <v/>
      </c>
      <c r="O1081" s="3" t="inlineStr">
        <is>
          <t>스카이</t>
        </is>
      </c>
      <c r="P1081" s="4" t="n">
        <v>1</v>
      </c>
      <c r="Q1081" s="4" t="n">
        <v>2876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세로장방</t>
        </is>
      </c>
      <c r="V1081" s="3" t="inlineStr">
        <is>
          <t>맹지</t>
        </is>
      </c>
    </row>
    <row r="1082">
      <c r="A1082" s="3" t="inlineStr">
        <is>
          <t>연동면 노송리 449-1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85000</v>
      </c>
      <c r="G1082" s="4" t="n">
        <v>2320</v>
      </c>
      <c r="H1082" s="4" t="n">
        <v>702</v>
      </c>
      <c r="I1082" s="5" t="n">
        <v>121.1</v>
      </c>
      <c r="J1082" s="5" t="n">
        <v>34.4</v>
      </c>
      <c r="K1082" s="3" t="inlineStr">
        <is>
          <t>세종시 복합물류터미널 인근 2차선 국도변 계획관리 토지</t>
        </is>
      </c>
      <c r="L1082" s="6">
        <f>HYPERLINK("https://fin.land.naver.com/articles/2651339680", "매물Link")</f>
        <v/>
      </c>
      <c r="M1082" s="6">
        <f>HYPERLINK("https://map.naver.com/p/search/연동면 노송리 449-1", "지도Link")</f>
        <v/>
      </c>
      <c r="N1082" s="6">
        <f>HYPERLINK("http://www.eum.go.kr/web/ar/lu/luLandDet.jsp?pnu=3611032025104490001&amp;isNoScr=script&amp;mode=search", "토지이음")</f>
        <v/>
      </c>
      <c r="O1082" s="3" t="inlineStr">
        <is>
          <t>오송3산단  사무소</t>
        </is>
      </c>
      <c r="P1082" s="4" t="n">
        <v>1</v>
      </c>
      <c r="Q1082" s="4" t="n">
        <v>2320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연동면 노송리 50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150000</v>
      </c>
      <c r="G1083" s="4" t="n">
        <v>1982</v>
      </c>
      <c r="H1083" s="4" t="n">
        <v>600</v>
      </c>
      <c r="I1083" s="5" t="n">
        <v>250</v>
      </c>
      <c r="J1083" s="5" t="n">
        <v>53.2</v>
      </c>
      <c r="K1083" s="3" t="inlineStr">
        <is>
          <t>2차선도로접, 계획관리, 4거리변위치, 산단인근 매매가조절가능</t>
        </is>
      </c>
      <c r="L1083" s="6">
        <f>HYPERLINK("https://fin.land.naver.com/articles/2650857996", "매물Link")</f>
        <v/>
      </c>
      <c r="M1083" s="6">
        <f>HYPERLINK("https://map.naver.com/p/search/연동면 노송리 50", "지도Link")</f>
        <v/>
      </c>
      <c r="N1083" s="6">
        <f>HYPERLINK("http://www.eum.go.kr/web/ar/lu/luLandDet.jsp?pnu=3611032025100500000&amp;isNoScr=script&amp;mode=search", "토지이음")</f>
        <v/>
      </c>
      <c r="O1083" s="3" t="inlineStr">
        <is>
          <t>힐스테이트정문</t>
        </is>
      </c>
      <c r="P1083" s="4" t="n">
        <v>1</v>
      </c>
      <c r="Q1083" s="4" t="n">
        <v>1982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연동면 노송리 50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155000</v>
      </c>
      <c r="G1084" s="4" t="n">
        <v>1982</v>
      </c>
      <c r="H1084" s="4" t="n">
        <v>600</v>
      </c>
      <c r="I1084" s="5" t="n">
        <v>258.3</v>
      </c>
      <c r="J1084" s="5" t="n">
        <v>53.2</v>
      </c>
      <c r="K1084" s="3" t="inlineStr">
        <is>
          <t>nan</t>
        </is>
      </c>
      <c r="L1084" s="6">
        <f>HYPERLINK("https://fin.land.naver.com/articles/2653971157", "매물Link")</f>
        <v/>
      </c>
      <c r="M1084" s="6">
        <f>HYPERLINK("https://map.naver.com/p/search/연동면 노송리 50", "지도Link")</f>
        <v/>
      </c>
      <c r="N1084" s="6">
        <f>HYPERLINK("http://www.eum.go.kr/web/ar/lu/luLandDet.jsp?pnu=3611032025100500000&amp;isNoScr=script&amp;mode=search", "토지이음")</f>
        <v/>
      </c>
      <c r="O1084" s="3" t="inlineStr">
        <is>
          <t>노은역</t>
        </is>
      </c>
      <c r="P1084" s="4" t="n">
        <v>2</v>
      </c>
      <c r="Q1084" s="4" t="n">
        <v>1982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소로한면</t>
        </is>
      </c>
    </row>
    <row r="1085">
      <c r="A1085" s="3" t="inlineStr">
        <is>
          <t>연동면 명학리 101-7</t>
        </is>
      </c>
      <c r="B1085" s="3" t="inlineStr">
        <is>
          <t>농림지역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500000</v>
      </c>
      <c r="G1085" s="4" t="n">
        <v>3700</v>
      </c>
      <c r="H1085" s="4" t="n">
        <v>1119</v>
      </c>
      <c r="I1085" s="5" t="n">
        <v>446.8</v>
      </c>
      <c r="J1085" s="5" t="n">
        <v>25.1</v>
      </c>
      <c r="K1085" s="3" t="inlineStr">
        <is>
          <t>분할매매가능 평지작업해줌 전원주택 카페최적</t>
        </is>
      </c>
      <c r="L1085" s="6">
        <f>HYPERLINK("https://fin.land.naver.com/articles/2653933714", "매물Link")</f>
        <v/>
      </c>
      <c r="M1085" s="6">
        <f>HYPERLINK("https://map.naver.com/p/search/연동면 명학리 101-7", "지도Link")</f>
        <v/>
      </c>
      <c r="N1085" s="6">
        <f>HYPERLINK("http://www.eum.go.kr/web/ar/lu/luLandDet.jsp?pnu=3611032023101010007&amp;isNoScr=script&amp;mode=search", "토지이음")</f>
        <v/>
      </c>
      <c r="O1085" s="3" t="inlineStr">
        <is>
          <t>신두정리치</t>
        </is>
      </c>
      <c r="P1085" s="4" t="n">
        <v>1</v>
      </c>
      <c r="Q1085" s="4" t="n">
        <v>3700</v>
      </c>
      <c r="R1085" s="3" t="inlineStr">
        <is>
          <t>보전관리지역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연동면 명학리 101-7</t>
        </is>
      </c>
      <c r="B1086" s="3" t="inlineStr">
        <is>
          <t>농림지역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100000</v>
      </c>
      <c r="G1086" s="4" t="n">
        <v>645</v>
      </c>
      <c r="H1086" s="4" t="n">
        <v>195</v>
      </c>
      <c r="I1086" s="5" t="n">
        <v>512.8</v>
      </c>
      <c r="J1086" s="5" t="n">
        <v>25.1</v>
      </c>
      <c r="K1086" s="3" t="inlineStr">
        <is>
          <t>일부 매매,전체 매매 가능,도로변에 위치</t>
        </is>
      </c>
      <c r="L1086" s="6">
        <f>HYPERLINK("https://fin.land.naver.com/articles/2649947423", "매물Link")</f>
        <v/>
      </c>
      <c r="M1086" s="6">
        <f>HYPERLINK("https://map.naver.com/p/search/연동면 명학리 101-7", "지도Link")</f>
        <v/>
      </c>
      <c r="N1086" s="6">
        <f>HYPERLINK("http://www.eum.go.kr/web/ar/lu/luLandDet.jsp?pnu=3611032023101010007&amp;isNoScr=script&amp;mode=search", "토지이음")</f>
        <v/>
      </c>
      <c r="O1086" s="3" t="inlineStr">
        <is>
          <t>다산</t>
        </is>
      </c>
      <c r="P1086" s="4" t="n">
        <v>1</v>
      </c>
      <c r="Q1086" s="4" t="n">
        <v>3700</v>
      </c>
      <c r="R1086" s="3" t="inlineStr">
        <is>
          <t>보전관리지역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연동면 명학리 101-7</t>
        </is>
      </c>
      <c r="B1087" s="3" t="inlineStr">
        <is>
          <t>농림지역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500000</v>
      </c>
      <c r="G1087" s="4" t="n">
        <v>3699</v>
      </c>
      <c r="H1087" s="4" t="n">
        <v>1119</v>
      </c>
      <c r="I1087" s="5" t="n">
        <v>446.8</v>
      </c>
      <c r="J1087" s="5" t="n">
        <v>25.1</v>
      </c>
      <c r="K1087" s="3" t="inlineStr">
        <is>
          <t>nan</t>
        </is>
      </c>
      <c r="L1087" s="6">
        <f>HYPERLINK("https://fin.land.naver.com/articles/2654934531", "매물Link")</f>
        <v/>
      </c>
      <c r="M1087" s="6">
        <f>HYPERLINK("https://map.naver.com/p/search/연동면 명학리 101-7", "지도Link")</f>
        <v/>
      </c>
      <c r="N1087" s="6">
        <f>HYPERLINK("http://www.eum.go.kr/web/ar/lu/luLandDet.jsp?pnu=3611032023101010007&amp;isNoScr=script&amp;mode=search", "토지이음")</f>
        <v/>
      </c>
      <c r="O1087" s="3" t="inlineStr">
        <is>
          <t>세종신한</t>
        </is>
      </c>
      <c r="P1087" s="4" t="n">
        <v>7</v>
      </c>
      <c r="Q1087" s="4" t="n">
        <v>3700</v>
      </c>
      <c r="R1087" s="3" t="inlineStr">
        <is>
          <t>보전관리지역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연동면 명학리 101-7</t>
        </is>
      </c>
      <c r="B1088" s="3" t="inlineStr">
        <is>
          <t>농림지역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500000</v>
      </c>
      <c r="G1088" s="4" t="n">
        <v>3700</v>
      </c>
      <c r="H1088" s="4" t="n">
        <v>1119</v>
      </c>
      <c r="I1088" s="5" t="n">
        <v>446.8</v>
      </c>
      <c r="J1088" s="5" t="n">
        <v>25.1</v>
      </c>
      <c r="K1088" s="3" t="inlineStr">
        <is>
          <t>nan</t>
        </is>
      </c>
      <c r="L1088" s="6">
        <f>HYPERLINK("https://fin.land.naver.com/articles/2652334541", "매물Link")</f>
        <v/>
      </c>
      <c r="M1088" s="6">
        <f>HYPERLINK("https://map.naver.com/p/search/연동면 명학리 101-7", "지도Link")</f>
        <v/>
      </c>
      <c r="N1088" s="6">
        <f>HYPERLINK("http://www.eum.go.kr/web/ar/lu/luLandDet.jsp?pnu=3611032023101010007&amp;isNoScr=script&amp;mode=search", "토지이음")</f>
        <v/>
      </c>
      <c r="O1088" s="3" t="inlineStr">
        <is>
          <t>세종몽땅</t>
        </is>
      </c>
      <c r="P1088" s="4" t="n">
        <v>1</v>
      </c>
      <c r="Q1088" s="4" t="n">
        <v>3700</v>
      </c>
      <c r="R1088" s="3" t="inlineStr">
        <is>
          <t>보전관리지역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연동면 명학리 104-7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78400</v>
      </c>
      <c r="G1089" s="4" t="n">
        <v>3920</v>
      </c>
      <c r="H1089" s="4" t="n">
        <v>1186</v>
      </c>
      <c r="I1089" s="5" t="n">
        <v>66.09999999999999</v>
      </c>
      <c r="J1089" s="5" t="n">
        <v>4.9</v>
      </c>
      <c r="K1089" s="3" t="inlineStr">
        <is>
          <t>금강이 보이는 지대 높은 토지,맹지 탈출 할 수있도록 해드려요</t>
        </is>
      </c>
      <c r="L1089" s="6">
        <f>HYPERLINK("https://fin.land.naver.com/articles/2651262867", "매물Link")</f>
        <v/>
      </c>
      <c r="M1089" s="6">
        <f>HYPERLINK("https://map.naver.com/p/search/연동면 명학리 104-7", "지도Link")</f>
        <v/>
      </c>
      <c r="N1089" s="6">
        <f>HYPERLINK("http://www.eum.go.kr/web/ar/lu/luLandDet.jsp?pnu=3611032023101040007&amp;isNoScr=script&amp;mode=search", "토지이음")</f>
        <v/>
      </c>
      <c r="O1089" s="3" t="inlineStr">
        <is>
          <t>담뜰</t>
        </is>
      </c>
      <c r="P1089" s="4" t="n">
        <v>1</v>
      </c>
      <c r="Q1089" s="4" t="n">
        <v>3920</v>
      </c>
      <c r="R1089" s="3" t="inlineStr">
        <is>
          <t>지정되지않음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맹지</t>
        </is>
      </c>
    </row>
    <row r="1090">
      <c r="A1090" s="3" t="inlineStr">
        <is>
          <t>연동면 명학리 137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29700</v>
      </c>
      <c r="G1090" s="4" t="n">
        <v>1121</v>
      </c>
      <c r="H1090" s="4" t="n">
        <v>339</v>
      </c>
      <c r="I1090" s="5" t="n">
        <v>87.59999999999999</v>
      </c>
      <c r="J1090" s="5" t="n">
        <v>35.5</v>
      </c>
      <c r="K1090" s="3" t="inlineStr">
        <is>
          <t>세종시 연동면 명학리 소형 토지 매매</t>
        </is>
      </c>
      <c r="L1090" s="6">
        <f>HYPERLINK("https://fin.land.naver.com/articles/2655172489", "매물Link")</f>
        <v/>
      </c>
      <c r="M1090" s="6">
        <f>HYPERLINK("https://map.naver.com/p/search/연동면 명학리 137", "지도Link")</f>
        <v/>
      </c>
      <c r="N1090" s="6">
        <f>HYPERLINK("http://www.eum.go.kr/web/ar/lu/luLandDet.jsp?pnu=3611032023101370000&amp;isNoScr=script&amp;mode=search",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1121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연동면 명학리 137</t>
        </is>
      </c>
      <c r="B1091" s="3" t="inlineStr">
        <is>
          <t>보전관리지역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64400</v>
      </c>
      <c r="G1091" s="4" t="n">
        <v>1121</v>
      </c>
      <c r="H1091" s="4" t="n">
        <v>339</v>
      </c>
      <c r="I1091" s="5" t="n">
        <v>190</v>
      </c>
      <c r="J1091" s="5" t="n">
        <v>35.5</v>
      </c>
      <c r="K1091" s="3" t="inlineStr">
        <is>
          <t>보전관리, 전</t>
        </is>
      </c>
      <c r="L1091" s="6">
        <f>HYPERLINK("https://fin.land.naver.com/articles/2649732862", "매물Link")</f>
        <v/>
      </c>
      <c r="M1091" s="6">
        <f>HYPERLINK("https://map.naver.com/p/search/연동면 명학리 137", "지도Link")</f>
        <v/>
      </c>
      <c r="N1091" s="6">
        <f>HYPERLINK("http://www.eum.go.kr/web/ar/lu/luLandDet.jsp?pnu=3611032023101370000&amp;isNoScr=script&amp;mode=search", "토지이음")</f>
        <v/>
      </c>
      <c r="O1091" s="3" t="inlineStr">
        <is>
          <t>세종몽땅</t>
        </is>
      </c>
      <c r="P1091" s="4" t="n">
        <v>1</v>
      </c>
      <c r="Q1091" s="4" t="n">
        <v>1121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맹지</t>
        </is>
      </c>
    </row>
    <row r="1092">
      <c r="A1092" s="3" t="inlineStr">
        <is>
          <t>연동면 명학리 148-3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45000</v>
      </c>
      <c r="G1092" s="4" t="n">
        <v>365</v>
      </c>
      <c r="H1092" s="4" t="n">
        <v>110</v>
      </c>
      <c r="I1092" s="5" t="n">
        <v>409.1</v>
      </c>
      <c r="J1092" s="5" t="n">
        <v>113.6</v>
      </c>
      <c r="K1092" s="3" t="inlineStr">
        <is>
          <t>2차선 도로변에 있는 대지로 활용도 높음, 5생활권 초인접 투자로 추천</t>
        </is>
      </c>
      <c r="L1092" s="6">
        <f>HYPERLINK("https://fin.land.naver.com/articles/2650976147", "매물Link")</f>
        <v/>
      </c>
      <c r="M1092" s="6">
        <f>HYPERLINK("https://map.naver.com/p/search/연동면 명학리 148-3", "지도Link")</f>
        <v/>
      </c>
      <c r="N1092" s="6">
        <f>HYPERLINK("http://www.eum.go.kr/web/ar/lu/luLandDet.jsp?pnu=3611032023101480003&amp;isNoScr=script&amp;mode=search", "토지이음")</f>
        <v/>
      </c>
      <c r="O1092" s="3" t="inlineStr">
        <is>
          <t>샘머리랜드</t>
        </is>
      </c>
      <c r="P1092" s="4" t="n">
        <v>1</v>
      </c>
      <c r="Q1092" s="4" t="n">
        <v>365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연동면 명학리 195-3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173000</v>
      </c>
      <c r="G1093" s="4" t="n">
        <v>1636</v>
      </c>
      <c r="H1093" s="4" t="n">
        <v>495</v>
      </c>
      <c r="I1093" s="5" t="n">
        <v>349.5</v>
      </c>
      <c r="J1093" s="5" t="n">
        <v>75.90000000000001</v>
      </c>
      <c r="K1093" s="3" t="inlineStr">
        <is>
          <t>도로변 계획관리 토지 매매</t>
        </is>
      </c>
      <c r="L1093" s="6">
        <f>HYPERLINK("https://fin.land.naver.com/articles/2652668223", "매물Link")</f>
        <v/>
      </c>
      <c r="M1093" s="6">
        <f>HYPERLINK("https://map.naver.com/p/search/연동면 명학리 195-3", "지도Link")</f>
        <v/>
      </c>
      <c r="N1093" s="6">
        <f>HYPERLINK("http://www.eum.go.kr/web/ar/lu/luLandDet.jsp?pnu=3611032023101950003&amp;isNoScr=script&amp;mode=search", "토지이음")</f>
        <v/>
      </c>
      <c r="O1093" s="3" t="inlineStr">
        <is>
          <t>(주)정민근</t>
        </is>
      </c>
      <c r="P1093" s="4" t="n">
        <v>1</v>
      </c>
      <c r="Q1093" s="4" t="n">
        <v>1636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연동면 명학리 220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50000</v>
      </c>
      <c r="G1094" s="4" t="n">
        <v>446</v>
      </c>
      <c r="H1094" s="4" t="n">
        <v>135</v>
      </c>
      <c r="I1094" s="5" t="n">
        <v>370.4</v>
      </c>
      <c r="J1094" s="5" t="n">
        <v>98.7</v>
      </c>
      <c r="K1094" s="3" t="inlineStr">
        <is>
          <t>딱좋은면적 135P 취락지구마을내토지 도로변넓음</t>
        </is>
      </c>
      <c r="L1094" s="6">
        <f>HYPERLINK("https://fin.land.naver.com/articles/2653316551", "매물Link")</f>
        <v/>
      </c>
      <c r="M1094" s="6">
        <f>HYPERLINK("https://map.naver.com/p/search/연동면 명학리 220", "지도Link")</f>
        <v/>
      </c>
      <c r="N1094" s="6">
        <f>HYPERLINK("http://www.eum.go.kr/web/ar/lu/luLandDet.jsp?pnu=3611032023102200000&amp;isNoScr=script&amp;mode=search", "토지이음")</f>
        <v/>
      </c>
      <c r="O1094" s="3" t="inlineStr">
        <is>
          <t>세종365</t>
        </is>
      </c>
      <c r="P1094" s="4" t="n">
        <v>1</v>
      </c>
      <c r="Q1094" s="4" t="n">
        <v>446</v>
      </c>
      <c r="R1094" s="3" t="inlineStr">
        <is>
          <t>지정되지않음</t>
        </is>
      </c>
      <c r="S1094" s="3" t="inlineStr">
        <is>
          <t>단독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명학리 221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38000</v>
      </c>
      <c r="G1095" s="4" t="n">
        <v>614</v>
      </c>
      <c r="H1095" s="4" t="n">
        <v>186</v>
      </c>
      <c r="I1095" s="5" t="n">
        <v>204.3</v>
      </c>
      <c r="J1095" s="5" t="n">
        <v>102.5</v>
      </c>
      <c r="K1095" s="3" t="inlineStr">
        <is>
          <t>나대지로 공기좋고 전원주택지 최상입니다</t>
        </is>
      </c>
      <c r="L1095" s="6">
        <f>HYPERLINK("https://fin.land.naver.com/articles/2650466748", "매물Link")</f>
        <v/>
      </c>
      <c r="M1095" s="6">
        <f>HYPERLINK("https://map.naver.com/p/search/연동면 명학리 221", "지도Link")</f>
        <v/>
      </c>
      <c r="N1095" s="6">
        <f>HYPERLINK("http://www.eum.go.kr/web/ar/lu/luLandDet.jsp?pnu=3611032023102210000&amp;isNoScr=script&amp;mode=search", "토지이음")</f>
        <v/>
      </c>
      <c r="O1095" s="3" t="inlineStr">
        <is>
          <t>청정</t>
        </is>
      </c>
      <c r="P1095" s="4" t="n">
        <v>1</v>
      </c>
      <c r="Q1095" s="4" t="n">
        <v>616</v>
      </c>
      <c r="R1095" s="3" t="inlineStr">
        <is>
          <t>지정되지않음</t>
        </is>
      </c>
      <c r="S1095" s="3" t="inlineStr">
        <is>
          <t>단독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명학리 301-1</t>
        </is>
      </c>
      <c r="B1096" s="3" t="inlineStr">
        <is>
          <t>계획관리지역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450000</v>
      </c>
      <c r="G1096" s="4" t="n">
        <v>9882</v>
      </c>
      <c r="H1096" s="4" t="n">
        <v>2989</v>
      </c>
      <c r="I1096" s="5" t="n">
        <v>150.6</v>
      </c>
      <c r="J1096" s="5" t="n">
        <v>59.1</v>
      </c>
      <c r="K1096" s="3" t="inlineStr">
        <is>
          <t>2차선에서 도로확보하여 사업부지로 추천</t>
        </is>
      </c>
      <c r="L1096" s="6">
        <f>HYPERLINK("https://fin.land.naver.com/articles/2651037490", "매물Link")</f>
        <v/>
      </c>
      <c r="M1096" s="6">
        <f>HYPERLINK("https://map.naver.com/p/search/연동면 명학리 301-1", "지도Link")</f>
        <v/>
      </c>
      <c r="N1096" s="6">
        <f>HYPERLINK("http://www.eum.go.kr/web/ar/lu/luLandDet.jsp?pnu=3611032023103010001&amp;isNoScr=script&amp;mode=search", "토지이음")</f>
        <v/>
      </c>
      <c r="O1096" s="3" t="inlineStr">
        <is>
          <t>연동스카이</t>
        </is>
      </c>
      <c r="P1096" s="4" t="n">
        <v>1</v>
      </c>
      <c r="Q1096" s="4" t="n">
        <v>2645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완경사</t>
        </is>
      </c>
      <c r="U1096" s="3" t="inlineStr">
        <is>
          <t>가로장방</t>
        </is>
      </c>
      <c r="V1096" s="3" t="inlineStr">
        <is>
          <t>맹지</t>
        </is>
      </c>
    </row>
    <row r="1097">
      <c r="A1097" s="3" t="inlineStr">
        <is>
          <t>연동면 명학리 307-1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21400</v>
      </c>
      <c r="G1097" s="4" t="n">
        <v>236</v>
      </c>
      <c r="H1097" s="4" t="n">
        <v>71</v>
      </c>
      <c r="I1097" s="5" t="n">
        <v>301.4</v>
      </c>
      <c r="J1097" s="5" t="n">
        <v>98.7</v>
      </c>
      <c r="K1097" s="3" t="inlineStr">
        <is>
          <t>세종5생활권연접된 소형토지매매21,400만원</t>
        </is>
      </c>
      <c r="L1097" s="6">
        <f>HYPERLINK("https://fin.land.naver.com/articles/2654051707", "매물Link")</f>
        <v/>
      </c>
      <c r="M1097" s="6">
        <f>HYPERLINK("https://map.naver.com/p/search/연동면 명학리 307-1", "지도Link")</f>
        <v/>
      </c>
      <c r="N1097" s="6">
        <f>HYPERLINK("http://www.eum.go.kr/web/ar/lu/luLandDet.jsp?pnu=3611032023103070001&amp;isNoScr=script&amp;mode=search", "토지이음")</f>
        <v/>
      </c>
      <c r="O1097" s="3" t="inlineStr">
        <is>
          <t>대박</t>
        </is>
      </c>
      <c r="P1097" s="4" t="n">
        <v>1</v>
      </c>
      <c r="Q1097" s="4" t="n">
        <v>236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정방형</t>
        </is>
      </c>
      <c r="V1097" s="3" t="inlineStr">
        <is>
          <t>세로한면(가)</t>
        </is>
      </c>
    </row>
    <row r="1098">
      <c r="A1098" s="3" t="inlineStr">
        <is>
          <t>연동면 명학리 363</t>
        </is>
      </c>
      <c r="B1098" s="3" t="inlineStr">
        <is>
          <t>계획관리지역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30000</v>
      </c>
      <c r="G1098" s="4" t="n">
        <v>746</v>
      </c>
      <c r="H1098" s="4" t="n">
        <v>226</v>
      </c>
      <c r="I1098" s="5" t="n">
        <v>132.7</v>
      </c>
      <c r="J1098" s="5" t="n">
        <v>45.2</v>
      </c>
      <c r="K1098" s="3" t="inlineStr">
        <is>
          <t>도로 인접, 단독주택</t>
        </is>
      </c>
      <c r="L1098" s="6">
        <f>HYPERLINK("https://fin.land.naver.com/articles/2655112552", "매물Link")</f>
        <v/>
      </c>
      <c r="M1098" s="6">
        <f>HYPERLINK("https://map.naver.com/p/search/연동면 명학리 363", "지도Link")</f>
        <v/>
      </c>
      <c r="N1098" s="6">
        <f>HYPERLINK("http://www.eum.go.kr/web/ar/lu/luLandDet.jsp?pnu=3611032023103630000&amp;isNoScr=script&amp;mode=search", "토지이음")</f>
        <v/>
      </c>
      <c r="O1098" s="3" t="inlineStr">
        <is>
          <t>세종제일1</t>
        </is>
      </c>
      <c r="P1098" s="4" t="n">
        <v>2</v>
      </c>
      <c r="Q1098" s="4" t="n">
        <v>746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맹지</t>
        </is>
      </c>
    </row>
    <row r="1099">
      <c r="A1099" s="3" t="inlineStr">
        <is>
          <t>연동면 명학리 376-3</t>
        </is>
      </c>
      <c r="B1099" s="3" t="inlineStr">
        <is>
          <t>계획관리지역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14000</v>
      </c>
      <c r="G1099" s="4" t="n">
        <v>1155</v>
      </c>
      <c r="H1099" s="4" t="n">
        <v>349</v>
      </c>
      <c r="I1099" s="5" t="n">
        <v>40.1</v>
      </c>
      <c r="J1099" s="5" t="n">
        <v>45.2</v>
      </c>
      <c r="K1099" s="3" t="inlineStr">
        <is>
          <t>연동면 명학리 계획관리 토지, 5생활권 인근, 공시지가 이하, 급매</t>
        </is>
      </c>
      <c r="L1099" s="6">
        <f>HYPERLINK("https://fin.land.naver.com/articles/2654026966", "매물Link")</f>
        <v/>
      </c>
      <c r="M1099" s="6">
        <f>HYPERLINK("https://map.naver.com/p/search/연동면 명학리 376-3", "지도Link")</f>
        <v/>
      </c>
      <c r="N1099" s="6">
        <f>HYPERLINK("http://www.eum.go.kr/web/ar/lu/luLandDet.jsp?pnu=3611032023103760003&amp;isNoScr=script&amp;mode=search", "토지이음")</f>
        <v/>
      </c>
      <c r="O1099" s="3" t="inlineStr">
        <is>
          <t>스카이</t>
        </is>
      </c>
      <c r="P1099" s="4" t="n">
        <v>1</v>
      </c>
      <c r="Q1099" s="4" t="n">
        <v>1155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연동면 명학리 383-8</t>
        </is>
      </c>
      <c r="B1100" s="3" t="inlineStr">
        <is>
          <t>보전관리지역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52000</v>
      </c>
      <c r="G1100" s="4" t="n">
        <v>655</v>
      </c>
      <c r="H1100" s="4" t="n">
        <v>198</v>
      </c>
      <c r="I1100" s="5" t="n">
        <v>262.6</v>
      </c>
      <c r="J1100" s="5" t="n">
        <v>13</v>
      </c>
      <c r="K1100" s="3" t="inlineStr">
        <is>
          <t>세종 연동면 임야 매매｜보전관리지역준보전산지</t>
        </is>
      </c>
      <c r="L1100" s="6">
        <f>HYPERLINK("https://fin.land.naver.com/articles/2654213164", "매물Link")</f>
        <v/>
      </c>
      <c r="M1100" s="6">
        <f>HYPERLINK("https://map.naver.com/p/search/연동면 명학리 383-8", "지도Link")</f>
        <v/>
      </c>
      <c r="N1100" s="6">
        <f>HYPERLINK("http://www.eum.go.kr/web/ar/lu/luLandDet.jsp?pnu=3611032023103830008&amp;isNoScr=script&amp;mode=search", "토지이음")</f>
        <v/>
      </c>
      <c r="O1100" s="3" t="inlineStr">
        <is>
          <t>세종몽땅</t>
        </is>
      </c>
      <c r="P1100" s="4" t="n">
        <v>1</v>
      </c>
      <c r="Q1100" s="4" t="n">
        <v>655</v>
      </c>
      <c r="R1100" s="3" t="inlineStr">
        <is>
          <t>지정되지않음</t>
        </is>
      </c>
      <c r="S1100" s="3" t="inlineStr">
        <is>
          <t>자연림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연동면 명학리 384-27</t>
        </is>
      </c>
      <c r="B1101" s="3" t="inlineStr">
        <is>
          <t>계획관리지역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150000</v>
      </c>
      <c r="G1101" s="4" t="n">
        <v>1653</v>
      </c>
      <c r="H1101" s="4" t="n">
        <v>500</v>
      </c>
      <c r="I1101" s="5" t="n">
        <v>300</v>
      </c>
      <c r="J1101" s="5" t="n">
        <v>17.1</v>
      </c>
      <c r="K1101" s="3" t="inlineStr">
        <is>
          <t>51생활권 인근 근생추천용지. 도로접. 카페, 음식점 등</t>
        </is>
      </c>
      <c r="L1101" s="6">
        <f>HYPERLINK("https://fin.land.naver.com/articles/2652028259", "매물Link")</f>
        <v/>
      </c>
      <c r="M1101" s="6">
        <f>HYPERLINK("https://map.naver.com/p/search/연동면 명학리 384-27", "지도Link")</f>
        <v/>
      </c>
      <c r="N1101" s="6">
        <f>HYPERLINK("http://www.eum.go.kr/web/ar/lu/luLandDet.jsp?pnu=3611032023103840027&amp;isNoScr=script&amp;mode=search",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1653</v>
      </c>
      <c r="R1101" s="3" t="inlineStr">
        <is>
          <t>지정되지않음</t>
        </is>
      </c>
      <c r="S1101" s="3" t="inlineStr">
        <is>
          <t>자연림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연동면 명학리 385</t>
        </is>
      </c>
      <c r="B1102" s="3" t="inlineStr">
        <is>
          <t>계획관리지역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82460</v>
      </c>
      <c r="G1102" s="4" t="n">
        <v>720</v>
      </c>
      <c r="H1102" s="4" t="n">
        <v>218</v>
      </c>
      <c r="I1102" s="5" t="n">
        <v>378.3</v>
      </c>
      <c r="J1102" s="5" t="n">
        <v>52.8</v>
      </c>
      <c r="K1102" s="3" t="inlineStr">
        <is>
          <t>명성공인, 명학리 계획관리지역 추천 매물</t>
        </is>
      </c>
      <c r="L1102" s="6">
        <f>HYPERLINK("https://fin.land.naver.com/articles/2653839501", "매물Link")</f>
        <v/>
      </c>
      <c r="M1102" s="6">
        <f>HYPERLINK("https://map.naver.com/p/search/연동면 명학리 385", "지도Link")</f>
        <v/>
      </c>
      <c r="N1102" s="6">
        <f>HYPERLINK("http://www.eum.go.kr/web/ar/lu/luLandDet.jsp?pnu=3611032023103850000&amp;isNoScr=script&amp;mode=search", "토지이음")</f>
        <v/>
      </c>
      <c r="O1102" s="3" t="inlineStr">
        <is>
          <t>명성</t>
        </is>
      </c>
      <c r="P1102" s="4" t="n">
        <v>1</v>
      </c>
      <c r="Q1102" s="4" t="n">
        <v>720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완경사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명학리 385</t>
        </is>
      </c>
      <c r="B1103" s="3" t="inlineStr">
        <is>
          <t>계획관리지역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71900</v>
      </c>
      <c r="G1103" s="4" t="n">
        <v>720</v>
      </c>
      <c r="H1103" s="4" t="n">
        <v>218</v>
      </c>
      <c r="I1103" s="5" t="n">
        <v>329.8</v>
      </c>
      <c r="J1103" s="5" t="n">
        <v>52.8</v>
      </c>
      <c r="K1103" s="3" t="inlineStr">
        <is>
          <t>nan</t>
        </is>
      </c>
      <c r="L1103" s="6">
        <f>HYPERLINK("https://fin.land.naver.com/articles/2653390968", "매물Link")</f>
        <v/>
      </c>
      <c r="M1103" s="6">
        <f>HYPERLINK("https://map.naver.com/p/search/연동면 명학리 385", "지도Link")</f>
        <v/>
      </c>
      <c r="N1103" s="6">
        <f>HYPERLINK("http://www.eum.go.kr/web/ar/lu/luLandDet.jsp?pnu=3611032023103850000&amp;isNoScr=script&amp;mode=search", "토지이음")</f>
        <v/>
      </c>
      <c r="O1103" s="3" t="inlineStr">
        <is>
          <t>다산</t>
        </is>
      </c>
      <c r="P1103" s="4" t="n">
        <v>1</v>
      </c>
      <c r="Q1103" s="4" t="n">
        <v>720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완경사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명학리 389-2</t>
        </is>
      </c>
      <c r="B1104" s="3" t="inlineStr">
        <is>
          <t>보전관리지역</t>
        </is>
      </c>
      <c r="C1104" s="3" t="inlineStr">
        <is>
          <t>전</t>
        </is>
      </c>
      <c r="D1104" s="3" t="inlineStr">
        <is>
          <t>전</t>
        </is>
      </c>
      <c r="E1104" s="3" t="inlineStr">
        <is>
          <t>매매</t>
        </is>
      </c>
      <c r="F1104" s="4" t="n">
        <v>27000</v>
      </c>
      <c r="G1104" s="4" t="n">
        <v>541</v>
      </c>
      <c r="H1104" s="4" t="n">
        <v>164</v>
      </c>
      <c r="I1104" s="5" t="n">
        <v>164.6</v>
      </c>
      <c r="J1104" s="5" t="n">
        <v>35.6</v>
      </c>
      <c r="K1104" s="3" t="inlineStr">
        <is>
          <t>명학리 위치좋고 앞으로 지가 상승이 예상되는 곳 저렴하게 매매</t>
        </is>
      </c>
      <c r="L1104" s="6">
        <f>HYPERLINK("https://fin.land.naver.com/articles/2650887541", "매물Link")</f>
        <v/>
      </c>
      <c r="M1104" s="6">
        <f>HYPERLINK("https://map.naver.com/p/search/연동면 명학리 389-2", "지도Link")</f>
        <v/>
      </c>
      <c r="N1104" s="6">
        <f>HYPERLINK("http://www.eum.go.kr/web/ar/lu/luLandDet.jsp?pnu=3611032023103890002&amp;isNoScr=script&amp;mode=search", "토지이음")</f>
        <v/>
      </c>
      <c r="O1104" s="3" t="inlineStr">
        <is>
          <t>효성해링턴오복</t>
        </is>
      </c>
      <c r="P1104" s="4" t="n">
        <v>1</v>
      </c>
      <c r="Q1104" s="4" t="n">
        <v>541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맹지</t>
        </is>
      </c>
    </row>
    <row r="1105">
      <c r="A1105" s="3" t="inlineStr">
        <is>
          <t>연동면 명학리 391-12</t>
        </is>
      </c>
      <c r="B1105" s="3" t="inlineStr">
        <is>
          <t>계획관리지역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30000</v>
      </c>
      <c r="G1105" s="4" t="n">
        <v>422</v>
      </c>
      <c r="H1105" s="4" t="n">
        <v>128</v>
      </c>
      <c r="I1105" s="5" t="n">
        <v>234.4</v>
      </c>
      <c r="J1105" s="5" t="n">
        <v>50.2</v>
      </c>
      <c r="K1105" s="3" t="inlineStr">
        <is>
          <t>소형토지 전원주택지 도로접 남향</t>
        </is>
      </c>
      <c r="L1105" s="6">
        <f>HYPERLINK("https://fin.land.naver.com/articles/2650350524", "매물Link")</f>
        <v/>
      </c>
      <c r="M1105" s="6">
        <f>HYPERLINK("https://map.naver.com/p/search/연동면 명학리 391-12", "지도Link")</f>
        <v/>
      </c>
      <c r="N1105" s="6">
        <f>HYPERLINK("http://www.eum.go.kr/web/ar/lu/luLandDet.jsp?pnu=3611032023103910012&amp;isNoScr=script&amp;mode=search", "토지이음")</f>
        <v/>
      </c>
      <c r="O1105" s="3" t="inlineStr">
        <is>
          <t>봄봄</t>
        </is>
      </c>
      <c r="P1105" s="4" t="n">
        <v>1</v>
      </c>
      <c r="Q1105" s="4" t="n">
        <v>422</v>
      </c>
      <c r="R1105" s="3" t="inlineStr">
        <is>
          <t>지정되지않음</t>
        </is>
      </c>
      <c r="S1105" s="3" t="inlineStr">
        <is>
          <t>전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연동면 명학리 705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49000</v>
      </c>
      <c r="G1106" s="4" t="n">
        <v>1076</v>
      </c>
      <c r="H1106" s="4" t="n">
        <v>325</v>
      </c>
      <c r="I1106" s="5" t="n">
        <v>150.8</v>
      </c>
      <c r="J1106" s="5" t="n">
        <v>30.1</v>
      </c>
      <c r="K1106" s="3" t="inlineStr">
        <is>
          <t>세종시 연동면 명학리 명학산업단지 인근 농지</t>
        </is>
      </c>
      <c r="L1106" s="6">
        <f>HYPERLINK("https://fin.land.naver.com/articles/2655171375", "매물Link")</f>
        <v/>
      </c>
      <c r="M1106" s="6">
        <f>HYPERLINK("https://map.naver.com/p/search/연동면 명학리 705", "지도Link")</f>
        <v/>
      </c>
      <c r="N1106" s="6">
        <f>HYPERLINK("http://www.eum.go.kr/web/ar/lu/luLandDet.jsp?pnu=3611032023107050000&amp;isNoScr=script&amp;mode=search", "토지이음")</f>
        <v/>
      </c>
      <c r="O1106" s="3" t="inlineStr">
        <is>
          <t>하이엔드</t>
        </is>
      </c>
      <c r="P1106" s="4" t="n">
        <v>1</v>
      </c>
      <c r="Q1106" s="4" t="n">
        <v>1076.6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명학리 844</t>
        </is>
      </c>
      <c r="B1107" s="3" t="inlineStr">
        <is>
          <t>농림지역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20000</v>
      </c>
      <c r="G1107" s="4" t="n">
        <v>1319</v>
      </c>
      <c r="H1107" s="4" t="n">
        <v>399</v>
      </c>
      <c r="I1107" s="5" t="n">
        <v>50.1</v>
      </c>
      <c r="J1107" s="5" t="n">
        <v>28.5</v>
      </c>
      <c r="K1107" s="3" t="inlineStr">
        <is>
          <t>nan</t>
        </is>
      </c>
      <c r="L1107" s="6">
        <f>HYPERLINK("https://fin.land.naver.com/articles/2653598595", "매물Link")</f>
        <v/>
      </c>
      <c r="M1107" s="6">
        <f>HYPERLINK("https://map.naver.com/p/search/연동면 명학리 844", "지도Link")</f>
        <v/>
      </c>
      <c r="N1107" s="6">
        <f>HYPERLINK("http://www.eum.go.kr/web/ar/lu/luLandDet.jsp?pnu=3611032023108440000&amp;isNoScr=script&amp;mode=search", "토지이음")</f>
        <v/>
      </c>
      <c r="O1107" s="3" t="inlineStr">
        <is>
          <t>THE동아</t>
        </is>
      </c>
      <c r="P1107" s="4" t="n">
        <v>1</v>
      </c>
      <c r="Q1107" s="4" t="n">
        <v>1319.4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연동면 명학리 844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20000</v>
      </c>
      <c r="G1108" s="4" t="n">
        <v>1319</v>
      </c>
      <c r="H1108" s="4" t="n">
        <v>399</v>
      </c>
      <c r="I1108" s="5" t="n">
        <v>50.1</v>
      </c>
      <c r="J1108" s="5" t="n">
        <v>28.5</v>
      </c>
      <c r="K1108" s="3" t="inlineStr">
        <is>
          <t>부강역 생활권 평탄 농지, 자경 및 주말농장 검토 적합</t>
        </is>
      </c>
      <c r="L1108" s="6">
        <f>HYPERLINK("https://fin.land.naver.com/articles/2650905086", "매물Link")</f>
        <v/>
      </c>
      <c r="M1108" s="6">
        <f>HYPERLINK("https://map.naver.com/p/search/연동면 명학리 844", "지도Link")</f>
        <v/>
      </c>
      <c r="N1108" s="6">
        <f>HYPERLINK("http://www.eum.go.kr/web/ar/lu/luLandDet.jsp?pnu=3611032023108440000&amp;isNoScr=script&amp;mode=search", "토지이음")</f>
        <v/>
      </c>
      <c r="O1108" s="3" t="inlineStr">
        <is>
          <t>세종소담황금</t>
        </is>
      </c>
      <c r="P1108" s="4" t="n">
        <v>1</v>
      </c>
      <c r="Q1108" s="4" t="n">
        <v>1319.4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명학리 844</t>
        </is>
      </c>
      <c r="B1109" s="3" t="inlineStr">
        <is>
          <t>농림지역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20000</v>
      </c>
      <c r="G1109" s="4" t="n">
        <v>1319</v>
      </c>
      <c r="H1109" s="4" t="n">
        <v>399</v>
      </c>
      <c r="I1109" s="5" t="n">
        <v>50.1</v>
      </c>
      <c r="J1109" s="5" t="n">
        <v>28.5</v>
      </c>
      <c r="K1109" s="3" t="inlineStr">
        <is>
          <t>nan</t>
        </is>
      </c>
      <c r="L1109" s="6">
        <f>HYPERLINK("https://fin.land.naver.com/articles/2651581324", "매물Link")</f>
        <v/>
      </c>
      <c r="M1109" s="6">
        <f>HYPERLINK("https://map.naver.com/p/search/연동면 명학리 844", "지도Link")</f>
        <v/>
      </c>
      <c r="N1109" s="6">
        <f>HYPERLINK("http://www.eum.go.kr/web/ar/lu/luLandDet.jsp?pnu=3611032023108440000&amp;isNoScr=script&amp;mode=search", "토지이음")</f>
        <v/>
      </c>
      <c r="O1109" s="3" t="inlineStr">
        <is>
          <t>세종몽땅</t>
        </is>
      </c>
      <c r="P1109" s="4" t="n">
        <v>1</v>
      </c>
      <c r="Q1109" s="4" t="n">
        <v>1319.4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명학리 93-4</t>
        </is>
      </c>
      <c r="B1110" s="3" t="inlineStr">
        <is>
          <t>계획관리지역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110000</v>
      </c>
      <c r="G1110" s="4" t="n">
        <v>3819</v>
      </c>
      <c r="H1110" s="4" t="n">
        <v>1155</v>
      </c>
      <c r="I1110" s="5" t="n">
        <v>95.2</v>
      </c>
      <c r="J1110" s="5" t="n">
        <v>56.3</v>
      </c>
      <c r="K1110" s="3" t="inlineStr">
        <is>
          <t>계획관리 전. 3필지입니다. 현재 전으로 사용 중</t>
        </is>
      </c>
      <c r="L1110" s="6">
        <f>HYPERLINK("https://fin.land.naver.com/articles/2654233392", "매물Link")</f>
        <v/>
      </c>
      <c r="M1110" s="6">
        <f>HYPERLINK("https://map.naver.com/p/search/연동면 명학리 93-4", "지도Link")</f>
        <v/>
      </c>
      <c r="N1110" s="6">
        <f>HYPERLINK("http://www.eum.go.kr/web/ar/lu/luLandDet.jsp?pnu=3611032023100930004&amp;isNoScr=script&amp;mode=search", "토지이음")</f>
        <v/>
      </c>
      <c r="O1110" s="3" t="inlineStr">
        <is>
          <t>미스터홈즈강남지사</t>
        </is>
      </c>
      <c r="P1110" s="4" t="n">
        <v>1</v>
      </c>
      <c r="Q1110" s="4" t="n">
        <v>1865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맹지</t>
        </is>
      </c>
    </row>
    <row r="1111">
      <c r="A1111" s="3" t="inlineStr">
        <is>
          <t>연동면 명학리 955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35000</v>
      </c>
      <c r="G1111" s="4" t="n">
        <v>1517</v>
      </c>
      <c r="H1111" s="4" t="n">
        <v>459</v>
      </c>
      <c r="I1111" s="5" t="n">
        <v>76.3</v>
      </c>
      <c r="J1111" s="5" t="n">
        <v>24.3</v>
      </c>
      <c r="K1111" s="3" t="inlineStr">
        <is>
          <t>nan</t>
        </is>
      </c>
      <c r="L1111" s="6">
        <f>HYPERLINK("https://fin.land.naver.com/articles/2650459668", "매물Link")</f>
        <v/>
      </c>
      <c r="M1111" s="6">
        <f>HYPERLINK("https://map.naver.com/p/search/연동면 명학리 955", "지도Link")</f>
        <v/>
      </c>
      <c r="N1111" s="6">
        <f>HYPERLINK("http://www.eum.go.kr/web/ar/lu/luLandDet.jsp?pnu=3611032023109550000&amp;isNoScr=script&amp;mode=search", "토지이음")</f>
        <v/>
      </c>
      <c r="O1111" s="3" t="inlineStr">
        <is>
          <t>청정</t>
        </is>
      </c>
      <c r="P1111" s="4" t="n">
        <v>1</v>
      </c>
      <c r="Q1111" s="4" t="n">
        <v>1516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명학리 산22-1</t>
        </is>
      </c>
      <c r="B1112" s="3" t="inlineStr">
        <is>
          <t>보전관리지역</t>
        </is>
      </c>
      <c r="C1112" s="3" t="inlineStr">
        <is>
          <t>임야</t>
        </is>
      </c>
      <c r="D1112" s="3" t="inlineStr">
        <is>
          <t>임야</t>
        </is>
      </c>
      <c r="E1112" s="3" t="inlineStr">
        <is>
          <t>매매</t>
        </is>
      </c>
      <c r="F1112" s="4" t="n">
        <v>750000</v>
      </c>
      <c r="G1112" s="4" t="n">
        <v>21089</v>
      </c>
      <c r="H1112" s="4" t="n">
        <v>6379</v>
      </c>
      <c r="I1112" s="5" t="n">
        <v>117.6</v>
      </c>
      <c r="J1112" s="5" t="n">
        <v>10</v>
      </c>
      <c r="K1112" s="3" t="inlineStr">
        <is>
          <t>행정중심복합도시 근접, 전원주택지 개발 및 토목공사로 체류형쉼터 개발</t>
        </is>
      </c>
      <c r="L1112" s="6">
        <f>HYPERLINK("https://fin.land.naver.com/articles/2654443210", "매물Link")</f>
        <v/>
      </c>
      <c r="M1112" s="6">
        <f>HYPERLINK("https://map.naver.com/p/search/연동면 명학리 산22-1", "지도Link")</f>
        <v/>
      </c>
      <c r="N1112" s="6">
        <f>HYPERLINK("http://www.eum.go.kr/web/ar/lu/luLandDet.jsp?pnu=3611032023200220001&amp;isNoScr=script&amp;mode=search", "토지이음")</f>
        <v/>
      </c>
      <c r="O1112" s="3" t="inlineStr">
        <is>
          <t>나릿재슬기로운</t>
        </is>
      </c>
      <c r="P1112" s="4" t="n">
        <v>1</v>
      </c>
      <c r="Q1112" s="4" t="n">
        <v>8920</v>
      </c>
      <c r="R1112" s="3" t="inlineStr">
        <is>
          <t>지정되지않음</t>
        </is>
      </c>
      <c r="S1112" s="3" t="inlineStr">
        <is>
          <t>자연림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연동면 문주리 145-2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21500</v>
      </c>
      <c r="G1113" s="4" t="n">
        <v>284</v>
      </c>
      <c r="H1113" s="4" t="n">
        <v>86</v>
      </c>
      <c r="I1113" s="5" t="n">
        <v>250</v>
      </c>
      <c r="J1113" s="5" t="n">
        <v>68.2</v>
      </c>
      <c r="K1113" s="3" t="inlineStr">
        <is>
          <t>급매, 계획관리지역, 도로 접한 형상 좋은 대지입니다.</t>
        </is>
      </c>
      <c r="L1113" s="6">
        <f>HYPERLINK("https://fin.land.naver.com/articles/2650811409", "매물Link")</f>
        <v/>
      </c>
      <c r="M1113" s="6">
        <f>HYPERLINK("https://map.naver.com/p/search/연동면 문주리 145-2", "지도Link")</f>
        <v/>
      </c>
      <c r="N1113" s="6">
        <f>HYPERLINK("http://www.eum.go.kr/web/ar/lu/luLandDet.jsp?pnu=3611032022101450002&amp;isNoScr=script&amp;mode=search", "토지이음")</f>
        <v/>
      </c>
      <c r="O1113" s="3" t="inlineStr">
        <is>
          <t>나폴리</t>
        </is>
      </c>
      <c r="P1113" s="4" t="n">
        <v>1</v>
      </c>
      <c r="Q1113" s="4" t="n">
        <v>284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세로한면(불)</t>
        </is>
      </c>
    </row>
    <row r="1114">
      <c r="A1114" s="3" t="inlineStr">
        <is>
          <t>연동면 문주리 145-29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20000</v>
      </c>
      <c r="G1114" s="4" t="n">
        <v>253</v>
      </c>
      <c r="H1114" s="4" t="n">
        <v>77</v>
      </c>
      <c r="I1114" s="5" t="n">
        <v>259.7</v>
      </c>
      <c r="J1114" s="5" t="n">
        <v>68.2</v>
      </c>
      <c r="K1114" s="3" t="inlineStr">
        <is>
          <t>급매, 계획관리지역, 도로 접한 형상 좋은 대지입니다.</t>
        </is>
      </c>
      <c r="L1114" s="6">
        <f>HYPERLINK("https://fin.land.naver.com/articles/2650811516", "매물Link")</f>
        <v/>
      </c>
      <c r="M1114" s="6">
        <f>HYPERLINK("https://map.naver.com/p/search/연동면 문주리 145-29", "지도Link")</f>
        <v/>
      </c>
      <c r="N1114" s="6">
        <f>HYPERLINK("http://www.eum.go.kr/web/ar/lu/luLandDet.jsp?pnu=3611032022101450029&amp;isNoScr=script&amp;mode=search", "토지이음")</f>
        <v/>
      </c>
      <c r="O1114" s="3" t="inlineStr">
        <is>
          <t>나폴리</t>
        </is>
      </c>
      <c r="P1114" s="4" t="n">
        <v>1</v>
      </c>
      <c r="Q1114" s="4" t="n">
        <v>253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연동면 문주리 145-8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18000</v>
      </c>
      <c r="G1115" s="4" t="n">
        <v>235</v>
      </c>
      <c r="H1115" s="4" t="n">
        <v>71</v>
      </c>
      <c r="I1115" s="5" t="n">
        <v>253.5</v>
      </c>
      <c r="J1115" s="5" t="n">
        <v>75</v>
      </c>
      <c r="K1115" s="3" t="inlineStr">
        <is>
          <t>급매, 계획관리지역, 도로 접한 형상 좋은 대지입니다.</t>
        </is>
      </c>
      <c r="L1115" s="6">
        <f>HYPERLINK("https://fin.land.naver.com/articles/2652612115", "매물Link")</f>
        <v/>
      </c>
      <c r="M1115" s="6">
        <f>HYPERLINK("https://map.naver.com/p/search/연동면 문주리 145-8", "지도Link")</f>
        <v/>
      </c>
      <c r="N1115" s="6">
        <f>HYPERLINK("http://www.eum.go.kr/web/ar/lu/luLandDet.jsp?pnu=3611032022101450008&amp;isNoScr=script&amp;mode=search", "토지이음")</f>
        <v/>
      </c>
      <c r="O1115" s="3" t="inlineStr">
        <is>
          <t>나폴리</t>
        </is>
      </c>
      <c r="P1115" s="4" t="n">
        <v>1</v>
      </c>
      <c r="Q1115" s="4" t="n">
        <v>235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문주리 956-3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88700</v>
      </c>
      <c r="G1116" s="4" t="n">
        <v>2930</v>
      </c>
      <c r="H1116" s="4" t="n">
        <v>886</v>
      </c>
      <c r="I1116" s="5" t="n">
        <v>100.1</v>
      </c>
      <c r="J1116" s="5" t="n">
        <v>24.5</v>
      </c>
      <c r="K1116" s="3" t="inlineStr">
        <is>
          <t>구거 통해도로와 접한 농지,바로옆 도로 공사중</t>
        </is>
      </c>
      <c r="L1116" s="6">
        <f>HYPERLINK("https://fin.land.naver.com/articles/2654531733", "매물Link")</f>
        <v/>
      </c>
      <c r="M1116" s="6">
        <f>HYPERLINK("https://map.naver.com/p/search/연동면 문주리 956-3", "지도Link")</f>
        <v/>
      </c>
      <c r="N1116" s="6">
        <f>HYPERLINK("http://www.eum.go.kr/web/ar/lu/luLandDet.jsp?pnu=3611032022109560003&amp;isNoScr=script&amp;mode=search", "토지이음")</f>
        <v/>
      </c>
      <c r="O1116" s="3" t="inlineStr">
        <is>
          <t>향기나는방</t>
        </is>
      </c>
      <c r="P1116" s="4" t="n">
        <v>1</v>
      </c>
      <c r="Q1116" s="4" t="n">
        <v>2930.7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연동면 문주리 967-7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61000</v>
      </c>
      <c r="G1117" s="4" t="n">
        <v>2523</v>
      </c>
      <c r="H1117" s="4" t="n">
        <v>763</v>
      </c>
      <c r="I1117" s="5" t="n">
        <v>79.90000000000001</v>
      </c>
      <c r="J1117" s="5" t="n">
        <v>23.5</v>
      </c>
      <c r="K1117" s="3" t="inlineStr">
        <is>
          <t>nan</t>
        </is>
      </c>
      <c r="L1117" s="6">
        <f>HYPERLINK("https://fin.land.naver.com/articles/2651578350", "매물Link")</f>
        <v/>
      </c>
      <c r="M1117" s="6">
        <f>HYPERLINK("https://map.naver.com/p/search/연동면 문주리 967-7", "지도Link")</f>
        <v/>
      </c>
      <c r="N1117" s="6">
        <f>HYPERLINK("http://www.eum.go.kr/web/ar/lu/luLandDet.jsp?pnu=3611032022109670007&amp;isNoScr=script&amp;mode=search", "토지이음")</f>
        <v/>
      </c>
      <c r="O1117" s="3" t="inlineStr">
        <is>
          <t>세종몽땅</t>
        </is>
      </c>
      <c r="P1117" s="4" t="n">
        <v>1</v>
      </c>
      <c r="Q1117" s="4" t="n">
        <v>2523.7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문주리 968-13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245000</v>
      </c>
      <c r="G1118" s="4" t="n">
        <v>7204</v>
      </c>
      <c r="H1118" s="4" t="n">
        <v>2179</v>
      </c>
      <c r="I1118" s="5" t="n">
        <v>112.4</v>
      </c>
      <c r="J1118" s="5" t="n">
        <v>27</v>
      </c>
      <c r="K1118" s="3" t="inlineStr">
        <is>
          <t>축사임.</t>
        </is>
      </c>
      <c r="L1118" s="6">
        <f>HYPERLINK("https://fin.land.naver.com/articles/2653467627", "매물Link")</f>
        <v/>
      </c>
      <c r="M1118" s="6">
        <f>HYPERLINK("https://map.naver.com/p/search/연동면 문주리 968-13", "지도Link")</f>
        <v/>
      </c>
      <c r="N1118" s="6">
        <f>HYPERLINK("http://www.eum.go.kr/web/ar/lu/luLandDet.jsp?pnu=3611032022109680013&amp;isNoScr=script&amp;mode=search", "토지이음")</f>
        <v/>
      </c>
      <c r="O1118" s="3" t="inlineStr">
        <is>
          <t>햇빛</t>
        </is>
      </c>
      <c r="P1118" s="4" t="n">
        <v>1</v>
      </c>
      <c r="Q1118" s="4" t="n">
        <v>7204.9</v>
      </c>
      <c r="R1118" s="3" t="inlineStr">
        <is>
          <t>지정되지않음</t>
        </is>
      </c>
      <c r="S1118" s="3" t="inlineStr">
        <is>
          <t>답축사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문주리 980-10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58000</v>
      </c>
      <c r="G1119" s="4" t="n">
        <v>2388</v>
      </c>
      <c r="H1119" s="4" t="n">
        <v>722</v>
      </c>
      <c r="I1119" s="5" t="n">
        <v>80.3</v>
      </c>
      <c r="J1119" s="5" t="n">
        <v>23.6</v>
      </c>
      <c r="K1119" s="3" t="inlineStr">
        <is>
          <t>농림지역 답 현재 옆필지와 함께 농사중</t>
        </is>
      </c>
      <c r="L1119" s="6">
        <f>HYPERLINK("https://fin.land.naver.com/articles/2649908913", "매물Link")</f>
        <v/>
      </c>
      <c r="M1119" s="6">
        <f>HYPERLINK("https://map.naver.com/p/search/연동면 문주리 980-10", "지도Link")</f>
        <v/>
      </c>
      <c r="N1119" s="6">
        <f>HYPERLINK("http://www.eum.go.kr/web/ar/lu/luLandDet.jsp?pnu=3611032022109800010&amp;isNoScr=script&amp;mode=search", "토지이음")</f>
        <v/>
      </c>
      <c r="O1119" s="3" t="inlineStr">
        <is>
          <t>미스터홈즈강남지사</t>
        </is>
      </c>
      <c r="P1119" s="4" t="n">
        <v>1</v>
      </c>
      <c r="Q1119" s="4" t="n">
        <v>2388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연동면 송용리 1025-4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13600</v>
      </c>
      <c r="G1120" s="4" t="n">
        <v>998</v>
      </c>
      <c r="H1120" s="4" t="n">
        <v>302</v>
      </c>
      <c r="I1120" s="5" t="n">
        <v>45</v>
      </c>
      <c r="J1120" s="5" t="n">
        <v>24.1</v>
      </c>
      <c r="K1120" s="3" t="inlineStr">
        <is>
          <t>급매 소액으로 농지구매하실분 대토하실분 추천</t>
        </is>
      </c>
      <c r="L1120" s="6">
        <f>HYPERLINK("https://fin.land.naver.com/articles/2654338905", "매물Link")</f>
        <v/>
      </c>
      <c r="M1120" s="6">
        <f>HYPERLINK("https://map.naver.com/p/search/연동면 송용리 1025-4", "지도Link")</f>
        <v/>
      </c>
      <c r="N1120" s="6">
        <f>HYPERLINK("http://www.eum.go.kr/web/ar/lu/luLandDet.jsp?pnu=3611032027110250004&amp;isNoScr=script&amp;mode=search", "토지이음")</f>
        <v/>
      </c>
      <c r="O1120" s="3" t="inlineStr">
        <is>
          <t>OK수</t>
        </is>
      </c>
      <c r="P1120" s="4" t="n">
        <v>2</v>
      </c>
      <c r="Q1120" s="4" t="n">
        <v>998.9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송용리 1025-4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13600</v>
      </c>
      <c r="G1121" s="4" t="n">
        <v>998</v>
      </c>
      <c r="H1121" s="4" t="n">
        <v>302</v>
      </c>
      <c r="I1121" s="5" t="n">
        <v>45</v>
      </c>
      <c r="J1121" s="5" t="n">
        <v>24.1</v>
      </c>
      <c r="K1121" s="3" t="inlineStr">
        <is>
          <t>주변 시세대비 아주저렴</t>
        </is>
      </c>
      <c r="L1121" s="6">
        <f>HYPERLINK("https://fin.land.naver.com/articles/2654418969", "매물Link")</f>
        <v/>
      </c>
      <c r="M1121" s="6">
        <f>HYPERLINK("https://map.naver.com/p/search/연동면 송용리 1025-4", "지도Link")</f>
        <v/>
      </c>
      <c r="N1121" s="6">
        <f>HYPERLINK("http://www.eum.go.kr/web/ar/lu/luLandDet.jsp?pnu=3611032027110250004&amp;isNoScr=script&amp;mode=search", "토지이음")</f>
        <v/>
      </c>
      <c r="O1121" s="3" t="inlineStr">
        <is>
          <t>세종땅전문</t>
        </is>
      </c>
      <c r="P1121" s="4" t="n">
        <v>1</v>
      </c>
      <c r="Q1121" s="4" t="n">
        <v>998.9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세로한면(가)</t>
        </is>
      </c>
    </row>
    <row r="1122">
      <c r="A1122" s="3" t="inlineStr">
        <is>
          <t>연동면 송용리 1030-9</t>
        </is>
      </c>
      <c r="B1122" s="3" t="inlineStr">
        <is>
          <t>농림지역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158700</v>
      </c>
      <c r="G1122" s="4" t="n">
        <v>8746</v>
      </c>
      <c r="H1122" s="4" t="n">
        <v>2646</v>
      </c>
      <c r="I1122" s="5" t="n">
        <v>60</v>
      </c>
      <c r="J1122" s="5" t="n">
        <v>24.2</v>
      </c>
      <c r="K1122" s="3" t="inlineStr">
        <is>
          <t>연동면 송용리 농림지역 대형 토지, 세종시 5생활권 및 오송역 인근</t>
        </is>
      </c>
      <c r="L1122" s="6">
        <f>HYPERLINK("https://fin.land.naver.com/articles/2650531778", "매물Link")</f>
        <v/>
      </c>
      <c r="M1122" s="6">
        <f>HYPERLINK("https://map.naver.com/p/search/연동면 송용리 1030-9", "지도Link")</f>
        <v/>
      </c>
      <c r="N1122" s="6">
        <f>HYPERLINK("http://www.eum.go.kr/web/ar/lu/luLandDet.jsp?pnu=3611032027110300009&amp;isNoScr=script&amp;mode=search", "토지이음")</f>
        <v/>
      </c>
      <c r="O1122" s="3" t="inlineStr">
        <is>
          <t>스카이</t>
        </is>
      </c>
      <c r="P1122" s="4" t="n">
        <v>1</v>
      </c>
      <c r="Q1122" s="4" t="n">
        <v>8746.200000000001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세로각지(가)</t>
        </is>
      </c>
    </row>
    <row r="1123">
      <c r="A1123" s="3" t="inlineStr">
        <is>
          <t>연동면 송용리 179-2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250000</v>
      </c>
      <c r="G1123" s="4" t="n">
        <v>1837</v>
      </c>
      <c r="H1123" s="4" t="n">
        <v>556</v>
      </c>
      <c r="I1123" s="5" t="n">
        <v>449.6</v>
      </c>
      <c r="J1123" s="5" t="n">
        <v>309.9</v>
      </c>
      <c r="K1123" s="3" t="inlineStr">
        <is>
          <t>연동면 대형 식당자리 추천</t>
        </is>
      </c>
      <c r="L1123" s="6">
        <f>HYPERLINK("https://fin.land.naver.com/articles/2649703500", "매물Link")</f>
        <v/>
      </c>
      <c r="M1123" s="6">
        <f>HYPERLINK("https://map.naver.com/p/search/연동면 송용리 179-2", "지도Link")</f>
        <v/>
      </c>
      <c r="N1123" s="6">
        <f>HYPERLINK("http://www.eum.go.kr/web/ar/lu/luLandDet.jsp?pnu=3611032027101790002&amp;isNoScr=script&amp;mode=search", "토지이음")</f>
        <v/>
      </c>
      <c r="O1123" s="3" t="inlineStr">
        <is>
          <t>강아지풀</t>
        </is>
      </c>
      <c r="P1123" s="4" t="n">
        <v>1</v>
      </c>
      <c r="Q1123" s="4" t="n">
        <v>1358</v>
      </c>
      <c r="R1123" s="3" t="inlineStr">
        <is>
          <t>지정되지않음</t>
        </is>
      </c>
      <c r="S1123" s="3" t="inlineStr">
        <is>
          <t>상업용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연동면 송용리 213-4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70000</v>
      </c>
      <c r="G1124" s="4" t="n">
        <v>662</v>
      </c>
      <c r="H1124" s="4" t="n">
        <v>200</v>
      </c>
      <c r="I1124" s="5" t="n">
        <v>350</v>
      </c>
      <c r="J1124" s="5" t="n">
        <v>62</v>
      </c>
      <c r="K1124" s="3" t="inlineStr">
        <is>
          <t>계획관리지역으로 8미터이상 도로에 접한 직사각형 토지, 주변환경 좋음</t>
        </is>
      </c>
      <c r="L1124" s="6">
        <f>HYPERLINK("https://fin.land.naver.com/articles/2651092741", "매물Link")</f>
        <v/>
      </c>
      <c r="M1124" s="6">
        <f>HYPERLINK("https://map.naver.com/p/search/연동면 송용리 213-4", "지도Link")</f>
        <v/>
      </c>
      <c r="N1124" s="6">
        <f>HYPERLINK("http://www.eum.go.kr/web/ar/lu/luLandDet.jsp?pnu=3611032027102130004&amp;isNoScr=script&amp;mode=search", "토지이음")</f>
        <v/>
      </c>
      <c r="O1124" s="3" t="inlineStr">
        <is>
          <t>가수원</t>
        </is>
      </c>
      <c r="P1124" s="4" t="n">
        <v>1</v>
      </c>
      <c r="Q1124" s="4" t="n">
        <v>662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연동면 송용리 213-6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66000</v>
      </c>
      <c r="G1125" s="4" t="n">
        <v>662</v>
      </c>
      <c r="H1125" s="4" t="n">
        <v>200</v>
      </c>
      <c r="I1125" s="5" t="n">
        <v>330</v>
      </c>
      <c r="J1125" s="5" t="n">
        <v>62</v>
      </c>
      <c r="K1125" s="3" t="inlineStr">
        <is>
          <t>급매. 5생활권 인접 도로접한 토지</t>
        </is>
      </c>
      <c r="L1125" s="6">
        <f>HYPERLINK("https://fin.land.naver.com/articles/2651944218", "매물Link")</f>
        <v/>
      </c>
      <c r="M1125" s="6">
        <f>HYPERLINK("https://map.naver.com/p/search/연동면 송용리 213-6", "지도Link")</f>
        <v/>
      </c>
      <c r="N1125" s="6">
        <f>HYPERLINK("http://www.eum.go.kr/web/ar/lu/luLandDet.jsp?pnu=3611032027102130006&amp;isNoScr=script&amp;mode=search", "토지이음")</f>
        <v/>
      </c>
      <c r="O1125" s="3" t="inlineStr">
        <is>
          <t>강아지풀</t>
        </is>
      </c>
      <c r="P1125" s="4" t="n">
        <v>1</v>
      </c>
      <c r="Q1125" s="4" t="n">
        <v>662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세로한면(가)</t>
        </is>
      </c>
    </row>
    <row r="1126">
      <c r="A1126" s="3" t="inlineStr">
        <is>
          <t>연동면 송용리 261-8</t>
        </is>
      </c>
      <c r="B1126" s="3" t="inlineStr">
        <is>
          <t>보전관리지역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329000</v>
      </c>
      <c r="G1126" s="4" t="n">
        <v>4350</v>
      </c>
      <c r="H1126" s="4" t="n">
        <v>1316</v>
      </c>
      <c r="I1126" s="5" t="n">
        <v>250</v>
      </c>
      <c r="J1126" s="5" t="n">
        <v>121.3</v>
      </c>
      <c r="K1126" s="3" t="inlineStr">
        <is>
          <t>nan</t>
        </is>
      </c>
      <c r="L1126" s="6">
        <f>HYPERLINK("https://fin.land.naver.com/articles/2653659850", "매물Link")</f>
        <v/>
      </c>
      <c r="M1126" s="6">
        <f>HYPERLINK("https://map.naver.com/p/search/연동면 송용리 261-8", "지도Link")</f>
        <v/>
      </c>
      <c r="N1126" s="6">
        <f>HYPERLINK("http://www.eum.go.kr/web/ar/lu/luLandDet.jsp?pnu=3611032027102610008&amp;isNoScr=script&amp;mode=search", "토지이음")</f>
        <v/>
      </c>
      <c r="O1126" s="3" t="inlineStr">
        <is>
          <t>생명나무</t>
        </is>
      </c>
      <c r="P1126" s="4" t="n">
        <v>1</v>
      </c>
      <c r="Q1126" s="4" t="n">
        <v>2093</v>
      </c>
      <c r="R1126" s="3" t="inlineStr">
        <is>
          <t>지정되지않음</t>
        </is>
      </c>
      <c r="S1126" s="3" t="inlineStr">
        <is>
          <t>주상용</t>
        </is>
      </c>
      <c r="T1126" s="3" t="inlineStr">
        <is>
          <t>완경사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연동면 송용리 262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400000</v>
      </c>
      <c r="G1127" s="4" t="n">
        <v>2915</v>
      </c>
      <c r="H1127" s="4" t="n">
        <v>882</v>
      </c>
      <c r="I1127" s="5" t="n">
        <v>453.5</v>
      </c>
      <c r="J1127" s="5" t="n">
        <v>263.1</v>
      </c>
      <c r="K1127" s="3" t="inlineStr">
        <is>
          <t>5생활권 2차선변 근생건물, 토지</t>
        </is>
      </c>
      <c r="L1127" s="6">
        <f>HYPERLINK("https://fin.land.naver.com/articles/2653738491", "매물Link")</f>
        <v/>
      </c>
      <c r="M1127" s="6">
        <f>HYPERLINK("https://map.naver.com/p/search/연동면 송용리 262", "지도Link")</f>
        <v/>
      </c>
      <c r="N1127" s="6">
        <f>HYPERLINK("http://www.eum.go.kr/web/ar/lu/luLandDet.jsp?pnu=3611032027102620000&amp;isNoScr=script&amp;mode=search", "토지이음")</f>
        <v/>
      </c>
      <c r="O1127" s="3" t="inlineStr">
        <is>
          <t>세종큰길</t>
        </is>
      </c>
      <c r="P1127" s="4" t="n">
        <v>1</v>
      </c>
      <c r="Q1127" s="4" t="n">
        <v>1915</v>
      </c>
      <c r="R1127" s="3" t="inlineStr">
        <is>
          <t>지정되지않음</t>
        </is>
      </c>
      <c r="S1127" s="3" t="inlineStr">
        <is>
          <t>주상기타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소로한면</t>
        </is>
      </c>
    </row>
    <row r="1128">
      <c r="A1128" s="3" t="inlineStr">
        <is>
          <t>연동면 송용리 4-1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31000</v>
      </c>
      <c r="G1128" s="4" t="n">
        <v>421</v>
      </c>
      <c r="H1128" s="4" t="n">
        <v>127</v>
      </c>
      <c r="I1128" s="5" t="n">
        <v>244.1</v>
      </c>
      <c r="J1128" s="5" t="n">
        <v>69.5</v>
      </c>
      <c r="K1128" s="3" t="inlineStr">
        <is>
          <t>추천. 세종시 인근 주택지</t>
        </is>
      </c>
      <c r="L1128" s="6">
        <f>HYPERLINK("https://fin.land.naver.com/articles/2651922610", "매물Link")</f>
        <v/>
      </c>
      <c r="M1128" s="6">
        <f>HYPERLINK("https://map.naver.com/p/search/연동면 송용리 4-1", "지도Link")</f>
        <v/>
      </c>
      <c r="N1128" s="6">
        <f>HYPERLINK("http://www.eum.go.kr/web/ar/lu/luLandDet.jsp?pnu=3611032027100040001&amp;isNoScr=script&amp;mode=search", "토지이음")</f>
        <v/>
      </c>
      <c r="O1128" s="3" t="inlineStr">
        <is>
          <t>강아지풀</t>
        </is>
      </c>
      <c r="P1128" s="4" t="n">
        <v>1</v>
      </c>
      <c r="Q1128" s="4" t="n">
        <v>401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세로한면(가)</t>
        </is>
      </c>
    </row>
    <row r="1129">
      <c r="A1129" s="3" t="inlineStr">
        <is>
          <t>연동면 송용리 82-1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56200</v>
      </c>
      <c r="G1129" s="4" t="n">
        <v>1095</v>
      </c>
      <c r="H1129" s="4" t="n">
        <v>331</v>
      </c>
      <c r="I1129" s="5" t="n">
        <v>169.8</v>
      </c>
      <c r="J1129" s="5" t="n">
        <v>37.1</v>
      </c>
      <c r="K1129" s="3" t="inlineStr">
        <is>
          <t>nan</t>
        </is>
      </c>
      <c r="L1129" s="6">
        <f>HYPERLINK("https://fin.land.naver.com/articles/2653986067", "매물Link")</f>
        <v/>
      </c>
      <c r="M1129" s="6">
        <f>HYPERLINK("https://map.naver.com/p/search/연동면 송용리 82-1", "지도Link")</f>
        <v/>
      </c>
      <c r="N1129" s="6">
        <f>HYPERLINK("http://www.eum.go.kr/web/ar/lu/luLandDet.jsp?pnu=3611032027100820001&amp;isNoScr=script&amp;mode=search", "토지이음")</f>
        <v/>
      </c>
      <c r="O1129" s="3" t="inlineStr">
        <is>
          <t>장원</t>
        </is>
      </c>
      <c r="P1129" s="4" t="n">
        <v>1</v>
      </c>
      <c r="Q1129" s="4" t="n">
        <v>1095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송용리 940-1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91000</v>
      </c>
      <c r="G1130" s="4" t="n">
        <v>4595</v>
      </c>
      <c r="H1130" s="4" t="n">
        <v>1390</v>
      </c>
      <c r="I1130" s="5" t="n">
        <v>65.5</v>
      </c>
      <c r="J1130" s="5" t="n">
        <v>25.1</v>
      </c>
      <c r="K1130" s="3" t="inlineStr">
        <is>
          <t>강변 근처 토지</t>
        </is>
      </c>
      <c r="L1130" s="6">
        <f>HYPERLINK("https://fin.land.naver.com/articles/2651714905", "매물Link")</f>
        <v/>
      </c>
      <c r="M1130" s="6">
        <f>HYPERLINK("https://map.naver.com/p/search/연동면 송용리 940-1", "지도Link")</f>
        <v/>
      </c>
      <c r="N1130" s="6">
        <f>HYPERLINK("http://www.eum.go.kr/web/ar/lu/luLandDet.jsp?pnu=3611032027109400001&amp;isNoScr=script&amp;mode=search", "토지이음")</f>
        <v/>
      </c>
      <c r="O1130" s="3" t="inlineStr">
        <is>
          <t>이레</t>
        </is>
      </c>
      <c r="P1130" s="4" t="n">
        <v>1</v>
      </c>
      <c r="Q1130" s="4" t="n">
        <v>4595.4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연동면 송용리 940-3</t>
        </is>
      </c>
      <c r="B1131" s="3" t="inlineStr">
        <is>
          <t>농림지역</t>
        </is>
      </c>
      <c r="C1131" s="3" t="inlineStr">
        <is>
          <t>과수원</t>
        </is>
      </c>
      <c r="D1131" s="3" t="inlineStr">
        <is>
          <t>과수원</t>
        </is>
      </c>
      <c r="E1131" s="3" t="inlineStr">
        <is>
          <t>매매</t>
        </is>
      </c>
      <c r="F1131" s="4" t="n">
        <v>18000</v>
      </c>
      <c r="G1131" s="4" t="n">
        <v>1381</v>
      </c>
      <c r="H1131" s="4" t="n">
        <v>418</v>
      </c>
      <c r="I1131" s="5" t="n">
        <v>43.1</v>
      </c>
      <c r="J1131" s="5" t="n">
        <v>25.5</v>
      </c>
      <c r="K1131" s="3" t="inlineStr">
        <is>
          <t>가격절충</t>
        </is>
      </c>
      <c r="L1131" s="6">
        <f>HYPERLINK("https://fin.land.naver.com/articles/2651729422", "매물Link")</f>
        <v/>
      </c>
      <c r="M1131" s="6">
        <f>HYPERLINK("https://map.naver.com/p/search/연동면 송용리 940-3", "지도Link")</f>
        <v/>
      </c>
      <c r="N1131" s="6">
        <f>HYPERLINK("http://www.eum.go.kr/web/ar/lu/luLandDet.jsp?pnu=3611032027109400003&amp;isNoScr=script&amp;mode=search", "토지이음")</f>
        <v/>
      </c>
      <c r="O1131" s="3" t="inlineStr">
        <is>
          <t>세종땅전문</t>
        </is>
      </c>
      <c r="P1131" s="4" t="n">
        <v>1</v>
      </c>
      <c r="Q1131" s="4" t="n">
        <v>1381.4</v>
      </c>
      <c r="R1131" s="3" t="inlineStr">
        <is>
          <t>지정되지않음</t>
        </is>
      </c>
      <c r="S1131" s="3" t="inlineStr">
        <is>
          <t>과수원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세로각지(가)</t>
        </is>
      </c>
    </row>
    <row r="1132">
      <c r="A1132" s="3" t="inlineStr">
        <is>
          <t>연동면 송용리 940-3</t>
        </is>
      </c>
      <c r="B1132" s="3" t="inlineStr">
        <is>
          <t>농림지역</t>
        </is>
      </c>
      <c r="C1132" s="3" t="inlineStr">
        <is>
          <t>과수원</t>
        </is>
      </c>
      <c r="D1132" s="3" t="inlineStr">
        <is>
          <t>과수원</t>
        </is>
      </c>
      <c r="E1132" s="3" t="inlineStr">
        <is>
          <t>매매</t>
        </is>
      </c>
      <c r="F1132" s="4" t="n">
        <v>18000</v>
      </c>
      <c r="G1132" s="4" t="n">
        <v>1381</v>
      </c>
      <c r="H1132" s="4" t="n">
        <v>418</v>
      </c>
      <c r="I1132" s="5" t="n">
        <v>43.1</v>
      </c>
      <c r="J1132" s="5" t="n">
        <v>25.5</v>
      </c>
      <c r="K1132" s="3" t="inlineStr">
        <is>
          <t>세종시 토지로 적은 금액으로 투자하기 좋은 곳</t>
        </is>
      </c>
      <c r="L1132" s="6">
        <f>HYPERLINK("https://fin.land.naver.com/articles/2651419402", "매물Link")</f>
        <v/>
      </c>
      <c r="M1132" s="6">
        <f>HYPERLINK("https://map.naver.com/p/search/연동면 송용리 940-3", "지도Link")</f>
        <v/>
      </c>
      <c r="N1132" s="6">
        <f>HYPERLINK("http://www.eum.go.kr/web/ar/lu/luLandDet.jsp?pnu=3611032027109400003&amp;isNoScr=script&amp;mode=search", "토지이음")</f>
        <v/>
      </c>
      <c r="O1132" s="3" t="inlineStr">
        <is>
          <t>오송이가</t>
        </is>
      </c>
      <c r="P1132" s="4" t="n">
        <v>1</v>
      </c>
      <c r="Q1132" s="4" t="n">
        <v>1381.4</v>
      </c>
      <c r="R1132" s="3" t="inlineStr">
        <is>
          <t>지정되지않음</t>
        </is>
      </c>
      <c r="S1132" s="3" t="inlineStr">
        <is>
          <t>과수원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세로각지(가)</t>
        </is>
      </c>
    </row>
    <row r="1133">
      <c r="A1133" s="3" t="inlineStr">
        <is>
          <t>연동면 송용리 940-5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71000</v>
      </c>
      <c r="G1133" s="4" t="n">
        <v>4848</v>
      </c>
      <c r="H1133" s="4" t="n">
        <v>1467</v>
      </c>
      <c r="I1133" s="5" t="n">
        <v>48.4</v>
      </c>
      <c r="J1133" s="5" t="n">
        <v>24.8</v>
      </c>
      <c r="K1133" s="3" t="inlineStr">
        <is>
          <t>예쁜 토지</t>
        </is>
      </c>
      <c r="L1133" s="6">
        <f>HYPERLINK("https://fin.land.naver.com/articles/2650920227", "매물Link")</f>
        <v/>
      </c>
      <c r="M1133" s="6">
        <f>HYPERLINK("https://map.naver.com/p/search/연동면 송용리 940-5", "지도Link")</f>
        <v/>
      </c>
      <c r="N1133" s="6">
        <f>HYPERLINK("http://www.eum.go.kr/web/ar/lu/luLandDet.jsp?pnu=3611032027109400005&amp;isNoScr=script&amp;mode=search", "토지이음")</f>
        <v/>
      </c>
      <c r="O1133" s="3" t="inlineStr">
        <is>
          <t>전원비래</t>
        </is>
      </c>
      <c r="P1133" s="4" t="n">
        <v>1</v>
      </c>
      <c r="Q1133" s="4" t="n">
        <v>4848.2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송용리 963-10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49000</v>
      </c>
      <c r="G1134" s="4" t="n">
        <v>3382</v>
      </c>
      <c r="H1134" s="4" t="n">
        <v>1023</v>
      </c>
      <c r="I1134" s="5" t="n">
        <v>47.9</v>
      </c>
      <c r="J1134" s="5" t="n">
        <v>23.8</v>
      </c>
      <c r="K1134" s="3" t="inlineStr">
        <is>
          <t>nan</t>
        </is>
      </c>
      <c r="L1134" s="6">
        <f>HYPERLINK("https://fin.land.naver.com/articles/2651729295", "매물Link")</f>
        <v/>
      </c>
      <c r="M1134" s="6">
        <f>HYPERLINK("https://map.naver.com/p/search/연동면 송용리 963-10", "지도Link")</f>
        <v/>
      </c>
      <c r="N1134" s="6">
        <f>HYPERLINK("http://www.eum.go.kr/web/ar/lu/luLandDet.jsp?pnu=3611032027109630010&amp;isNoScr=script&amp;mode=search", "토지이음")</f>
        <v/>
      </c>
      <c r="O1134" s="3" t="inlineStr">
        <is>
          <t>세종땅전문</t>
        </is>
      </c>
      <c r="P1134" s="4" t="n">
        <v>1</v>
      </c>
      <c r="Q1134" s="4" t="n">
        <v>3382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연동면 예양리 110-1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50000</v>
      </c>
      <c r="G1135" s="4" t="n">
        <v>1914</v>
      </c>
      <c r="H1135" s="4" t="n">
        <v>579</v>
      </c>
      <c r="I1135" s="5" t="n">
        <v>86.40000000000001</v>
      </c>
      <c r="J1135" s="5" t="n">
        <v>35.1</v>
      </c>
      <c r="K1135" s="3" t="inlineStr">
        <is>
          <t>급매, 협의절충, 생산관리, 과수원, 입지, 주위 인프라 굿</t>
        </is>
      </c>
      <c r="L1135" s="6">
        <f>HYPERLINK("https://fin.land.naver.com/articles/2653154744", "매물Link")</f>
        <v/>
      </c>
      <c r="M1135" s="6">
        <f>HYPERLINK("https://map.naver.com/p/search/연동면 예양리 110-1", "지도Link")</f>
        <v/>
      </c>
      <c r="N1135" s="6">
        <f>HYPERLINK("http://www.eum.go.kr/web/ar/lu/luLandDet.jsp?pnu=3611032026101100001&amp;isNoScr=script&amp;mode=search", "토지이음")</f>
        <v/>
      </c>
      <c r="O1135" s="3" t="inlineStr">
        <is>
          <t>세종한울</t>
        </is>
      </c>
      <c r="P1135" s="4" t="n">
        <v>1</v>
      </c>
      <c r="Q1135" s="4" t="n">
        <v>1914</v>
      </c>
      <c r="R1135" s="3" t="inlineStr">
        <is>
          <t>지정되지않음</t>
        </is>
      </c>
      <c r="S1135" s="3" t="inlineStr">
        <is>
          <t>과수원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예양리 110-1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52000</v>
      </c>
      <c r="G1136" s="4" t="n">
        <v>1914</v>
      </c>
      <c r="H1136" s="4" t="n">
        <v>579</v>
      </c>
      <c r="I1136" s="5" t="n">
        <v>89.8</v>
      </c>
      <c r="J1136" s="5" t="n">
        <v>35.1</v>
      </c>
      <c r="K1136" s="3" t="inlineStr">
        <is>
          <t>nan</t>
        </is>
      </c>
      <c r="L1136" s="6">
        <f>HYPERLINK("https://fin.land.naver.com/articles/2652244554", "매물Link")</f>
        <v/>
      </c>
      <c r="M1136" s="6">
        <f>HYPERLINK("https://map.naver.com/p/search/연동면 예양리 110-1", "지도Link")</f>
        <v/>
      </c>
      <c r="N1136" s="6">
        <f>HYPERLINK("http://www.eum.go.kr/web/ar/lu/luLandDet.jsp?pnu=3611032026101100001&amp;isNoScr=script&amp;mode=search", "토지이음")</f>
        <v/>
      </c>
      <c r="O1136" s="3" t="inlineStr">
        <is>
          <t>세종소담황금</t>
        </is>
      </c>
      <c r="P1136" s="4" t="n">
        <v>1</v>
      </c>
      <c r="Q1136" s="4" t="n">
        <v>1914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예양리 25-1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20000</v>
      </c>
      <c r="G1137" s="4" t="n">
        <v>248</v>
      </c>
      <c r="H1137" s="4" t="n">
        <v>75</v>
      </c>
      <c r="I1137" s="5" t="n">
        <v>266.7</v>
      </c>
      <c r="J1137" s="5" t="n">
        <v>66.59999999999999</v>
      </c>
      <c r="K1137" s="3" t="inlineStr">
        <is>
          <t>건축 및 투자</t>
        </is>
      </c>
      <c r="L1137" s="6">
        <f>HYPERLINK("https://fin.land.naver.com/articles/2653502018", "매물Link")</f>
        <v/>
      </c>
      <c r="M1137" s="6">
        <f>HYPERLINK("https://map.naver.com/p/search/연동면 예양리 25-1", "지도Link")</f>
        <v/>
      </c>
      <c r="N1137" s="6">
        <f>HYPERLINK("http://www.eum.go.kr/web/ar/lu/luLandDet.jsp?pnu=3611032026100250001&amp;isNoScr=script&amp;mode=search", "토지이음")</f>
        <v/>
      </c>
      <c r="O1137" s="3" t="inlineStr">
        <is>
          <t>한정호</t>
        </is>
      </c>
      <c r="P1137" s="4" t="n">
        <v>1</v>
      </c>
      <c r="Q1137" s="4" t="n">
        <v>248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연동면 예양리 47-1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19800</v>
      </c>
      <c r="G1138" s="4" t="n">
        <v>247</v>
      </c>
      <c r="H1138" s="4" t="n">
        <v>75</v>
      </c>
      <c r="I1138" s="5" t="n">
        <v>264</v>
      </c>
      <c r="J1138" s="5" t="n">
        <v>69.7</v>
      </c>
      <c r="K1138" s="3" t="inlineStr">
        <is>
          <t>건물 있는 토지 매매</t>
        </is>
      </c>
      <c r="L1138" s="6">
        <f>HYPERLINK("https://fin.land.naver.com/articles/2651254846", "매물Link")</f>
        <v/>
      </c>
      <c r="M1138" s="6">
        <f>HYPERLINK("https://map.naver.com/p/search/연동면 예양리 47-1", "지도Link")</f>
        <v/>
      </c>
      <c r="N1138" s="6">
        <f>HYPERLINK("http://www.eum.go.kr/web/ar/lu/luLandDet.jsp?pnu=3611032026100470001&amp;isNoScr=script&amp;mode=search", "토지이음")</f>
        <v/>
      </c>
      <c r="O1138" s="3" t="inlineStr">
        <is>
          <t>세종토박이</t>
        </is>
      </c>
      <c r="P1138" s="4" t="n">
        <v>2</v>
      </c>
      <c r="Q1138" s="4" t="n">
        <v>247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연동면 예양리 66-3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140000</v>
      </c>
      <c r="G1139" s="4" t="n">
        <v>2314</v>
      </c>
      <c r="H1139" s="4" t="n">
        <v>700</v>
      </c>
      <c r="I1139" s="5" t="n">
        <v>200</v>
      </c>
      <c r="J1139" s="5" t="n">
        <v>38.3</v>
      </c>
      <c r="K1139" s="3" t="inlineStr">
        <is>
          <t>도로접,땅모양좋습니다,조정가</t>
        </is>
      </c>
      <c r="L1139" s="6">
        <f>HYPERLINK("https://fin.land.naver.com/articles/2654054825", "매물Link")</f>
        <v/>
      </c>
      <c r="M1139" s="6">
        <f>HYPERLINK("https://map.naver.com/p/search/연동면 예양리 66-3", "지도Link")</f>
        <v/>
      </c>
      <c r="N1139" s="6">
        <f>HYPERLINK("http://www.eum.go.kr/web/ar/lu/luLandDet.jsp?pnu=3611032026100660003&amp;isNoScr=script&amp;mode=search", "토지이음")</f>
        <v/>
      </c>
      <c r="O1139" s="3" t="inlineStr">
        <is>
          <t>힐스테이트행복</t>
        </is>
      </c>
      <c r="P1139" s="4" t="n">
        <v>1</v>
      </c>
      <c r="Q1139" s="4" t="n">
        <v>2314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연동면 예양리 824-1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60000</v>
      </c>
      <c r="G1140" s="4" t="n">
        <v>3457</v>
      </c>
      <c r="H1140" s="4" t="n">
        <v>1046</v>
      </c>
      <c r="I1140" s="5" t="n">
        <v>57.4</v>
      </c>
      <c r="J1140" s="5" t="n">
        <v>23.5</v>
      </c>
      <c r="K1140" s="3" t="inlineStr">
        <is>
          <t>농지 전</t>
        </is>
      </c>
      <c r="L1140" s="6">
        <f>HYPERLINK("https://fin.land.naver.com/articles/2653768190", "매물Link")</f>
        <v/>
      </c>
      <c r="M1140" s="6">
        <f>HYPERLINK("https://map.naver.com/p/search/연동면 예양리 824-1", "지도Link")</f>
        <v/>
      </c>
      <c r="N1140" s="6">
        <f>HYPERLINK("http://www.eum.go.kr/web/ar/lu/luLandDet.jsp?pnu=3611032026108240001&amp;isNoScr=script&amp;mode=search", "토지이음")</f>
        <v/>
      </c>
      <c r="O1140" s="3" t="inlineStr">
        <is>
          <t>대원</t>
        </is>
      </c>
      <c r="P1140" s="4" t="n">
        <v>1</v>
      </c>
      <c r="Q1140" s="4" t="n">
        <v>3457.7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예양리 828-1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60000</v>
      </c>
      <c r="G1141" s="4" t="n">
        <v>2913</v>
      </c>
      <c r="H1141" s="4" t="n">
        <v>881</v>
      </c>
      <c r="I1141" s="5" t="n">
        <v>68.09999999999999</v>
      </c>
      <c r="J1141" s="5" t="n">
        <v>23.8</v>
      </c>
      <c r="K1141" s="3" t="inlineStr">
        <is>
          <t>대토용,투자적합</t>
        </is>
      </c>
      <c r="L1141" s="6">
        <f>HYPERLINK("https://fin.land.naver.com/articles/2653703739", "매물Link")</f>
        <v/>
      </c>
      <c r="M1141" s="6">
        <f>HYPERLINK("https://map.naver.com/p/search/연동면 예양리 828-1", "지도Link")</f>
        <v/>
      </c>
      <c r="N1141" s="6">
        <f>HYPERLINK("http://www.eum.go.kr/web/ar/lu/luLandDet.jsp?pnu=3611032026108280001&amp;isNoScr=script&amp;mode=search", "토지이음")</f>
        <v/>
      </c>
      <c r="O1141" s="3" t="inlineStr">
        <is>
          <t>지원</t>
        </is>
      </c>
      <c r="P1141" s="4" t="n">
        <v>1</v>
      </c>
      <c r="Q1141" s="4" t="n">
        <v>2913.3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세로각지(가)</t>
        </is>
      </c>
    </row>
    <row r="1142">
      <c r="A1142" s="3" t="inlineStr">
        <is>
          <t>연동면 예양리 831-13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53500</v>
      </c>
      <c r="G1142" s="4" t="n">
        <v>2212</v>
      </c>
      <c r="H1142" s="4" t="n">
        <v>669</v>
      </c>
      <c r="I1142" s="5" t="n">
        <v>80</v>
      </c>
      <c r="J1142" s="5" t="n">
        <v>24.3</v>
      </c>
      <c r="K1142" s="3" t="inlineStr">
        <is>
          <t>가격절충가능</t>
        </is>
      </c>
      <c r="L1142" s="6">
        <f>HYPERLINK("https://fin.land.naver.com/articles/2652723910", "매물Link")</f>
        <v/>
      </c>
      <c r="M1142" s="6">
        <f>HYPERLINK("https://map.naver.com/p/search/연동면 예양리 831-13", "지도Link")</f>
        <v/>
      </c>
      <c r="N1142" s="6">
        <f>HYPERLINK("http://www.eum.go.kr/web/ar/lu/luLandDet.jsp?pnu=3611032026108310013&amp;isNoScr=script&amp;mode=search", "토지이음")</f>
        <v/>
      </c>
      <c r="O1142" s="3" t="inlineStr">
        <is>
          <t>소사벌</t>
        </is>
      </c>
      <c r="P1142" s="4" t="n">
        <v>1</v>
      </c>
      <c r="Q1142" s="4" t="n">
        <v>2212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세로한면(가)</t>
        </is>
      </c>
    </row>
    <row r="1143">
      <c r="A1143" s="3" t="inlineStr">
        <is>
          <t>연동면 예양리 838-2</t>
        </is>
      </c>
      <c r="B1143" s="3" t="inlineStr">
        <is>
          <t>농림지역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16400</v>
      </c>
      <c r="G1143" s="4" t="n">
        <v>665</v>
      </c>
      <c r="H1143" s="4" t="n">
        <v>201</v>
      </c>
      <c r="I1143" s="5" t="n">
        <v>81.59999999999999</v>
      </c>
      <c r="J1143" s="5" t="n">
        <v>24</v>
      </c>
      <c r="K1143" s="3" t="inlineStr">
        <is>
          <t>도로5m,3m접한 코너각지 직사각형,현재 전으로 이용중임.</t>
        </is>
      </c>
      <c r="L1143" s="6">
        <f>HYPERLINK("https://fin.land.naver.com/articles/2654365147", "매물Link")</f>
        <v/>
      </c>
      <c r="M1143" s="6">
        <f>HYPERLINK("https://map.naver.com/p/search/연동면 예양리 838-2", "지도Link")</f>
        <v/>
      </c>
      <c r="N1143" s="6">
        <f>HYPERLINK("http://www.eum.go.kr/web/ar/lu/luLandDet.jsp?pnu=3611032026108380002&amp;isNoScr=script&amp;mode=search", "토지이음")</f>
        <v/>
      </c>
      <c r="O1143" s="3" t="inlineStr">
        <is>
          <t>자이호박</t>
        </is>
      </c>
      <c r="P1143" s="4" t="n">
        <v>1</v>
      </c>
      <c r="Q1143" s="4" t="n">
        <v>665.6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연동면 예양리 99-5</t>
        </is>
      </c>
      <c r="B1144" s="3" t="inlineStr">
        <is>
          <t>계획관리지역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52800</v>
      </c>
      <c r="G1144" s="4" t="n">
        <v>2384</v>
      </c>
      <c r="H1144" s="4" t="n">
        <v>721</v>
      </c>
      <c r="I1144" s="5" t="n">
        <v>73.2</v>
      </c>
      <c r="J1144" s="5" t="n">
        <v>32.9</v>
      </c>
      <c r="K1144" s="3" t="inlineStr">
        <is>
          <t>행정중심복합도시 동측에 위치한 농지</t>
        </is>
      </c>
      <c r="L1144" s="6">
        <f>HYPERLINK("https://fin.land.naver.com/articles/2651237783", "매물Link")</f>
        <v/>
      </c>
      <c r="M1144" s="6">
        <f>HYPERLINK("https://map.naver.com/p/search/연동면 예양리 99-5", "지도Link")</f>
        <v/>
      </c>
      <c r="N1144" s="6">
        <f>HYPERLINK("http://www.eum.go.kr/web/ar/lu/luLandDet.jsp?pnu=3611032026100990005&amp;isNoScr=script&amp;mode=search", "토지이음")</f>
        <v/>
      </c>
      <c r="O1144" s="3" t="inlineStr">
        <is>
          <t>세종토박이</t>
        </is>
      </c>
      <c r="P1144" s="4" t="n">
        <v>1</v>
      </c>
      <c r="Q1144" s="4" t="n">
        <v>2384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연동면 예양리 99-5</t>
        </is>
      </c>
      <c r="B1145" s="3" t="inlineStr">
        <is>
          <t>계획관리지역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52800</v>
      </c>
      <c r="G1145" s="4" t="n">
        <v>2384</v>
      </c>
      <c r="H1145" s="4" t="n">
        <v>721</v>
      </c>
      <c r="I1145" s="5" t="n">
        <v>73.2</v>
      </c>
      <c r="J1145" s="5" t="n">
        <v>32.9</v>
      </c>
      <c r="K1145" s="3" t="inlineStr">
        <is>
          <t>3m 도로접한 계획관리</t>
        </is>
      </c>
      <c r="L1145" s="6">
        <f>HYPERLINK("https://fin.land.naver.com/articles/2651242045", "매물Link")</f>
        <v/>
      </c>
      <c r="M1145" s="6">
        <f>HYPERLINK("https://map.naver.com/p/search/연동면 예양리 99-5", "지도Link")</f>
        <v/>
      </c>
      <c r="N1145" s="6">
        <f>HYPERLINK("http://www.eum.go.kr/web/ar/lu/luLandDet.jsp?pnu=3611032026100990005&amp;isNoScr=script&amp;mode=search", "토지이음")</f>
        <v/>
      </c>
      <c r="O1145" s="3" t="inlineStr">
        <is>
          <t>세종땅사랑</t>
        </is>
      </c>
      <c r="P1145" s="4" t="n">
        <v>1</v>
      </c>
      <c r="Q1145" s="4" t="n">
        <v>2384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연동면 응암리 120</t>
        </is>
      </c>
      <c r="B1146" s="3" t="inlineStr">
        <is>
          <t>계획관리지역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210000</v>
      </c>
      <c r="G1146" s="4" t="n">
        <v>3722</v>
      </c>
      <c r="H1146" s="4" t="n">
        <v>1126</v>
      </c>
      <c r="I1146" s="5" t="n">
        <v>186.5</v>
      </c>
      <c r="J1146" s="5" t="n">
        <v>45</v>
      </c>
      <c r="K1146" s="3" t="inlineStr">
        <is>
          <t>도로접한 계획.성장관리계획구역,넓은평수,다용도사용가능</t>
        </is>
      </c>
      <c r="L1146" s="6">
        <f>HYPERLINK("https://fin.land.naver.com/articles/2652750521", "매물Link")</f>
        <v/>
      </c>
      <c r="M1146" s="6">
        <f>HYPERLINK("https://map.naver.com/p/search/연동면 응암리 120", "지도Link")</f>
        <v/>
      </c>
      <c r="N1146" s="6">
        <f>HYPERLINK("http://www.eum.go.kr/web/ar/lu/luLandDet.jsp?pnu=3611032024101200000&amp;isNoScr=script&amp;mode=search", "토지이음")</f>
        <v/>
      </c>
      <c r="O1146" s="3" t="inlineStr">
        <is>
          <t>고운맘</t>
        </is>
      </c>
      <c r="P1146" s="4" t="n">
        <v>1</v>
      </c>
      <c r="Q1146" s="4" t="n">
        <v>3722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세로각지(가)</t>
        </is>
      </c>
    </row>
    <row r="1147">
      <c r="A1147" s="3" t="inlineStr">
        <is>
          <t>연동면 응암리 121-4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81000</v>
      </c>
      <c r="G1147" s="4" t="n">
        <v>1021</v>
      </c>
      <c r="H1147" s="4" t="n">
        <v>309</v>
      </c>
      <c r="I1147" s="5" t="n">
        <v>262.1</v>
      </c>
      <c r="J1147" s="5" t="n">
        <v>67.5</v>
      </c>
      <c r="K1147" s="3" t="inlineStr">
        <is>
          <t>nan</t>
        </is>
      </c>
      <c r="L1147" s="6">
        <f>HYPERLINK("https://fin.land.naver.com/articles/2652148524", "매물Link")</f>
        <v/>
      </c>
      <c r="M1147" s="6">
        <f>HYPERLINK("https://map.naver.com/p/search/연동면 응암리 121-4", "지도Link")</f>
        <v/>
      </c>
      <c r="N1147" s="6">
        <f>HYPERLINK("http://www.eum.go.kr/web/ar/lu/luLandDet.jsp?pnu=3611032024101210004&amp;isNoScr=script&amp;mode=search", "토지이음")</f>
        <v/>
      </c>
      <c r="O1147" s="3" t="inlineStr">
        <is>
          <t>세종지원</t>
        </is>
      </c>
      <c r="P1147" s="4" t="n">
        <v>1</v>
      </c>
      <c r="Q1147" s="4" t="n">
        <v>1025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연동면 응암리 197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23000</v>
      </c>
      <c r="G1148" s="4" t="n">
        <v>634</v>
      </c>
      <c r="H1148" s="4" t="n">
        <v>192</v>
      </c>
      <c r="I1148" s="5" t="n">
        <v>119.8</v>
      </c>
      <c r="J1148" s="5" t="n">
        <v>36.1</v>
      </c>
      <c r="K1148" s="3" t="inlineStr">
        <is>
          <t>마을접한 토지로 지대높아 전원주택으로 안성맞춤</t>
        </is>
      </c>
      <c r="L1148" s="6">
        <f>HYPERLINK("https://fin.land.naver.com/articles/2652067083", "매물Link")</f>
        <v/>
      </c>
      <c r="M1148" s="6">
        <f>HYPERLINK("https://map.naver.com/p/search/연동면 응암리 197", "지도Link")</f>
        <v/>
      </c>
      <c r="N1148" s="6">
        <f>HYPERLINK("http://www.eum.go.kr/web/ar/lu/luLandDet.jsp?pnu=3611032024101970000&amp;isNoScr=script&amp;mode=search", "토지이음")</f>
        <v/>
      </c>
      <c r="O1148" s="3" t="inlineStr">
        <is>
          <t>연동스카이</t>
        </is>
      </c>
      <c r="P1148" s="4" t="n">
        <v>2</v>
      </c>
      <c r="Q1148" s="4" t="n">
        <v>635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연동면 응암리 199-1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25000</v>
      </c>
      <c r="G1149" s="4" t="n">
        <v>743</v>
      </c>
      <c r="H1149" s="4" t="n">
        <v>225</v>
      </c>
      <c r="I1149" s="5" t="n">
        <v>111.1</v>
      </c>
      <c r="J1149" s="5" t="n">
        <v>57</v>
      </c>
      <c r="K1149" s="3" t="inlineStr">
        <is>
          <t>평지,계획관리,대지,도로접,이웃필지 연접가능</t>
        </is>
      </c>
      <c r="L1149" s="6">
        <f>HYPERLINK("https://fin.land.naver.com/articles/2653652417", "매물Link")</f>
        <v/>
      </c>
      <c r="M1149" s="6">
        <f>HYPERLINK("https://map.naver.com/p/search/연동면 응암리 199-1", "지도Link")</f>
        <v/>
      </c>
      <c r="N1149" s="6">
        <f>HYPERLINK("http://www.eum.go.kr/web/ar/lu/luLandDet.jsp?pnu=3611032024101990001&amp;isNoScr=script&amp;mode=search", "토지이음")</f>
        <v/>
      </c>
      <c r="O1149" s="3" t="inlineStr">
        <is>
          <t>세종초이스</t>
        </is>
      </c>
      <c r="P1149" s="4" t="n">
        <v>1</v>
      </c>
      <c r="Q1149" s="4" t="n">
        <v>743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세로각지(가)</t>
        </is>
      </c>
    </row>
    <row r="1150">
      <c r="A1150" s="3" t="inlineStr">
        <is>
          <t>연동면 응암리 253-5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47000</v>
      </c>
      <c r="G1150" s="4" t="n">
        <v>3158</v>
      </c>
      <c r="H1150" s="4" t="n">
        <v>955</v>
      </c>
      <c r="I1150" s="5" t="n">
        <v>49.2</v>
      </c>
      <c r="J1150" s="5" t="n">
        <v>21.5</v>
      </c>
      <c r="K1150" s="3" t="inlineStr">
        <is>
          <t>도로 높이로 성토하여 현재 블루베리 재배 2년차임</t>
        </is>
      </c>
      <c r="L1150" s="6">
        <f>HYPERLINK("https://fin.land.naver.com/articles/2655155886", "매물Link")</f>
        <v/>
      </c>
      <c r="M1150" s="6">
        <f>HYPERLINK("https://map.naver.com/p/search/연동면 응암리 253-5", "지도Link")</f>
        <v/>
      </c>
      <c r="N1150" s="6">
        <f>HYPERLINK("http://www.eum.go.kr/web/ar/lu/luLandDet.jsp?pnu=3611032024102530005&amp;isNoScr=script&amp;mode=search", "토지이음")</f>
        <v/>
      </c>
      <c r="O1150" s="3" t="inlineStr">
        <is>
          <t>그래그</t>
        </is>
      </c>
      <c r="P1150" s="4" t="n">
        <v>1</v>
      </c>
      <c r="Q1150" s="4" t="n">
        <v>3158.4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응암리 257-5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22000</v>
      </c>
      <c r="G1151" s="4" t="n">
        <v>1822</v>
      </c>
      <c r="H1151" s="4" t="n">
        <v>551</v>
      </c>
      <c r="I1151" s="5" t="n">
        <v>39.9</v>
      </c>
      <c r="J1151" s="5" t="n">
        <v>21</v>
      </c>
      <c r="K1151" s="3" t="inlineStr">
        <is>
          <t>nan</t>
        </is>
      </c>
      <c r="L1151" s="6">
        <f>HYPERLINK("https://fin.land.naver.com/articles/2653378678", "매물Link")</f>
        <v/>
      </c>
      <c r="M1151" s="6">
        <f>HYPERLINK("https://map.naver.com/p/search/연동면 응암리 257-5", "지도Link")</f>
        <v/>
      </c>
      <c r="N1151" s="6">
        <f>HYPERLINK("http://www.eum.go.kr/web/ar/lu/luLandDet.jsp?pnu=3611032024102570005&amp;isNoScr=script&amp;mode=search", "토지이음")</f>
        <v/>
      </c>
      <c r="O1151" s="3" t="inlineStr">
        <is>
          <t>세종땅전문</t>
        </is>
      </c>
      <c r="P1151" s="4" t="n">
        <v>1</v>
      </c>
      <c r="Q1151" s="4" t="n">
        <v>1822.2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가로장방</t>
        </is>
      </c>
      <c r="V1151" s="3" t="inlineStr">
        <is>
          <t>세로한면(가)</t>
        </is>
      </c>
    </row>
    <row r="1152">
      <c r="A1152" s="3" t="inlineStr">
        <is>
          <t>연동면 응암리 317</t>
        </is>
      </c>
      <c r="B1152" s="3" t="inlineStr">
        <is>
          <t>계획관리지역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250000</v>
      </c>
      <c r="G1152" s="4" t="n">
        <v>7500</v>
      </c>
      <c r="H1152" s="4" t="n">
        <v>2269</v>
      </c>
      <c r="I1152" s="5" t="n">
        <v>110.2</v>
      </c>
      <c r="J1152" s="5" t="n">
        <v>34.7</v>
      </c>
      <c r="K1152" s="3" t="inlineStr">
        <is>
          <t>1.2차선 도로에서 바로진입 2.남청주IC 7KM소요시간 10분이내</t>
        </is>
      </c>
      <c r="L1152" s="6">
        <f>HYPERLINK("https://fin.land.naver.com/articles/2650176467", "매물Link")</f>
        <v/>
      </c>
      <c r="M1152" s="6">
        <f>HYPERLINK("https://map.naver.com/p/search/연동면 응암리 317", "지도Link")</f>
        <v/>
      </c>
      <c r="N1152" s="6">
        <f>HYPERLINK("http://www.eum.go.kr/web/ar/lu/luLandDet.jsp?pnu=3611032024103170000&amp;isNoScr=script&amp;mode=search", "토지이음")</f>
        <v/>
      </c>
      <c r="O1152" s="3" t="inlineStr">
        <is>
          <t>연동스카이</t>
        </is>
      </c>
      <c r="P1152" s="4" t="n">
        <v>1</v>
      </c>
      <c r="Q1152" s="4" t="n">
        <v>3700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맹지</t>
        </is>
      </c>
    </row>
    <row r="1153">
      <c r="A1153" s="3" t="inlineStr">
        <is>
          <t>연동면 응암리 317</t>
        </is>
      </c>
      <c r="B1153" s="3" t="inlineStr">
        <is>
          <t>계획관리지역</t>
        </is>
      </c>
      <c r="C1153" s="3" t="inlineStr">
        <is>
          <t>전</t>
        </is>
      </c>
      <c r="D1153" s="3" t="inlineStr">
        <is>
          <t>답</t>
        </is>
      </c>
      <c r="E1153" s="3" t="inlineStr">
        <is>
          <t>매매</t>
        </is>
      </c>
      <c r="F1153" s="4" t="n">
        <v>250000</v>
      </c>
      <c r="G1153" s="4" t="n">
        <v>7500</v>
      </c>
      <c r="H1153" s="4" t="n">
        <v>2269</v>
      </c>
      <c r="I1153" s="5" t="n">
        <v>110.2</v>
      </c>
      <c r="J1153" s="5" t="n">
        <v>34.7</v>
      </c>
      <c r="K1153" s="3" t="inlineStr">
        <is>
          <t>주변시세대비 저렴한 토지, 공장, 창고, 기타 환영.</t>
        </is>
      </c>
      <c r="L1153" s="6">
        <f>HYPERLINK("https://fin.land.naver.com/articles/2651776616", "매물Link")</f>
        <v/>
      </c>
      <c r="M1153" s="6">
        <f>HYPERLINK("https://map.naver.com/p/search/연동면 응암리 317", "지도Link")</f>
        <v/>
      </c>
      <c r="N1153" s="6">
        <f>HYPERLINK("http://www.eum.go.kr/web/ar/lu/luLandDet.jsp?pnu=3611032024103170000&amp;isNoScr=script&amp;mode=search", "토지이음")</f>
        <v/>
      </c>
      <c r="O1153" s="3" t="inlineStr">
        <is>
          <t>대박</t>
        </is>
      </c>
      <c r="P1153" s="4" t="n">
        <v>1</v>
      </c>
      <c r="Q1153" s="4" t="n">
        <v>3700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연동면 응암리 352-1</t>
        </is>
      </c>
      <c r="B1154" s="3" t="inlineStr">
        <is>
          <t>계획관리지역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65000</v>
      </c>
      <c r="G1154" s="4" t="n">
        <v>1778</v>
      </c>
      <c r="H1154" s="4" t="n">
        <v>538</v>
      </c>
      <c r="I1154" s="5" t="n">
        <v>120.8</v>
      </c>
      <c r="J1154" s="5" t="n">
        <v>17.2</v>
      </c>
      <c r="K1154" s="3" t="inlineStr">
        <is>
          <t>도로접한 계획관리 지역</t>
        </is>
      </c>
      <c r="L1154" s="6">
        <f>HYPERLINK("https://fin.land.naver.com/articles/2653004802", "매물Link")</f>
        <v/>
      </c>
      <c r="M1154" s="6">
        <f>HYPERLINK("https://map.naver.com/p/search/연동면 응암리 352-1", "지도Link")</f>
        <v/>
      </c>
      <c r="N1154" s="6">
        <f>HYPERLINK("http://www.eum.go.kr/web/ar/lu/luLandDet.jsp?pnu=3611032024103520001&amp;isNoScr=script&amp;mode=search", "토지이음")</f>
        <v/>
      </c>
      <c r="O1154" s="3" t="inlineStr">
        <is>
          <t>OK세종 사무소</t>
        </is>
      </c>
      <c r="P1154" s="4" t="n">
        <v>1</v>
      </c>
      <c r="Q1154" s="4" t="n">
        <v>992</v>
      </c>
      <c r="R1154" s="3" t="inlineStr">
        <is>
          <t>지정되지않음</t>
        </is>
      </c>
      <c r="S1154" s="3" t="inlineStr">
        <is>
          <t>자연림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연동면 응암리 47-3</t>
        </is>
      </c>
      <c r="B1155" s="3" t="inlineStr">
        <is>
          <t>계획관리지역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105000</v>
      </c>
      <c r="G1155" s="4" t="n">
        <v>1742</v>
      </c>
      <c r="H1155" s="4" t="n">
        <v>527</v>
      </c>
      <c r="I1155" s="5" t="n">
        <v>199.2</v>
      </c>
      <c r="J1155" s="5" t="n">
        <v>48.7</v>
      </c>
      <c r="K1155" s="3" t="inlineStr">
        <is>
          <t>세종시 연동면 투자가치 좋은 토지</t>
        </is>
      </c>
      <c r="L1155" s="6">
        <f>HYPERLINK("https://fin.land.naver.com/articles/2652703680", "매물Link")</f>
        <v/>
      </c>
      <c r="M1155" s="6">
        <f>HYPERLINK("https://map.naver.com/p/search/연동면 응암리 47-3", "지도Link")</f>
        <v/>
      </c>
      <c r="N1155" s="6">
        <f>HYPERLINK("http://www.eum.go.kr/web/ar/lu/luLandDet.jsp?pnu=3611032024100470003&amp;isNoScr=script&amp;mode=search", "토지이음")</f>
        <v/>
      </c>
      <c r="O1155" s="3" t="inlineStr">
        <is>
          <t>365</t>
        </is>
      </c>
      <c r="P1155" s="4" t="n">
        <v>1</v>
      </c>
      <c r="Q1155" s="4" t="n">
        <v>1742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연동면 응암리 479-8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30000</v>
      </c>
      <c r="G1156" s="4" t="n">
        <v>2552</v>
      </c>
      <c r="H1156" s="4" t="n">
        <v>772</v>
      </c>
      <c r="I1156" s="5" t="n">
        <v>38.9</v>
      </c>
      <c r="J1156" s="5" t="n">
        <v>22.9</v>
      </c>
      <c r="K1156" s="3" t="inlineStr">
        <is>
          <t>저렴한 농지 가격 레고 가능</t>
        </is>
      </c>
      <c r="L1156" s="6">
        <f>HYPERLINK("https://fin.land.naver.com/articles/2653378812", "매물Link")</f>
        <v/>
      </c>
      <c r="M1156" s="6">
        <f>HYPERLINK("https://map.naver.com/p/search/연동면 응암리 479-8", "지도Link")</f>
        <v/>
      </c>
      <c r="N1156" s="6">
        <f>HYPERLINK("http://www.eum.go.kr/web/ar/lu/luLandDet.jsp?pnu=3611032024104790008&amp;isNoScr=script&amp;mode=search", "토지이음")</f>
        <v/>
      </c>
      <c r="O1156" s="3" t="inlineStr">
        <is>
          <t>세종땅전문</t>
        </is>
      </c>
      <c r="P1156" s="4" t="n">
        <v>1</v>
      </c>
      <c r="Q1156" s="4" t="n">
        <v>2551.9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연동면 응암리 481-1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56800</v>
      </c>
      <c r="G1157" s="4" t="n">
        <v>2350</v>
      </c>
      <c r="H1157" s="4" t="n">
        <v>711</v>
      </c>
      <c r="I1157" s="5" t="n">
        <v>79.90000000000001</v>
      </c>
      <c r="J1157" s="5" t="n">
        <v>22.4</v>
      </c>
      <c r="K1157" s="3" t="inlineStr">
        <is>
          <t>세종 연동면 응암리 대형 농지 매매</t>
        </is>
      </c>
      <c r="L1157" s="6">
        <f>HYPERLINK("https://fin.land.naver.com/articles/2652344225", "매물Link")</f>
        <v/>
      </c>
      <c r="M1157" s="6">
        <f>HYPERLINK("https://map.naver.com/p/search/연동면 응암리 481-1", "지도Link")</f>
        <v/>
      </c>
      <c r="N1157" s="6">
        <f>HYPERLINK("http://www.eum.go.kr/web/ar/lu/luLandDet.jsp?pnu=3611032024104810001&amp;isNoScr=script&amp;mode=search", "토지이음")</f>
        <v/>
      </c>
      <c r="O1157" s="3" t="inlineStr">
        <is>
          <t>세종몽땅</t>
        </is>
      </c>
      <c r="P1157" s="4" t="n">
        <v>1</v>
      </c>
      <c r="Q1157" s="4" t="n">
        <v>2350.7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연동면 응암리 555-1</t>
        </is>
      </c>
      <c r="B1158" s="3" t="inlineStr">
        <is>
          <t>계획관리지역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120000</v>
      </c>
      <c r="G1158" s="4" t="n">
        <v>2863</v>
      </c>
      <c r="H1158" s="4" t="n">
        <v>866</v>
      </c>
      <c r="I1158" s="5" t="n">
        <v>138.6</v>
      </c>
      <c r="J1158" s="5" t="n">
        <v>55.4</v>
      </c>
      <c r="K1158" s="3" t="inlineStr">
        <is>
          <t>계획관리.도로접,투자용,물류교통최상,세종5생활권근접,남청주ic인접</t>
        </is>
      </c>
      <c r="L1158" s="6">
        <f>HYPERLINK("https://fin.land.naver.com/articles/2652162730", "매물Link")</f>
        <v/>
      </c>
      <c r="M1158" s="6">
        <f>HYPERLINK("https://map.naver.com/p/search/연동면 응암리 555-1", "지도Link")</f>
        <v/>
      </c>
      <c r="N1158" s="6">
        <f>HYPERLINK("http://www.eum.go.kr/web/ar/lu/luLandDet.jsp?pnu=3611032024105550001&amp;isNoScr=script&amp;mode=search", "토지이음")</f>
        <v/>
      </c>
      <c r="O1158" s="3" t="inlineStr">
        <is>
          <t>옥산제일사무소</t>
        </is>
      </c>
      <c r="P1158" s="4" t="n">
        <v>1</v>
      </c>
      <c r="Q1158" s="4" t="n">
        <v>2863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소로한면</t>
        </is>
      </c>
    </row>
    <row r="1159">
      <c r="A1159" s="3" t="inlineStr">
        <is>
          <t>연동면 응암리 584-13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100000</v>
      </c>
      <c r="G1159" s="4" t="n">
        <v>1429</v>
      </c>
      <c r="H1159" s="4" t="n">
        <v>432</v>
      </c>
      <c r="I1159" s="5" t="n">
        <v>231.5</v>
      </c>
      <c r="J1159" s="5" t="n">
        <v>103.4</v>
      </c>
      <c r="K1159" s="3" t="inlineStr">
        <is>
          <t>2차선도로접  명학산업단지 5생활권 남청주ic 인근</t>
        </is>
      </c>
      <c r="L1159" s="6">
        <f>HYPERLINK("https://fin.land.naver.com/articles/2650660360", "매물Link")</f>
        <v/>
      </c>
      <c r="M1159" s="6">
        <f>HYPERLINK("https://map.naver.com/p/search/연동면 응암리 584-13", "지도Link")</f>
        <v/>
      </c>
      <c r="N1159" s="6">
        <f>HYPERLINK("http://www.eum.go.kr/web/ar/lu/luLandDet.jsp?pnu=3611032024105840013&amp;isNoScr=script&amp;mode=search", "토지이음")</f>
        <v/>
      </c>
      <c r="O1159" s="3" t="inlineStr">
        <is>
          <t>세종로또</t>
        </is>
      </c>
      <c r="P1159" s="4" t="n">
        <v>1</v>
      </c>
      <c r="Q1159" s="4" t="n">
        <v>766</v>
      </c>
      <c r="R1159" s="3" t="inlineStr">
        <is>
          <t>지정되지않음</t>
        </is>
      </c>
      <c r="S1159" s="3" t="inlineStr">
        <is>
          <t>주거기타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연동면 응암리 584-13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105000</v>
      </c>
      <c r="G1160" s="4" t="n">
        <v>1429</v>
      </c>
      <c r="H1160" s="4" t="n">
        <v>432</v>
      </c>
      <c r="I1160" s="5" t="n">
        <v>243.1</v>
      </c>
      <c r="J1160" s="5" t="n">
        <v>103.4</v>
      </c>
      <c r="K1160" s="3" t="inlineStr">
        <is>
          <t>2차선 도로접한,대,평지로 땅모양 좋아요,5생활권 및 명학 산업단지 근접</t>
        </is>
      </c>
      <c r="L1160" s="6">
        <f>HYPERLINK("https://fin.land.naver.com/articles/2652213741", "매물Link")</f>
        <v/>
      </c>
      <c r="M1160" s="6">
        <f>HYPERLINK("https://map.naver.com/p/search/연동면 응암리 584-13", "지도Link")</f>
        <v/>
      </c>
      <c r="N1160" s="6">
        <f>HYPERLINK("http://www.eum.go.kr/web/ar/lu/luLandDet.jsp?pnu=3611032024105840013&amp;isNoScr=script&amp;mode=search", "토지이음")</f>
        <v/>
      </c>
      <c r="O1160" s="3" t="inlineStr">
        <is>
          <t>해밀탑</t>
        </is>
      </c>
      <c r="P1160" s="4" t="n">
        <v>2</v>
      </c>
      <c r="Q1160" s="4" t="n">
        <v>766</v>
      </c>
      <c r="R1160" s="3" t="inlineStr">
        <is>
          <t>지정되지않음</t>
        </is>
      </c>
      <c r="S1160" s="3" t="inlineStr">
        <is>
          <t>주거기타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소로한면</t>
        </is>
      </c>
    </row>
    <row r="1161">
      <c r="A1161" s="3" t="inlineStr">
        <is>
          <t>연동면 응암리 602-3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27000</v>
      </c>
      <c r="G1161" s="4" t="n">
        <v>452</v>
      </c>
      <c r="H1161" s="4" t="n">
        <v>137</v>
      </c>
      <c r="I1161" s="5" t="n">
        <v>197.1</v>
      </c>
      <c r="J1161" s="5" t="n">
        <v>89.90000000000001</v>
      </c>
      <c r="K1161" s="3" t="inlineStr">
        <is>
          <t>nan</t>
        </is>
      </c>
      <c r="L1161" s="6">
        <f>HYPERLINK("https://fin.land.naver.com/articles/2651560789", "매물Link")</f>
        <v/>
      </c>
      <c r="M1161" s="6">
        <f>HYPERLINK("https://map.naver.com/p/search/연동면 응암리 602-3", "지도Link")</f>
        <v/>
      </c>
      <c r="N1161" s="6">
        <f>HYPERLINK("http://www.eum.go.kr/web/ar/lu/luLandDet.jsp?pnu=3611032024106020003&amp;isNoScr=script&amp;mode=search", "토지이음")</f>
        <v/>
      </c>
      <c r="O1161" s="3" t="inlineStr">
        <is>
          <t>부엉이</t>
        </is>
      </c>
      <c r="P1161" s="4" t="n">
        <v>1</v>
      </c>
      <c r="Q1161" s="4" t="n">
        <v>188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세로한면(가)</t>
        </is>
      </c>
    </row>
    <row r="1162">
      <c r="A1162" s="3" t="inlineStr">
        <is>
          <t>연동면 응암리 694</t>
        </is>
      </c>
      <c r="B1162" s="3" t="inlineStr">
        <is>
          <t>계획관리지역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32000</v>
      </c>
      <c r="G1162" s="4" t="n">
        <v>1769</v>
      </c>
      <c r="H1162" s="4" t="n">
        <v>535</v>
      </c>
      <c r="I1162" s="5" t="n">
        <v>59.8</v>
      </c>
      <c r="J1162" s="5" t="n">
        <v>36.4</v>
      </c>
      <c r="K1162" s="3" t="inlineStr">
        <is>
          <t>연동면 응암리 계획관리지역</t>
        </is>
      </c>
      <c r="L1162" s="6">
        <f>HYPERLINK("https://fin.land.naver.com/articles/2649787914", "매물Link")</f>
        <v/>
      </c>
      <c r="M1162" s="6">
        <f>HYPERLINK("https://map.naver.com/p/search/연동면 응암리 694", "지도Link")</f>
        <v/>
      </c>
      <c r="N1162" s="6">
        <f>HYPERLINK("http://www.eum.go.kr/web/ar/lu/luLandDet.jsp?pnu=3611032024106940000&amp;isNoScr=script&amp;mode=search", "토지이음")</f>
        <v/>
      </c>
      <c r="O1162" s="3" t="inlineStr">
        <is>
          <t>KB세종</t>
        </is>
      </c>
      <c r="P1162" s="4" t="n">
        <v>1</v>
      </c>
      <c r="Q1162" s="4" t="n">
        <v>1769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연동면 응암리 738-8</t>
        </is>
      </c>
      <c r="B1163" s="3" t="inlineStr">
        <is>
          <t>계획관리지역</t>
        </is>
      </c>
      <c r="C1163" s="3" t="inlineStr">
        <is>
          <t>주유소용지</t>
        </is>
      </c>
      <c r="D1163" s="3" t="inlineStr">
        <is>
          <t>주유소용지</t>
        </is>
      </c>
      <c r="E1163" s="3" t="inlineStr">
        <is>
          <t>매매</t>
        </is>
      </c>
      <c r="F1163" s="4" t="n">
        <v>270000</v>
      </c>
      <c r="G1163" s="4" t="n">
        <v>1420</v>
      </c>
      <c r="H1163" s="4" t="n">
        <v>430</v>
      </c>
      <c r="I1163" s="5" t="n">
        <v>627.9</v>
      </c>
      <c r="J1163" s="5" t="n">
        <v>160</v>
      </c>
      <c r="K1163" s="3" t="inlineStr">
        <is>
          <t>행정중심복합도시 진입 방향 건축가능한 나대지</t>
        </is>
      </c>
      <c r="L1163" s="6">
        <f>HYPERLINK("https://fin.land.naver.com/articles/2654934396", "매물Link")</f>
        <v/>
      </c>
      <c r="M1163" s="6">
        <f>HYPERLINK("https://map.naver.com/p/search/연동면 응암리 738-8", "지도Link")</f>
        <v/>
      </c>
      <c r="N1163" s="6">
        <f>HYPERLINK("http://www.eum.go.kr/web/ar/lu/luLandDet.jsp?pnu=3611032024107380008&amp;isNoScr=script&amp;mode=search", "토지이음")</f>
        <v/>
      </c>
      <c r="O1163" s="3" t="inlineStr">
        <is>
          <t>남산제일</t>
        </is>
      </c>
      <c r="P1163" s="4" t="n">
        <v>1</v>
      </c>
      <c r="Q1163" s="4" t="n">
        <v>1420</v>
      </c>
      <c r="R1163" s="3" t="inlineStr">
        <is>
          <t>지정되지않음</t>
        </is>
      </c>
      <c r="S1163" s="3" t="inlineStr">
        <is>
          <t>상업용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연동면 응암리 749-2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147000</v>
      </c>
      <c r="G1164" s="4" t="n">
        <v>972</v>
      </c>
      <c r="H1164" s="4" t="n">
        <v>294</v>
      </c>
      <c r="I1164" s="5" t="n">
        <v>500</v>
      </c>
      <c r="J1164" s="5" t="n">
        <v>76.2</v>
      </c>
      <c r="K1164" s="3" t="inlineStr">
        <is>
          <t>2차선접,땅모양 굿</t>
        </is>
      </c>
      <c r="L1164" s="6">
        <f>HYPERLINK("https://fin.land.naver.com/articles/2649526799", "매물Link")</f>
        <v/>
      </c>
      <c r="M1164" s="6">
        <f>HYPERLINK("https://map.naver.com/p/search/연동면 응암리 749-2", "지도Link")</f>
        <v/>
      </c>
      <c r="N1164" s="6">
        <f>HYPERLINK("http://www.eum.go.kr/web/ar/lu/luLandDet.jsp?pnu=3611032024107490002&amp;isNoScr=script&amp;mode=search", "토지이음")</f>
        <v/>
      </c>
      <c r="O1164" s="3" t="inlineStr">
        <is>
          <t>힐스테이트행복</t>
        </is>
      </c>
      <c r="P1164" s="4" t="n">
        <v>1</v>
      </c>
      <c r="Q1164" s="4" t="n">
        <v>972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소로한면</t>
        </is>
      </c>
    </row>
    <row r="1165">
      <c r="A1165" s="3" t="inlineStr">
        <is>
          <t>연동면 응암리 752-2</t>
        </is>
      </c>
      <c r="B1165" s="3" t="inlineStr">
        <is>
          <t>계획관리지역</t>
        </is>
      </c>
      <c r="C1165" s="3" t="inlineStr">
        <is>
          <t>잡종지</t>
        </is>
      </c>
      <c r="D1165" s="3" t="inlineStr">
        <is>
          <t>잡종지</t>
        </is>
      </c>
      <c r="E1165" s="3" t="inlineStr">
        <is>
          <t>매매</t>
        </is>
      </c>
      <c r="F1165" s="4" t="n">
        <v>300000</v>
      </c>
      <c r="G1165" s="4" t="n">
        <v>2428</v>
      </c>
      <c r="H1165" s="4" t="n">
        <v>734</v>
      </c>
      <c r="I1165" s="5" t="n">
        <v>408.7</v>
      </c>
      <c r="J1165" s="5" t="n">
        <v>133</v>
      </c>
      <c r="K1165" s="3" t="inlineStr">
        <is>
          <t>2차선도로변, 5생활권주변, 카센터,타이어,물류,상가 등 추천</t>
        </is>
      </c>
      <c r="L1165" s="6">
        <f>HYPERLINK("https://fin.land.naver.com/articles/2649691502", "매물Link")</f>
        <v/>
      </c>
      <c r="M1165" s="6">
        <f>HYPERLINK("https://map.naver.com/p/search/연동면 응암리 752-2", "지도Link")</f>
        <v/>
      </c>
      <c r="N1165" s="6">
        <f>HYPERLINK("http://www.eum.go.kr/web/ar/lu/luLandDet.jsp?pnu=3611032024107520002&amp;isNoScr=script&amp;mode=search", "토지이음")</f>
        <v/>
      </c>
      <c r="O1165" s="3" t="inlineStr">
        <is>
          <t>세종큰길</t>
        </is>
      </c>
      <c r="P1165" s="4" t="n">
        <v>1</v>
      </c>
      <c r="Q1165" s="4" t="n">
        <v>628</v>
      </c>
      <c r="R1165" s="3" t="inlineStr">
        <is>
          <t>지정되지않음</t>
        </is>
      </c>
      <c r="S1165" s="3" t="inlineStr">
        <is>
          <t>주상용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연동면 응암리 산 28-9</t>
        </is>
      </c>
      <c r="B1166" s="3" t="inlineStr">
        <is>
          <t>계획관리지역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월세</t>
        </is>
      </c>
      <c r="F1166" s="4" t="n">
        <v>3000</v>
      </c>
      <c r="G1166" s="4" t="n">
        <v>8487</v>
      </c>
      <c r="H1166" s="4" t="n">
        <v>2567</v>
      </c>
      <c r="I1166" s="5" t="n">
        <v>0.4</v>
      </c>
      <c r="J1166" s="5" t="n">
        <v>16.9</v>
      </c>
      <c r="K1166" s="3" t="inlineStr">
        <is>
          <t>2차선도로 대형차량도 바로진입, 야적장 및 차고지등 추천</t>
        </is>
      </c>
      <c r="L1166" s="6">
        <f>HYPERLINK("https://fin.land.naver.com/articles/2652120642", "매물Link")</f>
        <v/>
      </c>
      <c r="M1166" s="6">
        <f>HYPERLINK("https://map.naver.com/p/search/연동면 응암리 산 28-9", "지도Link")</f>
        <v/>
      </c>
      <c r="N1166" s="6">
        <f>HYPERLINK("http://www.eum.go.kr/web/ar/lu/luLandDet.jsp?pnu=3611032024200280009&amp;isNoScr=script&amp;mode=search", "토지이음")</f>
        <v/>
      </c>
      <c r="O1166" s="3" t="inlineStr">
        <is>
          <t>연동스카이</t>
        </is>
      </c>
      <c r="P1166" s="4" t="n">
        <v>1</v>
      </c>
      <c r="Q1166" s="4" t="n">
        <v>8487</v>
      </c>
      <c r="R1166" s="3" t="inlineStr">
        <is>
          <t>지정되지않음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연동면 응암리 산42-6</t>
        </is>
      </c>
      <c r="B1167" s="3" t="inlineStr">
        <is>
          <t>계획관리지역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220000</v>
      </c>
      <c r="G1167" s="4" t="n">
        <v>5620</v>
      </c>
      <c r="H1167" s="4" t="n">
        <v>1700</v>
      </c>
      <c r="I1167" s="5" t="n">
        <v>129.4</v>
      </c>
      <c r="J1167" s="5" t="n">
        <v>13.1</v>
      </c>
      <c r="K1167" s="3" t="inlineStr">
        <is>
          <t>계획관리지역.4미터포장진입도로있음.물류창고용도활용가능.준보전산지.종중임야</t>
        </is>
      </c>
      <c r="L1167" s="6">
        <f>HYPERLINK("https://fin.land.naver.com/articles/2650950524", "매물Link")</f>
        <v/>
      </c>
      <c r="M1167" s="6">
        <f>HYPERLINK("https://map.naver.com/p/search/연동면 응암리 산42-6", "지도Link")</f>
        <v/>
      </c>
      <c r="N1167" s="6">
        <f>HYPERLINK("http://www.eum.go.kr/web/ar/lu/luLandDet.jsp?pnu=3611032024200420006&amp;isNoScr=script&amp;mode=search", "토지이음")</f>
        <v/>
      </c>
      <c r="O1167" s="3" t="inlineStr">
        <is>
          <t>돈방석</t>
        </is>
      </c>
      <c r="P1167" s="4" t="n">
        <v>1</v>
      </c>
      <c r="Q1167" s="4" t="n">
        <v>5620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세로한면(불)</t>
        </is>
      </c>
    </row>
    <row r="1168">
      <c r="A1168" s="3" t="inlineStr">
        <is>
          <t>연동면 합강리 485-10</t>
        </is>
      </c>
      <c r="B1168" s="3" t="inlineStr">
        <is>
          <t>보전관리지역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70000</v>
      </c>
      <c r="G1168" s="4" t="n">
        <v>655</v>
      </c>
      <c r="H1168" s="4" t="n">
        <v>198</v>
      </c>
      <c r="I1168" s="5" t="n">
        <v>353.5</v>
      </c>
      <c r="J1168" s="5" t="n">
        <v>165</v>
      </c>
      <c r="K1168" s="3" t="inlineStr">
        <is>
          <t>조율가능 남향 금강조망 전원주택지 급매</t>
        </is>
      </c>
      <c r="L1168" s="6">
        <f>HYPERLINK("https://fin.land.naver.com/articles/2654330711", "매물Link")</f>
        <v/>
      </c>
      <c r="M1168" s="6">
        <f>HYPERLINK("https://map.naver.com/p/search/연동면 합강리 485-10", "지도Link")</f>
        <v/>
      </c>
      <c r="N1168" s="6">
        <f>HYPERLINK("http://www.eum.go.kr/web/ar/lu/luLandDet.jsp?pnu=3611032028104850010&amp;isNoScr=script&amp;mode=search", "토지이음")</f>
        <v/>
      </c>
      <c r="O1168" s="3" t="inlineStr">
        <is>
          <t>세종스타</t>
        </is>
      </c>
      <c r="P1168" s="4" t="n">
        <v>1</v>
      </c>
      <c r="Q1168" s="4" t="n">
        <v>414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완경사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연동면 합강리 485-10</t>
        </is>
      </c>
      <c r="B1169" s="3" t="inlineStr">
        <is>
          <t>보전관리지역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70000</v>
      </c>
      <c r="G1169" s="4" t="n">
        <v>655</v>
      </c>
      <c r="H1169" s="4" t="n">
        <v>198</v>
      </c>
      <c r="I1169" s="5" t="n">
        <v>353.5</v>
      </c>
      <c r="J1169" s="5" t="n">
        <v>165</v>
      </c>
      <c r="K1169" s="3" t="inlineStr">
        <is>
          <t>강이 보이는 남향의 최고의 전원주택 부지 급 매매</t>
        </is>
      </c>
      <c r="L1169" s="6">
        <f>HYPERLINK("https://fin.land.naver.com/articles/2650228949", "매물Link")</f>
        <v/>
      </c>
      <c r="M1169" s="6">
        <f>HYPERLINK("https://map.naver.com/p/search/연동면 합강리 485-10", "지도Link")</f>
        <v/>
      </c>
      <c r="N1169" s="6">
        <f>HYPERLINK("http://www.eum.go.kr/web/ar/lu/luLandDet.jsp?pnu=3611032028104850010&amp;isNoScr=script&amp;mode=search", "토지이음")</f>
        <v/>
      </c>
      <c r="O1169" s="3" t="inlineStr">
        <is>
          <t>대전토지로무소</t>
        </is>
      </c>
      <c r="P1169" s="4" t="n">
        <v>1</v>
      </c>
      <c r="Q1169" s="4" t="n">
        <v>414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연동면 합강리 486-41</t>
        </is>
      </c>
      <c r="B1170" s="3" t="inlineStr">
        <is>
          <t>농림지역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73000</v>
      </c>
      <c r="G1170" s="4" t="n">
        <v>12036</v>
      </c>
      <c r="H1170" s="4" t="n">
        <v>3641</v>
      </c>
      <c r="I1170" s="5" t="n">
        <v>20</v>
      </c>
      <c r="J1170" s="5" t="n">
        <v>6</v>
      </c>
      <c r="K1170" s="3" t="inlineStr">
        <is>
          <t>nan</t>
        </is>
      </c>
      <c r="L1170" s="6">
        <f>HYPERLINK("https://fin.land.naver.com/articles/2650048011", "매물Link")</f>
        <v/>
      </c>
      <c r="M1170" s="6">
        <f>HYPERLINK("https://map.naver.com/p/search/연동면 합강리 486-41", "지도Link")</f>
        <v/>
      </c>
      <c r="N1170" s="6">
        <f>HYPERLINK("http://www.eum.go.kr/web/ar/lu/luLandDet.jsp?pnu=3611032028104860041&amp;isNoScr=script&amp;mode=search", "토지이음")</f>
        <v/>
      </c>
      <c r="O1170" s="3" t="inlineStr">
        <is>
          <t>하이엔드</t>
        </is>
      </c>
      <c r="P1170" s="4" t="n">
        <v>1</v>
      </c>
      <c r="Q1170" s="4" t="n">
        <v>10686</v>
      </c>
      <c r="R1170" s="3" t="inlineStr">
        <is>
          <t>보전관리지역</t>
        </is>
      </c>
      <c r="S1170" s="3" t="inlineStr">
        <is>
          <t>자연림</t>
        </is>
      </c>
      <c r="T1170" s="3" t="inlineStr">
        <is>
          <t>급경사</t>
        </is>
      </c>
      <c r="U1170" s="3" t="inlineStr">
        <is>
          <t>부정형</t>
        </is>
      </c>
      <c r="V1170" s="3" t="inlineStr">
        <is>
          <t>맹지</t>
        </is>
      </c>
    </row>
    <row r="1171">
      <c r="A1171" s="3" t="inlineStr">
        <is>
          <t>연동면 합강리 486-41</t>
        </is>
      </c>
      <c r="B1171" s="3" t="inlineStr">
        <is>
          <t>농림지역</t>
        </is>
      </c>
      <c r="C1171" s="3" t="inlineStr">
        <is>
          <t>임야</t>
        </is>
      </c>
      <c r="D1171" s="3" t="inlineStr">
        <is>
          <t>임야</t>
        </is>
      </c>
      <c r="E1171" s="3" t="inlineStr">
        <is>
          <t>매매</t>
        </is>
      </c>
      <c r="F1171" s="4" t="n">
        <v>73000</v>
      </c>
      <c r="G1171" s="4" t="n">
        <v>12036</v>
      </c>
      <c r="H1171" s="4" t="n">
        <v>3641</v>
      </c>
      <c r="I1171" s="5" t="n">
        <v>20</v>
      </c>
      <c r="J1171" s="5" t="n">
        <v>6</v>
      </c>
      <c r="K1171" s="3" t="inlineStr">
        <is>
          <t>조망이 좋고 투자가치가 높음, 인근에 비해 가격이 좋음</t>
        </is>
      </c>
      <c r="L1171" s="6">
        <f>HYPERLINK("https://fin.land.naver.com/articles/2654281254", "매물Link")</f>
        <v/>
      </c>
      <c r="M1171" s="6">
        <f>HYPERLINK("https://map.naver.com/p/search/연동면 합강리 486-41", "지도Link")</f>
        <v/>
      </c>
      <c r="N1171" s="6">
        <f>HYPERLINK("http://www.eum.go.kr/web/ar/lu/luLandDet.jsp?pnu=3611032028104860041&amp;isNoScr=script&amp;mode=search", "토지이음")</f>
        <v/>
      </c>
      <c r="O1171" s="3" t="inlineStr">
        <is>
          <t>새날</t>
        </is>
      </c>
      <c r="P1171" s="4" t="n">
        <v>1</v>
      </c>
      <c r="Q1171" s="4" t="n">
        <v>10686</v>
      </c>
      <c r="R1171" s="3" t="inlineStr">
        <is>
          <t>보전관리지역</t>
        </is>
      </c>
      <c r="S1171" s="3" t="inlineStr">
        <is>
          <t>자연림</t>
        </is>
      </c>
      <c r="T1171" s="3" t="inlineStr">
        <is>
          <t>급경사</t>
        </is>
      </c>
      <c r="U1171" s="3" t="inlineStr">
        <is>
          <t>부정형</t>
        </is>
      </c>
      <c r="V1171" s="3" t="inlineStr">
        <is>
          <t>맹지</t>
        </is>
      </c>
    </row>
    <row r="1172">
      <c r="A1172" s="3" t="inlineStr">
        <is>
          <t>연동면 합강리 486-41</t>
        </is>
      </c>
      <c r="B1172" s="3" t="inlineStr">
        <is>
          <t>농림지역</t>
        </is>
      </c>
      <c r="C1172" s="3" t="inlineStr">
        <is>
          <t>임야</t>
        </is>
      </c>
      <c r="D1172" s="3" t="inlineStr">
        <is>
          <t>임야</t>
        </is>
      </c>
      <c r="E1172" s="3" t="inlineStr">
        <is>
          <t>매매</t>
        </is>
      </c>
      <c r="F1172" s="4" t="n">
        <v>110000</v>
      </c>
      <c r="G1172" s="4" t="n">
        <v>12036</v>
      </c>
      <c r="H1172" s="4" t="n">
        <v>3641</v>
      </c>
      <c r="I1172" s="5" t="n">
        <v>30.2</v>
      </c>
      <c r="J1172" s="5" t="n">
        <v>6</v>
      </c>
      <c r="K1172" s="3" t="inlineStr">
        <is>
          <t>세종시 연동면 합강리 금강 인근 임야 매매</t>
        </is>
      </c>
      <c r="L1172" s="6">
        <f>HYPERLINK("https://fin.land.naver.com/articles/2653813136", "매물Link")</f>
        <v/>
      </c>
      <c r="M1172" s="6">
        <f>HYPERLINK("https://map.naver.com/p/search/연동면 합강리 486-41", "지도Link")</f>
        <v/>
      </c>
      <c r="N1172" s="6">
        <f>HYPERLINK("http://www.eum.go.kr/web/ar/lu/luLandDet.jsp?pnu=3611032028104860041&amp;isNoScr=script&amp;mode=search", "토지이음")</f>
        <v/>
      </c>
      <c r="O1172" s="3" t="inlineStr">
        <is>
          <t>뉴스카이</t>
        </is>
      </c>
      <c r="P1172" s="4" t="n">
        <v>1</v>
      </c>
      <c r="Q1172" s="4" t="n">
        <v>10686</v>
      </c>
      <c r="R1172" s="3" t="inlineStr">
        <is>
          <t>보전관리지역</t>
        </is>
      </c>
      <c r="S1172" s="3" t="inlineStr">
        <is>
          <t>자연림</t>
        </is>
      </c>
      <c r="T1172" s="3" t="inlineStr">
        <is>
          <t>급경사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연동면 합강리 490-14</t>
        </is>
      </c>
      <c r="B1173" s="3" t="inlineStr">
        <is>
          <t>보전관리지역</t>
        </is>
      </c>
      <c r="C1173" s="3" t="inlineStr">
        <is>
          <t>임야</t>
        </is>
      </c>
      <c r="D1173" s="3" t="inlineStr">
        <is>
          <t>임야</t>
        </is>
      </c>
      <c r="E1173" s="3" t="inlineStr">
        <is>
          <t>매매</t>
        </is>
      </c>
      <c r="F1173" s="4" t="n">
        <v>103000</v>
      </c>
      <c r="G1173" s="4" t="n">
        <v>682</v>
      </c>
      <c r="H1173" s="4" t="n">
        <v>206</v>
      </c>
      <c r="I1173" s="5" t="n">
        <v>500</v>
      </c>
      <c r="J1173" s="5" t="n">
        <v>165</v>
      </c>
      <c r="K1173" s="3" t="inlineStr">
        <is>
          <t>5생활권 인접한 세종의 꽃 합강리 무릉도원 배산임수 명당</t>
        </is>
      </c>
      <c r="L1173" s="6">
        <f>HYPERLINK("https://fin.land.naver.com/articles/2651745407", "매물Link")</f>
        <v/>
      </c>
      <c r="M1173" s="6">
        <f>HYPERLINK("https://map.naver.com/p/search/연동면 합강리 490-14", "지도Link")</f>
        <v/>
      </c>
      <c r="N1173" s="6">
        <f>HYPERLINK("http://www.eum.go.kr/web/ar/lu/luLandDet.jsp?pnu=3611032028104900014&amp;isNoScr=script&amp;mode=search", "토지이음")</f>
        <v/>
      </c>
      <c r="O1173" s="3" t="inlineStr">
        <is>
          <t>세종복댕이</t>
        </is>
      </c>
      <c r="P1173" s="4" t="n">
        <v>1</v>
      </c>
      <c r="Q1173" s="4" t="n">
        <v>682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완경사</t>
        </is>
      </c>
      <c r="U1173" s="3" t="inlineStr">
        <is>
          <t>가로장방</t>
        </is>
      </c>
      <c r="V1173" s="3" t="inlineStr">
        <is>
          <t>세로한면(가)</t>
        </is>
      </c>
    </row>
    <row r="1174">
      <c r="A1174" s="3" t="inlineStr">
        <is>
          <t>연동면 합강리 490-25</t>
        </is>
      </c>
      <c r="B1174" s="3" t="inlineStr">
        <is>
          <t>보전관리지역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85000</v>
      </c>
      <c r="G1174" s="4" t="n">
        <v>770</v>
      </c>
      <c r="H1174" s="4" t="n">
        <v>233</v>
      </c>
      <c r="I1174" s="5" t="n">
        <v>364.8</v>
      </c>
      <c r="J1174" s="5" t="n">
        <v>95.90000000000001</v>
      </c>
      <c r="K1174" s="3" t="inlineStr">
        <is>
          <t>강가에 별장자리최고입니다</t>
        </is>
      </c>
      <c r="L1174" s="6">
        <f>HYPERLINK("https://fin.land.naver.com/articles/2650471325", "매물Link")</f>
        <v/>
      </c>
      <c r="M1174" s="6">
        <f>HYPERLINK("https://map.naver.com/p/search/연동면 합강리 490-25", "지도Link")</f>
        <v/>
      </c>
      <c r="N1174" s="6">
        <f>HYPERLINK("http://www.eum.go.kr/web/ar/lu/luLandDet.jsp?pnu=3611032028104900025&amp;isNoScr=script&amp;mode=search", "토지이음")</f>
        <v/>
      </c>
      <c r="O1174" s="3" t="inlineStr">
        <is>
          <t>청정</t>
        </is>
      </c>
      <c r="P1174" s="4" t="n">
        <v>1</v>
      </c>
      <c r="Q1174" s="4" t="n">
        <v>769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연동면 합강리 492-4</t>
        </is>
      </c>
      <c r="B1175" s="3" t="inlineStr">
        <is>
          <t>보전관리지역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770000</v>
      </c>
      <c r="G1175" s="4" t="n">
        <v>2308</v>
      </c>
      <c r="H1175" s="4" t="n">
        <v>698</v>
      </c>
      <c r="I1175" s="5" t="n">
        <v>1103.2</v>
      </c>
      <c r="J1175" s="5" t="n">
        <v>107.6</v>
      </c>
      <c r="K1175" s="3" t="inlineStr">
        <is>
          <t>카페입지, 좋은 위치, 상수도 전기설비완료, 농막 시설물포함, 가격절충</t>
        </is>
      </c>
      <c r="L1175" s="6">
        <f>HYPERLINK("https://fin.land.naver.com/articles/2649498432", "매물Link")</f>
        <v/>
      </c>
      <c r="M1175" s="6">
        <f>HYPERLINK("https://map.naver.com/p/search/연동면 합강리 492-4", "지도Link")</f>
        <v/>
      </c>
      <c r="N1175" s="6">
        <f>HYPERLINK("http://www.eum.go.kr/web/ar/lu/luLandDet.jsp?pnu=3611032028104920004&amp;isNoScr=script&amp;mode=search", "토지이음")</f>
        <v/>
      </c>
      <c r="O1175" s="3" t="inlineStr">
        <is>
          <t>황금힐스테이트</t>
        </is>
      </c>
      <c r="P1175" s="4" t="n">
        <v>1</v>
      </c>
      <c r="Q1175" s="4" t="n">
        <v>2308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연동면 합강리 500-24</t>
        </is>
      </c>
      <c r="B1176" s="3" t="inlineStr">
        <is>
          <t>보전관리지역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98000</v>
      </c>
      <c r="G1176" s="4" t="n">
        <v>647</v>
      </c>
      <c r="H1176" s="4" t="n">
        <v>196</v>
      </c>
      <c r="I1176" s="5" t="n">
        <v>500</v>
      </c>
      <c r="J1176" s="5" t="n">
        <v>158.2</v>
      </c>
      <c r="K1176" s="3" t="inlineStr">
        <is>
          <t>전망 좋은 주택지</t>
        </is>
      </c>
      <c r="L1176" s="6">
        <f>HYPERLINK("https://fin.land.naver.com/articles/2652793860", "매물Link")</f>
        <v/>
      </c>
      <c r="M1176" s="6">
        <f>HYPERLINK("https://map.naver.com/p/search/연동면 합강리 500-24", "지도Link")</f>
        <v/>
      </c>
      <c r="N1176" s="6">
        <f>HYPERLINK("http://www.eum.go.kr/web/ar/lu/luLandDet.jsp?pnu=3611032028105000024&amp;isNoScr=script&amp;mode=search", "토지이음")</f>
        <v/>
      </c>
      <c r="O1176" s="3" t="inlineStr">
        <is>
          <t>강아지풀</t>
        </is>
      </c>
      <c r="P1176" s="4" t="n">
        <v>1</v>
      </c>
      <c r="Q1176" s="4" t="n">
        <v>647</v>
      </c>
      <c r="R1176" s="3" t="inlineStr">
        <is>
          <t>지정되지않음</t>
        </is>
      </c>
      <c r="S1176" s="3" t="inlineStr">
        <is>
          <t>단독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고복리 112-1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37000</v>
      </c>
      <c r="G1177" s="4" t="n">
        <v>946</v>
      </c>
      <c r="H1177" s="4" t="n">
        <v>286</v>
      </c>
      <c r="I1177" s="5" t="n">
        <v>129.4</v>
      </c>
      <c r="J1177" s="5" t="n">
        <v>66</v>
      </c>
      <c r="K1177" s="3" t="inlineStr">
        <is>
          <t>고복리 계획관리지역 매매,  2차선 도로 150m  위치 좋은 토지</t>
        </is>
      </c>
      <c r="L1177" s="6">
        <f>HYPERLINK("https://fin.land.naver.com/articles/2653959002", "매물Link")</f>
        <v/>
      </c>
      <c r="M1177" s="6">
        <f>HYPERLINK("https://map.naver.com/p/search/연서면 고복리 112-1", "지도Link")</f>
        <v/>
      </c>
      <c r="N1177" s="6">
        <f>HYPERLINK("http://www.eum.go.kr/web/ar/lu/luLandDet.jsp?pnu=3611036024101120001&amp;isNoScr=script&amp;mode=search", "토지이음")</f>
        <v/>
      </c>
      <c r="O1177" s="3" t="inlineStr">
        <is>
          <t>세종땅사랑</t>
        </is>
      </c>
      <c r="P1177" s="4" t="n">
        <v>1</v>
      </c>
      <c r="Q1177" s="4" t="n">
        <v>377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맹지</t>
        </is>
      </c>
    </row>
    <row r="1178">
      <c r="A1178" s="3" t="inlineStr">
        <is>
          <t>연서면 고복리 112-1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37500</v>
      </c>
      <c r="G1178" s="4" t="n">
        <v>946</v>
      </c>
      <c r="H1178" s="4" t="n">
        <v>286</v>
      </c>
      <c r="I1178" s="5" t="n">
        <v>131.1</v>
      </c>
      <c r="J1178" s="5" t="n">
        <v>66</v>
      </c>
      <c r="K1178" s="3" t="inlineStr">
        <is>
          <t>고복리 계획관리지역 대와 전으로 시세보다 저렴한 2필지 일괄매매.</t>
        </is>
      </c>
      <c r="L1178" s="6">
        <f>HYPERLINK("https://fin.land.naver.com/articles/2653550278", "매물Link")</f>
        <v/>
      </c>
      <c r="M1178" s="6">
        <f>HYPERLINK("https://map.naver.com/p/search/연서면 고복리 112-1", "지도Link")</f>
        <v/>
      </c>
      <c r="N1178" s="6">
        <f>HYPERLINK("http://www.eum.go.kr/web/ar/lu/luLandDet.jsp?pnu=3611036024101120001&amp;isNoScr=script&amp;mode=search", "토지이음")</f>
        <v/>
      </c>
      <c r="O1178" s="3" t="inlineStr">
        <is>
          <t>세종대장</t>
        </is>
      </c>
      <c r="P1178" s="4" t="n">
        <v>1</v>
      </c>
      <c r="Q1178" s="4" t="n">
        <v>377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맹지</t>
        </is>
      </c>
    </row>
    <row r="1179">
      <c r="A1179" s="3" t="inlineStr">
        <is>
          <t>연서면 고복리 174-1</t>
        </is>
      </c>
      <c r="B1179" s="3" t="inlineStr">
        <is>
          <t>생산관리지역</t>
        </is>
      </c>
      <c r="C1179" s="3" t="inlineStr">
        <is>
          <t>과수원</t>
        </is>
      </c>
      <c r="D1179" s="3" t="inlineStr">
        <is>
          <t>과수원</t>
        </is>
      </c>
      <c r="E1179" s="3" t="inlineStr">
        <is>
          <t>매매</t>
        </is>
      </c>
      <c r="F1179" s="4" t="n">
        <v>8370</v>
      </c>
      <c r="G1179" s="4" t="n">
        <v>615</v>
      </c>
      <c r="H1179" s="4" t="n">
        <v>186</v>
      </c>
      <c r="I1179" s="5" t="n">
        <v>45</v>
      </c>
      <c r="J1179" s="5" t="n">
        <v>23.4</v>
      </c>
      <c r="K1179" s="3" t="inlineStr">
        <is>
          <t>소액추천매물,주말농장겸 투자용으로 미래가치 까지 가져가세요</t>
        </is>
      </c>
      <c r="L1179" s="6">
        <f>HYPERLINK("https://fin.land.naver.com/articles/2653031640", "매물Link")</f>
        <v/>
      </c>
      <c r="M1179" s="6">
        <f>HYPERLINK("https://map.naver.com/p/search/연서면 고복리 174-1", "지도Link")</f>
        <v/>
      </c>
      <c r="N1179" s="6">
        <f>HYPERLINK("http://www.eum.go.kr/web/ar/lu/luLandDet.jsp?pnu=3611036024101740001&amp;isNoScr=script&amp;mode=search", "토지이음")</f>
        <v/>
      </c>
      <c r="O1179" s="3" t="inlineStr">
        <is>
          <t>가치잇는</t>
        </is>
      </c>
      <c r="P1179" s="4" t="n">
        <v>1</v>
      </c>
      <c r="Q1179" s="4" t="n">
        <v>615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맹지</t>
        </is>
      </c>
    </row>
    <row r="1180">
      <c r="A1180" s="3" t="inlineStr">
        <is>
          <t>연서면 고복리 186-1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29000</v>
      </c>
      <c r="G1180" s="4" t="n">
        <v>1964</v>
      </c>
      <c r="H1180" s="4" t="n">
        <v>594</v>
      </c>
      <c r="I1180" s="5" t="n">
        <v>48.8</v>
      </c>
      <c r="J1180" s="5" t="n">
        <v>22.6</v>
      </c>
      <c r="K1180" s="3" t="inlineStr">
        <is>
          <t>고복저수지 근방 대토또는 과수원으로 경작 추천 ,2필지 일괄매매</t>
        </is>
      </c>
      <c r="L1180" s="6">
        <f>HYPERLINK("https://fin.land.naver.com/articles/2653426450", "매물Link")</f>
        <v/>
      </c>
      <c r="M1180" s="6">
        <f>HYPERLINK("https://map.naver.com/p/search/연서면 고복리 186-1", "지도Link")</f>
        <v/>
      </c>
      <c r="N1180" s="6">
        <f>HYPERLINK("http://www.eum.go.kr/web/ar/lu/luLandDet.jsp?pnu=3611036024101860001&amp;isNoScr=script&amp;mode=search", "토지이음")</f>
        <v/>
      </c>
      <c r="O1180" s="3" t="inlineStr">
        <is>
          <t>담뜰</t>
        </is>
      </c>
      <c r="P1180" s="4" t="n">
        <v>1</v>
      </c>
      <c r="Q1180" s="4" t="n">
        <v>582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세로한면(불)</t>
        </is>
      </c>
    </row>
    <row r="1181">
      <c r="A1181" s="3" t="inlineStr">
        <is>
          <t>연서면 고복리 221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20000</v>
      </c>
      <c r="G1181" s="4" t="n">
        <v>521</v>
      </c>
      <c r="H1181" s="4" t="n">
        <v>158</v>
      </c>
      <c r="I1181" s="5" t="n">
        <v>126.6</v>
      </c>
      <c r="J1181" s="5" t="n">
        <v>66.7</v>
      </c>
      <c r="K1181" s="3" t="inlineStr">
        <is>
          <t>o토지급매o 고복리 계획관리지역으로 주택과 창고 있는 저렴한 토지</t>
        </is>
      </c>
      <c r="L1181" s="6">
        <f>HYPERLINK("https://fin.land.naver.com/articles/2650800982", "매물Link")</f>
        <v/>
      </c>
      <c r="M1181" s="6">
        <f>HYPERLINK("https://map.naver.com/p/search/연서면 고복리 221", "지도Link")</f>
        <v/>
      </c>
      <c r="N1181" s="6">
        <f>HYPERLINK("http://www.eum.go.kr/web/ar/lu/luLandDet.jsp?pnu=3611036024102210000&amp;isNoScr=script&amp;mode=search", "토지이음")</f>
        <v/>
      </c>
      <c r="O1181" s="3" t="inlineStr">
        <is>
          <t>은주</t>
        </is>
      </c>
      <c r="P1181" s="4" t="n">
        <v>1</v>
      </c>
      <c r="Q1181" s="4" t="n">
        <v>521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고복리 221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20000</v>
      </c>
      <c r="G1182" s="4" t="n">
        <v>521</v>
      </c>
      <c r="H1182" s="4" t="n">
        <v>158</v>
      </c>
      <c r="I1182" s="5" t="n">
        <v>126.6</v>
      </c>
      <c r="J1182" s="5" t="n">
        <v>66.7</v>
      </c>
      <c r="K1182" s="3" t="inlineStr">
        <is>
          <t>nan</t>
        </is>
      </c>
      <c r="L1182" s="6">
        <f>HYPERLINK("https://fin.land.naver.com/articles/2650838247", "매물Link")</f>
        <v/>
      </c>
      <c r="M1182" s="6">
        <f>HYPERLINK("https://map.naver.com/p/search/연서면 고복리 221", "지도Link")</f>
        <v/>
      </c>
      <c r="N1182" s="6">
        <f>HYPERLINK("http://www.eum.go.kr/web/ar/lu/luLandDet.jsp?pnu=3611036024102210000&amp;isNoScr=script&amp;mode=search", "토지이음")</f>
        <v/>
      </c>
      <c r="O1182" s="3" t="inlineStr">
        <is>
          <t>세종금밭</t>
        </is>
      </c>
      <c r="P1182" s="4" t="n">
        <v>1</v>
      </c>
      <c r="Q1182" s="4" t="n">
        <v>521</v>
      </c>
      <c r="R1182" s="3" t="inlineStr">
        <is>
          <t>지정되지않음</t>
        </is>
      </c>
      <c r="S1182" s="3" t="inlineStr">
        <is>
          <t>단독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연서면 고복리 291-3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97000</v>
      </c>
      <c r="G1183" s="4" t="n">
        <v>4599</v>
      </c>
      <c r="H1183" s="4" t="n">
        <v>1391</v>
      </c>
      <c r="I1183" s="5" t="n">
        <v>69.7</v>
      </c>
      <c r="J1183" s="5" t="n">
        <v>50.5</v>
      </c>
      <c r="K1183" s="3" t="inlineStr">
        <is>
          <t>고복리 계획관리와 생산관리지역으로 지목이 대,과수원,창고시설 일괄급매.</t>
        </is>
      </c>
      <c r="L1183" s="6">
        <f>HYPERLINK("https://fin.land.naver.com/articles/2651207214", "매물Link")</f>
        <v/>
      </c>
      <c r="M1183" s="6">
        <f>HYPERLINK("https://map.naver.com/p/search/연서면 고복리 291-3", "지도Link")</f>
        <v/>
      </c>
      <c r="N1183" s="6">
        <f>HYPERLINK("http://www.eum.go.kr/web/ar/lu/luLandDet.jsp?pnu=3611036024102910003&amp;isNoScr=script&amp;mode=search", "토지이음")</f>
        <v/>
      </c>
      <c r="O1183" s="3" t="inlineStr">
        <is>
          <t>세종대장</t>
        </is>
      </c>
      <c r="P1183" s="4" t="n">
        <v>1</v>
      </c>
      <c r="Q1183" s="4" t="n">
        <v>863</v>
      </c>
      <c r="R1183" s="3" t="inlineStr">
        <is>
          <t>생산관리지역</t>
        </is>
      </c>
      <c r="S1183" s="3" t="inlineStr">
        <is>
          <t>단독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고복리 294</t>
        </is>
      </c>
      <c r="B1184" s="3" t="inlineStr">
        <is>
          <t>생산관리지역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80000</v>
      </c>
      <c r="G1184" s="4" t="n">
        <v>2922</v>
      </c>
      <c r="H1184" s="4" t="n">
        <v>884</v>
      </c>
      <c r="I1184" s="5" t="n">
        <v>90.5</v>
      </c>
      <c r="J1184" s="5" t="n">
        <v>32.5</v>
      </c>
      <c r="K1184" s="3" t="inlineStr">
        <is>
          <t>급매, 연서면 고복리 마을포장도로에 접한 생산관리지역 과수원을 급매합니다</t>
        </is>
      </c>
      <c r="L1184" s="6">
        <f>HYPERLINK("https://fin.land.naver.com/articles/2652998310", "매물Link")</f>
        <v/>
      </c>
      <c r="M1184" s="6">
        <f>HYPERLINK("https://map.naver.com/p/search/연서면 고복리 294", "지도Link")</f>
        <v/>
      </c>
      <c r="N1184" s="6">
        <f>HYPERLINK("http://www.eum.go.kr/web/ar/lu/luLandDet.jsp?pnu=3611036024102940000&amp;isNoScr=script&amp;mode=search", "토지이음")</f>
        <v/>
      </c>
      <c r="O1184" s="3" t="inlineStr">
        <is>
          <t>스마일세종</t>
        </is>
      </c>
      <c r="P1184" s="4" t="n">
        <v>1</v>
      </c>
      <c r="Q1184" s="4" t="n">
        <v>2922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고복리 373</t>
        </is>
      </c>
      <c r="B1185" s="3" t="inlineStr">
        <is>
          <t>보전관리지역</t>
        </is>
      </c>
      <c r="C1185" s="3" t="inlineStr">
        <is>
          <t>대</t>
        </is>
      </c>
      <c r="D1185" s="3" t="inlineStr">
        <is>
          <t>전</t>
        </is>
      </c>
      <c r="E1185" s="3" t="inlineStr">
        <is>
          <t>매매</t>
        </is>
      </c>
      <c r="F1185" s="4" t="n">
        <v>120000</v>
      </c>
      <c r="G1185" s="4" t="n">
        <v>5623</v>
      </c>
      <c r="H1185" s="4" t="n">
        <v>1701</v>
      </c>
      <c r="I1185" s="5" t="n">
        <v>70.5</v>
      </c>
      <c r="J1185" s="5" t="n">
        <v>38.3</v>
      </c>
      <c r="K1185" s="3" t="inlineStr">
        <is>
          <t>고복저수지 3분, 조치원 5분 이내.</t>
        </is>
      </c>
      <c r="L1185" s="6">
        <f>HYPERLINK("https://fin.land.naver.com/articles/2649922113", "매물Link")</f>
        <v/>
      </c>
      <c r="M1185" s="6">
        <f>HYPERLINK("https://map.naver.com/p/search/연서면 고복리 373", "지도Link")</f>
        <v/>
      </c>
      <c r="N1185" s="6">
        <f>HYPERLINK("http://www.eum.go.kr/web/ar/lu/luLandDet.jsp?pnu=3611036024103730000&amp;isNoScr=script&amp;mode=search",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628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완경사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연서면 고복리 395</t>
        </is>
      </c>
      <c r="B1186" s="3" t="inlineStr">
        <is>
          <t>보전관리지역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60000</v>
      </c>
      <c r="G1186" s="4" t="n">
        <v>3587</v>
      </c>
      <c r="H1186" s="4" t="n">
        <v>1085</v>
      </c>
      <c r="I1186" s="5" t="n">
        <v>55.3</v>
      </c>
      <c r="J1186" s="5" t="n">
        <v>21.6</v>
      </c>
      <c r="K1186" s="3" t="inlineStr">
        <is>
          <t>고복저수지 인근 투자용도로 추천  가격 조율 가능</t>
        </is>
      </c>
      <c r="L1186" s="6">
        <f>HYPERLINK("https://fin.land.naver.com/articles/2655115522", "매물Link")</f>
        <v/>
      </c>
      <c r="M1186" s="6">
        <f>HYPERLINK("https://map.naver.com/p/search/연서면 고복리 395", "지도Link")</f>
        <v/>
      </c>
      <c r="N1186" s="6">
        <f>HYPERLINK("http://www.eum.go.kr/web/ar/lu/luLandDet.jsp?pnu=3611036024103950000&amp;isNoScr=script&amp;mode=search", "토지이음")</f>
        <v/>
      </c>
      <c r="O1186" s="3" t="inlineStr">
        <is>
          <t>뉴엘리트탑</t>
        </is>
      </c>
      <c r="P1186" s="4" t="n">
        <v>1</v>
      </c>
      <c r="Q1186" s="4" t="n">
        <v>3587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맹지</t>
        </is>
      </c>
    </row>
    <row r="1187">
      <c r="A1187" s="3" t="inlineStr">
        <is>
          <t>연서면 고복리 415-34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54000</v>
      </c>
      <c r="G1187" s="4" t="n">
        <v>725</v>
      </c>
      <c r="H1187" s="4" t="n">
        <v>219</v>
      </c>
      <c r="I1187" s="5" t="n">
        <v>246.6</v>
      </c>
      <c r="J1187" s="5" t="n">
        <v>122.9</v>
      </c>
      <c r="K1187" s="3" t="inlineStr">
        <is>
          <t>고복저수지 뷰 좋아요</t>
        </is>
      </c>
      <c r="L1187" s="6">
        <f>HYPERLINK("https://fin.land.naver.com/articles/2655169396", "매물Link")</f>
        <v/>
      </c>
      <c r="M1187" s="6">
        <f>HYPERLINK("https://map.naver.com/p/search/연서면 고복리 415-34", "지도Link")</f>
        <v/>
      </c>
      <c r="N1187" s="6">
        <f>HYPERLINK("http://www.eum.go.kr/web/ar/lu/luLandDet.jsp?pnu=3611036024104150034&amp;isNoScr=script&amp;mode=search", "토지이음")</f>
        <v/>
      </c>
      <c r="O1187" s="3" t="inlineStr">
        <is>
          <t>세종대박</t>
        </is>
      </c>
      <c r="P1187" s="4" t="n">
        <v>1</v>
      </c>
      <c r="Q1187" s="4" t="n">
        <v>725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완경사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고복리 415-54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404000</v>
      </c>
      <c r="G1188" s="4" t="n">
        <v>3904</v>
      </c>
      <c r="H1188" s="4" t="n">
        <v>1181</v>
      </c>
      <c r="I1188" s="5" t="n">
        <v>342.1</v>
      </c>
      <c r="J1188" s="5" t="n">
        <v>116.1</v>
      </c>
      <c r="K1188" s="3" t="inlineStr">
        <is>
          <t>고복저수지 바로 인접한 토지매매 넓은 면적에 탁트인 전망 매매가격 조절가</t>
        </is>
      </c>
      <c r="L1188" s="6">
        <f>HYPERLINK("https://fin.land.naver.com/articles/2653534610", "매물Link")</f>
        <v/>
      </c>
      <c r="M1188" s="6">
        <f>HYPERLINK("https://map.naver.com/p/search/연서면 고복리 415-54", "지도Link")</f>
        <v/>
      </c>
      <c r="N1188" s="6">
        <f>HYPERLINK("http://www.eum.go.kr/web/ar/lu/luLandDet.jsp?pnu=3611036024104150054&amp;isNoScr=script&amp;mode=search", "토지이음")</f>
        <v/>
      </c>
      <c r="O1188" s="3" t="inlineStr">
        <is>
          <t>효성해링턴오복</t>
        </is>
      </c>
      <c r="P1188" s="4" t="n">
        <v>1</v>
      </c>
      <c r="Q1188" s="4" t="n">
        <v>599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완경사</t>
        </is>
      </c>
      <c r="U1188" s="3" t="inlineStr">
        <is>
          <t>자루형</t>
        </is>
      </c>
      <c r="V1188" s="3" t="inlineStr">
        <is>
          <t>세로한면(가)</t>
        </is>
      </c>
    </row>
    <row r="1189">
      <c r="A1189" s="3" t="inlineStr">
        <is>
          <t>연서면 고복리 42-7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53340</v>
      </c>
      <c r="G1189" s="4" t="n">
        <v>2940</v>
      </c>
      <c r="H1189" s="4" t="n">
        <v>889</v>
      </c>
      <c r="I1189" s="5" t="n">
        <v>60</v>
      </c>
      <c r="J1189" s="5" t="n">
        <v>21.1</v>
      </c>
      <c r="K1189" s="3" t="inlineStr">
        <is>
          <t>nan</t>
        </is>
      </c>
      <c r="L1189" s="6">
        <f>HYPERLINK("https://fin.land.naver.com/articles/2654680424", "매물Link")</f>
        <v/>
      </c>
      <c r="M1189" s="6">
        <f>HYPERLINK("https://map.naver.com/p/search/연서면 고복리 42-7", "지도Link")</f>
        <v/>
      </c>
      <c r="N1189" s="6">
        <f>HYPERLINK("http://www.eum.go.kr/web/ar/lu/luLandDet.jsp?pnu=3611036024100420007&amp;isNoScr=script&amp;mode=search", "토지이음")</f>
        <v/>
      </c>
      <c r="O1189" s="3" t="inlineStr">
        <is>
          <t>푸른들</t>
        </is>
      </c>
      <c r="P1189" s="4" t="n">
        <v>1</v>
      </c>
      <c r="Q1189" s="4" t="n">
        <v>2940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연서면 고복리 45-4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70800</v>
      </c>
      <c r="G1190" s="4" t="n">
        <v>3900</v>
      </c>
      <c r="H1190" s="4" t="n">
        <v>1180</v>
      </c>
      <c r="I1190" s="5" t="n">
        <v>60</v>
      </c>
      <c r="J1190" s="5" t="n">
        <v>21.1</v>
      </c>
      <c r="K1190" s="3" t="inlineStr">
        <is>
          <t>절충가능한 연서면 고복리 농림지역 대토용 토지를 급매합니다</t>
        </is>
      </c>
      <c r="L1190" s="6">
        <f>HYPERLINK("https://fin.land.naver.com/articles/2651243984", "매물Link")</f>
        <v/>
      </c>
      <c r="M1190" s="6">
        <f>HYPERLINK("https://map.naver.com/p/search/연서면 고복리 45-4", "지도Link")</f>
        <v/>
      </c>
      <c r="N1190" s="6">
        <f>HYPERLINK("http://www.eum.go.kr/web/ar/lu/luLandDet.jsp?pnu=3611036024100450004&amp;isNoScr=script&amp;mode=search", "토지이음")</f>
        <v/>
      </c>
      <c r="O1190" s="3" t="inlineStr">
        <is>
          <t>스마일세종</t>
        </is>
      </c>
      <c r="P1190" s="4" t="n">
        <v>1</v>
      </c>
      <c r="Q1190" s="4" t="n">
        <v>2900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연서면 고복리 456-1</t>
        </is>
      </c>
      <c r="B1191" s="3" t="inlineStr">
        <is>
          <t>자연환경보전지역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월세</t>
        </is>
      </c>
      <c r="F1191" s="4" t="n">
        <v>3000</v>
      </c>
      <c r="G1191" s="4" t="n">
        <v>506</v>
      </c>
      <c r="H1191" s="4" t="n">
        <v>153</v>
      </c>
      <c r="I1191" s="5" t="n">
        <v>0.3</v>
      </c>
      <c r="J1191" s="5" t="n">
        <v>92.3</v>
      </c>
      <c r="K1191" s="3" t="inlineStr">
        <is>
          <t>고복저수지인근의 자연속 바베큐공간임대, 바로사업가능해요.</t>
        </is>
      </c>
      <c r="L1191" s="6">
        <f>HYPERLINK("https://fin.land.naver.com/articles/2654916921", "매물Link")</f>
        <v/>
      </c>
      <c r="M1191" s="6">
        <f>HYPERLINK("https://map.naver.com/p/search/연서면 고복리 456-1", "지도Link")</f>
        <v/>
      </c>
      <c r="N1191" s="6">
        <f>HYPERLINK("http://www.eum.go.kr/web/ar/lu/luLandDet.jsp?pnu=3611036024104560001&amp;isNoScr=script&amp;mode=search", "토지이음")</f>
        <v/>
      </c>
      <c r="O1191" s="3" t="inlineStr">
        <is>
          <t>세종복댕이</t>
        </is>
      </c>
      <c r="P1191" s="4" t="n">
        <v>1</v>
      </c>
      <c r="Q1191" s="4" t="n">
        <v>506</v>
      </c>
      <c r="R1191" s="3" t="inlineStr">
        <is>
          <t>지정되지않음</t>
        </is>
      </c>
      <c r="S1191" s="3" t="inlineStr">
        <is>
          <t>주거기타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고복리 46-5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79000</v>
      </c>
      <c r="G1192" s="4" t="n">
        <v>2980</v>
      </c>
      <c r="H1192" s="4" t="n">
        <v>901</v>
      </c>
      <c r="I1192" s="5" t="n">
        <v>87.7</v>
      </c>
      <c r="J1192" s="5" t="n">
        <v>21.1</v>
      </c>
      <c r="K1192" s="3" t="inlineStr">
        <is>
          <t>nan</t>
        </is>
      </c>
      <c r="L1192" s="6">
        <f>HYPERLINK("https://fin.land.naver.com/articles/2651972162", "매물Link")</f>
        <v/>
      </c>
      <c r="M1192" s="6">
        <f>HYPERLINK("https://map.naver.com/p/search/연서면 고복리 46-5", "지도Link")</f>
        <v/>
      </c>
      <c r="N1192" s="6">
        <f>HYPERLINK("http://www.eum.go.kr/web/ar/lu/luLandDet.jsp?pnu=3611036024100460005&amp;isNoScr=script&amp;mode=search", "토지이음")</f>
        <v/>
      </c>
      <c r="O1192" s="3" t="inlineStr">
        <is>
          <t>행운IPARK</t>
        </is>
      </c>
      <c r="P1192" s="4" t="n">
        <v>1</v>
      </c>
      <c r="Q1192" s="4" t="n">
        <v>2980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연서면 고복리 469-2</t>
        </is>
      </c>
      <c r="B1193" s="3" t="inlineStr">
        <is>
          <t>자연환경보전지역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120000</v>
      </c>
      <c r="G1193" s="4" t="n">
        <v>718</v>
      </c>
      <c r="H1193" s="4" t="n">
        <v>217</v>
      </c>
      <c r="I1193" s="5" t="n">
        <v>553</v>
      </c>
      <c r="J1193" s="5" t="n">
        <v>67.8</v>
      </c>
      <c r="K1193" s="3" t="inlineStr">
        <is>
          <t>고복저수지 책 박물관 옆</t>
        </is>
      </c>
      <c r="L1193" s="6">
        <f>HYPERLINK("https://fin.land.naver.com/articles/2652702587", "매물Link")</f>
        <v/>
      </c>
      <c r="M1193" s="6">
        <f>HYPERLINK("https://map.naver.com/p/search/연서면 고복리 469-2", "지도Link")</f>
        <v/>
      </c>
      <c r="N1193" s="6">
        <f>HYPERLINK("http://www.eum.go.kr/web/ar/lu/luLandDet.jsp?pnu=3611036024104690002&amp;isNoScr=script&amp;mode=search", "토지이음")</f>
        <v/>
      </c>
      <c r="O1193" s="3" t="inlineStr">
        <is>
          <t>새땅</t>
        </is>
      </c>
      <c r="P1193" s="4" t="n">
        <v>1</v>
      </c>
      <c r="Q1193" s="4" t="n">
        <v>390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세로한면(불)</t>
        </is>
      </c>
    </row>
    <row r="1194">
      <c r="A1194" s="3" t="inlineStr">
        <is>
          <t>연서면 고복리 548-16</t>
        </is>
      </c>
      <c r="B1194" s="3" t="inlineStr">
        <is>
          <t>보전관리지역</t>
        </is>
      </c>
      <c r="C1194" s="3" t="inlineStr">
        <is>
          <t>임야</t>
        </is>
      </c>
      <c r="D1194" s="3" t="inlineStr">
        <is>
          <t>임야</t>
        </is>
      </c>
      <c r="E1194" s="3" t="inlineStr">
        <is>
          <t>매매</t>
        </is>
      </c>
      <c r="F1194" s="4" t="n">
        <v>37000</v>
      </c>
      <c r="G1194" s="4" t="n">
        <v>425</v>
      </c>
      <c r="H1194" s="4" t="n">
        <v>129</v>
      </c>
      <c r="I1194" s="5" t="n">
        <v>286.8</v>
      </c>
      <c r="J1194" s="5" t="n">
        <v>46.8</v>
      </c>
      <c r="K1194" s="3" t="inlineStr">
        <is>
          <t>nan</t>
        </is>
      </c>
      <c r="L1194" s="6">
        <f>HYPERLINK("https://fin.land.naver.com/articles/2653834732", "매물Link")</f>
        <v/>
      </c>
      <c r="M1194" s="6">
        <f>HYPERLINK("https://map.naver.com/p/search/연서면 고복리 548-16", "지도Link")</f>
        <v/>
      </c>
      <c r="N1194" s="6">
        <f>HYPERLINK("http://www.eum.go.kr/web/ar/lu/luLandDet.jsp?pnu=3611036024105480016&amp;isNoScr=script&amp;mode=search", "토지이음")</f>
        <v/>
      </c>
      <c r="O1194" s="3" t="inlineStr">
        <is>
          <t>KB</t>
        </is>
      </c>
      <c r="P1194" s="4" t="n">
        <v>1</v>
      </c>
      <c r="Q1194" s="4" t="n">
        <v>756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완경사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고복리 556-12</t>
        </is>
      </c>
      <c r="B1195" s="3" t="inlineStr">
        <is>
          <t>보전관리지역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69000</v>
      </c>
      <c r="G1195" s="4" t="n">
        <v>1140</v>
      </c>
      <c r="H1195" s="4" t="n">
        <v>345</v>
      </c>
      <c r="I1195" s="5" t="n">
        <v>200</v>
      </c>
      <c r="J1195" s="5" t="n">
        <v>52.8</v>
      </c>
      <c r="K1195" s="3" t="inlineStr">
        <is>
          <t>고복저수지 최고 조망권을 가진 주택지</t>
        </is>
      </c>
      <c r="L1195" s="6">
        <f>HYPERLINK("https://fin.land.naver.com/articles/2651942581", "매물Link")</f>
        <v/>
      </c>
      <c r="M1195" s="6">
        <f>HYPERLINK("https://map.naver.com/p/search/연서면 고복리 556-12", "지도Link")</f>
        <v/>
      </c>
      <c r="N1195" s="6">
        <f>HYPERLINK("http://www.eum.go.kr/web/ar/lu/luLandDet.jsp?pnu=3611036024105560012&amp;isNoScr=script&amp;mode=search", "토지이음")</f>
        <v/>
      </c>
      <c r="O1195" s="3" t="inlineStr">
        <is>
          <t>용궁</t>
        </is>
      </c>
      <c r="P1195" s="4" t="n">
        <v>1</v>
      </c>
      <c r="Q1195" s="4" t="n">
        <v>1139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고복리 556-28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184000</v>
      </c>
      <c r="G1196" s="4" t="n">
        <v>1520</v>
      </c>
      <c r="H1196" s="4" t="n">
        <v>460</v>
      </c>
      <c r="I1196" s="5" t="n">
        <v>400</v>
      </c>
      <c r="J1196" s="5" t="n">
        <v>119.4</v>
      </c>
      <c r="K1196" s="3" t="inlineStr">
        <is>
          <t>2필지 대지와근생건물 일괄매매.고복저수지인접.</t>
        </is>
      </c>
      <c r="L1196" s="6">
        <f>HYPERLINK("https://fin.land.naver.com/articles/2652823595", "매물Link")</f>
        <v/>
      </c>
      <c r="M1196" s="6">
        <f>HYPERLINK("https://map.naver.com/p/search/연서면 고복리 556-28", "지도Link")</f>
        <v/>
      </c>
      <c r="N1196" s="6">
        <f>HYPERLINK("http://www.eum.go.kr/web/ar/lu/luLandDet.jsp?pnu=3611036024105560028&amp;isNoScr=script&amp;mode=search", "토지이음")</f>
        <v/>
      </c>
      <c r="O1196" s="3" t="inlineStr">
        <is>
          <t>담뜰</t>
        </is>
      </c>
      <c r="P1196" s="4" t="n">
        <v>1</v>
      </c>
      <c r="Q1196" s="4" t="n">
        <v>793</v>
      </c>
      <c r="R1196" s="3" t="inlineStr">
        <is>
          <t>지정되지않음</t>
        </is>
      </c>
      <c r="S1196" s="3" t="inlineStr">
        <is>
          <t>주거기타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고복리 56-10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21000</v>
      </c>
      <c r="G1197" s="4" t="n">
        <v>2010</v>
      </c>
      <c r="H1197" s="4" t="n">
        <v>608</v>
      </c>
      <c r="I1197" s="5" t="n">
        <v>34.5</v>
      </c>
      <c r="J1197" s="5" t="n">
        <v>22</v>
      </c>
      <c r="K1197" s="3" t="inlineStr">
        <is>
          <t>투자용, 주말 농장용으로 추천 합니다</t>
        </is>
      </c>
      <c r="L1197" s="6">
        <f>HYPERLINK("https://fin.land.naver.com/articles/2650856617", "매물Link")</f>
        <v/>
      </c>
      <c r="M1197" s="6">
        <f>HYPERLINK("https://map.naver.com/p/search/연서면 고복리 56-10", "지도Link")</f>
        <v/>
      </c>
      <c r="N1197" s="6">
        <f>HYPERLINK("http://www.eum.go.kr/web/ar/lu/luLandDet.jsp?pnu=3611036024100560010&amp;isNoScr=script&amp;mode=search", "토지이음")</f>
        <v/>
      </c>
      <c r="O1197" s="3" t="inlineStr">
        <is>
          <t>세종대박</t>
        </is>
      </c>
      <c r="P1197" s="4" t="n">
        <v>1</v>
      </c>
      <c r="Q1197" s="4" t="n">
        <v>2010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세로한면(가)</t>
        </is>
      </c>
    </row>
    <row r="1198">
      <c r="A1198" s="3" t="inlineStr">
        <is>
          <t>연서면 고복리 56-10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24000</v>
      </c>
      <c r="G1198" s="4" t="n">
        <v>2010</v>
      </c>
      <c r="H1198" s="4" t="n">
        <v>608</v>
      </c>
      <c r="I1198" s="5" t="n">
        <v>39.5</v>
      </c>
      <c r="J1198" s="5" t="n">
        <v>22</v>
      </c>
      <c r="K1198" s="3" t="inlineStr">
        <is>
          <t>대토용 및 주말농장</t>
        </is>
      </c>
      <c r="L1198" s="6">
        <f>HYPERLINK("https://fin.land.naver.com/articles/2652095031", "매물Link")</f>
        <v/>
      </c>
      <c r="M1198" s="6">
        <f>HYPERLINK("https://map.naver.com/p/search/연서면 고복리 56-10", "지도Link")</f>
        <v/>
      </c>
      <c r="N1198" s="6">
        <f>HYPERLINK("http://www.eum.go.kr/web/ar/lu/luLandDet.jsp?pnu=3611036024100560010&amp;isNoScr=script&amp;mode=search", "토지이음")</f>
        <v/>
      </c>
      <c r="O1198" s="3" t="inlineStr">
        <is>
          <t>지호주식회사</t>
        </is>
      </c>
      <c r="P1198" s="4" t="n">
        <v>1</v>
      </c>
      <c r="Q1198" s="4" t="n">
        <v>2010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세로한면(가)</t>
        </is>
      </c>
    </row>
    <row r="1199">
      <c r="A1199" s="3" t="inlineStr">
        <is>
          <t>연서면 고복리 589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108000</v>
      </c>
      <c r="G1199" s="4" t="n">
        <v>3716</v>
      </c>
      <c r="H1199" s="4" t="n">
        <v>1124</v>
      </c>
      <c r="I1199" s="5" t="n">
        <v>96.09999999999999</v>
      </c>
      <c r="J1199" s="5" t="n">
        <v>42.8</v>
      </c>
      <c r="K1199" s="3" t="inlineStr">
        <is>
          <t>대토용, 자경용, 전원주택, 투자용으로 추천.</t>
        </is>
      </c>
      <c r="L1199" s="6">
        <f>HYPERLINK("https://fin.land.naver.com/articles/2650165339", "매물Link")</f>
        <v/>
      </c>
      <c r="M1199" s="6">
        <f>HYPERLINK("https://map.naver.com/p/search/연서면 고복리 589", "지도Link")</f>
        <v/>
      </c>
      <c r="N1199" s="6">
        <f>HYPERLINK("http://www.eum.go.kr/web/ar/lu/luLandDet.jsp?pnu=3611036024105890000&amp;isNoScr=script&amp;mode=search", "토지이음")</f>
        <v/>
      </c>
      <c r="O1199" s="3" t="inlineStr">
        <is>
          <t>세종대장</t>
        </is>
      </c>
      <c r="P1199" s="4" t="n">
        <v>1</v>
      </c>
      <c r="Q1199" s="4" t="n">
        <v>3716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고복리 97-4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118000</v>
      </c>
      <c r="G1200" s="4" t="n">
        <v>3905</v>
      </c>
      <c r="H1200" s="4" t="n">
        <v>1181</v>
      </c>
      <c r="I1200" s="5" t="n">
        <v>99.90000000000001</v>
      </c>
      <c r="J1200" s="5" t="n">
        <v>24.4</v>
      </c>
      <c r="K1200" s="3" t="inlineStr">
        <is>
          <t>고복저수지 인근의 전원주택지, 3필지</t>
        </is>
      </c>
      <c r="L1200" s="6">
        <f>HYPERLINK("https://fin.land.naver.com/articles/2653296017", "매물Link")</f>
        <v/>
      </c>
      <c r="M1200" s="6">
        <f>HYPERLINK("https://map.naver.com/p/search/연서면 고복리 97-4", "지도Link")</f>
        <v/>
      </c>
      <c r="N1200" s="6">
        <f>HYPERLINK("http://www.eum.go.kr/web/ar/lu/luLandDet.jsp?pnu=3611036024100970004&amp;isNoScr=script&amp;mode=search", "토지이음")</f>
        <v/>
      </c>
      <c r="O1200" s="3" t="inlineStr">
        <is>
          <t>세종공감</t>
        </is>
      </c>
      <c r="P1200" s="4" t="n">
        <v>1</v>
      </c>
      <c r="Q1200" s="4" t="n">
        <v>2787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연서면 고복리 산 3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4300</v>
      </c>
      <c r="G1201" s="4" t="n">
        <v>661</v>
      </c>
      <c r="H1201" s="4" t="n">
        <v>200</v>
      </c>
      <c r="I1201" s="5" t="n">
        <v>21.5</v>
      </c>
      <c r="J1201" s="5" t="n">
        <v>5.1</v>
      </c>
      <c r="K1201" s="3" t="inlineStr">
        <is>
          <t>세종시 임야 지분 매매</t>
        </is>
      </c>
      <c r="L1201" s="6">
        <f>HYPERLINK("https://fin.land.naver.com/articles/2654956041", "매물Link")</f>
        <v/>
      </c>
      <c r="M1201" s="6">
        <f>HYPERLINK("https://map.naver.com/p/search/연서면 고복리 산 3", "지도Link")</f>
        <v/>
      </c>
      <c r="N1201" s="6">
        <f>HYPERLINK("http://www.eum.go.kr/web/ar/lu/luLandDet.jsp?pnu=3611036024200030000&amp;isNoScr=script&amp;mode=search", "토지이음")</f>
        <v/>
      </c>
      <c r="O1201" s="3" t="inlineStr">
        <is>
          <t>최고봉</t>
        </is>
      </c>
      <c r="P1201" s="4" t="n">
        <v>1</v>
      </c>
      <c r="Q1201" s="4" t="n">
        <v>27769</v>
      </c>
      <c r="R1201" s="3" t="inlineStr">
        <is>
          <t>농림지역</t>
        </is>
      </c>
      <c r="S1201" s="3" t="inlineStr">
        <is>
          <t>자연림</t>
        </is>
      </c>
      <c r="T1201" s="3" t="inlineStr">
        <is>
          <t>급경사</t>
        </is>
      </c>
      <c r="U1201" s="3" t="inlineStr">
        <is>
          <t>부정형</t>
        </is>
      </c>
      <c r="V1201" s="3" t="inlineStr">
        <is>
          <t>맹지</t>
        </is>
      </c>
    </row>
    <row r="1202">
      <c r="A1202" s="3" t="inlineStr">
        <is>
          <t>연서면 고복리 산 34-6</t>
        </is>
      </c>
      <c r="B1202" s="3" t="inlineStr">
        <is>
          <t>보전관리지역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100000</v>
      </c>
      <c r="G1202" s="4" t="n">
        <v>3164</v>
      </c>
      <c r="H1202" s="4" t="n">
        <v>957</v>
      </c>
      <c r="I1202" s="5" t="n">
        <v>104.5</v>
      </c>
      <c r="J1202" s="5" t="n">
        <v>4.2</v>
      </c>
      <c r="K1202" s="3" t="inlineStr">
        <is>
          <t>고복저수지가 잘 보이고 포장도로에 접한 경사도 완만한 보전관리지역의 임야</t>
        </is>
      </c>
      <c r="L1202" s="6">
        <f>HYPERLINK("https://fin.land.naver.com/articles/2654113747", "매물Link")</f>
        <v/>
      </c>
      <c r="M1202" s="6">
        <f>HYPERLINK("https://map.naver.com/p/search/연서면 고복리 산 34-6", "지도Link")</f>
        <v/>
      </c>
      <c r="N1202" s="6">
        <f>HYPERLINK("http://www.eum.go.kr/web/ar/lu/luLandDet.jsp?pnu=3611036024200340006&amp;isNoScr=script&amp;mode=search", "토지이음")</f>
        <v/>
      </c>
      <c r="O1202" s="3" t="inlineStr">
        <is>
          <t>스마일세종</t>
        </is>
      </c>
      <c r="P1202" s="4" t="n">
        <v>1</v>
      </c>
      <c r="Q1202" s="4" t="n">
        <v>17717</v>
      </c>
      <c r="R1202" s="3" t="inlineStr">
        <is>
          <t>자연환경보전지역</t>
        </is>
      </c>
      <c r="S1202" s="3" t="inlineStr">
        <is>
          <t>자연림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고복리 산102-1</t>
        </is>
      </c>
      <c r="B1203" s="3" t="inlineStr">
        <is>
          <t>농림지역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50000</v>
      </c>
      <c r="G1203" s="4" t="n">
        <v>61742</v>
      </c>
      <c r="H1203" s="4" t="n">
        <v>18677</v>
      </c>
      <c r="I1203" s="5" t="n">
        <v>2.7</v>
      </c>
      <c r="J1203" s="5" t="n">
        <v>3.4</v>
      </c>
      <c r="K1203" s="3" t="inlineStr">
        <is>
          <t>명성공인, 급매 연서면 임야 추천 매물</t>
        </is>
      </c>
      <c r="L1203" s="6">
        <f>HYPERLINK("https://fin.land.naver.com/articles/2650852401", "매물Link")</f>
        <v/>
      </c>
      <c r="M1203" s="6">
        <f>HYPERLINK("https://map.naver.com/p/search/연서면 고복리 산102-1", "지도Link")</f>
        <v/>
      </c>
      <c r="N1203" s="6">
        <f>HYPERLINK("http://www.eum.go.kr/web/ar/lu/luLandDet.jsp?pnu=3611036024201020001&amp;isNoScr=script&amp;mode=search", "토지이음")</f>
        <v/>
      </c>
      <c r="O1203" s="3" t="inlineStr">
        <is>
          <t>명성</t>
        </is>
      </c>
      <c r="P1203" s="4" t="n">
        <v>1</v>
      </c>
      <c r="Q1203" s="4" t="n">
        <v>61742</v>
      </c>
      <c r="R1203" s="3" t="inlineStr">
        <is>
          <t>보전관리지역</t>
        </is>
      </c>
      <c r="S1203" s="3" t="inlineStr">
        <is>
          <t>자연림</t>
        </is>
      </c>
      <c r="T1203" s="3" t="inlineStr">
        <is>
          <t>급경사</t>
        </is>
      </c>
      <c r="U1203" s="3" t="inlineStr">
        <is>
          <t>부정형</t>
        </is>
      </c>
      <c r="V1203" s="3" t="inlineStr">
        <is>
          <t>맹지</t>
        </is>
      </c>
    </row>
    <row r="1204">
      <c r="A1204" s="3" t="inlineStr">
        <is>
          <t>연서면 고복리 산96-6</t>
        </is>
      </c>
      <c r="B1204" s="3" t="inlineStr">
        <is>
          <t>보전관리지역</t>
        </is>
      </c>
      <c r="C1204" s="3" t="inlineStr">
        <is>
          <t>목장용지</t>
        </is>
      </c>
      <c r="D1204" s="3" t="inlineStr">
        <is>
          <t>목장용지</t>
        </is>
      </c>
      <c r="E1204" s="3" t="inlineStr">
        <is>
          <t>매매</t>
        </is>
      </c>
      <c r="F1204" s="4" t="n">
        <v>362000</v>
      </c>
      <c r="G1204" s="4" t="n">
        <v>11983</v>
      </c>
      <c r="H1204" s="4" t="n">
        <v>3625</v>
      </c>
      <c r="I1204" s="5" t="n">
        <v>99.90000000000001</v>
      </c>
      <c r="J1204" s="5" t="n">
        <v>10.5</v>
      </c>
      <c r="K1204" s="3" t="inlineStr">
        <is>
          <t>절충가능, 경사도가 완만하여 전원주택부지로 개발하기 최적의 토지입니다.</t>
        </is>
      </c>
      <c r="L1204" s="6">
        <f>HYPERLINK("https://fin.land.naver.com/articles/2653857900", "매물Link")</f>
        <v/>
      </c>
      <c r="M1204" s="6">
        <f>HYPERLINK("https://map.naver.com/p/search/연서면 고복리 산96-6", "지도Link")</f>
        <v/>
      </c>
      <c r="N1204" s="6">
        <f>HYPERLINK("http://www.eum.go.kr/web/ar/lu/luLandDet.jsp?pnu=3611036024200960006&amp;isNoScr=script&amp;mode=search", "토지이음")</f>
        <v/>
      </c>
      <c r="O1204" s="3" t="inlineStr">
        <is>
          <t>스마일세종</t>
        </is>
      </c>
      <c r="P1204" s="4" t="n">
        <v>1</v>
      </c>
      <c r="Q1204" s="4" t="n">
        <v>11983</v>
      </c>
      <c r="R1204" s="3" t="inlineStr">
        <is>
          <t>지정되지않음</t>
        </is>
      </c>
      <c r="S1204" s="3" t="inlineStr">
        <is>
          <t>자연림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국촌리 166-29</t>
        </is>
      </c>
      <c r="B1205" s="3" t="inlineStr">
        <is>
          <t>계획관리지역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222000</v>
      </c>
      <c r="G1205" s="4" t="n">
        <v>3183</v>
      </c>
      <c r="H1205" s="4" t="n">
        <v>963</v>
      </c>
      <c r="I1205" s="5" t="n">
        <v>230.5</v>
      </c>
      <c r="J1205" s="5" t="n">
        <v>27.9</v>
      </c>
      <c r="K1205" s="3" t="inlineStr">
        <is>
          <t>근린상가 건축허가 득한 스마트국가산업단지 인근의 계획관리지역의 평탄한임야</t>
        </is>
      </c>
      <c r="L1205" s="6">
        <f>HYPERLINK("https://fin.land.naver.com/articles/2654122713", "매물Link")</f>
        <v/>
      </c>
      <c r="M1205" s="6">
        <f>HYPERLINK("https://map.naver.com/p/search/연서면 국촌리 166-29", "지도Link")</f>
        <v/>
      </c>
      <c r="N1205" s="6">
        <f>HYPERLINK("http://www.eum.go.kr/web/ar/lu/luLandDet.jsp?pnu=3611036030101660029&amp;isNoScr=script&amp;mode=search", "토지이음")</f>
        <v/>
      </c>
      <c r="O1205" s="3" t="inlineStr">
        <is>
          <t>스마일세종</t>
        </is>
      </c>
      <c r="P1205" s="4" t="n">
        <v>1</v>
      </c>
      <c r="Q1205" s="4" t="n">
        <v>2158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연서면 국촌리 172-22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61300</v>
      </c>
      <c r="G1206" s="4" t="n">
        <v>965</v>
      </c>
      <c r="H1206" s="4" t="n">
        <v>292</v>
      </c>
      <c r="I1206" s="5" t="n">
        <v>209.9</v>
      </c>
      <c r="J1206" s="5" t="n">
        <v>59.5</v>
      </c>
      <c r="K1206" s="3" t="inlineStr">
        <is>
          <t>세종국가산업단지 바로 앞 2차선도로에접한 관리지역의 토지 매매</t>
        </is>
      </c>
      <c r="L1206" s="6">
        <f>HYPERLINK("https://fin.land.naver.com/articles/2654999446", "매물Link")</f>
        <v/>
      </c>
      <c r="M1206" s="6">
        <f>HYPERLINK("https://map.naver.com/p/search/연서면 국촌리 172-22", "지도Link")</f>
        <v/>
      </c>
      <c r="N1206" s="6">
        <f>HYPERLINK("http://www.eum.go.kr/web/ar/lu/luLandDet.jsp?pnu=3611036030101720022&amp;isNoScr=script&amp;mode=search",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566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맹지</t>
        </is>
      </c>
    </row>
    <row r="1207">
      <c r="A1207" s="3" t="inlineStr">
        <is>
          <t>연서면 국촌리 24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35000</v>
      </c>
      <c r="G1207" s="4" t="n">
        <v>1015</v>
      </c>
      <c r="H1207" s="4" t="n">
        <v>307</v>
      </c>
      <c r="I1207" s="5" t="n">
        <v>114</v>
      </c>
      <c r="J1207" s="5" t="n">
        <v>56.4</v>
      </c>
      <c r="K1207" s="3" t="inlineStr">
        <is>
          <t>스마트국가산업단지와 북세종IC 인근 계획관리지역 토지로 지가상승 예상.</t>
        </is>
      </c>
      <c r="L1207" s="6">
        <f>HYPERLINK("https://fin.land.naver.com/articles/2650938722", "매물Link")</f>
        <v/>
      </c>
      <c r="M1207" s="6">
        <f>HYPERLINK("https://map.naver.com/p/search/연서면 국촌리 24", "지도Link")</f>
        <v/>
      </c>
      <c r="N1207" s="6">
        <f>HYPERLINK("http://www.eum.go.kr/web/ar/lu/luLandDet.jsp?pnu=3611036030100240000&amp;isNoScr=script&amp;mode=search", "토지이음")</f>
        <v/>
      </c>
      <c r="O1207" s="3" t="inlineStr">
        <is>
          <t>세종대장</t>
        </is>
      </c>
      <c r="P1207" s="4" t="n">
        <v>2</v>
      </c>
      <c r="Q1207" s="4" t="n">
        <v>1015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자루형</t>
        </is>
      </c>
      <c r="V1207" s="3" t="inlineStr">
        <is>
          <t>세로한면(불)</t>
        </is>
      </c>
    </row>
    <row r="1208">
      <c r="A1208" s="3" t="inlineStr">
        <is>
          <t>연서면 국촌리 24</t>
        </is>
      </c>
      <c r="B1208" s="3" t="inlineStr">
        <is>
          <t>계획관리지역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35000</v>
      </c>
      <c r="G1208" s="4" t="n">
        <v>1015</v>
      </c>
      <c r="H1208" s="4" t="n">
        <v>307</v>
      </c>
      <c r="I1208" s="5" t="n">
        <v>114</v>
      </c>
      <c r="J1208" s="5" t="n">
        <v>56.4</v>
      </c>
      <c r="K1208" s="3" t="inlineStr">
        <is>
          <t>급매,도로접한 계획관리지역,알토란 토지,가격조정가능</t>
        </is>
      </c>
      <c r="L1208" s="6">
        <f>HYPERLINK("https://fin.land.naver.com/articles/2651676153", "매물Link")</f>
        <v/>
      </c>
      <c r="M1208" s="6">
        <f>HYPERLINK("https://map.naver.com/p/search/연서면 국촌리 24", "지도Link")</f>
        <v/>
      </c>
      <c r="N1208" s="6">
        <f>HYPERLINK("http://www.eum.go.kr/web/ar/lu/luLandDet.jsp?pnu=3611036030100240000&amp;isNoScr=script&amp;mode=search", "토지이음")</f>
        <v/>
      </c>
      <c r="O1208" s="3" t="inlineStr">
        <is>
          <t>고운맘</t>
        </is>
      </c>
      <c r="P1208" s="4" t="n">
        <v>1</v>
      </c>
      <c r="Q1208" s="4" t="n">
        <v>1015</v>
      </c>
      <c r="R1208" s="3" t="inlineStr">
        <is>
          <t>지정되지않음</t>
        </is>
      </c>
      <c r="S1208" s="3" t="inlineStr">
        <is>
          <t>과수원</t>
        </is>
      </c>
      <c r="T1208" s="3" t="inlineStr">
        <is>
          <t>평지</t>
        </is>
      </c>
      <c r="U1208" s="3" t="inlineStr">
        <is>
          <t>자루형</t>
        </is>
      </c>
      <c r="V1208" s="3" t="inlineStr">
        <is>
          <t>세로한면(불)</t>
        </is>
      </c>
    </row>
    <row r="1209">
      <c r="A1209" s="3" t="inlineStr">
        <is>
          <t>연서면 국촌리 321-8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21200</v>
      </c>
      <c r="G1209" s="4" t="n">
        <v>350</v>
      </c>
      <c r="H1209" s="4" t="n">
        <v>106</v>
      </c>
      <c r="I1209" s="5" t="n">
        <v>200</v>
      </c>
      <c r="J1209" s="5" t="n">
        <v>57.5</v>
      </c>
      <c r="K1209" s="3" t="inlineStr">
        <is>
          <t>추천. 세종스마트산단 인접 대지</t>
        </is>
      </c>
      <c r="L1209" s="6">
        <f>HYPERLINK("https://fin.land.naver.com/articles/2654807804", "매물Link")</f>
        <v/>
      </c>
      <c r="M1209" s="6">
        <f>HYPERLINK("https://map.naver.com/p/search/연서면 국촌리 321-8", "지도Link")</f>
        <v/>
      </c>
      <c r="N1209" s="6">
        <f>HYPERLINK("http://www.eum.go.kr/web/ar/lu/luLandDet.jsp?pnu=3611036030103210008&amp;isNoScr=script&amp;mode=search", "토지이음")</f>
        <v/>
      </c>
      <c r="O1209" s="3" t="inlineStr">
        <is>
          <t>강아지풀</t>
        </is>
      </c>
      <c r="P1209" s="4" t="n">
        <v>1</v>
      </c>
      <c r="Q1209" s="4" t="n">
        <v>350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완경사</t>
        </is>
      </c>
      <c r="U1209" s="3" t="inlineStr">
        <is>
          <t>가로장방</t>
        </is>
      </c>
      <c r="V1209" s="3" t="inlineStr">
        <is>
          <t>세로한면(불)</t>
        </is>
      </c>
    </row>
    <row r="1210">
      <c r="A1210" s="3" t="inlineStr">
        <is>
          <t>연서면 국촌리 53-5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45000</v>
      </c>
      <c r="G1210" s="4" t="n">
        <v>1663</v>
      </c>
      <c r="H1210" s="4" t="n">
        <v>503</v>
      </c>
      <c r="I1210" s="5" t="n">
        <v>89.5</v>
      </c>
      <c r="J1210" s="5" t="n">
        <v>28.8</v>
      </c>
      <c r="K1210" s="3" t="inlineStr">
        <is>
          <t>대토,투자로 좋은 위치의 토지입니다</t>
        </is>
      </c>
      <c r="L1210" s="6">
        <f>HYPERLINK("https://fin.land.naver.com/articles/2650858546", "매물Link")</f>
        <v/>
      </c>
      <c r="M1210" s="6">
        <f>HYPERLINK("https://map.naver.com/p/search/연서면 국촌리 53-5", "지도Link")</f>
        <v/>
      </c>
      <c r="N1210" s="6">
        <f>HYPERLINK("http://www.eum.go.kr/web/ar/lu/luLandDet.jsp?pnu=3611036030100530005&amp;isNoScr=script&amp;mode=search", "토지이음")</f>
        <v/>
      </c>
      <c r="O1210" s="3" t="inlineStr">
        <is>
          <t>세종대박</t>
        </is>
      </c>
      <c r="P1210" s="4" t="n">
        <v>1</v>
      </c>
      <c r="Q1210" s="4" t="n">
        <v>1663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국촌리 76-5</t>
        </is>
      </c>
      <c r="B1211" s="3" t="inlineStr">
        <is>
          <t>농림지역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95000</v>
      </c>
      <c r="G1211" s="4" t="n">
        <v>1573</v>
      </c>
      <c r="H1211" s="4" t="n">
        <v>476</v>
      </c>
      <c r="I1211" s="5" t="n">
        <v>199.6</v>
      </c>
      <c r="J1211" s="5" t="n">
        <v>39.5</v>
      </c>
      <c r="K1211" s="3" t="inlineStr">
        <is>
          <t>시내와 가깝고 북세종 IC 인접, 창고에서 월세 나오는 농지</t>
        </is>
      </c>
      <c r="L1211" s="6">
        <f>HYPERLINK("https://fin.land.naver.com/articles/2652066396", "매물Link")</f>
        <v/>
      </c>
      <c r="M1211" s="6">
        <f>HYPERLINK("https://map.naver.com/p/search/연서면 국촌리 76-5", "지도Link")</f>
        <v/>
      </c>
      <c r="N1211" s="6">
        <f>HYPERLINK("http://www.eum.go.kr/web/ar/lu/luLandDet.jsp?pnu=3611036030100760005&amp;isNoScr=script&amp;mode=search", "토지이음")</f>
        <v/>
      </c>
      <c r="O1211" s="3" t="inlineStr">
        <is>
          <t>신와촌</t>
        </is>
      </c>
      <c r="P1211" s="4" t="n">
        <v>1</v>
      </c>
      <c r="Q1211" s="4" t="n">
        <v>1575</v>
      </c>
      <c r="R1211" s="3" t="inlineStr">
        <is>
          <t>지정되지않음</t>
        </is>
      </c>
      <c r="S1211" s="3" t="inlineStr">
        <is>
          <t>전창고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137-1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31000</v>
      </c>
      <c r="G1212" s="4" t="n">
        <v>900</v>
      </c>
      <c r="H1212" s="4" t="n">
        <v>272</v>
      </c>
      <c r="I1212" s="5" t="n">
        <v>114</v>
      </c>
      <c r="J1212" s="5" t="n">
        <v>39.5</v>
      </c>
      <c r="K1212" s="3" t="inlineStr">
        <is>
          <t>농업인 아니더라도 주말체험가능, 컨테이너,수도,전기,통신 설치됨.</t>
        </is>
      </c>
      <c r="L1212" s="6">
        <f>HYPERLINK("https://fin.land.naver.com/articles/2654658477", "매물Link")</f>
        <v/>
      </c>
      <c r="M1212" s="6">
        <f>HYPERLINK("https://map.naver.com/p/search/연서면 기룡리 137-1", "지도Link")</f>
        <v/>
      </c>
      <c r="N1212" s="6">
        <f>HYPERLINK("http://www.eum.go.kr/web/ar/lu/luLandDet.jsp?pnu=3611036028101370001&amp;isNoScr=script&amp;mode=search", "토지이음")</f>
        <v/>
      </c>
      <c r="O1212" s="3" t="inlineStr">
        <is>
          <t>세종대장</t>
        </is>
      </c>
      <c r="P1212" s="4" t="n">
        <v>1</v>
      </c>
      <c r="Q1212" s="4" t="n">
        <v>900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141</t>
        </is>
      </c>
      <c r="B1213" s="3" t="inlineStr">
        <is>
          <t>생산관리지역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42000</v>
      </c>
      <c r="G1213" s="4" t="n">
        <v>2122</v>
      </c>
      <c r="H1213" s="4" t="n">
        <v>642</v>
      </c>
      <c r="I1213" s="5" t="n">
        <v>65.40000000000001</v>
      </c>
      <c r="J1213" s="5" t="n">
        <v>23.4</v>
      </c>
      <c r="K1213" s="3" t="inlineStr">
        <is>
          <t>스마트 산업단지 인근 토지</t>
        </is>
      </c>
      <c r="L1213" s="6">
        <f>HYPERLINK("https://fin.land.naver.com/articles/2650477202", "매물Link")</f>
        <v/>
      </c>
      <c r="M1213" s="6">
        <f>HYPERLINK("https://map.naver.com/p/search/연서면 기룡리 141", "지도Link")</f>
        <v/>
      </c>
      <c r="N1213" s="6">
        <f>HYPERLINK("http://www.eum.go.kr/web/ar/lu/luLandDet.jsp?pnu=3611036028101410000&amp;isNoScr=script&amp;mode=search", "토지이음")</f>
        <v/>
      </c>
      <c r="O1213" s="3" t="inlineStr">
        <is>
          <t>해들일번지</t>
        </is>
      </c>
      <c r="P1213" s="4" t="n">
        <v>1</v>
      </c>
      <c r="Q1213" s="4" t="n">
        <v>2122</v>
      </c>
      <c r="R1213" s="3" t="inlineStr">
        <is>
          <t>지정되지않음</t>
        </is>
      </c>
      <c r="S1213" s="3" t="inlineStr">
        <is>
          <t>전기타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맹지</t>
        </is>
      </c>
    </row>
    <row r="1214">
      <c r="A1214" s="3" t="inlineStr">
        <is>
          <t>연서면 기룡리 156-3</t>
        </is>
      </c>
      <c r="B1214" s="3" t="inlineStr">
        <is>
          <t>생산관리지역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13000</v>
      </c>
      <c r="G1214" s="4" t="n">
        <v>1158</v>
      </c>
      <c r="H1214" s="4" t="n">
        <v>350</v>
      </c>
      <c r="I1214" s="5" t="n">
        <v>37.1</v>
      </c>
      <c r="J1214" s="5" t="n">
        <v>14.5</v>
      </c>
      <c r="K1214" s="3" t="inlineStr">
        <is>
          <t>급매, 토지옆 구거를 이용하여 출입가능</t>
        </is>
      </c>
      <c r="L1214" s="6">
        <f>HYPERLINK("https://fin.land.naver.com/articles/2650478075", "매물Link")</f>
        <v/>
      </c>
      <c r="M1214" s="6">
        <f>HYPERLINK("https://map.naver.com/p/search/연서면 기룡리 156-3", "지도Link")</f>
        <v/>
      </c>
      <c r="N1214" s="6">
        <f>HYPERLINK("http://www.eum.go.kr/web/ar/lu/luLandDet.jsp?pnu=3611036028101560003&amp;isNoScr=script&amp;mode=search", "토지이음")</f>
        <v/>
      </c>
      <c r="O1214" s="3" t="inlineStr">
        <is>
          <t>해들일번지</t>
        </is>
      </c>
      <c r="P1214" s="4" t="n">
        <v>1</v>
      </c>
      <c r="Q1214" s="4" t="n">
        <v>1158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맹지</t>
        </is>
      </c>
    </row>
    <row r="1215">
      <c r="A1215" s="3" t="inlineStr">
        <is>
          <t>연서면 기룡리 156-4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17000</v>
      </c>
      <c r="G1215" s="4" t="n">
        <v>1020</v>
      </c>
      <c r="H1215" s="4" t="n">
        <v>309</v>
      </c>
      <c r="I1215" s="5" t="n">
        <v>55</v>
      </c>
      <c r="J1215" s="5" t="n">
        <v>15</v>
      </c>
      <c r="K1215" s="3" t="inlineStr">
        <is>
          <t>급매, 구거 이용하여 출입 가능함</t>
        </is>
      </c>
      <c r="L1215" s="6">
        <f>HYPERLINK("https://fin.land.naver.com/articles/2652148264", "매물Link")</f>
        <v/>
      </c>
      <c r="M1215" s="6">
        <f>HYPERLINK("https://map.naver.com/p/search/연서면 기룡리 156-4", "지도Link")</f>
        <v/>
      </c>
      <c r="N1215" s="6">
        <f>HYPERLINK("http://www.eum.go.kr/web/ar/lu/luLandDet.jsp?pnu=3611036028101560004&amp;isNoScr=script&amp;mode=search", "토지이음")</f>
        <v/>
      </c>
      <c r="O1215" s="3" t="inlineStr">
        <is>
          <t>해들일번지</t>
        </is>
      </c>
      <c r="P1215" s="4" t="n">
        <v>1</v>
      </c>
      <c r="Q1215" s="4" t="n">
        <v>1020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급경사</t>
        </is>
      </c>
      <c r="U1215" s="3" t="inlineStr">
        <is>
          <t>부정형</t>
        </is>
      </c>
      <c r="V1215" s="3" t="inlineStr">
        <is>
          <t>맹지</t>
        </is>
      </c>
    </row>
    <row r="1216">
      <c r="A1216" s="3" t="inlineStr">
        <is>
          <t>연서면 기룡리 17</t>
        </is>
      </c>
      <c r="B1216" s="3" t="inlineStr">
        <is>
          <t>생산관리지역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63000</v>
      </c>
      <c r="G1216" s="4" t="n">
        <v>2314</v>
      </c>
      <c r="H1216" s="4" t="n">
        <v>700</v>
      </c>
      <c r="I1216" s="5" t="n">
        <v>90</v>
      </c>
      <c r="J1216" s="5" t="n">
        <v>30.7</v>
      </c>
      <c r="K1216" s="3" t="inlineStr">
        <is>
          <t>연서면 기룡리 생산관리 토지, 도로접, 국가산단 인근</t>
        </is>
      </c>
      <c r="L1216" s="6">
        <f>HYPERLINK("https://fin.land.naver.com/articles/2654027615", "매물Link")</f>
        <v/>
      </c>
      <c r="M1216" s="6">
        <f>HYPERLINK("https://map.naver.com/p/search/연서면 기룡리 17", "지도Link")</f>
        <v/>
      </c>
      <c r="N1216" s="6">
        <f>HYPERLINK("http://www.eum.go.kr/web/ar/lu/luLandDet.jsp?pnu=3611036028100170000&amp;isNoScr=script&amp;mode=search", "토지이음")</f>
        <v/>
      </c>
      <c r="O1216" s="3" t="inlineStr">
        <is>
          <t>스카이</t>
        </is>
      </c>
      <c r="P1216" s="4" t="n">
        <v>1</v>
      </c>
      <c r="Q1216" s="4" t="n">
        <v>2314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170-1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50900</v>
      </c>
      <c r="G1217" s="4" t="n">
        <v>1683</v>
      </c>
      <c r="H1217" s="4" t="n">
        <v>509</v>
      </c>
      <c r="I1217" s="5" t="n">
        <v>100</v>
      </c>
      <c r="J1217" s="5" t="n">
        <v>49.5</v>
      </c>
      <c r="K1217" s="3" t="inlineStr">
        <is>
          <t>나대지로 텃밭 주택,창고,주말농장 등이 어울리는 기룡리 토지</t>
        </is>
      </c>
      <c r="L1217" s="6">
        <f>HYPERLINK("https://fin.land.naver.com/articles/2650397810", "매물Link")</f>
        <v/>
      </c>
      <c r="M1217" s="6">
        <f>HYPERLINK("https://map.naver.com/p/search/연서면 기룡리 170-1", "지도Link")</f>
        <v/>
      </c>
      <c r="N1217" s="6">
        <f>HYPERLINK("http://www.eum.go.kr/web/ar/lu/luLandDet.jsp?pnu=3611036028101700001&amp;isNoScr=script&amp;mode=search", "토지이음")</f>
        <v/>
      </c>
      <c r="O1217" s="3" t="inlineStr">
        <is>
          <t>지성</t>
        </is>
      </c>
      <c r="P1217" s="4" t="n">
        <v>1</v>
      </c>
      <c r="Q1217" s="4" t="n">
        <v>1683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277-1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52000</v>
      </c>
      <c r="G1218" s="4" t="n">
        <v>2152</v>
      </c>
      <c r="H1218" s="4" t="n">
        <v>651</v>
      </c>
      <c r="I1218" s="5" t="n">
        <v>79.90000000000001</v>
      </c>
      <c r="J1218" s="5" t="n">
        <v>44</v>
      </c>
      <c r="K1218" s="3" t="inlineStr">
        <is>
          <t>기룡리토지매매 가격조정가능</t>
        </is>
      </c>
      <c r="L1218" s="6">
        <f>HYPERLINK("https://fin.land.naver.com/articles/2652695872", "매물Link")</f>
        <v/>
      </c>
      <c r="M1218" s="6">
        <f>HYPERLINK("https://map.naver.com/p/search/연서면 기룡리 277-1", "지도Link")</f>
        <v/>
      </c>
      <c r="N1218" s="6">
        <f>HYPERLINK("http://www.eum.go.kr/web/ar/lu/luLandDet.jsp?pnu=3611036028102770001&amp;isNoScr=script&amp;mode=search", "토지이음")</f>
        <v/>
      </c>
      <c r="O1218" s="3" t="inlineStr">
        <is>
          <t>고운동리치세종</t>
        </is>
      </c>
      <c r="P1218" s="4" t="n">
        <v>1</v>
      </c>
      <c r="Q1218" s="4" t="n">
        <v>2152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기룡리 332-2</t>
        </is>
      </c>
      <c r="B1219" s="3" t="inlineStr">
        <is>
          <t>계획관리지역</t>
        </is>
      </c>
      <c r="C1219" s="3" t="inlineStr">
        <is>
          <t>목장용지</t>
        </is>
      </c>
      <c r="D1219" s="3" t="inlineStr">
        <is>
          <t>목장용지</t>
        </is>
      </c>
      <c r="E1219" s="3" t="inlineStr">
        <is>
          <t>매매</t>
        </is>
      </c>
      <c r="F1219" s="4" t="n">
        <v>327000</v>
      </c>
      <c r="G1219" s="4" t="n">
        <v>9018</v>
      </c>
      <c r="H1219" s="4" t="n">
        <v>2728</v>
      </c>
      <c r="I1219" s="5" t="n">
        <v>119.9</v>
      </c>
      <c r="J1219" s="5" t="n">
        <v>46.1</v>
      </c>
      <c r="K1219" s="3" t="inlineStr">
        <is>
          <t>계획관리지역</t>
        </is>
      </c>
      <c r="L1219" s="6">
        <f>HYPERLINK("https://fin.land.naver.com/articles/2654530925", "매물Link")</f>
        <v/>
      </c>
      <c r="M1219" s="6">
        <f>HYPERLINK("https://map.naver.com/p/search/연서면 기룡리 332-2", "지도Link")</f>
        <v/>
      </c>
      <c r="N1219" s="6">
        <f>HYPERLINK("http://www.eum.go.kr/web/ar/lu/luLandDet.jsp?pnu=3611036028103320002&amp;isNoScr=script&amp;mode=search", "토지이음")</f>
        <v/>
      </c>
      <c r="O1219" s="3" t="inlineStr">
        <is>
          <t>다산</t>
        </is>
      </c>
      <c r="P1219" s="4" t="n">
        <v>1</v>
      </c>
      <c r="Q1219" s="4" t="n">
        <v>9004</v>
      </c>
      <c r="R1219" s="3" t="inlineStr">
        <is>
          <t>지정되지않음</t>
        </is>
      </c>
      <c r="S1219" s="3" t="inlineStr">
        <is>
          <t>전축사</t>
        </is>
      </c>
      <c r="T1219" s="3" t="inlineStr">
        <is>
          <t>완경사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연서면 기룡리 425</t>
        </is>
      </c>
      <c r="B1220" s="3" t="inlineStr">
        <is>
          <t>생산관리지역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237860</v>
      </c>
      <c r="G1220" s="4" t="n">
        <v>11234</v>
      </c>
      <c r="H1220" s="4" t="n">
        <v>3398</v>
      </c>
      <c r="I1220" s="5" t="n">
        <v>70</v>
      </c>
      <c r="J1220" s="5" t="n">
        <v>30.8</v>
      </c>
      <c r="K1220" s="3" t="inlineStr">
        <is>
          <t>여러필지이며 투자및 경작용으로 매우 좋음</t>
        </is>
      </c>
      <c r="L1220" s="6">
        <f>HYPERLINK("https://fin.land.naver.com/articles/2654855300", "매물Link")</f>
        <v/>
      </c>
      <c r="M1220" s="6">
        <f>HYPERLINK("https://map.naver.com/p/search/연서면 기룡리 425", "지도Link")</f>
        <v/>
      </c>
      <c r="N1220" s="6">
        <f>HYPERLINK("http://www.eum.go.kr/web/ar/lu/luLandDet.jsp?pnu=3611036028104250000&amp;isNoScr=script&amp;mode=search", "토지이음")</f>
        <v/>
      </c>
      <c r="O1220" s="3" t="inlineStr">
        <is>
          <t>세종리츠</t>
        </is>
      </c>
      <c r="P1220" s="4" t="n">
        <v>1</v>
      </c>
      <c r="Q1220" s="4" t="n">
        <v>1699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기룡리 426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15000</v>
      </c>
      <c r="G1221" s="4" t="n">
        <v>654</v>
      </c>
      <c r="H1221" s="4" t="n">
        <v>198</v>
      </c>
      <c r="I1221" s="5" t="n">
        <v>75.8</v>
      </c>
      <c r="J1221" s="5" t="n">
        <v>32.9</v>
      </c>
      <c r="K1221" s="3" t="inlineStr">
        <is>
          <t>초급매 생산관리지역 성장관리계획구역 도로</t>
        </is>
      </c>
      <c r="L1221" s="6">
        <f>HYPERLINK("https://fin.land.naver.com/articles/2655017365", "매물Link")</f>
        <v/>
      </c>
      <c r="M1221" s="6">
        <f>HYPERLINK("https://map.naver.com/p/search/연서면 기룡리 426", "지도Link")</f>
        <v/>
      </c>
      <c r="N1221" s="6">
        <f>HYPERLINK("http://www.eum.go.kr/web/ar/lu/luLandDet.jsp?pnu=3611036028104260000&amp;isNoScr=script&amp;mode=search", "토지이음")</f>
        <v/>
      </c>
      <c r="O1221" s="3" t="inlineStr">
        <is>
          <t>THE행복</t>
        </is>
      </c>
      <c r="P1221" s="4" t="n">
        <v>4</v>
      </c>
      <c r="Q1221" s="4" t="n">
        <v>654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세로각지(가)</t>
        </is>
      </c>
    </row>
    <row r="1222">
      <c r="A1222" s="3" t="inlineStr">
        <is>
          <t>연서면 기룡리 431-1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62500</v>
      </c>
      <c r="G1222" s="4" t="n">
        <v>2952</v>
      </c>
      <c r="H1222" s="4" t="n">
        <v>893</v>
      </c>
      <c r="I1222" s="5" t="n">
        <v>70</v>
      </c>
      <c r="J1222" s="5" t="n">
        <v>39.2</v>
      </c>
      <c r="K1222" s="3" t="inlineStr">
        <is>
          <t>기룡리 계획관리지역 지목이 전으로 총2필지 일괄로 급매.</t>
        </is>
      </c>
      <c r="L1222" s="6">
        <f>HYPERLINK("https://fin.land.naver.com/articles/2651207447", "매물Link")</f>
        <v/>
      </c>
      <c r="M1222" s="6">
        <f>HYPERLINK("https://map.naver.com/p/search/연서면 기룡리 431-1", "지도Link")</f>
        <v/>
      </c>
      <c r="N1222" s="6">
        <f>HYPERLINK("http://www.eum.go.kr/web/ar/lu/luLandDet.jsp?pnu=3611036028104310001&amp;isNoScr=script&amp;mode=search", "토지이음")</f>
        <v/>
      </c>
      <c r="O1222" s="3" t="inlineStr">
        <is>
          <t>세종대장</t>
        </is>
      </c>
      <c r="P1222" s="4" t="n">
        <v>1</v>
      </c>
      <c r="Q1222" s="4" t="n">
        <v>2483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기룡리 444</t>
        </is>
      </c>
      <c r="B1223" s="3" t="inlineStr">
        <is>
          <t>생산관리지역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63000</v>
      </c>
      <c r="G1223" s="4" t="n">
        <v>2971</v>
      </c>
      <c r="H1223" s="4" t="n">
        <v>899</v>
      </c>
      <c r="I1223" s="5" t="n">
        <v>70.09999999999999</v>
      </c>
      <c r="J1223" s="5" t="n">
        <v>30.8</v>
      </c>
      <c r="K1223" s="3" t="inlineStr">
        <is>
          <t>연서면 기룡리 마을 포장도로에 접한 생산관리지역의 토지 입니다.</t>
        </is>
      </c>
      <c r="L1223" s="6">
        <f>HYPERLINK("https://fin.land.naver.com/articles/2652190431", "매물Link")</f>
        <v/>
      </c>
      <c r="M1223" s="6">
        <f>HYPERLINK("https://map.naver.com/p/search/연서면 기룡리 444", "지도Link")</f>
        <v/>
      </c>
      <c r="N1223" s="6">
        <f>HYPERLINK("http://www.eum.go.kr/web/ar/lu/luLandDet.jsp?pnu=3611036028104440000&amp;isNoScr=script&amp;mode=search", "토지이음")</f>
        <v/>
      </c>
      <c r="O1223" s="3" t="inlineStr">
        <is>
          <t>스마일세종</t>
        </is>
      </c>
      <c r="P1223" s="4" t="n">
        <v>1</v>
      </c>
      <c r="Q1223" s="4" t="n">
        <v>2971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기룡리 484</t>
        </is>
      </c>
      <c r="B1224" s="3" t="inlineStr">
        <is>
          <t>생산관리지역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75000</v>
      </c>
      <c r="G1224" s="4" t="n">
        <v>2886</v>
      </c>
      <c r="H1224" s="4" t="n">
        <v>873</v>
      </c>
      <c r="I1224" s="5" t="n">
        <v>85.90000000000001</v>
      </c>
      <c r="J1224" s="5" t="n">
        <v>27.3</v>
      </c>
      <c r="K1224" s="3" t="inlineStr">
        <is>
          <t>보상이 시작된 세종국가산단과 인접하여 투자가치가 높음</t>
        </is>
      </c>
      <c r="L1224" s="6">
        <f>HYPERLINK("https://fin.land.naver.com/articles/2652786098", "매물Link")</f>
        <v/>
      </c>
      <c r="M1224" s="6">
        <f>HYPERLINK("https://map.naver.com/p/search/연서면 기룡리 484", "지도Link")</f>
        <v/>
      </c>
      <c r="N1224" s="6">
        <f>HYPERLINK("http://www.eum.go.kr/web/ar/lu/luLandDet.jsp?pnu=3611036028104840000&amp;isNoScr=script&amp;mode=search", "토지이음")</f>
        <v/>
      </c>
      <c r="O1224" s="3" t="inlineStr">
        <is>
          <t>가람</t>
        </is>
      </c>
      <c r="P1224" s="4" t="n">
        <v>1</v>
      </c>
      <c r="Q1224" s="4" t="n">
        <v>2886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기룡리 51-2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21000</v>
      </c>
      <c r="G1225" s="4" t="n">
        <v>252</v>
      </c>
      <c r="H1225" s="4" t="n">
        <v>76</v>
      </c>
      <c r="I1225" s="5" t="n">
        <v>276.3</v>
      </c>
      <c r="J1225" s="5" t="n">
        <v>73.2</v>
      </c>
      <c r="K1225" s="3" t="inlineStr">
        <is>
          <t>급매 가격조정가능</t>
        </is>
      </c>
      <c r="L1225" s="6">
        <f>HYPERLINK("https://fin.land.naver.com/articles/2654418965", "매물Link")</f>
        <v/>
      </c>
      <c r="M1225" s="6">
        <f>HYPERLINK("https://map.naver.com/p/search/연서면 기룡리 51-2", "지도Link")</f>
        <v/>
      </c>
      <c r="N1225" s="6">
        <f>HYPERLINK("http://www.eum.go.kr/web/ar/lu/luLandDet.jsp?pnu=3611036028100510002&amp;isNoScr=script&amp;mode=search", "토지이음")</f>
        <v/>
      </c>
      <c r="O1225" s="3" t="inlineStr">
        <is>
          <t>그래그</t>
        </is>
      </c>
      <c r="P1225" s="4" t="n">
        <v>1</v>
      </c>
      <c r="Q1225" s="4" t="n">
        <v>252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연서면 기룡리 52-12</t>
        </is>
      </c>
      <c r="B1226" s="3" t="inlineStr">
        <is>
          <t>계획관리지역</t>
        </is>
      </c>
      <c r="C1226" s="3" t="inlineStr">
        <is>
          <t>양어장</t>
        </is>
      </c>
      <c r="D1226" s="3" t="inlineStr">
        <is>
          <t>양어장</t>
        </is>
      </c>
      <c r="E1226" s="3" t="inlineStr">
        <is>
          <t>매매</t>
        </is>
      </c>
      <c r="F1226" s="4" t="n">
        <v>79000</v>
      </c>
      <c r="G1226" s="4" t="n">
        <v>965</v>
      </c>
      <c r="H1226" s="4" t="n">
        <v>292</v>
      </c>
      <c r="I1226" s="5" t="n">
        <v>270.5</v>
      </c>
      <c r="J1226" s="5" t="n">
        <v>46.6</v>
      </c>
      <c r="K1226" s="3" t="inlineStr">
        <is>
          <t>연서면 기룡리 개발된 계획관리 토지, 양어장, 국가산단 인근, 건축 추천</t>
        </is>
      </c>
      <c r="L1226" s="6">
        <f>HYPERLINK("https://fin.land.naver.com/articles/2654030100", "매물Link")</f>
        <v/>
      </c>
      <c r="M1226" s="6">
        <f>HYPERLINK("https://map.naver.com/p/search/연서면 기룡리 52-12", "지도Link")</f>
        <v/>
      </c>
      <c r="N1226" s="6">
        <f>HYPERLINK("http://www.eum.go.kr/web/ar/lu/luLandDet.jsp?pnu=3611036028100520012&amp;isNoScr=script&amp;mode=search", "토지이음")</f>
        <v/>
      </c>
      <c r="O1226" s="3" t="inlineStr">
        <is>
          <t>스카이</t>
        </is>
      </c>
      <c r="P1226" s="4" t="n">
        <v>1</v>
      </c>
      <c r="Q1226" s="4" t="n">
        <v>417</v>
      </c>
      <c r="R1226" s="3" t="inlineStr">
        <is>
          <t>지정되지않음</t>
        </is>
      </c>
      <c r="S1226" s="3" t="inlineStr">
        <is>
          <t>전기타</t>
        </is>
      </c>
      <c r="T1226" s="3" t="inlineStr">
        <is>
          <t>평지</t>
        </is>
      </c>
      <c r="U1226" s="3" t="inlineStr">
        <is>
          <t>사다리형</t>
        </is>
      </c>
      <c r="V1226" s="3" t="inlineStr">
        <is>
          <t>소로한면</t>
        </is>
      </c>
    </row>
    <row r="1227">
      <c r="A1227" s="3" t="inlineStr">
        <is>
          <t>연서면 기룡리 52-14</t>
        </is>
      </c>
      <c r="B1227" s="3" t="inlineStr">
        <is>
          <t>계획관리지역</t>
        </is>
      </c>
      <c r="C1227" s="3" t="inlineStr">
        <is>
          <t>양어장</t>
        </is>
      </c>
      <c r="D1227" s="3" t="inlineStr">
        <is>
          <t>양어장</t>
        </is>
      </c>
      <c r="E1227" s="3" t="inlineStr">
        <is>
          <t>매매</t>
        </is>
      </c>
      <c r="F1227" s="4" t="n">
        <v>80000</v>
      </c>
      <c r="G1227" s="4" t="n">
        <v>1028</v>
      </c>
      <c r="H1227" s="4" t="n">
        <v>311</v>
      </c>
      <c r="I1227" s="5" t="n">
        <v>257.2</v>
      </c>
      <c r="J1227" s="5" t="n">
        <v>46.6</v>
      </c>
      <c r="K1227" s="3" t="inlineStr">
        <is>
          <t>연서면 기룡리 개발된 계획관리 토지, 국가산단 인근, 양어장, 건축 추천</t>
        </is>
      </c>
      <c r="L1227" s="6">
        <f>HYPERLINK("https://fin.land.naver.com/articles/2654030029", "매물Link")</f>
        <v/>
      </c>
      <c r="M1227" s="6">
        <f>HYPERLINK("https://map.naver.com/p/search/연서면 기룡리 52-14", "지도Link")</f>
        <v/>
      </c>
      <c r="N1227" s="6">
        <f>HYPERLINK("http://www.eum.go.kr/web/ar/lu/luLandDet.jsp?pnu=3611036028100520014&amp;isNoScr=script&amp;mode=search", "토지이음")</f>
        <v/>
      </c>
      <c r="O1227" s="3" t="inlineStr">
        <is>
          <t>스카이</t>
        </is>
      </c>
      <c r="P1227" s="4" t="n">
        <v>1</v>
      </c>
      <c r="Q1227" s="4" t="n">
        <v>503</v>
      </c>
      <c r="R1227" s="3" t="inlineStr">
        <is>
          <t>지정되지않음</t>
        </is>
      </c>
      <c r="S1227" s="3" t="inlineStr">
        <is>
          <t>전기타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소로한면</t>
        </is>
      </c>
    </row>
    <row r="1228">
      <c r="A1228" s="3" t="inlineStr">
        <is>
          <t>연서면 기룡리 52-14</t>
        </is>
      </c>
      <c r="B1228" s="3" t="inlineStr">
        <is>
          <t>계획관리지역</t>
        </is>
      </c>
      <c r="C1228" s="3" t="inlineStr">
        <is>
          <t>양어장</t>
        </is>
      </c>
      <c r="D1228" s="3" t="inlineStr">
        <is>
          <t>양어장</t>
        </is>
      </c>
      <c r="E1228" s="3" t="inlineStr">
        <is>
          <t>매매</t>
        </is>
      </c>
      <c r="F1228" s="4" t="n">
        <v>39000</v>
      </c>
      <c r="G1228" s="4" t="n">
        <v>503</v>
      </c>
      <c r="H1228" s="4" t="n">
        <v>152</v>
      </c>
      <c r="I1228" s="5" t="n">
        <v>256.6</v>
      </c>
      <c r="J1228" s="5" t="n">
        <v>46.6</v>
      </c>
      <c r="K1228" s="3" t="inlineStr">
        <is>
          <t>계획관리지역 양어장</t>
        </is>
      </c>
      <c r="L1228" s="6">
        <f>HYPERLINK("https://fin.land.naver.com/articles/2654419815", "매물Link")</f>
        <v/>
      </c>
      <c r="M1228" s="6">
        <f>HYPERLINK("https://map.naver.com/p/search/연서면 기룡리 52-14", "지도Link")</f>
        <v/>
      </c>
      <c r="N1228" s="6">
        <f>HYPERLINK("http://www.eum.go.kr/web/ar/lu/luLandDet.jsp?pnu=3611036028100520014&amp;isNoScr=script&amp;mode=search", "토지이음")</f>
        <v/>
      </c>
      <c r="O1228" s="3" t="inlineStr">
        <is>
          <t>그래그</t>
        </is>
      </c>
      <c r="P1228" s="4" t="n">
        <v>1</v>
      </c>
      <c r="Q1228" s="4" t="n">
        <v>503</v>
      </c>
      <c r="R1228" s="3" t="inlineStr">
        <is>
          <t>지정되지않음</t>
        </is>
      </c>
      <c r="S1228" s="3" t="inlineStr">
        <is>
          <t>전기타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소로한면</t>
        </is>
      </c>
    </row>
    <row r="1229">
      <c r="A1229" s="3" t="inlineStr">
        <is>
          <t>연서면 기룡리 52-17</t>
        </is>
      </c>
      <c r="B1229" s="3" t="inlineStr">
        <is>
          <t>계획관리지역</t>
        </is>
      </c>
      <c r="C1229" s="3" t="inlineStr">
        <is>
          <t>양어장</t>
        </is>
      </c>
      <c r="D1229" s="3" t="inlineStr">
        <is>
          <t>양어장</t>
        </is>
      </c>
      <c r="E1229" s="3" t="inlineStr">
        <is>
          <t>매매</t>
        </is>
      </c>
      <c r="F1229" s="4" t="n">
        <v>21000</v>
      </c>
      <c r="G1229" s="4" t="n">
        <v>254</v>
      </c>
      <c r="H1229" s="4" t="n">
        <v>77</v>
      </c>
      <c r="I1229" s="5" t="n">
        <v>272.7</v>
      </c>
      <c r="J1229" s="5" t="n">
        <v>44.4</v>
      </c>
      <c r="K1229" s="3" t="inlineStr">
        <is>
          <t>급매 가격조정가능</t>
        </is>
      </c>
      <c r="L1229" s="6">
        <f>HYPERLINK("https://fin.land.naver.com/articles/2654419075", "매물Link")</f>
        <v/>
      </c>
      <c r="M1229" s="6">
        <f>HYPERLINK("https://map.naver.com/p/search/연서면 기룡리 52-17", "지도Link")</f>
        <v/>
      </c>
      <c r="N1229" s="6">
        <f>HYPERLINK("http://www.eum.go.kr/web/ar/lu/luLandDet.jsp?pnu=3611036028100520017&amp;isNoScr=script&amp;mode=search", "토지이음")</f>
        <v/>
      </c>
      <c r="O1229" s="3" t="inlineStr">
        <is>
          <t>그래그</t>
        </is>
      </c>
      <c r="P1229" s="4" t="n">
        <v>1</v>
      </c>
      <c r="Q1229" s="4" t="n">
        <v>254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소로한면</t>
        </is>
      </c>
    </row>
    <row r="1230">
      <c r="A1230" s="3" t="inlineStr">
        <is>
          <t>연서면 기룡리 52-6</t>
        </is>
      </c>
      <c r="B1230" s="3" t="inlineStr">
        <is>
          <t>계획관리지역</t>
        </is>
      </c>
      <c r="C1230" s="3" t="inlineStr">
        <is>
          <t>양어장</t>
        </is>
      </c>
      <c r="D1230" s="3" t="inlineStr">
        <is>
          <t>양어장</t>
        </is>
      </c>
      <c r="E1230" s="3" t="inlineStr">
        <is>
          <t>매매</t>
        </is>
      </c>
      <c r="F1230" s="4" t="n">
        <v>35000</v>
      </c>
      <c r="G1230" s="4" t="n">
        <v>430</v>
      </c>
      <c r="H1230" s="4" t="n">
        <v>130</v>
      </c>
      <c r="I1230" s="5" t="n">
        <v>269.2</v>
      </c>
      <c r="J1230" s="5" t="n">
        <v>44.4</v>
      </c>
      <c r="K1230" s="3" t="inlineStr">
        <is>
          <t>계획관리지역 양어장</t>
        </is>
      </c>
      <c r="L1230" s="6">
        <f>HYPERLINK("https://fin.land.naver.com/articles/2654422292", "매물Link")</f>
        <v/>
      </c>
      <c r="M1230" s="6">
        <f>HYPERLINK("https://map.naver.com/p/search/연서면 기룡리 52-6", "지도Link")</f>
        <v/>
      </c>
      <c r="N1230" s="6">
        <f>HYPERLINK("http://www.eum.go.kr/web/ar/lu/luLandDet.jsp?pnu=3611036028100520006&amp;isNoScr=script&amp;mode=search", "토지이음")</f>
        <v/>
      </c>
      <c r="O1230" s="3" t="inlineStr">
        <is>
          <t>그래그</t>
        </is>
      </c>
      <c r="P1230" s="4" t="n">
        <v>1</v>
      </c>
      <c r="Q1230" s="4" t="n">
        <v>430</v>
      </c>
      <c r="R1230" s="3" t="inlineStr">
        <is>
          <t>지정되지않음</t>
        </is>
      </c>
      <c r="S1230" s="3" t="inlineStr">
        <is>
          <t>전기타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소로한면</t>
        </is>
      </c>
    </row>
    <row r="1231">
      <c r="A1231" s="3" t="inlineStr">
        <is>
          <t>연서면 기룡리 526-2</t>
        </is>
      </c>
      <c r="B1231" s="3" t="inlineStr">
        <is>
          <t>생산관리지역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20000</v>
      </c>
      <c r="G1231" s="4" t="n">
        <v>1486</v>
      </c>
      <c r="H1231" s="4" t="n">
        <v>450</v>
      </c>
      <c r="I1231" s="5" t="n">
        <v>44.4</v>
      </c>
      <c r="J1231" s="5" t="n">
        <v>28.9</v>
      </c>
      <c r="K1231" s="3" t="inlineStr">
        <is>
          <t>관리지역 토지가격조율가능</t>
        </is>
      </c>
      <c r="L1231" s="6">
        <f>HYPERLINK("https://fin.land.naver.com/articles/2655169374", "매물Link")</f>
        <v/>
      </c>
      <c r="M1231" s="6">
        <f>HYPERLINK("https://map.naver.com/p/search/연서면 기룡리 526-2", "지도Link")</f>
        <v/>
      </c>
      <c r="N1231" s="6">
        <f>HYPERLINK("http://www.eum.go.kr/web/ar/lu/luLandDet.jsp?pnu=3611036028105260002&amp;isNoScr=script&amp;mode=search", "토지이음")</f>
        <v/>
      </c>
      <c r="O1231" s="3" t="inlineStr">
        <is>
          <t>세종대박</t>
        </is>
      </c>
      <c r="P1231" s="4" t="n">
        <v>2</v>
      </c>
      <c r="Q1231" s="4" t="n">
        <v>1486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연서면 기룡리 589-1</t>
        </is>
      </c>
      <c r="B1232" s="3" t="inlineStr">
        <is>
          <t>생산관리지역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39500</v>
      </c>
      <c r="G1232" s="4" t="n">
        <v>1729</v>
      </c>
      <c r="H1232" s="4" t="n">
        <v>523</v>
      </c>
      <c r="I1232" s="5" t="n">
        <v>75.5</v>
      </c>
      <c r="J1232" s="5" t="n">
        <v>29.9</v>
      </c>
      <c r="K1232" s="3" t="inlineStr">
        <is>
          <t>기반 시설이 완비되어 있는 밭 과 농막 기룡리 토지매매</t>
        </is>
      </c>
      <c r="L1232" s="6">
        <f>HYPERLINK("https://fin.land.naver.com/articles/2654589326", "매물Link")</f>
        <v/>
      </c>
      <c r="M1232" s="6">
        <f>HYPERLINK("https://map.naver.com/p/search/연서면 기룡리 589-1", "지도Link")</f>
        <v/>
      </c>
      <c r="N1232" s="6">
        <f>HYPERLINK("http://www.eum.go.kr/web/ar/lu/luLandDet.jsp?pnu=3611036028105890001&amp;isNoScr=script&amp;mode=search", "토지이음")</f>
        <v/>
      </c>
      <c r="O1232" s="3" t="inlineStr">
        <is>
          <t>지성</t>
        </is>
      </c>
      <c r="P1232" s="4" t="n">
        <v>1</v>
      </c>
      <c r="Q1232" s="4" t="n">
        <v>1729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기룡리 599</t>
        </is>
      </c>
      <c r="B1233" s="3" t="inlineStr">
        <is>
          <t>생산관리지역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30000</v>
      </c>
      <c r="G1233" s="4" t="n">
        <v>1246</v>
      </c>
      <c r="H1233" s="4" t="n">
        <v>377</v>
      </c>
      <c r="I1233" s="5" t="n">
        <v>79.59999999999999</v>
      </c>
      <c r="J1233" s="5" t="n">
        <v>31.2</v>
      </c>
      <c r="K1233" s="3" t="inlineStr">
        <is>
          <t>대전 보건전문대 부지 근거리위치 투자가치좋음</t>
        </is>
      </c>
      <c r="L1233" s="6">
        <f>HYPERLINK("https://fin.land.naver.com/articles/2652730624", "매물Link")</f>
        <v/>
      </c>
      <c r="M1233" s="6">
        <f>HYPERLINK("https://map.naver.com/p/search/연서면 기룡리 599", "지도Link")</f>
        <v/>
      </c>
      <c r="N1233" s="6">
        <f>HYPERLINK("http://www.eum.go.kr/web/ar/lu/luLandDet.jsp?pnu=3611036028105990000&amp;isNoScr=script&amp;mode=search", "토지이음")</f>
        <v/>
      </c>
      <c r="O1233" s="3" t="inlineStr">
        <is>
          <t>대박</t>
        </is>
      </c>
      <c r="P1233" s="4" t="n">
        <v>1</v>
      </c>
      <c r="Q1233" s="4" t="n">
        <v>1246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기룡리 609-1</t>
        </is>
      </c>
      <c r="B1234" s="3" t="inlineStr">
        <is>
          <t>생산관리지역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49000</v>
      </c>
      <c r="G1234" s="4" t="n">
        <v>1808</v>
      </c>
      <c r="H1234" s="4" t="n">
        <v>547</v>
      </c>
      <c r="I1234" s="5" t="n">
        <v>89.59999999999999</v>
      </c>
      <c r="J1234" s="5" t="n">
        <v>31.2</v>
      </c>
      <c r="K1234" s="3" t="inlineStr">
        <is>
          <t>기룡리 전망 좋고 공기 맑은 세컨하우스나 주말쉼터로 투자추천.</t>
        </is>
      </c>
      <c r="L1234" s="6">
        <f>HYPERLINK("https://fin.land.naver.com/articles/2655088639", "매물Link")</f>
        <v/>
      </c>
      <c r="M1234" s="6">
        <f>HYPERLINK("https://map.naver.com/p/search/연서면 기룡리 609-1", "지도Link")</f>
        <v/>
      </c>
      <c r="N1234" s="6">
        <f>HYPERLINK("http://www.eum.go.kr/web/ar/lu/luLandDet.jsp?pnu=3611036028106090001&amp;isNoScr=script&amp;mode=search", "토지이음")</f>
        <v/>
      </c>
      <c r="O1234" s="3" t="inlineStr">
        <is>
          <t>세종대장</t>
        </is>
      </c>
      <c r="P1234" s="4" t="n">
        <v>1</v>
      </c>
      <c r="Q1234" s="4" t="n">
        <v>1808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연서면 기룡리 651-5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19500</v>
      </c>
      <c r="G1235" s="4" t="n">
        <v>483</v>
      </c>
      <c r="H1235" s="4" t="n">
        <v>146</v>
      </c>
      <c r="I1235" s="5" t="n">
        <v>133.6</v>
      </c>
      <c r="J1235" s="5" t="n">
        <v>66.7</v>
      </c>
      <c r="K1235" s="3" t="inlineStr">
        <is>
          <t>접근성좋아요,국유지구거및도로접</t>
        </is>
      </c>
      <c r="L1235" s="6">
        <f>HYPERLINK("https://fin.land.naver.com/articles/2654252150", "매물Link")</f>
        <v/>
      </c>
      <c r="M1235" s="6">
        <f>HYPERLINK("https://map.naver.com/p/search/연서면 기룡리 651-5", "지도Link")</f>
        <v/>
      </c>
      <c r="N1235" s="6">
        <f>HYPERLINK("http://www.eum.go.kr/web/ar/lu/luLandDet.jsp?pnu=3611036028106510005&amp;isNoScr=script&amp;mode=search", "토지이음")</f>
        <v/>
      </c>
      <c r="O1235" s="3" t="inlineStr">
        <is>
          <t>싱글벙글</t>
        </is>
      </c>
      <c r="P1235" s="4" t="n">
        <v>4</v>
      </c>
      <c r="Q1235" s="4" t="n">
        <v>364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연서면 기룡리 651-5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19500</v>
      </c>
      <c r="G1236" s="4" t="n">
        <v>482</v>
      </c>
      <c r="H1236" s="4" t="n">
        <v>146</v>
      </c>
      <c r="I1236" s="5" t="n">
        <v>133.6</v>
      </c>
      <c r="J1236" s="5" t="n">
        <v>66.7</v>
      </c>
      <c r="K1236" s="3" t="inlineStr">
        <is>
          <t>연서면 기룡리 토지 계획관리지역 전원주택등</t>
        </is>
      </c>
      <c r="L1236" s="6">
        <f>HYPERLINK("https://fin.land.naver.com/articles/2652196219", "매물Link")</f>
        <v/>
      </c>
      <c r="M1236" s="6">
        <f>HYPERLINK("https://map.naver.com/p/search/연서면 기룡리 651-5", "지도Link")</f>
        <v/>
      </c>
      <c r="N1236" s="6">
        <f>HYPERLINK("http://www.eum.go.kr/web/ar/lu/luLandDet.jsp?pnu=3611036028106510005&amp;isNoScr=script&amp;mode=search", "토지이음")</f>
        <v/>
      </c>
      <c r="O1236" s="3" t="inlineStr">
        <is>
          <t>반석원무소</t>
        </is>
      </c>
      <c r="P1236" s="4" t="n">
        <v>1</v>
      </c>
      <c r="Q1236" s="4" t="n">
        <v>364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연서면 기룡리 651-5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19500</v>
      </c>
      <c r="G1237" s="4" t="n">
        <v>483</v>
      </c>
      <c r="H1237" s="4" t="n">
        <v>146</v>
      </c>
      <c r="I1237" s="5" t="n">
        <v>133.6</v>
      </c>
      <c r="J1237" s="5" t="n">
        <v>66.7</v>
      </c>
      <c r="K1237" s="3" t="inlineStr">
        <is>
          <t>도로접 국가산단 인근으로 투자와 실사용을 동시에 만족</t>
        </is>
      </c>
      <c r="L1237" s="6">
        <f>HYPERLINK("https://fin.land.naver.com/articles/2652765583", "매물Link")</f>
        <v/>
      </c>
      <c r="M1237" s="6">
        <f>HYPERLINK("https://map.naver.com/p/search/연서면 기룡리 651-5", "지도Link")</f>
        <v/>
      </c>
      <c r="N1237" s="6">
        <f>HYPERLINK("http://www.eum.go.kr/web/ar/lu/luLandDet.jsp?pnu=3611036028106510005&amp;isNoScr=script&amp;mode=search", "토지이음")</f>
        <v/>
      </c>
      <c r="O1237" s="3" t="inlineStr">
        <is>
          <t>가치잇는</t>
        </is>
      </c>
      <c r="P1237" s="4" t="n">
        <v>7</v>
      </c>
      <c r="Q1237" s="4" t="n">
        <v>364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연서면 기룡리 651-5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19500</v>
      </c>
      <c r="G1238" s="4" t="n">
        <v>483</v>
      </c>
      <c r="H1238" s="4" t="n">
        <v>146</v>
      </c>
      <c r="I1238" s="5" t="n">
        <v>133.6</v>
      </c>
      <c r="J1238" s="5" t="n">
        <v>66.7</v>
      </c>
      <c r="K1238" s="3" t="inlineStr">
        <is>
          <t>nan</t>
        </is>
      </c>
      <c r="L1238" s="6">
        <f>HYPERLINK("https://fin.land.naver.com/articles/2652331421", "매물Link")</f>
        <v/>
      </c>
      <c r="M1238" s="6">
        <f>HYPERLINK("https://map.naver.com/p/search/연서면 기룡리 651-5", "지도Link")</f>
        <v/>
      </c>
      <c r="N1238" s="6">
        <f>HYPERLINK("http://www.eum.go.kr/web/ar/lu/luLandDet.jsp?pnu=3611036028106510005&amp;isNoScr=script&amp;mode=search", "토지이음")</f>
        <v/>
      </c>
      <c r="O1238" s="3" t="inlineStr">
        <is>
          <t>세종금밭</t>
        </is>
      </c>
      <c r="P1238" s="4" t="n">
        <v>4</v>
      </c>
      <c r="Q1238" s="4" t="n">
        <v>364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연서면 기룡리 651-5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22000</v>
      </c>
      <c r="G1239" s="4" t="n">
        <v>483</v>
      </c>
      <c r="H1239" s="4" t="n">
        <v>146</v>
      </c>
      <c r="I1239" s="5" t="n">
        <v>150.7</v>
      </c>
      <c r="J1239" s="5" t="n">
        <v>66.7</v>
      </c>
      <c r="K1239" s="3" t="inlineStr">
        <is>
          <t>급매 세종스마트산단인근  지가상승지역 전원주택 세컨하우스 추천</t>
        </is>
      </c>
      <c r="L1239" s="6">
        <f>HYPERLINK("https://fin.land.naver.com/articles/2654794559", "매물Link")</f>
        <v/>
      </c>
      <c r="M1239" s="6">
        <f>HYPERLINK("https://map.naver.com/p/search/연서면 기룡리 651-5", "지도Link")</f>
        <v/>
      </c>
      <c r="N1239" s="6">
        <f>HYPERLINK("http://www.eum.go.kr/web/ar/lu/luLandDet.jsp?pnu=3611036028106510005&amp;isNoScr=script&amp;mode=search", "토지이음")</f>
        <v/>
      </c>
      <c r="O1239" s="3" t="inlineStr">
        <is>
          <t>더원</t>
        </is>
      </c>
      <c r="P1239" s="4" t="n">
        <v>4</v>
      </c>
      <c r="Q1239" s="4" t="n">
        <v>364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기룡리 651-5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19500</v>
      </c>
      <c r="G1240" s="4" t="n">
        <v>483</v>
      </c>
      <c r="H1240" s="4" t="n">
        <v>146</v>
      </c>
      <c r="I1240" s="5" t="n">
        <v>133.6</v>
      </c>
      <c r="J1240" s="5" t="n">
        <v>66.7</v>
      </c>
      <c r="K1240" s="3" t="inlineStr">
        <is>
          <t>도로 접한 토지 급매 l  전원주택, 캠핑카등 활용도 높은 토지</t>
        </is>
      </c>
      <c r="L1240" s="6">
        <f>HYPERLINK("https://fin.land.naver.com/articles/2655221143", "매물Link")</f>
        <v/>
      </c>
      <c r="M1240" s="6">
        <f>HYPERLINK("https://map.naver.com/p/search/연서면 기룡리 651-5", "지도Link")</f>
        <v/>
      </c>
      <c r="N1240" s="6">
        <f>HYPERLINK("http://www.eum.go.kr/web/ar/lu/luLandDet.jsp?pnu=3611036028106510005&amp;isNoScr=script&amp;mode=search", "토지이음")</f>
        <v/>
      </c>
      <c r="O1240" s="3" t="inlineStr">
        <is>
          <t>문은진</t>
        </is>
      </c>
      <c r="P1240" s="4" t="n">
        <v>1</v>
      </c>
      <c r="Q1240" s="4" t="n">
        <v>364</v>
      </c>
      <c r="R1240" s="3" t="inlineStr">
        <is>
          <t>지정되지않음</t>
        </is>
      </c>
      <c r="S1240" s="3" t="inlineStr">
        <is>
          <t>단독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기룡리 651-5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19500</v>
      </c>
      <c r="G1241" s="4" t="n">
        <v>483</v>
      </c>
      <c r="H1241" s="4" t="n">
        <v>146</v>
      </c>
      <c r="I1241" s="5" t="n">
        <v>133.6</v>
      </c>
      <c r="J1241" s="5" t="n">
        <v>66.7</v>
      </c>
      <c r="K1241" s="3" t="inlineStr">
        <is>
          <t>급매매 계획관리 도로접 건축가능 세종 연서 기룡리</t>
        </is>
      </c>
      <c r="L1241" s="6">
        <f>HYPERLINK("https://fin.land.naver.com/articles/2649923225", "매물Link")</f>
        <v/>
      </c>
      <c r="M1241" s="6">
        <f>HYPERLINK("https://map.naver.com/p/search/연서면 기룡리 651-5", "지도Link")</f>
        <v/>
      </c>
      <c r="N1241" s="6">
        <f>HYPERLINK("http://www.eum.go.kr/web/ar/lu/luLandDet.jsp?pnu=3611036028106510005&amp;isNoScr=script&amp;mode=search", "토지이음")</f>
        <v/>
      </c>
      <c r="O1241" s="3" t="inlineStr">
        <is>
          <t>명장</t>
        </is>
      </c>
      <c r="P1241" s="4" t="n">
        <v>1</v>
      </c>
      <c r="Q1241" s="4" t="n">
        <v>364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기룡리 651-5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19500</v>
      </c>
      <c r="G1242" s="4" t="n">
        <v>483</v>
      </c>
      <c r="H1242" s="4" t="n">
        <v>146</v>
      </c>
      <c r="I1242" s="5" t="n">
        <v>133.6</v>
      </c>
      <c r="J1242" s="5" t="n">
        <v>66.7</v>
      </c>
      <c r="K1242" s="3" t="inlineStr">
        <is>
          <t>전망좋은 전원택지및 다용도,투자적지</t>
        </is>
      </c>
      <c r="L1242" s="6">
        <f>HYPERLINK("https://fin.land.naver.com/articles/2649946421", "매물Link")</f>
        <v/>
      </c>
      <c r="M1242" s="6">
        <f>HYPERLINK("https://map.naver.com/p/search/연서면 기룡리 651-5", "지도Link")</f>
        <v/>
      </c>
      <c r="N1242" s="6">
        <f>HYPERLINK("http://www.eum.go.kr/web/ar/lu/luLandDet.jsp?pnu=3611036028106510005&amp;isNoScr=script&amp;mode=search", "토지이음")</f>
        <v/>
      </c>
      <c r="O1242" s="3" t="inlineStr">
        <is>
          <t>행복가득한</t>
        </is>
      </c>
      <c r="P1242" s="4" t="n">
        <v>1</v>
      </c>
      <c r="Q1242" s="4" t="n">
        <v>364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기룡리 662-1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29000</v>
      </c>
      <c r="G1243" s="4" t="n">
        <v>631</v>
      </c>
      <c r="H1243" s="4" t="n">
        <v>191</v>
      </c>
      <c r="I1243" s="5" t="n">
        <v>151.8</v>
      </c>
      <c r="J1243" s="5" t="n">
        <v>66.7</v>
      </c>
      <c r="K1243" s="3" t="inlineStr">
        <is>
          <t>급매,투자추천,나대지</t>
        </is>
      </c>
      <c r="L1243" s="6">
        <f>HYPERLINK("https://fin.land.naver.com/articles/2654898460", "매물Link")</f>
        <v/>
      </c>
      <c r="M1243" s="6">
        <f>HYPERLINK("https://map.naver.com/p/search/연서면 기룡리 662-1", "지도Link")</f>
        <v/>
      </c>
      <c r="N1243" s="6">
        <f>HYPERLINK("http://www.eum.go.kr/web/ar/lu/luLandDet.jsp?pnu=3611036028106620001&amp;isNoScr=script&amp;mode=search", "토지이음")</f>
        <v/>
      </c>
      <c r="O1243" s="3" t="inlineStr">
        <is>
          <t>다산</t>
        </is>
      </c>
      <c r="P1243" s="4" t="n">
        <v>1</v>
      </c>
      <c r="Q1243" s="4" t="n">
        <v>631</v>
      </c>
      <c r="R1243" s="3" t="inlineStr">
        <is>
          <t>지정되지않음</t>
        </is>
      </c>
      <c r="S1243" s="3" t="inlineStr">
        <is>
          <t>단독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기룡리 662-1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29000</v>
      </c>
      <c r="G1244" s="4" t="n">
        <v>631</v>
      </c>
      <c r="H1244" s="4" t="n">
        <v>191</v>
      </c>
      <c r="I1244" s="5" t="n">
        <v>151.8</v>
      </c>
      <c r="J1244" s="5" t="n">
        <v>66.7</v>
      </c>
      <c r="K1244" s="3" t="inlineStr">
        <is>
          <t>작은 텃밭 건축가능한 대지</t>
        </is>
      </c>
      <c r="L1244" s="6">
        <f>HYPERLINK("https://fin.land.naver.com/articles/2651272476", "매물Link")</f>
        <v/>
      </c>
      <c r="M1244" s="6">
        <f>HYPERLINK("https://map.naver.com/p/search/연서면 기룡리 662-1", "지도Link")</f>
        <v/>
      </c>
      <c r="N1244" s="6">
        <f>HYPERLINK("http://www.eum.go.kr/web/ar/lu/luLandDet.jsp?pnu=3611036028106620001&amp;isNoScr=script&amp;mode=search", "토지이음")</f>
        <v/>
      </c>
      <c r="O1244" s="3" t="inlineStr">
        <is>
          <t>지성</t>
        </is>
      </c>
      <c r="P1244" s="4" t="n">
        <v>1</v>
      </c>
      <c r="Q1244" s="4" t="n">
        <v>631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기룡리 692-1</t>
        </is>
      </c>
      <c r="B1245" s="3" t="inlineStr">
        <is>
          <t>생산관리지역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13000</v>
      </c>
      <c r="G1245" s="4" t="n">
        <v>506</v>
      </c>
      <c r="H1245" s="4" t="n">
        <v>153</v>
      </c>
      <c r="I1245" s="5" t="n">
        <v>85</v>
      </c>
      <c r="J1245" s="5" t="n">
        <v>32.1</v>
      </c>
      <c r="K1245" s="3" t="inlineStr">
        <is>
          <t>급매, 협의,절충, 도로접, 성장관리계획구역 지목이전으로 입지,인프라 굿</t>
        </is>
      </c>
      <c r="L1245" s="6">
        <f>HYPERLINK("https://fin.land.naver.com/articles/2649747414", "매물Link")</f>
        <v/>
      </c>
      <c r="M1245" s="6">
        <f>HYPERLINK("https://map.naver.com/p/search/연서면 기룡리 692-1", "지도Link")</f>
        <v/>
      </c>
      <c r="N1245" s="6">
        <f>HYPERLINK("http://www.eum.go.kr/web/ar/lu/luLandDet.jsp?pnu=3611036028106920001&amp;isNoScr=script&amp;mode=search", "토지이음")</f>
        <v/>
      </c>
      <c r="O1245" s="3" t="inlineStr">
        <is>
          <t>세종한울</t>
        </is>
      </c>
      <c r="P1245" s="4" t="n">
        <v>1</v>
      </c>
      <c r="Q1245" s="4" t="n">
        <v>506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기룡리 693-5</t>
        </is>
      </c>
      <c r="B1246" s="3" t="inlineStr">
        <is>
          <t>농림지역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30000</v>
      </c>
      <c r="G1246" s="4" t="n">
        <v>1253</v>
      </c>
      <c r="H1246" s="4" t="n">
        <v>379</v>
      </c>
      <c r="I1246" s="5" t="n">
        <v>79.2</v>
      </c>
      <c r="J1246" s="5" t="n">
        <v>15.6</v>
      </c>
      <c r="K1246" s="3" t="inlineStr">
        <is>
          <t>급매, 협의,절충, 도로접, 전, 농림지역으로 입지, 인프라 굿</t>
        </is>
      </c>
      <c r="L1246" s="6">
        <f>HYPERLINK("https://fin.land.naver.com/articles/2649748210", "매물Link")</f>
        <v/>
      </c>
      <c r="M1246" s="6">
        <f>HYPERLINK("https://map.naver.com/p/search/연서면 기룡리 693-5", "지도Link")</f>
        <v/>
      </c>
      <c r="N1246" s="6">
        <f>HYPERLINK("http://www.eum.go.kr/web/ar/lu/luLandDet.jsp?pnu=3611036028106930005&amp;isNoScr=script&amp;mode=search", "토지이음")</f>
        <v/>
      </c>
      <c r="O1246" s="3" t="inlineStr">
        <is>
          <t>세종한울</t>
        </is>
      </c>
      <c r="P1246" s="4" t="n">
        <v>1</v>
      </c>
      <c r="Q1246" s="4" t="n">
        <v>1253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연서면 기룡리 710-2</t>
        </is>
      </c>
      <c r="B1247" s="3" t="inlineStr">
        <is>
          <t>생산관리지역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38500</v>
      </c>
      <c r="G1247" s="4" t="n">
        <v>2542</v>
      </c>
      <c r="H1247" s="4" t="n">
        <v>769</v>
      </c>
      <c r="I1247" s="5" t="n">
        <v>50.1</v>
      </c>
      <c r="J1247" s="5" t="n">
        <v>24.9</v>
      </c>
      <c r="K1247" s="3" t="inlineStr">
        <is>
          <t>세종시 연서면 기룡리 생산관리지역 답 매매</t>
        </is>
      </c>
      <c r="L1247" s="6">
        <f>HYPERLINK("https://fin.land.naver.com/articles/2655174218", "매물Link")</f>
        <v/>
      </c>
      <c r="M1247" s="6">
        <f>HYPERLINK("https://map.naver.com/p/search/연서면 기룡리 710-2", "지도Link")</f>
        <v/>
      </c>
      <c r="N1247" s="6">
        <f>HYPERLINK("http://www.eum.go.kr/web/ar/lu/luLandDet.jsp?pnu=3611036028107100002&amp;isNoScr=script&amp;mode=search", "토지이음")</f>
        <v/>
      </c>
      <c r="O1247" s="3" t="inlineStr">
        <is>
          <t>하이엔드</t>
        </is>
      </c>
      <c r="P1247" s="4" t="n">
        <v>1</v>
      </c>
      <c r="Q1247" s="4" t="n">
        <v>2542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맹지</t>
        </is>
      </c>
    </row>
    <row r="1248">
      <c r="A1248" s="3" t="inlineStr">
        <is>
          <t>연서면 기룡리 산126</t>
        </is>
      </c>
      <c r="B1248" s="3" t="inlineStr">
        <is>
          <t>농림지역</t>
        </is>
      </c>
      <c r="C1248" s="3" t="inlineStr">
        <is>
          <t>임야</t>
        </is>
      </c>
      <c r="D1248" s="3" t="inlineStr">
        <is>
          <t>임야</t>
        </is>
      </c>
      <c r="E1248" s="3" t="inlineStr">
        <is>
          <t>매매</t>
        </is>
      </c>
      <c r="F1248" s="4" t="n">
        <v>674000</v>
      </c>
      <c r="G1248" s="4" t="n">
        <v>302777</v>
      </c>
      <c r="H1248" s="4" t="n">
        <v>91590</v>
      </c>
      <c r="I1248" s="5" t="n">
        <v>7.4</v>
      </c>
      <c r="J1248" s="5" t="n">
        <v>1.7</v>
      </c>
      <c r="K1248" s="3" t="inlineStr">
        <is>
          <t>연서면 기룡리 농림지역 대형 임야 매매, 국가산업단지, 용암JC 인근</t>
        </is>
      </c>
      <c r="L1248" s="6">
        <f>HYPERLINK("https://fin.land.naver.com/articles/2654028634", "매물Link")</f>
        <v/>
      </c>
      <c r="M1248" s="6">
        <f>HYPERLINK("https://map.naver.com/p/search/연서면 기룡리 산126", "지도Link")</f>
        <v/>
      </c>
      <c r="N1248" s="6">
        <f>HYPERLINK("http://www.eum.go.kr/web/ar/lu/luLandDet.jsp?pnu=3611036028201260000&amp;isNoScr=script&amp;mode=search", "토지이음")</f>
        <v/>
      </c>
      <c r="O1248" s="3" t="inlineStr">
        <is>
          <t>스카이</t>
        </is>
      </c>
      <c r="P1248" s="4" t="n">
        <v>1</v>
      </c>
      <c r="Q1248" s="4" t="n">
        <v>302777</v>
      </c>
      <c r="R1248" s="3" t="inlineStr">
        <is>
          <t>보전관리지역</t>
        </is>
      </c>
      <c r="S1248" s="3" t="inlineStr">
        <is>
          <t>자연림</t>
        </is>
      </c>
      <c r="T1248" s="3" t="inlineStr">
        <is>
          <t>급경사</t>
        </is>
      </c>
      <c r="U1248" s="3" t="inlineStr">
        <is>
          <t>부정형</t>
        </is>
      </c>
      <c r="V1248" s="3" t="inlineStr">
        <is>
          <t>세로한면(불)</t>
        </is>
      </c>
    </row>
    <row r="1249">
      <c r="A1249" s="3" t="inlineStr">
        <is>
          <t>연서면 기룡리 산154-1</t>
        </is>
      </c>
      <c r="B1249" s="3" t="inlineStr">
        <is>
          <t>농림지역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340000</v>
      </c>
      <c r="G1249" s="4" t="n">
        <v>72545</v>
      </c>
      <c r="H1249" s="4" t="n">
        <v>21945</v>
      </c>
      <c r="I1249" s="5" t="n">
        <v>15.5</v>
      </c>
      <c r="J1249" s="5" t="n">
        <v>1.8</v>
      </c>
      <c r="K1249" s="3" t="inlineStr">
        <is>
          <t>nan</t>
        </is>
      </c>
      <c r="L1249" s="6">
        <f>HYPERLINK("https://fin.land.naver.com/articles/2653635817", "매물Link")</f>
        <v/>
      </c>
      <c r="M1249" s="6">
        <f>HYPERLINK("https://map.naver.com/p/search/연서면 기룡리 산154-1", "지도Link")</f>
        <v/>
      </c>
      <c r="N1249" s="6">
        <f>HYPERLINK("http://www.eum.go.kr/web/ar/lu/luLandDet.jsp?pnu=3611036028201540001&amp;isNoScr=script&amp;mode=search", "토지이음")</f>
        <v/>
      </c>
      <c r="O1249" s="3" t="inlineStr">
        <is>
          <t>다온</t>
        </is>
      </c>
      <c r="P1249" s="4" t="n">
        <v>1</v>
      </c>
      <c r="Q1249" s="4" t="n">
        <v>27296</v>
      </c>
      <c r="R1249" s="3" t="inlineStr">
        <is>
          <t>보전관리지역</t>
        </is>
      </c>
      <c r="S1249" s="3" t="inlineStr">
        <is>
          <t>자연림</t>
        </is>
      </c>
      <c r="T1249" s="3" t="inlineStr">
        <is>
          <t>급경사</t>
        </is>
      </c>
      <c r="U1249" s="3" t="inlineStr">
        <is>
          <t>부정형</t>
        </is>
      </c>
      <c r="V1249" s="3" t="inlineStr">
        <is>
          <t>맹지</t>
        </is>
      </c>
    </row>
    <row r="1250">
      <c r="A1250" s="3" t="inlineStr">
        <is>
          <t>연서면 기룡리 산26</t>
        </is>
      </c>
      <c r="B1250" s="3" t="inlineStr">
        <is>
          <t>농림지역</t>
        </is>
      </c>
      <c r="C1250" s="3" t="inlineStr">
        <is>
          <t>임야</t>
        </is>
      </c>
      <c r="D1250" s="3" t="inlineStr">
        <is>
          <t>임야</t>
        </is>
      </c>
      <c r="E1250" s="3" t="inlineStr">
        <is>
          <t>매매</t>
        </is>
      </c>
      <c r="F1250" s="4" t="n">
        <v>1800</v>
      </c>
      <c r="G1250" s="4" t="n">
        <v>330</v>
      </c>
      <c r="H1250" s="4" t="n">
        <v>100</v>
      </c>
      <c r="I1250" s="5" t="n">
        <v>18</v>
      </c>
      <c r="J1250" s="5" t="n">
        <v>1.7</v>
      </c>
      <c r="K1250" s="3" t="inlineStr">
        <is>
          <t>세종인접. 지분등기된 소액투자용 토지.보전관리 임야</t>
        </is>
      </c>
      <c r="L1250" s="6">
        <f>HYPERLINK("https://fin.land.naver.com/articles/2651284977", "매물Link")</f>
        <v/>
      </c>
      <c r="M1250" s="6">
        <f>HYPERLINK("https://map.naver.com/p/search/연서면 기룡리 산26", "지도Link")</f>
        <v/>
      </c>
      <c r="N1250" s="6">
        <f>HYPERLINK("http://www.eum.go.kr/web/ar/lu/luLandDet.jsp?pnu=3611036028200260000&amp;isNoScr=script&amp;mode=search", "토지이음")</f>
        <v/>
      </c>
      <c r="O1250" s="3" t="inlineStr">
        <is>
          <t>테크노114</t>
        </is>
      </c>
      <c r="P1250" s="4" t="n">
        <v>1</v>
      </c>
      <c r="Q1250" s="4" t="n">
        <v>41653</v>
      </c>
      <c r="R1250" s="3" t="inlineStr">
        <is>
          <t>보전관리지역</t>
        </is>
      </c>
      <c r="S1250" s="3" t="inlineStr">
        <is>
          <t>자연림</t>
        </is>
      </c>
      <c r="T1250" s="3" t="inlineStr">
        <is>
          <t>급경사</t>
        </is>
      </c>
      <c r="U1250" s="3" t="inlineStr">
        <is>
          <t>부정형</t>
        </is>
      </c>
      <c r="V1250" s="3" t="inlineStr">
        <is>
          <t>맹지</t>
        </is>
      </c>
    </row>
    <row r="1251">
      <c r="A1251" s="3" t="inlineStr">
        <is>
          <t>연서면 봉암리 102-8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70000</v>
      </c>
      <c r="G1251" s="4" t="n">
        <v>17833</v>
      </c>
      <c r="H1251" s="4" t="n">
        <v>5394</v>
      </c>
      <c r="I1251" s="5" t="n">
        <v>13</v>
      </c>
      <c r="J1251" s="5" t="n">
        <v>30.9</v>
      </c>
      <c r="K1251" s="3" t="inlineStr">
        <is>
          <t>인근북세종IC. 창고,공장 건축</t>
        </is>
      </c>
      <c r="L1251" s="6">
        <f>HYPERLINK("https://fin.land.naver.com/articles/2655032803", "매물Link")</f>
        <v/>
      </c>
      <c r="M1251" s="6">
        <f>HYPERLINK("https://map.naver.com/p/search/연서면 봉암리 102-8", "지도Link")</f>
        <v/>
      </c>
      <c r="N1251" s="6">
        <f>HYPERLINK("http://www.eum.go.kr/web/ar/lu/luLandDet.jsp?pnu=3611036033101020008&amp;isNoScr=script&amp;mode=search", "토지이음")</f>
        <v/>
      </c>
      <c r="O1251" s="3" t="inlineStr">
        <is>
          <t>세종대박</t>
        </is>
      </c>
      <c r="P1251" s="4" t="n">
        <v>2</v>
      </c>
      <c r="Q1251" s="4" t="n">
        <v>1783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연서면 봉암리 1082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36500</v>
      </c>
      <c r="G1252" s="4" t="n">
        <v>916</v>
      </c>
      <c r="H1252" s="4" t="n">
        <v>277</v>
      </c>
      <c r="I1252" s="5" t="n">
        <v>131.8</v>
      </c>
      <c r="J1252" s="5" t="n">
        <v>23.9</v>
      </c>
      <c r="K1252" s="3" t="inlineStr">
        <is>
          <t>추천. 세종 스마트국가산업단지 인근 농지</t>
        </is>
      </c>
      <c r="L1252" s="6">
        <f>HYPERLINK("https://fin.land.naver.com/articles/2651966245", "매물Link")</f>
        <v/>
      </c>
      <c r="M1252" s="6">
        <f>HYPERLINK("https://map.naver.com/p/search/연서면 봉암리 1082", "지도Link")</f>
        <v/>
      </c>
      <c r="N1252" s="6">
        <f>HYPERLINK("http://www.eum.go.kr/web/ar/lu/luLandDet.jsp?pnu=3611036033110820000&amp;isNoScr=script&amp;mode=search", "토지이음")</f>
        <v/>
      </c>
      <c r="O1252" s="3" t="inlineStr">
        <is>
          <t>강아지풀</t>
        </is>
      </c>
      <c r="P1252" s="4" t="n">
        <v>1</v>
      </c>
      <c r="Q1252" s="4" t="n">
        <v>916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맹지</t>
        </is>
      </c>
    </row>
    <row r="1253">
      <c r="A1253" s="3" t="inlineStr">
        <is>
          <t>연서면 봉암리 214-13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38000</v>
      </c>
      <c r="G1253" s="4" t="n">
        <v>125</v>
      </c>
      <c r="H1253" s="4" t="n">
        <v>38</v>
      </c>
      <c r="I1253" s="5" t="n">
        <v>1000</v>
      </c>
      <c r="J1253" s="5" t="n">
        <v>341.8</v>
      </c>
      <c r="K1253" s="3" t="inlineStr">
        <is>
          <t>봉암리 상가 밀집지역 핵심   대지 매매</t>
        </is>
      </c>
      <c r="L1253" s="6">
        <f>HYPERLINK("https://fin.land.naver.com/articles/2652364695", "매물Link")</f>
        <v/>
      </c>
      <c r="M1253" s="6">
        <f>HYPERLINK("https://map.naver.com/p/search/연서면 봉암리 214-13", "지도Link")</f>
        <v/>
      </c>
      <c r="N1253" s="6">
        <f>HYPERLINK("http://www.eum.go.kr/web/ar/lu/luLandDet.jsp?pnu=3611036033102140013&amp;isNoScr=script&amp;mode=search", "토지이음")</f>
        <v/>
      </c>
      <c r="O1253" s="3" t="inlineStr">
        <is>
          <t>해들삼성</t>
        </is>
      </c>
      <c r="P1253" s="4" t="n">
        <v>2</v>
      </c>
      <c r="Q1253" s="4" t="n">
        <v>125</v>
      </c>
      <c r="R1253" s="3" t="inlineStr">
        <is>
          <t>지정되지않음</t>
        </is>
      </c>
      <c r="S1253" s="3" t="inlineStr">
        <is>
          <t>상업용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연서면 봉암리 230-60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120000</v>
      </c>
      <c r="G1254" s="4" t="n">
        <v>796</v>
      </c>
      <c r="H1254" s="4" t="n">
        <v>241</v>
      </c>
      <c r="I1254" s="5" t="n">
        <v>497.9</v>
      </c>
      <c r="J1254" s="5" t="n">
        <v>88.8</v>
      </c>
      <c r="K1254" s="3" t="inlineStr">
        <is>
          <t>8차선 BRT 도로 근접, 와촌리 국가산단 근교, 세종시의 가장 중심지.</t>
        </is>
      </c>
      <c r="L1254" s="6">
        <f>HYPERLINK("https://fin.land.naver.com/articles/2653349023", "매물Link")</f>
        <v/>
      </c>
      <c r="M1254" s="6">
        <f>HYPERLINK("https://map.naver.com/p/search/연서면 봉암리 230-60", "지도Link")</f>
        <v/>
      </c>
      <c r="N1254" s="6">
        <f>HYPERLINK("http://www.eum.go.kr/web/ar/lu/luLandDet.jsp?pnu=3611036033102300060&amp;isNoScr=script&amp;mode=search", "토지이음")</f>
        <v/>
      </c>
      <c r="O1254" s="3" t="inlineStr">
        <is>
          <t>꿈드림</t>
        </is>
      </c>
      <c r="P1254" s="4" t="n">
        <v>1</v>
      </c>
      <c r="Q1254" s="4" t="n">
        <v>661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세로한면(불)</t>
        </is>
      </c>
    </row>
    <row r="1255">
      <c r="A1255" s="3" t="inlineStr">
        <is>
          <t>연서면 봉암리 234-43</t>
        </is>
      </c>
      <c r="B1255" s="3" t="inlineStr">
        <is>
          <t>계획관리지역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210000</v>
      </c>
      <c r="G1255" s="4" t="n">
        <v>671</v>
      </c>
      <c r="H1255" s="4" t="n">
        <v>203</v>
      </c>
      <c r="I1255" s="5" t="n">
        <v>1034.5</v>
      </c>
      <c r="J1255" s="5" t="n">
        <v>145.8</v>
      </c>
      <c r="K1255" s="3" t="inlineStr">
        <is>
          <t>광고효과최상, 투자효가높은지역 추천</t>
        </is>
      </c>
      <c r="L1255" s="6">
        <f>HYPERLINK("https://fin.land.naver.com/articles/2652647634", "매물Link")</f>
        <v/>
      </c>
      <c r="M1255" s="6">
        <f>HYPERLINK("https://map.naver.com/p/search/연서면 봉암리 234-43", "지도Link")</f>
        <v/>
      </c>
      <c r="N1255" s="6">
        <f>HYPERLINK("http://www.eum.go.kr/web/ar/lu/luLandDet.jsp?pnu=3611036033102340043&amp;isNoScr=script&amp;mode=search", "토지이음")</f>
        <v/>
      </c>
      <c r="O1255" s="3" t="inlineStr">
        <is>
          <t>대박</t>
        </is>
      </c>
      <c r="P1255" s="4" t="n">
        <v>1</v>
      </c>
      <c r="Q1255" s="4" t="n">
        <v>186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완경사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연서면 봉암리 245-5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32000</v>
      </c>
      <c r="G1256" s="4" t="n">
        <v>305</v>
      </c>
      <c r="H1256" s="4" t="n">
        <v>92</v>
      </c>
      <c r="I1256" s="5" t="n">
        <v>347.8</v>
      </c>
      <c r="J1256" s="5" t="n">
        <v>125.7</v>
      </c>
      <c r="K1256" s="3" t="inlineStr">
        <is>
          <t>현재 주거나지 상태이며 주택부지로 적합</t>
        </is>
      </c>
      <c r="L1256" s="6">
        <f>HYPERLINK("https://fin.land.naver.com/articles/2651207456", "매물Link")</f>
        <v/>
      </c>
      <c r="M1256" s="6">
        <f>HYPERLINK("https://map.naver.com/p/search/연서면 봉암리 245-5", "지도Link")</f>
        <v/>
      </c>
      <c r="N1256" s="6">
        <f>HYPERLINK("http://www.eum.go.kr/web/ar/lu/luLandDet.jsp?pnu=3611036033102450005&amp;isNoScr=script&amp;mode=search", "토지이음")</f>
        <v/>
      </c>
      <c r="O1256" s="3" t="inlineStr">
        <is>
          <t>엘지에스케이</t>
        </is>
      </c>
      <c r="P1256" s="4" t="n">
        <v>1</v>
      </c>
      <c r="Q1256" s="4" t="n">
        <v>305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자루형</t>
        </is>
      </c>
      <c r="V1256" s="3" t="inlineStr">
        <is>
          <t>세로한면(가)</t>
        </is>
      </c>
    </row>
    <row r="1257">
      <c r="A1257" s="3" t="inlineStr">
        <is>
          <t>연서면 봉암리 348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168000</v>
      </c>
      <c r="G1257" s="4" t="n">
        <v>4830</v>
      </c>
      <c r="H1257" s="4" t="n">
        <v>1461</v>
      </c>
      <c r="I1257" s="5" t="n">
        <v>115</v>
      </c>
      <c r="J1257" s="5" t="n">
        <v>29.8</v>
      </c>
      <c r="K1257" s="3" t="inlineStr">
        <is>
          <t>추천. 세종국가산단 인근 토지</t>
        </is>
      </c>
      <c r="L1257" s="6">
        <f>HYPERLINK("https://fin.land.naver.com/articles/2651912464", "매물Link")</f>
        <v/>
      </c>
      <c r="M1257" s="6">
        <f>HYPERLINK("https://map.naver.com/p/search/연서면 봉암리 348", "지도Link")</f>
        <v/>
      </c>
      <c r="N1257" s="6">
        <f>HYPERLINK("http://www.eum.go.kr/web/ar/lu/luLandDet.jsp?pnu=3611036033103480000&amp;isNoScr=script&amp;mode=search", "토지이음")</f>
        <v/>
      </c>
      <c r="O1257" s="3" t="inlineStr">
        <is>
          <t>강아지풀</t>
        </is>
      </c>
      <c r="P1257" s="4" t="n">
        <v>2</v>
      </c>
      <c r="Q1257" s="4" t="n">
        <v>4830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세로한면(가)</t>
        </is>
      </c>
    </row>
    <row r="1258">
      <c r="A1258" s="3" t="inlineStr">
        <is>
          <t>연서면 봉암리 427-12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78000</v>
      </c>
      <c r="G1258" s="4" t="n">
        <v>569</v>
      </c>
      <c r="H1258" s="4" t="n">
        <v>172</v>
      </c>
      <c r="I1258" s="5" t="n">
        <v>453.5</v>
      </c>
      <c r="J1258" s="5" t="n">
        <v>134</v>
      </c>
      <c r="K1258" s="3" t="inlineStr">
        <is>
          <t>계획관리지역 ,주택있는 대지</t>
        </is>
      </c>
      <c r="L1258" s="6">
        <f>HYPERLINK("https://fin.land.naver.com/articles/2654048732", "매물Link")</f>
        <v/>
      </c>
      <c r="M1258" s="6">
        <f>HYPERLINK("https://map.naver.com/p/search/연서면 봉암리 427-12", "지도Link")</f>
        <v/>
      </c>
      <c r="N1258" s="6">
        <f>HYPERLINK("http://www.eum.go.kr/web/ar/lu/luLandDet.jsp?pnu=3611036033104270012&amp;isNoScr=script&amp;mode=search", "토지이음")</f>
        <v/>
      </c>
      <c r="O1258" s="3" t="inlineStr">
        <is>
          <t>마메종</t>
        </is>
      </c>
      <c r="P1258" s="4" t="n">
        <v>1</v>
      </c>
      <c r="Q1258" s="4" t="n">
        <v>569.8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연서면 봉암리 448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13200</v>
      </c>
      <c r="G1259" s="4" t="n">
        <v>132</v>
      </c>
      <c r="H1259" s="4" t="n">
        <v>40</v>
      </c>
      <c r="I1259" s="5" t="n">
        <v>330</v>
      </c>
      <c r="J1259" s="5" t="n">
        <v>122.3</v>
      </c>
      <c r="K1259" s="3" t="inlineStr">
        <is>
          <t>계획관리 2차선도로 인근 작은 텃밭 토지</t>
        </is>
      </c>
      <c r="L1259" s="6">
        <f>HYPERLINK("https://fin.land.naver.com/articles/2649966247", "매물Link")</f>
        <v/>
      </c>
      <c r="M1259" s="6">
        <f>HYPERLINK("https://map.naver.com/p/search/연서면 봉암리 448", "지도Link")</f>
        <v/>
      </c>
      <c r="N1259" s="6">
        <f>HYPERLINK("http://www.eum.go.kr/web/ar/lu/luLandDet.jsp?pnu=3611036033104480000&amp;isNoScr=script&amp;mode=search", "토지이음")</f>
        <v/>
      </c>
      <c r="O1259" s="3" t="inlineStr">
        <is>
          <t>지성</t>
        </is>
      </c>
      <c r="P1259" s="4" t="n">
        <v>1</v>
      </c>
      <c r="Q1259" s="4" t="n">
        <v>132.5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봉암리 45</t>
        </is>
      </c>
      <c r="B1260" s="3" t="inlineStr">
        <is>
          <t>보전관리지역</t>
        </is>
      </c>
      <c r="C1260" s="3" t="inlineStr">
        <is>
          <t>임야</t>
        </is>
      </c>
      <c r="D1260" s="3" t="inlineStr">
        <is>
          <t>임야</t>
        </is>
      </c>
      <c r="E1260" s="3" t="inlineStr">
        <is>
          <t>매매</t>
        </is>
      </c>
      <c r="F1260" s="4" t="n">
        <v>535400</v>
      </c>
      <c r="G1260" s="4" t="n">
        <v>8848</v>
      </c>
      <c r="H1260" s="4" t="n">
        <v>2677</v>
      </c>
      <c r="I1260" s="5" t="n">
        <v>200</v>
      </c>
      <c r="J1260" s="5" t="n">
        <v>22.7</v>
      </c>
      <c r="K1260" s="3" t="inlineStr">
        <is>
          <t>투자가치 좋은땅, 국도 접해있는 도로, 세종중심조치원 연결도로</t>
        </is>
      </c>
      <c r="L1260" s="6">
        <f>HYPERLINK("https://fin.land.naver.com/articles/2653384354", "매물Link")</f>
        <v/>
      </c>
      <c r="M1260" s="6">
        <f>HYPERLINK("https://map.naver.com/p/search/연서면 봉암리 45", "지도Link")</f>
        <v/>
      </c>
      <c r="N1260" s="6">
        <f>HYPERLINK("http://www.eum.go.kr/web/ar/lu/luLandDet.jsp?pnu=3611036033100450000&amp;isNoScr=script&amp;mode=search", "토지이음")</f>
        <v/>
      </c>
      <c r="O1260" s="3" t="inlineStr">
        <is>
          <t>금백</t>
        </is>
      </c>
      <c r="P1260" s="4" t="n">
        <v>2</v>
      </c>
      <c r="Q1260" s="4" t="n">
        <v>8848</v>
      </c>
      <c r="R1260" s="3" t="inlineStr">
        <is>
          <t>지정되지않음</t>
        </is>
      </c>
      <c r="S1260" s="3" t="inlineStr">
        <is>
          <t>자연림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중로한면</t>
        </is>
      </c>
    </row>
    <row r="1261">
      <c r="A1261" s="3" t="inlineStr">
        <is>
          <t>연서면 봉암리 532-2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197000</v>
      </c>
      <c r="G1261" s="4" t="n">
        <v>1183</v>
      </c>
      <c r="H1261" s="4" t="n">
        <v>358</v>
      </c>
      <c r="I1261" s="5" t="n">
        <v>550.3</v>
      </c>
      <c r="J1261" s="5" t="n">
        <v>99.8</v>
      </c>
      <c r="K1261" s="3" t="inlineStr">
        <is>
          <t>연기사거리 인근 건축 가능한 계획관리지역 투자목적 토지 급매매</t>
        </is>
      </c>
      <c r="L1261" s="6">
        <f>HYPERLINK("https://fin.land.naver.com/articles/2650452623", "매물Link")</f>
        <v/>
      </c>
      <c r="M1261" s="6">
        <f>HYPERLINK("https://map.naver.com/p/search/연서면 봉암리 532-2", "지도Link")</f>
        <v/>
      </c>
      <c r="N1261" s="6">
        <f>HYPERLINK("http://www.eum.go.kr/web/ar/lu/luLandDet.jsp?pnu=3611036033105320002&amp;isNoScr=script&amp;mode=search", "토지이음")</f>
        <v/>
      </c>
      <c r="O1261" s="3" t="inlineStr">
        <is>
          <t>(주)해뜰터</t>
        </is>
      </c>
      <c r="P1261" s="4" t="n">
        <v>1</v>
      </c>
      <c r="Q1261" s="4" t="n">
        <v>1183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세로한면(불)</t>
        </is>
      </c>
    </row>
    <row r="1262">
      <c r="A1262" s="3" t="inlineStr">
        <is>
          <t>연서면 봉암리 604-3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84000</v>
      </c>
      <c r="G1262" s="4" t="n">
        <v>1061</v>
      </c>
      <c r="H1262" s="4" t="n">
        <v>321</v>
      </c>
      <c r="I1262" s="5" t="n">
        <v>261.7</v>
      </c>
      <c r="J1262" s="5" t="n">
        <v>149.2</v>
      </c>
      <c r="K1262" s="3" t="inlineStr">
        <is>
          <t>주거개발진흥지구, 성장관리계획구역,자연취락지구 정방형 급매</t>
        </is>
      </c>
      <c r="L1262" s="6">
        <f>HYPERLINK("https://fin.land.naver.com/articles/2652376241", "매물Link")</f>
        <v/>
      </c>
      <c r="M1262" s="6">
        <f>HYPERLINK("https://map.naver.com/p/search/연서면 봉암리 604-3", "지도Link")</f>
        <v/>
      </c>
      <c r="N1262" s="6">
        <f>HYPERLINK("http://www.eum.go.kr/web/ar/lu/luLandDet.jsp?pnu=3611036033106040003&amp;isNoScr=script&amp;mode=search", "토지이음")</f>
        <v/>
      </c>
      <c r="O1262" s="3" t="inlineStr">
        <is>
          <t>도안재벌</t>
        </is>
      </c>
      <c r="P1262" s="4" t="n">
        <v>1</v>
      </c>
      <c r="Q1262" s="4" t="n">
        <v>1061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정방형</t>
        </is>
      </c>
      <c r="V1262" s="3" t="inlineStr">
        <is>
          <t>세로한면(가)</t>
        </is>
      </c>
    </row>
    <row r="1263">
      <c r="A1263" s="3" t="inlineStr">
        <is>
          <t>연서면 봉암리 620-22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80000</v>
      </c>
      <c r="G1263" s="4" t="n">
        <v>524</v>
      </c>
      <c r="H1263" s="4" t="n">
        <v>159</v>
      </c>
      <c r="I1263" s="5" t="n">
        <v>503.1</v>
      </c>
      <c r="J1263" s="5" t="n">
        <v>112.7</v>
      </c>
      <c r="K1263" s="3" t="inlineStr">
        <is>
          <t>8차선으로 확장된 BRT 도로와 2차선변.와촌리국가 산단 중심 근교임.</t>
        </is>
      </c>
      <c r="L1263" s="6">
        <f>HYPERLINK("https://fin.land.naver.com/articles/2653882175", "매물Link")</f>
        <v/>
      </c>
      <c r="M1263" s="6">
        <f>HYPERLINK("https://map.naver.com/p/search/연서면 봉암리 620-22", "지도Link")</f>
        <v/>
      </c>
      <c r="N1263" s="6">
        <f>HYPERLINK("http://www.eum.go.kr/web/ar/lu/luLandDet.jsp?pnu=3611036033106200022&amp;isNoScr=script&amp;mode=search", "토지이음")</f>
        <v/>
      </c>
      <c r="O1263" s="3" t="inlineStr">
        <is>
          <t>꿈드림</t>
        </is>
      </c>
      <c r="P1263" s="4" t="n">
        <v>1</v>
      </c>
      <c r="Q1263" s="4" t="n">
        <v>428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맹지</t>
        </is>
      </c>
    </row>
    <row r="1264">
      <c r="A1264" s="3" t="inlineStr">
        <is>
          <t>연서면 봉암리 676-10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50000</v>
      </c>
      <c r="G1264" s="4" t="n">
        <v>330</v>
      </c>
      <c r="H1264" s="4" t="n">
        <v>100</v>
      </c>
      <c r="I1264" s="5" t="n">
        <v>500</v>
      </c>
      <c r="J1264" s="5" t="n">
        <v>75</v>
      </c>
      <c r="K1264" s="3" t="inlineStr">
        <is>
          <t>세종스마트국가산업단지 근접, 작은 근생용지나창고부지로 적합</t>
        </is>
      </c>
      <c r="L1264" s="6">
        <f>HYPERLINK("https://fin.land.naver.com/articles/2652823552", "매물Link")</f>
        <v/>
      </c>
      <c r="M1264" s="6">
        <f>HYPERLINK("https://map.naver.com/p/search/연서면 봉암리 676-10", "지도Link")</f>
        <v/>
      </c>
      <c r="N1264" s="6">
        <f>HYPERLINK("http://www.eum.go.kr/web/ar/lu/luLandDet.jsp?pnu=3611036033106760010&amp;isNoScr=script&amp;mode=search", "토지이음")</f>
        <v/>
      </c>
      <c r="O1264" s="3" t="inlineStr">
        <is>
          <t>담뜰</t>
        </is>
      </c>
      <c r="P1264" s="4" t="n">
        <v>1</v>
      </c>
      <c r="Q1264" s="4" t="n">
        <v>331</v>
      </c>
      <c r="R1264" s="3" t="inlineStr">
        <is>
          <t>지정되지않음</t>
        </is>
      </c>
      <c r="S1264" s="3" t="inlineStr">
        <is>
          <t>전창고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봉암리 677-2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400000</v>
      </c>
      <c r="G1265" s="4" t="n">
        <v>2202</v>
      </c>
      <c r="H1265" s="4" t="n">
        <v>666</v>
      </c>
      <c r="I1265" s="5" t="n">
        <v>600.6</v>
      </c>
      <c r="J1265" s="5" t="n">
        <v>116.6</v>
      </c>
      <c r="K1265" s="3" t="inlineStr">
        <is>
          <t>세종스마트국가산업단지 근접 도로접근 용이</t>
        </is>
      </c>
      <c r="L1265" s="6">
        <f>HYPERLINK("https://fin.land.naver.com/articles/2652558544", "매물Link")</f>
        <v/>
      </c>
      <c r="M1265" s="6">
        <f>HYPERLINK("https://map.naver.com/p/search/연서면 봉암리 677-2", "지도Link")</f>
        <v/>
      </c>
      <c r="N1265" s="6">
        <f>HYPERLINK("http://www.eum.go.kr/web/ar/lu/luLandDet.jsp?pnu=3611036033106770002&amp;isNoScr=script&amp;mode=search", "토지이음")</f>
        <v/>
      </c>
      <c r="O1265" s="3" t="inlineStr">
        <is>
          <t>오송파라곤리치</t>
        </is>
      </c>
      <c r="P1265" s="4" t="n">
        <v>1</v>
      </c>
      <c r="Q1265" s="4" t="n">
        <v>655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연서면 봉암리 828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74000</v>
      </c>
      <c r="G1266" s="4" t="n">
        <v>2023</v>
      </c>
      <c r="H1266" s="4" t="n">
        <v>612</v>
      </c>
      <c r="I1266" s="5" t="n">
        <v>120.9</v>
      </c>
      <c r="J1266" s="5" t="n">
        <v>28.7</v>
      </c>
      <c r="K1266" s="3" t="inlineStr">
        <is>
          <t>추천. 세종국가산단 인근 하우스</t>
        </is>
      </c>
      <c r="L1266" s="6">
        <f>HYPERLINK("https://fin.land.naver.com/articles/2651993764", "매물Link")</f>
        <v/>
      </c>
      <c r="M1266" s="6">
        <f>HYPERLINK("https://map.naver.com/p/search/연서면 봉암리 828", "지도Link")</f>
        <v/>
      </c>
      <c r="N1266" s="6">
        <f>HYPERLINK("http://www.eum.go.kr/web/ar/lu/luLandDet.jsp?pnu=3611036033108280000&amp;isNoScr=script&amp;mode=search", "토지이음")</f>
        <v/>
      </c>
      <c r="O1266" s="3" t="inlineStr">
        <is>
          <t>강아지풀</t>
        </is>
      </c>
      <c r="P1266" s="4" t="n">
        <v>2</v>
      </c>
      <c r="Q1266" s="4" t="n">
        <v>2023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봉암리 853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110000</v>
      </c>
      <c r="G1267" s="4" t="n">
        <v>2221</v>
      </c>
      <c r="H1267" s="4" t="n">
        <v>672</v>
      </c>
      <c r="I1267" s="5" t="n">
        <v>163.7</v>
      </c>
      <c r="J1267" s="5" t="n">
        <v>28.7</v>
      </c>
      <c r="K1267" s="3" t="inlineStr">
        <is>
          <t>3m 도로 코너 자리, 주거지에서 직선거리 210m</t>
        </is>
      </c>
      <c r="L1267" s="6">
        <f>HYPERLINK("https://fin.land.naver.com/articles/2652066939", "매물Link")</f>
        <v/>
      </c>
      <c r="M1267" s="6">
        <f>HYPERLINK("https://map.naver.com/p/search/연서면 봉암리 853", "지도Link")</f>
        <v/>
      </c>
      <c r="N1267" s="6">
        <f>HYPERLINK("http://www.eum.go.kr/web/ar/lu/luLandDet.jsp?pnu=3611036033108530000&amp;isNoScr=script&amp;mode=search", "토지이음")</f>
        <v/>
      </c>
      <c r="O1267" s="3" t="inlineStr">
        <is>
          <t>신와촌</t>
        </is>
      </c>
      <c r="P1267" s="4" t="n">
        <v>1</v>
      </c>
      <c r="Q1267" s="4" t="n">
        <v>2221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봉암리 92-3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52500</v>
      </c>
      <c r="G1268" s="4" t="n">
        <v>1577</v>
      </c>
      <c r="H1268" s="4" t="n">
        <v>477</v>
      </c>
      <c r="I1268" s="5" t="n">
        <v>110.1</v>
      </c>
      <c r="J1268" s="5" t="n">
        <v>31.2</v>
      </c>
      <c r="K1268" s="3" t="inlineStr">
        <is>
          <t>급매. 북세종IC 인근 봉암리 농업보호구역 농지 창고, 공장 추천.</t>
        </is>
      </c>
      <c r="L1268" s="6">
        <f>HYPERLINK("https://fin.land.naver.com/articles/2654555463", "매물Link")</f>
        <v/>
      </c>
      <c r="M1268" s="6">
        <f>HYPERLINK("https://map.naver.com/p/search/연서면 봉암리 92-3", "지도Link")</f>
        <v/>
      </c>
      <c r="N1268" s="6">
        <f>HYPERLINK("http://www.eum.go.kr/web/ar/lu/luLandDet.jsp?pnu=3611036033100920003&amp;isNoScr=script&amp;mode=search", "토지이음")</f>
        <v/>
      </c>
      <c r="O1268" s="3" t="inlineStr">
        <is>
          <t>세종대장</t>
        </is>
      </c>
      <c r="P1268" s="4" t="n">
        <v>1</v>
      </c>
      <c r="Q1268" s="4" t="n">
        <v>1577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봉암리 947</t>
        </is>
      </c>
      <c r="B1269" s="3" t="inlineStr">
        <is>
          <t>농림지역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36400</v>
      </c>
      <c r="G1269" s="4" t="n">
        <v>1094</v>
      </c>
      <c r="H1269" s="4" t="n">
        <v>331</v>
      </c>
      <c r="I1269" s="5" t="n">
        <v>110</v>
      </c>
      <c r="J1269" s="5" t="n">
        <v>27.6</v>
      </c>
      <c r="K1269" s="3" t="inlineStr">
        <is>
          <t>추천. 산단인근 소액토지추천</t>
        </is>
      </c>
      <c r="L1269" s="6">
        <f>HYPERLINK("https://fin.land.naver.com/articles/2651911313", "매물Link")</f>
        <v/>
      </c>
      <c r="M1269" s="6">
        <f>HYPERLINK("https://map.naver.com/p/search/연서면 봉암리 947", "지도Link")</f>
        <v/>
      </c>
      <c r="N1269" s="6">
        <f>HYPERLINK("http://www.eum.go.kr/web/ar/lu/luLandDet.jsp?pnu=3611036033109470000&amp;isNoScr=script&amp;mode=search", "토지이음")</f>
        <v/>
      </c>
      <c r="O1269" s="3" t="inlineStr">
        <is>
          <t>강아지풀</t>
        </is>
      </c>
      <c r="P1269" s="4" t="n">
        <v>2</v>
      </c>
      <c r="Q1269" s="4" t="n">
        <v>1094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봉암리 996</t>
        </is>
      </c>
      <c r="B1270" s="3" t="inlineStr">
        <is>
          <t>농림지역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97200</v>
      </c>
      <c r="G1270" s="4" t="n">
        <v>3214</v>
      </c>
      <c r="H1270" s="4" t="n">
        <v>972</v>
      </c>
      <c r="I1270" s="5" t="n">
        <v>100</v>
      </c>
      <c r="J1270" s="5" t="n">
        <v>25.6</v>
      </c>
      <c r="K1270" s="3" t="inlineStr">
        <is>
          <t>세종 연서면 투자용 토지</t>
        </is>
      </c>
      <c r="L1270" s="6">
        <f>HYPERLINK("https://fin.land.naver.com/articles/2651978211", "매물Link")</f>
        <v/>
      </c>
      <c r="M1270" s="6">
        <f>HYPERLINK("https://map.naver.com/p/search/연서면 봉암리 996", "지도Link")</f>
        <v/>
      </c>
      <c r="N1270" s="6">
        <f>HYPERLINK("http://www.eum.go.kr/web/ar/lu/luLandDet.jsp?pnu=3611036033109960000&amp;isNoScr=script&amp;mode=search", "토지이음")</f>
        <v/>
      </c>
      <c r="O1270" s="3" t="inlineStr">
        <is>
          <t>(주)경진컨설팅</t>
        </is>
      </c>
      <c r="P1270" s="4" t="n">
        <v>1</v>
      </c>
      <c r="Q1270" s="4" t="n">
        <v>3214.4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세로한면(불)</t>
        </is>
      </c>
    </row>
    <row r="1271">
      <c r="A1271" s="3" t="inlineStr">
        <is>
          <t>연서면 부동리 108-1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200000</v>
      </c>
      <c r="G1271" s="4" t="n">
        <v>3098</v>
      </c>
      <c r="H1271" s="4" t="n">
        <v>937</v>
      </c>
      <c r="I1271" s="5" t="n">
        <v>213.4</v>
      </c>
      <c r="J1271" s="5" t="n">
        <v>68.5</v>
      </c>
      <c r="K1271" s="3" t="inlineStr">
        <is>
          <t>국가산단에 근접한토지로 현재전이며 모양이 좋고 2면각지도로에 접함.</t>
        </is>
      </c>
      <c r="L1271" s="6">
        <f>HYPERLINK("https://fin.land.naver.com/articles/2650181594", "매물Link")</f>
        <v/>
      </c>
      <c r="M1271" s="6">
        <f>HYPERLINK("https://map.naver.com/p/search/연서면 부동리 108-1", "지도Link")</f>
        <v/>
      </c>
      <c r="N1271" s="6">
        <f>HYPERLINK("http://www.eum.go.kr/web/ar/lu/luLandDet.jsp?pnu=3611036032101080001&amp;isNoScr=script&amp;mode=search", "토지이음")</f>
        <v/>
      </c>
      <c r="O1271" s="3" t="inlineStr">
        <is>
          <t>세종리츠</t>
        </is>
      </c>
      <c r="P1271" s="4" t="n">
        <v>1</v>
      </c>
      <c r="Q1271" s="4" t="n">
        <v>2943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부동리 108-2</t>
        </is>
      </c>
      <c r="B1272" s="3" t="inlineStr">
        <is>
          <t>계획관리지역</t>
        </is>
      </c>
      <c r="C1272" s="3" t="inlineStr">
        <is>
          <t>도로</t>
        </is>
      </c>
      <c r="D1272" s="3" t="inlineStr">
        <is>
          <t>전</t>
        </is>
      </c>
      <c r="E1272" s="3" t="inlineStr">
        <is>
          <t>매매</t>
        </is>
      </c>
      <c r="F1272" s="4" t="n">
        <v>220000</v>
      </c>
      <c r="G1272" s="4" t="n">
        <v>2943</v>
      </c>
      <c r="H1272" s="4" t="n">
        <v>890</v>
      </c>
      <c r="I1272" s="5" t="n">
        <v>247.2</v>
      </c>
      <c r="J1272" s="5" t="n">
        <v>15.3</v>
      </c>
      <c r="K1272" s="3" t="inlineStr">
        <is>
          <t>세종스마트산단 초인접 계획관리</t>
        </is>
      </c>
      <c r="L1272" s="6">
        <f>HYPERLINK("https://fin.land.naver.com/articles/2651906558", "매물Link")</f>
        <v/>
      </c>
      <c r="M1272" s="6">
        <f>HYPERLINK("https://map.naver.com/p/search/연서면 부동리 108-2", "지도Link")</f>
        <v/>
      </c>
      <c r="N1272" s="6">
        <f>HYPERLINK("http://www.eum.go.kr/web/ar/lu/luLandDet.jsp?pnu=3611036032101080002&amp;isNoScr=script&amp;mode=search", "토지이음")</f>
        <v/>
      </c>
      <c r="O1272" s="3" t="inlineStr">
        <is>
          <t>강아지풀</t>
        </is>
      </c>
      <c r="P1272" s="4" t="n">
        <v>1</v>
      </c>
      <c r="Q1272" s="4" t="n">
        <v>155</v>
      </c>
      <c r="R1272" s="3" t="inlineStr">
        <is>
          <t>지정되지않음</t>
        </is>
      </c>
      <c r="S1272" s="3" t="inlineStr">
        <is>
          <t>도로등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지정되지않음</t>
        </is>
      </c>
    </row>
    <row r="1273">
      <c r="A1273" s="3" t="inlineStr">
        <is>
          <t>연서면 부동리 255-1</t>
        </is>
      </c>
      <c r="B1273" s="3" t="inlineStr">
        <is>
          <t>계획관리지역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280000</v>
      </c>
      <c r="G1273" s="4" t="n">
        <v>2645</v>
      </c>
      <c r="H1273" s="4" t="n">
        <v>800</v>
      </c>
      <c r="I1273" s="5" t="n">
        <v>350</v>
      </c>
      <c r="J1273" s="5" t="n">
        <v>82.59999999999999</v>
      </c>
      <c r="K1273" s="3" t="inlineStr">
        <is>
          <t>도로접한 근생용지,세종국가산업단지와 조치원일반산업단지 근접</t>
        </is>
      </c>
      <c r="L1273" s="6">
        <f>HYPERLINK("https://fin.land.naver.com/articles/2650487993", "매물Link")</f>
        <v/>
      </c>
      <c r="M1273" s="6">
        <f>HYPERLINK("https://map.naver.com/p/search/연서면 부동리 255-1", "지도Link")</f>
        <v/>
      </c>
      <c r="N1273" s="6">
        <f>HYPERLINK("http://www.eum.go.kr/web/ar/lu/luLandDet.jsp?pnu=3611036032102550001&amp;isNoScr=script&amp;mode=search", "토지이음")</f>
        <v/>
      </c>
      <c r="O1273" s="3" t="inlineStr">
        <is>
          <t>세종나라</t>
        </is>
      </c>
      <c r="P1273" s="4" t="n">
        <v>1</v>
      </c>
      <c r="Q1273" s="4" t="n">
        <v>2448</v>
      </c>
      <c r="R1273" s="3" t="inlineStr">
        <is>
          <t>보전관리지역</t>
        </is>
      </c>
      <c r="S1273" s="3" t="inlineStr">
        <is>
          <t>전기타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연서면 부동리 65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138000</v>
      </c>
      <c r="G1274" s="4" t="n">
        <v>1143</v>
      </c>
      <c r="H1274" s="4" t="n">
        <v>346</v>
      </c>
      <c r="I1274" s="5" t="n">
        <v>398.8</v>
      </c>
      <c r="J1274" s="5" t="n">
        <v>55.8</v>
      </c>
      <c r="K1274" s="3" t="inlineStr">
        <is>
          <t>조율가능 국가산단인근 귀한 계획관리 매물</t>
        </is>
      </c>
      <c r="L1274" s="6">
        <f>HYPERLINK("https://fin.land.naver.com/articles/2654855985", "매물Link")</f>
        <v/>
      </c>
      <c r="M1274" s="6">
        <f>HYPERLINK("https://map.naver.com/p/search/연서면 부동리 65", "지도Link")</f>
        <v/>
      </c>
      <c r="N1274" s="6">
        <f>HYPERLINK("http://www.eum.go.kr/web/ar/lu/luLandDet.jsp?pnu=3611036032100650000&amp;isNoScr=script&amp;mode=search", "토지이음")</f>
        <v/>
      </c>
      <c r="O1274" s="3" t="inlineStr">
        <is>
          <t>세종스타</t>
        </is>
      </c>
      <c r="P1274" s="4" t="n">
        <v>1</v>
      </c>
      <c r="Q1274" s="4" t="n">
        <v>1022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세로한면(가)</t>
        </is>
      </c>
    </row>
    <row r="1275">
      <c r="A1275" s="3" t="inlineStr">
        <is>
          <t>연서면 부동리 65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138000</v>
      </c>
      <c r="G1275" s="4" t="n">
        <v>1022</v>
      </c>
      <c r="H1275" s="4" t="n">
        <v>309</v>
      </c>
      <c r="I1275" s="5" t="n">
        <v>446.6</v>
      </c>
      <c r="J1275" s="5" t="n">
        <v>55.8</v>
      </c>
      <c r="K1275" s="3" t="inlineStr">
        <is>
          <t>계획관리 전</t>
        </is>
      </c>
      <c r="L1275" s="6">
        <f>HYPERLINK("https://fin.land.naver.com/articles/2649731129", "매물Link")</f>
        <v/>
      </c>
      <c r="M1275" s="6">
        <f>HYPERLINK("https://map.naver.com/p/search/연서면 부동리 65", "지도Link")</f>
        <v/>
      </c>
      <c r="N1275" s="6">
        <f>HYPERLINK("http://www.eum.go.kr/web/ar/lu/luLandDet.jsp?pnu=3611036032100650000&amp;isNoScr=script&amp;mode=search", "토지이음")</f>
        <v/>
      </c>
      <c r="O1275" s="3" t="inlineStr">
        <is>
          <t>세종몽땅</t>
        </is>
      </c>
      <c r="P1275" s="4" t="n">
        <v>1</v>
      </c>
      <c r="Q1275" s="4" t="n">
        <v>1022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연서면 부동리 80-2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39000</v>
      </c>
      <c r="G1276" s="4" t="n">
        <v>507</v>
      </c>
      <c r="H1276" s="4" t="n">
        <v>153</v>
      </c>
      <c r="I1276" s="5" t="n">
        <v>254.9</v>
      </c>
      <c r="J1276" s="5" t="n">
        <v>86.40000000000001</v>
      </c>
      <c r="K1276" s="3" t="inlineStr">
        <is>
          <t>국가산단인근,조치원산단인근,세종6생활권인근</t>
        </is>
      </c>
      <c r="L1276" s="6">
        <f>HYPERLINK("https://fin.land.naver.com/articles/2653051996", "매물Link")</f>
        <v/>
      </c>
      <c r="M1276" s="6">
        <f>HYPERLINK("https://map.naver.com/p/search/연서면 부동리 80-2", "지도Link")</f>
        <v/>
      </c>
      <c r="N1276" s="6">
        <f>HYPERLINK("http://www.eum.go.kr/web/ar/lu/luLandDet.jsp?pnu=3611036032100800002&amp;isNoScr=script&amp;mode=search", "토지이음")</f>
        <v/>
      </c>
      <c r="O1276" s="3" t="inlineStr">
        <is>
          <t>세종강남</t>
        </is>
      </c>
      <c r="P1276" s="4" t="n">
        <v>1</v>
      </c>
      <c r="Q1276" s="4" t="n">
        <v>507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세로한면(불)</t>
        </is>
      </c>
    </row>
    <row r="1277">
      <c r="A1277" s="3" t="inlineStr">
        <is>
          <t>연서면 성제리 100-1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76500</v>
      </c>
      <c r="G1277" s="4" t="n">
        <v>2970</v>
      </c>
      <c r="H1277" s="4" t="n">
        <v>898</v>
      </c>
      <c r="I1277" s="5" t="n">
        <v>85.2</v>
      </c>
      <c r="J1277" s="5" t="n">
        <v>26.6</v>
      </c>
      <c r="K1277" s="3" t="inlineStr">
        <is>
          <t>연서면 성제리 스마트팜 및 대토, 농업경영체 등록 최적지 추천</t>
        </is>
      </c>
      <c r="L1277" s="6">
        <f>HYPERLINK("https://fin.land.naver.com/articles/2651278989", "매물Link")</f>
        <v/>
      </c>
      <c r="M1277" s="6">
        <f>HYPERLINK("https://map.naver.com/p/search/연서면 성제리 100-1", "지도Link")</f>
        <v/>
      </c>
      <c r="N1277" s="6">
        <f>HYPERLINK("http://www.eum.go.kr/web/ar/lu/luLandDet.jsp?pnu=3611036023101000001&amp;isNoScr=script&amp;mode=search", "토지이음")</f>
        <v/>
      </c>
      <c r="O1277" s="3" t="inlineStr">
        <is>
          <t>지성</t>
        </is>
      </c>
      <c r="P1277" s="4" t="n">
        <v>1</v>
      </c>
      <c r="Q1277" s="4" t="n">
        <v>2970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세로각지(가)</t>
        </is>
      </c>
    </row>
    <row r="1278">
      <c r="A1278" s="3" t="inlineStr">
        <is>
          <t>연서면 성제리 103-7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25000</v>
      </c>
      <c r="G1278" s="4" t="n">
        <v>1610</v>
      </c>
      <c r="H1278" s="4" t="n">
        <v>487</v>
      </c>
      <c r="I1278" s="5" t="n">
        <v>51.3</v>
      </c>
      <c r="J1278" s="5" t="n">
        <v>25.6</v>
      </c>
      <c r="K1278" s="3" t="inlineStr">
        <is>
          <t>연서면 성제리 농림지역 답</t>
        </is>
      </c>
      <c r="L1278" s="6">
        <f>HYPERLINK("https://fin.land.naver.com/articles/2654010001", "매물Link")</f>
        <v/>
      </c>
      <c r="M1278" s="6">
        <f>HYPERLINK("https://map.naver.com/p/search/연서면 성제리 103-7", "지도Link")</f>
        <v/>
      </c>
      <c r="N1278" s="6">
        <f>HYPERLINK("http://www.eum.go.kr/web/ar/lu/luLandDet.jsp?pnu=3611036023101030007&amp;isNoScr=script&amp;mode=search", "토지이음")</f>
        <v/>
      </c>
      <c r="O1278" s="3" t="inlineStr">
        <is>
          <t>KB세종</t>
        </is>
      </c>
      <c r="P1278" s="4" t="n">
        <v>1</v>
      </c>
      <c r="Q1278" s="4" t="n">
        <v>1610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세로한면(가)</t>
        </is>
      </c>
    </row>
    <row r="1279">
      <c r="A1279" s="3" t="inlineStr">
        <is>
          <t>연서면 성제리 145-14</t>
        </is>
      </c>
      <c r="B1279" s="3" t="inlineStr">
        <is>
          <t>자연녹지지역</t>
        </is>
      </c>
      <c r="C1279" s="3" t="inlineStr">
        <is>
          <t>과수원</t>
        </is>
      </c>
      <c r="D1279" s="3" t="inlineStr">
        <is>
          <t>과수원</t>
        </is>
      </c>
      <c r="E1279" s="3" t="inlineStr">
        <is>
          <t>매매</t>
        </is>
      </c>
      <c r="F1279" s="4" t="n">
        <v>205000</v>
      </c>
      <c r="G1279" s="4" t="n">
        <v>2806</v>
      </c>
      <c r="H1279" s="4" t="n">
        <v>849</v>
      </c>
      <c r="I1279" s="5" t="n">
        <v>241.5</v>
      </c>
      <c r="J1279" s="5" t="n">
        <v>56</v>
      </c>
      <c r="K1279" s="3" t="inlineStr">
        <is>
          <t>국가산단인근 도로변 성장관리구역 과수원</t>
        </is>
      </c>
      <c r="L1279" s="6">
        <f>HYPERLINK("https://fin.land.naver.com/articles/2650613233", "매물Link")</f>
        <v/>
      </c>
      <c r="M1279" s="6">
        <f>HYPERLINK("https://map.naver.com/p/search/연서면 성제리 145-14", "지도Link")</f>
        <v/>
      </c>
      <c r="N1279" s="6">
        <f>HYPERLINK("http://www.eum.go.kr/web/ar/lu/luLandDet.jsp?pnu=3611036023101450014&amp;isNoScr=script&amp;mode=search", "토지이음")</f>
        <v/>
      </c>
      <c r="O1279" s="3" t="inlineStr">
        <is>
          <t>THE행복</t>
        </is>
      </c>
      <c r="P1279" s="4" t="n">
        <v>1</v>
      </c>
      <c r="Q1279" s="4" t="n">
        <v>57</v>
      </c>
      <c r="R1279" s="3" t="inlineStr">
        <is>
          <t>지정되지않음</t>
        </is>
      </c>
      <c r="S1279" s="3" t="inlineStr">
        <is>
          <t>과수원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연서면 성제리 145-14</t>
        </is>
      </c>
      <c r="B1280" s="3" t="inlineStr">
        <is>
          <t>자연녹지지역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205000</v>
      </c>
      <c r="G1280" s="4" t="n">
        <v>2806</v>
      </c>
      <c r="H1280" s="4" t="n">
        <v>849</v>
      </c>
      <c r="I1280" s="5" t="n">
        <v>241.5</v>
      </c>
      <c r="J1280" s="5" t="n">
        <v>56</v>
      </c>
      <c r="K1280" s="3" t="inlineStr">
        <is>
          <t>국가산단인근 도로접한 과수원 매매</t>
        </is>
      </c>
      <c r="L1280" s="6">
        <f>HYPERLINK("https://fin.land.naver.com/articles/2653195485", "매물Link")</f>
        <v/>
      </c>
      <c r="M1280" s="6">
        <f>HYPERLINK("https://map.naver.com/p/search/연서면 성제리 145-14", "지도Link")</f>
        <v/>
      </c>
      <c r="N1280" s="6">
        <f>HYPERLINK("http://www.eum.go.kr/web/ar/lu/luLandDet.jsp?pnu=3611036023101450014&amp;isNoScr=script&amp;mode=search", "토지이음")</f>
        <v/>
      </c>
      <c r="O1280" s="3" t="inlineStr">
        <is>
          <t>THE행복</t>
        </is>
      </c>
      <c r="P1280" s="4" t="n">
        <v>1</v>
      </c>
      <c r="Q1280" s="4" t="n">
        <v>57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세로한면(가)</t>
        </is>
      </c>
    </row>
    <row r="1281">
      <c r="A1281" s="3" t="inlineStr">
        <is>
          <t>연서면 성제리 158-6</t>
        </is>
      </c>
      <c r="B1281" s="3" t="inlineStr">
        <is>
          <t>자연녹지지역</t>
        </is>
      </c>
      <c r="C1281" s="3" t="inlineStr">
        <is>
          <t>창고용지</t>
        </is>
      </c>
      <c r="D1281" s="3" t="inlineStr">
        <is>
          <t>창고용지</t>
        </is>
      </c>
      <c r="E1281" s="3" t="inlineStr">
        <is>
          <t>매매</t>
        </is>
      </c>
      <c r="F1281" s="4" t="n">
        <v>55000</v>
      </c>
      <c r="G1281" s="4" t="n">
        <v>850</v>
      </c>
      <c r="H1281" s="4" t="n">
        <v>257</v>
      </c>
      <c r="I1281" s="5" t="n">
        <v>214</v>
      </c>
      <c r="J1281" s="5" t="n">
        <v>63.8</v>
      </c>
      <c r="K1281" s="3" t="inlineStr">
        <is>
          <t>포장도로에 접해있는 도시지역 자연녹지지역의 농업용창고 66㎡와 전850㎡</t>
        </is>
      </c>
      <c r="L1281" s="6">
        <f>HYPERLINK("https://fin.land.naver.com/articles/2651472582", "매물Link")</f>
        <v/>
      </c>
      <c r="M1281" s="6">
        <f>HYPERLINK("https://map.naver.com/p/search/연서면 성제리 158-6", "지도Link")</f>
        <v/>
      </c>
      <c r="N1281" s="6">
        <f>HYPERLINK("http://www.eum.go.kr/web/ar/lu/luLandDet.jsp?pnu=3611036023101580006&amp;isNoScr=script&amp;mode=search",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440</v>
      </c>
      <c r="R1281" s="3" t="inlineStr">
        <is>
          <t>지정되지않음</t>
        </is>
      </c>
      <c r="S1281" s="3" t="inlineStr">
        <is>
          <t>전창고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연서면 성제리 161-2</t>
        </is>
      </c>
      <c r="B1282" s="3" t="inlineStr">
        <is>
          <t>계획관리지역</t>
        </is>
      </c>
      <c r="C1282" s="3" t="inlineStr">
        <is>
          <t>도로</t>
        </is>
      </c>
      <c r="D1282" s="3" t="inlineStr">
        <is>
          <t>답</t>
        </is>
      </c>
      <c r="E1282" s="3" t="inlineStr">
        <is>
          <t>매매</t>
        </is>
      </c>
      <c r="F1282" s="4" t="n">
        <v>48000</v>
      </c>
      <c r="G1282" s="4" t="n">
        <v>1064</v>
      </c>
      <c r="H1282" s="4" t="n">
        <v>322</v>
      </c>
      <c r="I1282" s="5" t="n">
        <v>149.1</v>
      </c>
      <c r="J1282" s="5" t="n">
        <v>15.4</v>
      </c>
      <c r="K1282" s="3" t="inlineStr">
        <is>
          <t>nan</t>
        </is>
      </c>
      <c r="L1282" s="6">
        <f>HYPERLINK("https://fin.land.naver.com/articles/2654013343", "매물Link")</f>
        <v/>
      </c>
      <c r="M1282" s="6">
        <f>HYPERLINK("https://map.naver.com/p/search/연서면 성제리 161-2", "지도Link")</f>
        <v/>
      </c>
      <c r="N1282" s="6">
        <f>HYPERLINK("http://www.eum.go.kr/web/ar/lu/luLandDet.jsp?pnu=3611036023101610002&amp;isNoScr=script&amp;mode=search", "토지이음")</f>
        <v/>
      </c>
      <c r="O1282" s="3" t="inlineStr">
        <is>
          <t>KB세종</t>
        </is>
      </c>
      <c r="P1282" s="4" t="n">
        <v>1</v>
      </c>
      <c r="Q1282" s="4" t="n">
        <v>198</v>
      </c>
      <c r="R1282" s="3" t="inlineStr">
        <is>
          <t>농림지역</t>
        </is>
      </c>
      <c r="S1282" s="3" t="inlineStr">
        <is>
          <t>도로등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지정되지않음</t>
        </is>
      </c>
    </row>
    <row r="1283">
      <c r="A1283" s="3" t="inlineStr">
        <is>
          <t>연서면 성제리 185-3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29000</v>
      </c>
      <c r="G1283" s="4" t="n">
        <v>2130</v>
      </c>
      <c r="H1283" s="4" t="n">
        <v>644</v>
      </c>
      <c r="I1283" s="5" t="n">
        <v>45</v>
      </c>
      <c r="J1283" s="5" t="n">
        <v>27.3</v>
      </c>
      <c r="K1283" s="3" t="inlineStr">
        <is>
          <t>nan</t>
        </is>
      </c>
      <c r="L1283" s="6">
        <f>HYPERLINK("https://fin.land.naver.com/articles/2654013952", "매물Link")</f>
        <v/>
      </c>
      <c r="M1283" s="6">
        <f>HYPERLINK("https://map.naver.com/p/search/연서면 성제리 185-3", "지도Link")</f>
        <v/>
      </c>
      <c r="N1283" s="6">
        <f>HYPERLINK("http://www.eum.go.kr/web/ar/lu/luLandDet.jsp?pnu=3611036023101850003&amp;isNoScr=script&amp;mode=search", "토지이음")</f>
        <v/>
      </c>
      <c r="O1283" s="3" t="inlineStr">
        <is>
          <t>KB세종</t>
        </is>
      </c>
      <c r="P1283" s="4" t="n">
        <v>1</v>
      </c>
      <c r="Q1283" s="4" t="n">
        <v>2130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세로한면(가)</t>
        </is>
      </c>
    </row>
    <row r="1284">
      <c r="A1284" s="3" t="inlineStr">
        <is>
          <t>연서면 성제리 186-5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80500</v>
      </c>
      <c r="G1284" s="4" t="n">
        <v>2045</v>
      </c>
      <c r="H1284" s="4" t="n">
        <v>619</v>
      </c>
      <c r="I1284" s="5" t="n">
        <v>130</v>
      </c>
      <c r="J1284" s="5" t="n">
        <v>27.3</v>
      </c>
      <c r="K1284" s="3" t="inlineStr">
        <is>
          <t>세종시근접 2차선도로접 토지,향후 개발가능성높은 토지입니다.</t>
        </is>
      </c>
      <c r="L1284" s="6">
        <f>HYPERLINK("https://fin.land.naver.com/articles/2653892163", "매물Link")</f>
        <v/>
      </c>
      <c r="M1284" s="6">
        <f>HYPERLINK("https://map.naver.com/p/search/연서면 성제리 186-5", "지도Link")</f>
        <v/>
      </c>
      <c r="N1284" s="6">
        <f>HYPERLINK("http://www.eum.go.kr/web/ar/lu/luLandDet.jsp?pnu=3611036023101860005&amp;isNoScr=script&amp;mode=search", "토지이음")</f>
        <v/>
      </c>
      <c r="O1284" s="3" t="inlineStr">
        <is>
          <t>담뜰</t>
        </is>
      </c>
      <c r="P1284" s="4" t="n">
        <v>3</v>
      </c>
      <c r="Q1284" s="4" t="n">
        <v>2045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세로한면(가)</t>
        </is>
      </c>
    </row>
    <row r="1285">
      <c r="A1285" s="3" t="inlineStr">
        <is>
          <t>연서면 성제리 186-5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200000</v>
      </c>
      <c r="G1285" s="4" t="n">
        <v>5090</v>
      </c>
      <c r="H1285" s="4" t="n">
        <v>1540</v>
      </c>
      <c r="I1285" s="5" t="n">
        <v>129.9</v>
      </c>
      <c r="J1285" s="5" t="n">
        <v>27.3</v>
      </c>
      <c r="K1285" s="3" t="inlineStr">
        <is>
          <t>2차선도로접, 개발호재가 강한지역 투자가치최고</t>
        </is>
      </c>
      <c r="L1285" s="6">
        <f>HYPERLINK("https://fin.land.naver.com/articles/2651043984", "매물Link")</f>
        <v/>
      </c>
      <c r="M1285" s="6">
        <f>HYPERLINK("https://map.naver.com/p/search/연서면 성제리 186-5", "지도Link")</f>
        <v/>
      </c>
      <c r="N1285" s="6">
        <f>HYPERLINK("http://www.eum.go.kr/web/ar/lu/luLandDet.jsp?pnu=3611036023101860005&amp;isNoScr=script&amp;mode=search", "토지이음")</f>
        <v/>
      </c>
      <c r="O1285" s="3" t="inlineStr">
        <is>
          <t>원내</t>
        </is>
      </c>
      <c r="P1285" s="4" t="n">
        <v>2</v>
      </c>
      <c r="Q1285" s="4" t="n">
        <v>2045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세로한면(가)</t>
        </is>
      </c>
    </row>
    <row r="1286">
      <c r="A1286" s="3" t="inlineStr">
        <is>
          <t>연서면 성제리 186-5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2045</v>
      </c>
      <c r="H1286" s="4" t="n">
        <v>619</v>
      </c>
      <c r="I1286" s="5" t="n">
        <v>129.2</v>
      </c>
      <c r="J1286" s="5" t="n">
        <v>27.3</v>
      </c>
      <c r="K1286" s="3" t="inlineStr">
        <is>
          <t>2차선 도로에 접한 투자용 토지 급매입니다. 스마트산업단지 인근에 있음</t>
        </is>
      </c>
      <c r="L1286" s="6">
        <f>HYPERLINK("https://fin.land.naver.com/articles/2655060808", "매물Link")</f>
        <v/>
      </c>
      <c r="M1286" s="6">
        <f>HYPERLINK("https://map.naver.com/p/search/연서면 성제리 186-5", "지도Link")</f>
        <v/>
      </c>
      <c r="N1286" s="6">
        <f>HYPERLINK("http://www.eum.go.kr/web/ar/lu/luLandDet.jsp?pnu=3611036023101860005&amp;isNoScr=script&amp;mode=search", "토지이음")</f>
        <v/>
      </c>
      <c r="O1286" s="3" t="inlineStr">
        <is>
          <t>스마일세종</t>
        </is>
      </c>
      <c r="P1286" s="4" t="n">
        <v>4</v>
      </c>
      <c r="Q1286" s="4" t="n">
        <v>2045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세로한면(가)</t>
        </is>
      </c>
    </row>
    <row r="1287">
      <c r="A1287" s="3" t="inlineStr">
        <is>
          <t>연서면 성제리 186-6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119700</v>
      </c>
      <c r="G1287" s="4" t="n">
        <v>3045</v>
      </c>
      <c r="H1287" s="4" t="n">
        <v>921</v>
      </c>
      <c r="I1287" s="5" t="n">
        <v>130</v>
      </c>
      <c r="J1287" s="5" t="n">
        <v>27.3</v>
      </c>
      <c r="K1287" s="3" t="inlineStr">
        <is>
          <t>세종시근접 2차선도로접 토지,향후 개발가능성높은 토지입니다.</t>
        </is>
      </c>
      <c r="L1287" s="6">
        <f>HYPERLINK("https://fin.land.naver.com/articles/2654855770", "매물Link")</f>
        <v/>
      </c>
      <c r="M1287" s="6">
        <f>HYPERLINK("https://map.naver.com/p/search/연서면 성제리 186-6", "지도Link")</f>
        <v/>
      </c>
      <c r="N1287" s="6">
        <f>HYPERLINK("http://www.eum.go.kr/web/ar/lu/luLandDet.jsp?pnu=3611036023101860006&amp;isNoScr=script&amp;mode=search", "토지이음")</f>
        <v/>
      </c>
      <c r="O1287" s="3" t="inlineStr">
        <is>
          <t>담뜰</t>
        </is>
      </c>
      <c r="P1287" s="4" t="n">
        <v>3</v>
      </c>
      <c r="Q1287" s="4" t="n">
        <v>3045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연서면 성제리 186-6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93000</v>
      </c>
      <c r="G1288" s="4" t="n">
        <v>2045</v>
      </c>
      <c r="H1288" s="4" t="n">
        <v>619</v>
      </c>
      <c r="I1288" s="5" t="n">
        <v>150.2</v>
      </c>
      <c r="J1288" s="5" t="n">
        <v>27.3</v>
      </c>
      <c r="K1288" s="3" t="inlineStr">
        <is>
          <t>2차선 도로변 토지 매매</t>
        </is>
      </c>
      <c r="L1288" s="6">
        <f>HYPERLINK("https://fin.land.naver.com/articles/2653137602", "매물Link")</f>
        <v/>
      </c>
      <c r="M1288" s="6">
        <f>HYPERLINK("https://map.naver.com/p/search/연서면 성제리 186-6", "지도Link")</f>
        <v/>
      </c>
      <c r="N1288" s="6">
        <f>HYPERLINK("http://www.eum.go.kr/web/ar/lu/luLandDet.jsp?pnu=3611036023101860006&amp;isNoScr=script&amp;mode=search", "토지이음")</f>
        <v/>
      </c>
      <c r="O1288" s="3" t="inlineStr">
        <is>
          <t>주식회사넥서스</t>
        </is>
      </c>
      <c r="P1288" s="4" t="n">
        <v>1</v>
      </c>
      <c r="Q1288" s="4" t="n">
        <v>3045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세로한면(가)</t>
        </is>
      </c>
    </row>
    <row r="1289">
      <c r="A1289" s="3" t="inlineStr">
        <is>
          <t>연서면 성제리 188-3</t>
        </is>
      </c>
      <c r="B1289" s="3" t="inlineStr">
        <is>
          <t>농림지역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69000</v>
      </c>
      <c r="G1289" s="4" t="n">
        <v>1535</v>
      </c>
      <c r="H1289" s="4" t="n">
        <v>464</v>
      </c>
      <c r="I1289" s="5" t="n">
        <v>148.7</v>
      </c>
      <c r="J1289" s="5" t="n">
        <v>26.8</v>
      </c>
      <c r="K1289" s="3" t="inlineStr">
        <is>
          <t>연서면 성제리 지목이 과수원으로 마을 포장도로에 접해 있어 이용가치 높은</t>
        </is>
      </c>
      <c r="L1289" s="6">
        <f>HYPERLINK("https://fin.land.naver.com/articles/2652408713", "매물Link")</f>
        <v/>
      </c>
      <c r="M1289" s="6">
        <f>HYPERLINK("https://map.naver.com/p/search/연서면 성제리 188-3", "지도Link")</f>
        <v/>
      </c>
      <c r="N1289" s="6">
        <f>HYPERLINK("http://www.eum.go.kr/web/ar/lu/luLandDet.jsp?pnu=3611036023101880003&amp;isNoScr=script&amp;mode=search", "토지이음")</f>
        <v/>
      </c>
      <c r="O1289" s="3" t="inlineStr">
        <is>
          <t>스마일세종</t>
        </is>
      </c>
      <c r="P1289" s="4" t="n">
        <v>1</v>
      </c>
      <c r="Q1289" s="4" t="n">
        <v>1535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평지</t>
        </is>
      </c>
      <c r="U1289" s="3" t="inlineStr">
        <is>
          <t>가로장방</t>
        </is>
      </c>
      <c r="V1289" s="3" t="inlineStr">
        <is>
          <t>세로한면(가)</t>
        </is>
      </c>
    </row>
    <row r="1290">
      <c r="A1290" s="3" t="inlineStr">
        <is>
          <t>연서면 성제리 190-7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48000</v>
      </c>
      <c r="G1290" s="4" t="n">
        <v>1980</v>
      </c>
      <c r="H1290" s="4" t="n">
        <v>599</v>
      </c>
      <c r="I1290" s="5" t="n">
        <v>80.09999999999999</v>
      </c>
      <c r="J1290" s="5" t="n">
        <v>26.8</v>
      </c>
      <c r="K1290" s="3" t="inlineStr">
        <is>
          <t>포장농로 접한 연서면 평탄 농업용 토지</t>
        </is>
      </c>
      <c r="L1290" s="6">
        <f>HYPERLINK("https://fin.land.naver.com/articles/2653939977", "매물Link")</f>
        <v/>
      </c>
      <c r="M1290" s="6">
        <f>HYPERLINK("https://map.naver.com/p/search/연서면 성제리 190-7", "지도Link")</f>
        <v/>
      </c>
      <c r="N1290" s="6">
        <f>HYPERLINK("http://www.eum.go.kr/web/ar/lu/luLandDet.jsp?pnu=3611036023101900007&amp;isNoScr=script&amp;mode=search", "토지이음")</f>
        <v/>
      </c>
      <c r="O1290" s="3" t="inlineStr">
        <is>
          <t>세종소담황금</t>
        </is>
      </c>
      <c r="P1290" s="4" t="n">
        <v>1</v>
      </c>
      <c r="Q1290" s="4" t="n">
        <v>1980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세로한면(가)</t>
        </is>
      </c>
    </row>
    <row r="1291">
      <c r="A1291" s="3" t="inlineStr">
        <is>
          <t>연서면 성제리 202-3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54000</v>
      </c>
      <c r="G1291" s="4" t="n">
        <v>1790</v>
      </c>
      <c r="H1291" s="4" t="n">
        <v>541</v>
      </c>
      <c r="I1291" s="5" t="n">
        <v>99.8</v>
      </c>
      <c r="J1291" s="5" t="n">
        <v>25</v>
      </c>
      <c r="K1291" s="3" t="inlineStr">
        <is>
          <t>세종스마트 국가산업단지 인근에 있는 주변시세보다 저렴한 대토용 농지 급매</t>
        </is>
      </c>
      <c r="L1291" s="6">
        <f>HYPERLINK("https://fin.land.naver.com/articles/2654792118", "매물Link")</f>
        <v/>
      </c>
      <c r="M1291" s="6">
        <f>HYPERLINK("https://map.naver.com/p/search/연서면 성제리 202-3", "지도Link")</f>
        <v/>
      </c>
      <c r="N1291" s="6">
        <f>HYPERLINK("http://www.eum.go.kr/web/ar/lu/luLandDet.jsp?pnu=3611036023102020003&amp;isNoScr=script&amp;mode=search", "토지이음")</f>
        <v/>
      </c>
      <c r="O1291" s="3" t="inlineStr">
        <is>
          <t>스마일세종</t>
        </is>
      </c>
      <c r="P1291" s="4" t="n">
        <v>2</v>
      </c>
      <c r="Q1291" s="4" t="n">
        <v>1790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세로한면(가)</t>
        </is>
      </c>
    </row>
    <row r="1292">
      <c r="A1292" s="3" t="inlineStr">
        <is>
          <t>연서면 성제리 217-1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35000</v>
      </c>
      <c r="G1292" s="4" t="n">
        <v>1430</v>
      </c>
      <c r="H1292" s="4" t="n">
        <v>433</v>
      </c>
      <c r="I1292" s="5" t="n">
        <v>80.8</v>
      </c>
      <c r="J1292" s="5" t="n">
        <v>25.2</v>
      </c>
      <c r="K1292" s="3" t="inlineStr">
        <is>
          <t>도로접한 농지</t>
        </is>
      </c>
      <c r="L1292" s="6">
        <f>HYPERLINK("https://fin.land.naver.com/articles/2650856663", "매물Link")</f>
        <v/>
      </c>
      <c r="M1292" s="6">
        <f>HYPERLINK("https://map.naver.com/p/search/연서면 성제리 217-1", "지도Link")</f>
        <v/>
      </c>
      <c r="N1292" s="6">
        <f>HYPERLINK("http://www.eum.go.kr/web/ar/lu/luLandDet.jsp?pnu=3611036023102170001&amp;isNoScr=script&amp;mode=search", "토지이음")</f>
        <v/>
      </c>
      <c r="O1292" s="3" t="inlineStr">
        <is>
          <t>세종대박</t>
        </is>
      </c>
      <c r="P1292" s="4" t="n">
        <v>1</v>
      </c>
      <c r="Q1292" s="4" t="n">
        <v>1430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성제리 273-5</t>
        </is>
      </c>
      <c r="B1293" s="3" t="inlineStr">
        <is>
          <t>자연녹지지역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180000</v>
      </c>
      <c r="G1293" s="4" t="n">
        <v>1984</v>
      </c>
      <c r="H1293" s="4" t="n">
        <v>600</v>
      </c>
      <c r="I1293" s="5" t="n">
        <v>300</v>
      </c>
      <c r="J1293" s="5" t="n">
        <v>55.9</v>
      </c>
      <c r="K1293" s="3" t="inlineStr">
        <is>
          <t>투자가치 높은 도시지역내 과수원</t>
        </is>
      </c>
      <c r="L1293" s="6">
        <f>HYPERLINK("https://fin.land.naver.com/articles/2655169408", "매물Link")</f>
        <v/>
      </c>
      <c r="M1293" s="6">
        <f>HYPERLINK("https://map.naver.com/p/search/연서면 성제리 273-5", "지도Link")</f>
        <v/>
      </c>
      <c r="N1293" s="6">
        <f>HYPERLINK("http://www.eum.go.kr/web/ar/lu/luLandDet.jsp?pnu=3611036023102730005&amp;isNoScr=script&amp;mode=search", "토지이음")</f>
        <v/>
      </c>
      <c r="O1293" s="3" t="inlineStr">
        <is>
          <t>세종대박</t>
        </is>
      </c>
      <c r="P1293" s="4" t="n">
        <v>1</v>
      </c>
      <c r="Q1293" s="4" t="n">
        <v>1984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성제리 273-6</t>
        </is>
      </c>
      <c r="B1294" s="3" t="inlineStr">
        <is>
          <t>자연녹지지역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180000</v>
      </c>
      <c r="G1294" s="4" t="n">
        <v>1984</v>
      </c>
      <c r="H1294" s="4" t="n">
        <v>600</v>
      </c>
      <c r="I1294" s="5" t="n">
        <v>300</v>
      </c>
      <c r="J1294" s="5" t="n">
        <v>55.9</v>
      </c>
      <c r="K1294" s="3" t="inlineStr">
        <is>
          <t>미래가치 높은 관리 잘된 투자형 과수원</t>
        </is>
      </c>
      <c r="L1294" s="6">
        <f>HYPERLINK("https://fin.land.naver.com/articles/2649629027", "매물Link")</f>
        <v/>
      </c>
      <c r="M1294" s="6">
        <f>HYPERLINK("https://map.naver.com/p/search/연서면 성제리 273-6", "지도Link")</f>
        <v/>
      </c>
      <c r="N1294" s="6">
        <f>HYPERLINK("http://www.eum.go.kr/web/ar/lu/luLandDet.jsp?pnu=3611036023102730006&amp;isNoScr=script&amp;mode=search", "토지이음")</f>
        <v/>
      </c>
      <c r="O1294" s="3" t="inlineStr">
        <is>
          <t>가치잇는</t>
        </is>
      </c>
      <c r="P1294" s="4" t="n">
        <v>1</v>
      </c>
      <c r="Q1294" s="4" t="n">
        <v>1984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성제리 273-9</t>
        </is>
      </c>
      <c r="B1295" s="3" t="inlineStr">
        <is>
          <t>자연녹지지역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10000</v>
      </c>
      <c r="G1295" s="4" t="n">
        <v>330</v>
      </c>
      <c r="H1295" s="4" t="n">
        <v>100</v>
      </c>
      <c r="I1295" s="5" t="n">
        <v>100</v>
      </c>
      <c r="J1295" s="5" t="n">
        <v>39.5</v>
      </c>
      <c r="K1295" s="3" t="inlineStr">
        <is>
          <t>nan</t>
        </is>
      </c>
      <c r="L1295" s="6">
        <f>HYPERLINK("https://fin.land.naver.com/articles/2651153583", "매물Link")</f>
        <v/>
      </c>
      <c r="M1295" s="6">
        <f>HYPERLINK("https://map.naver.com/p/search/연서면 성제리 273-9", "지도Link")</f>
        <v/>
      </c>
      <c r="N1295" s="6">
        <f>HYPERLINK("http://www.eum.go.kr/web/ar/lu/luLandDet.jsp?pnu=3611036023102730009&amp;isNoScr=script&amp;mode=search", "토지이음")</f>
        <v/>
      </c>
      <c r="O1295" s="3" t="inlineStr">
        <is>
          <t>미스터홈즈강남지사</t>
        </is>
      </c>
      <c r="P1295" s="4" t="n">
        <v>1</v>
      </c>
      <c r="Q1295" s="4" t="n">
        <v>3485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급경사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성제리 273-9</t>
        </is>
      </c>
      <c r="B1296" s="3" t="inlineStr">
        <is>
          <t>자연녹지지역</t>
        </is>
      </c>
      <c r="C1296" s="3" t="inlineStr">
        <is>
          <t>과수원</t>
        </is>
      </c>
      <c r="D1296" s="3" t="inlineStr">
        <is>
          <t>과수원</t>
        </is>
      </c>
      <c r="E1296" s="3" t="inlineStr">
        <is>
          <t>매매</t>
        </is>
      </c>
      <c r="F1296" s="4" t="n">
        <v>19000</v>
      </c>
      <c r="G1296" s="4" t="n">
        <v>730</v>
      </c>
      <c r="H1296" s="4" t="n">
        <v>221</v>
      </c>
      <c r="I1296" s="5" t="n">
        <v>86</v>
      </c>
      <c r="J1296" s="5" t="n">
        <v>39.5</v>
      </c>
      <c r="K1296" s="3" t="inlineStr">
        <is>
          <t>분할매도,실수요와 투자를 동시에.미래가치 충분</t>
        </is>
      </c>
      <c r="L1296" s="6">
        <f>HYPERLINK("https://fin.land.naver.com/articles/2650336389", "매물Link")</f>
        <v/>
      </c>
      <c r="M1296" s="6">
        <f>HYPERLINK("https://map.naver.com/p/search/연서면 성제리 273-9", "지도Link")</f>
        <v/>
      </c>
      <c r="N1296" s="6">
        <f>HYPERLINK("http://www.eum.go.kr/web/ar/lu/luLandDet.jsp?pnu=3611036023102730009&amp;isNoScr=script&amp;mode=search", "토지이음")</f>
        <v/>
      </c>
      <c r="O1296" s="3" t="inlineStr">
        <is>
          <t>가치잇는</t>
        </is>
      </c>
      <c r="P1296" s="4" t="n">
        <v>2</v>
      </c>
      <c r="Q1296" s="4" t="n">
        <v>3485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급경사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성제리 280-9</t>
        </is>
      </c>
      <c r="B1297" s="3" t="inlineStr">
        <is>
          <t>자연녹지지역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77300</v>
      </c>
      <c r="G1297" s="4" t="n">
        <v>3194</v>
      </c>
      <c r="H1297" s="4" t="n">
        <v>966</v>
      </c>
      <c r="I1297" s="5" t="n">
        <v>80</v>
      </c>
      <c r="J1297" s="5" t="n">
        <v>74.8</v>
      </c>
      <c r="K1297" s="3" t="inlineStr">
        <is>
          <t>행정복지센터 인근 자연녹지 저렴한 토지</t>
        </is>
      </c>
      <c r="L1297" s="6">
        <f>HYPERLINK("https://fin.land.naver.com/articles/2652098500", "매물Link")</f>
        <v/>
      </c>
      <c r="M1297" s="6">
        <f>HYPERLINK("https://map.naver.com/p/search/연서면 성제리 280-9", "지도Link")</f>
        <v/>
      </c>
      <c r="N1297" s="6">
        <f>HYPERLINK("http://www.eum.go.kr/web/ar/lu/luLandDet.jsp?pnu=3611036023102800009&amp;isNoScr=script&amp;mode=search", "토지이음")</f>
        <v/>
      </c>
      <c r="O1297" s="3" t="inlineStr">
        <is>
          <t>미스터홈즈강남지사</t>
        </is>
      </c>
      <c r="P1297" s="4" t="n">
        <v>1</v>
      </c>
      <c r="Q1297" s="4" t="n">
        <v>2361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성제리 319</t>
        </is>
      </c>
      <c r="B1298" s="3" t="inlineStr">
        <is>
          <t>자연녹지지역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120000</v>
      </c>
      <c r="G1298" s="4" t="n">
        <v>1002</v>
      </c>
      <c r="H1298" s="4" t="n">
        <v>303</v>
      </c>
      <c r="I1298" s="5" t="n">
        <v>396</v>
      </c>
      <c r="J1298" s="5" t="n">
        <v>93.2</v>
      </c>
      <c r="K1298" s="3" t="inlineStr">
        <is>
          <t>연서면사무소 인근 활용도 높은 토지 매매</t>
        </is>
      </c>
      <c r="L1298" s="6">
        <f>HYPERLINK("https://fin.land.naver.com/articles/2655222715", "매물Link")</f>
        <v/>
      </c>
      <c r="M1298" s="6">
        <f>HYPERLINK("https://map.naver.com/p/search/연서면 성제리 319", "지도Link")</f>
        <v/>
      </c>
      <c r="N1298" s="6">
        <f>HYPERLINK("http://www.eum.go.kr/web/ar/lu/luLandDet.jsp?pnu=3611036023103190000&amp;isNoScr=script&amp;mode=search", "토지이음")</f>
        <v/>
      </c>
      <c r="O1298" s="3" t="inlineStr">
        <is>
          <t>원탑</t>
        </is>
      </c>
      <c r="P1298" s="4" t="n">
        <v>1</v>
      </c>
      <c r="Q1298" s="4" t="n">
        <v>809</v>
      </c>
      <c r="R1298" s="3" t="inlineStr">
        <is>
          <t>지정되지않음</t>
        </is>
      </c>
      <c r="S1298" s="3" t="inlineStr">
        <is>
          <t>단독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성제리 346-1</t>
        </is>
      </c>
      <c r="B1299" s="3" t="inlineStr">
        <is>
          <t>자연녹지지역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240000</v>
      </c>
      <c r="G1299" s="4" t="n">
        <v>1430</v>
      </c>
      <c r="H1299" s="4" t="n">
        <v>433</v>
      </c>
      <c r="I1299" s="5" t="n">
        <v>554.3</v>
      </c>
      <c r="J1299" s="5" t="n">
        <v>260.8</v>
      </c>
      <c r="K1299" s="3" t="inlineStr">
        <is>
          <t>토지가 도로 전면에 전부 접해있습니다. 주변 호재 많은 토지</t>
        </is>
      </c>
      <c r="L1299" s="6">
        <f>HYPERLINK("https://fin.land.naver.com/articles/2651572889", "매물Link")</f>
        <v/>
      </c>
      <c r="M1299" s="6">
        <f>HYPERLINK("https://map.naver.com/p/search/연서면 성제리 346-1", "지도Link")</f>
        <v/>
      </c>
      <c r="N1299" s="6">
        <f>HYPERLINK("http://www.eum.go.kr/web/ar/lu/luLandDet.jsp?pnu=3611036023103460001&amp;isNoScr=script&amp;mode=search", "토지이음")</f>
        <v/>
      </c>
      <c r="O1299" s="3" t="inlineStr">
        <is>
          <t>여기로</t>
        </is>
      </c>
      <c r="P1299" s="4" t="n">
        <v>1</v>
      </c>
      <c r="Q1299" s="4" t="n">
        <v>1430</v>
      </c>
      <c r="R1299" s="3" t="inlineStr">
        <is>
          <t>지정되지않음</t>
        </is>
      </c>
      <c r="S1299" s="3" t="inlineStr">
        <is>
          <t>업무용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성제리 429</t>
        </is>
      </c>
      <c r="B1300" s="3" t="inlineStr">
        <is>
          <t>자연녹지지역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73000</v>
      </c>
      <c r="G1300" s="4" t="n">
        <v>959</v>
      </c>
      <c r="H1300" s="4" t="n">
        <v>290</v>
      </c>
      <c r="I1300" s="5" t="n">
        <v>251.7</v>
      </c>
      <c r="J1300" s="5" t="n">
        <v>62.5</v>
      </c>
      <c r="K1300" s="3" t="inlineStr">
        <is>
          <t>2차선 도로 인접 ,용도 변경 가능 미래 투자가치 좋은 금싸라기 땅</t>
        </is>
      </c>
      <c r="L1300" s="6">
        <f>HYPERLINK("https://fin.land.naver.com/articles/2651651826", "매물Link")</f>
        <v/>
      </c>
      <c r="M1300" s="6">
        <f>HYPERLINK("https://map.naver.com/p/search/연서면 성제리 429", "지도Link")</f>
        <v/>
      </c>
      <c r="N1300" s="6">
        <f>HYPERLINK("http://www.eum.go.kr/web/ar/lu/luLandDet.jsp?pnu=3611036023104290000&amp;isNoScr=script&amp;mode=search", "토지이음")</f>
        <v/>
      </c>
      <c r="O1300" s="3" t="inlineStr">
        <is>
          <t>강남뜰</t>
        </is>
      </c>
      <c r="P1300" s="4" t="n">
        <v>1</v>
      </c>
      <c r="Q1300" s="4" t="n">
        <v>959</v>
      </c>
      <c r="R1300" s="3" t="inlineStr">
        <is>
          <t>계획관리지역</t>
        </is>
      </c>
      <c r="S1300" s="3" t="inlineStr">
        <is>
          <t>과수원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성제리 446</t>
        </is>
      </c>
      <c r="B1301" s="3" t="inlineStr">
        <is>
          <t>자연녹지지역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80000</v>
      </c>
      <c r="G1301" s="4" t="n">
        <v>1087</v>
      </c>
      <c r="H1301" s="4" t="n">
        <v>329</v>
      </c>
      <c r="I1301" s="5" t="n">
        <v>243.2</v>
      </c>
      <c r="J1301" s="5" t="n">
        <v>65.90000000000001</v>
      </c>
      <c r="K1301" s="3" t="inlineStr">
        <is>
          <t>국가산단인근  성장관리계획구역</t>
        </is>
      </c>
      <c r="L1301" s="6">
        <f>HYPERLINK("https://fin.land.naver.com/articles/2654518353", "매물Link")</f>
        <v/>
      </c>
      <c r="M1301" s="6">
        <f>HYPERLINK("https://map.naver.com/p/search/연서면 성제리 446", "지도Link")</f>
        <v/>
      </c>
      <c r="N1301" s="6">
        <f>HYPERLINK("http://www.eum.go.kr/web/ar/lu/luLandDet.jsp?pnu=3611036023104460000&amp;isNoScr=script&amp;mode=search", "토지이음")</f>
        <v/>
      </c>
      <c r="O1301" s="3" t="inlineStr">
        <is>
          <t>THE행복</t>
        </is>
      </c>
      <c r="P1301" s="4" t="n">
        <v>1</v>
      </c>
      <c r="Q1301" s="4" t="n">
        <v>1088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성제리 446</t>
        </is>
      </c>
      <c r="B1302" s="3" t="inlineStr">
        <is>
          <t>자연녹지지역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82250</v>
      </c>
      <c r="G1302" s="4" t="n">
        <v>1087</v>
      </c>
      <c r="H1302" s="4" t="n">
        <v>329</v>
      </c>
      <c r="I1302" s="5" t="n">
        <v>250</v>
      </c>
      <c r="J1302" s="5" t="n">
        <v>65.90000000000001</v>
      </c>
      <c r="K1302" s="3" t="inlineStr">
        <is>
          <t>집짓기 좋은 정방형 토지 매매</t>
        </is>
      </c>
      <c r="L1302" s="6">
        <f>HYPERLINK("https://fin.land.naver.com/articles/2653195395", "매물Link")</f>
        <v/>
      </c>
      <c r="M1302" s="6">
        <f>HYPERLINK("https://map.naver.com/p/search/연서면 성제리 446", "지도Link")</f>
        <v/>
      </c>
      <c r="N1302" s="6">
        <f>HYPERLINK("http://www.eum.go.kr/web/ar/lu/luLandDet.jsp?pnu=3611036023104460000&amp;isNoScr=script&amp;mode=search", "토지이음")</f>
        <v/>
      </c>
      <c r="O1302" s="3" t="inlineStr">
        <is>
          <t>THE행복</t>
        </is>
      </c>
      <c r="P1302" s="4" t="n">
        <v>1</v>
      </c>
      <c r="Q1302" s="4" t="n">
        <v>1088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성제리 448-5</t>
        </is>
      </c>
      <c r="B1303" s="3" t="inlineStr">
        <is>
          <t>자연녹지지역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25000</v>
      </c>
      <c r="G1303" s="4" t="n">
        <v>1213</v>
      </c>
      <c r="H1303" s="4" t="n">
        <v>367</v>
      </c>
      <c r="I1303" s="5" t="n">
        <v>68.09999999999999</v>
      </c>
      <c r="J1303" s="5" t="n">
        <v>53.2</v>
      </c>
      <c r="K1303" s="3" t="inlineStr">
        <is>
          <t>국가 산업 단지 근접투자 가치 용 토지</t>
        </is>
      </c>
      <c r="L1303" s="6">
        <f>HYPERLINK("https://fin.land.naver.com/articles/2649511861", "매물Link")</f>
        <v/>
      </c>
      <c r="M1303" s="6">
        <f>HYPERLINK("https://map.naver.com/p/search/연서면 성제리 448-5", "지도Link")</f>
        <v/>
      </c>
      <c r="N1303" s="6">
        <f>HYPERLINK("http://www.eum.go.kr/web/ar/lu/luLandDet.jsp?pnu=3611036023104480005&amp;isNoScr=script&amp;mode=search", "토지이음")</f>
        <v/>
      </c>
      <c r="O1303" s="3" t="inlineStr">
        <is>
          <t>현담</t>
        </is>
      </c>
      <c r="P1303" s="4" t="n">
        <v>1</v>
      </c>
      <c r="Q1303" s="4" t="n">
        <v>1213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세로한면(가)</t>
        </is>
      </c>
    </row>
    <row r="1304">
      <c r="A1304" s="3" t="inlineStr">
        <is>
          <t>연서면 성제리 452</t>
        </is>
      </c>
      <c r="B1304" s="3" t="inlineStr">
        <is>
          <t>자연녹지지역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54000</v>
      </c>
      <c r="G1304" s="4" t="n">
        <v>1261</v>
      </c>
      <c r="H1304" s="4" t="n">
        <v>381</v>
      </c>
      <c r="I1304" s="5" t="n">
        <v>141.7</v>
      </c>
      <c r="J1304" s="5" t="n">
        <v>62.7</v>
      </c>
      <c r="K1304" s="3" t="inlineStr">
        <is>
          <t>자연취락지구도로접 평탄농지, 전원형 활용 검토 유리</t>
        </is>
      </c>
      <c r="L1304" s="6">
        <f>HYPERLINK("https://fin.land.naver.com/articles/2653942128", "매물Link")</f>
        <v/>
      </c>
      <c r="M1304" s="6">
        <f>HYPERLINK("https://map.naver.com/p/search/연서면 성제리 452", "지도Link")</f>
        <v/>
      </c>
      <c r="N1304" s="6">
        <f>HYPERLINK("http://www.eum.go.kr/web/ar/lu/luLandDet.jsp?pnu=3611036023104520000&amp;isNoScr=script&amp;mode=search", "토지이음")</f>
        <v/>
      </c>
      <c r="O1304" s="3" t="inlineStr">
        <is>
          <t>세종소담황금</t>
        </is>
      </c>
      <c r="P1304" s="4" t="n">
        <v>1</v>
      </c>
      <c r="Q1304" s="4" t="n">
        <v>1261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성제리 455-8</t>
        </is>
      </c>
      <c r="B1305" s="3" t="inlineStr">
        <is>
          <t>계획관리지역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109000</v>
      </c>
      <c r="G1305" s="4" t="n">
        <v>1720</v>
      </c>
      <c r="H1305" s="4" t="n">
        <v>520</v>
      </c>
      <c r="I1305" s="5" t="n">
        <v>209.6</v>
      </c>
      <c r="J1305" s="5" t="n">
        <v>48.9</v>
      </c>
      <c r="K1305" s="3" t="inlineStr">
        <is>
          <t>계획관리 과수원배밭매매</t>
        </is>
      </c>
      <c r="L1305" s="6">
        <f>HYPERLINK("https://fin.land.naver.com/articles/2655032817", "매물Link")</f>
        <v/>
      </c>
      <c r="M1305" s="6">
        <f>HYPERLINK("https://map.naver.com/p/search/연서면 성제리 455-8", "지도Link")</f>
        <v/>
      </c>
      <c r="N1305" s="6">
        <f>HYPERLINK("http://www.eum.go.kr/web/ar/lu/luLandDet.jsp?pnu=3611036023104550008&amp;isNoScr=script&amp;mode=search", "토지이음")</f>
        <v/>
      </c>
      <c r="O1305" s="3" t="inlineStr">
        <is>
          <t>세종대박</t>
        </is>
      </c>
      <c r="P1305" s="4" t="n">
        <v>1</v>
      </c>
      <c r="Q1305" s="4" t="n">
        <v>1720</v>
      </c>
      <c r="R1305" s="3" t="inlineStr">
        <is>
          <t>보전관리지역</t>
        </is>
      </c>
      <c r="S1305" s="3" t="inlineStr">
        <is>
          <t>과수원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연서면 성제리 564-3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111700</v>
      </c>
      <c r="G1306" s="4" t="n">
        <v>1320</v>
      </c>
      <c r="H1306" s="4" t="n">
        <v>399</v>
      </c>
      <c r="I1306" s="5" t="n">
        <v>279.9</v>
      </c>
      <c r="J1306" s="5" t="n">
        <v>50.8</v>
      </c>
      <c r="K1306" s="3" t="inlineStr">
        <is>
          <t>세종시 연서면 계획관리 매매.11.1억</t>
        </is>
      </c>
      <c r="L1306" s="6">
        <f>HYPERLINK("https://fin.land.naver.com/articles/2652501553", "매물Link")</f>
        <v/>
      </c>
      <c r="M1306" s="6">
        <f>HYPERLINK("https://map.naver.com/p/search/연서면 성제리 564-3", "지도Link")</f>
        <v/>
      </c>
      <c r="N1306" s="6">
        <f>HYPERLINK("http://www.eum.go.kr/web/ar/lu/luLandDet.jsp?pnu=3611036023105640003&amp;isNoScr=script&amp;mode=search", "토지이음")</f>
        <v/>
      </c>
      <c r="O1306" s="3" t="inlineStr">
        <is>
          <t>동원</t>
        </is>
      </c>
      <c r="P1306" s="4" t="n">
        <v>1</v>
      </c>
      <c r="Q1306" s="4" t="n">
        <v>1320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연서면 성제리 586-14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112000</v>
      </c>
      <c r="G1307" s="4" t="n">
        <v>1204</v>
      </c>
      <c r="H1307" s="4" t="n">
        <v>364</v>
      </c>
      <c r="I1307" s="5" t="n">
        <v>307.7</v>
      </c>
      <c r="J1307" s="5" t="n">
        <v>172</v>
      </c>
      <c r="K1307" s="3" t="inlineStr">
        <is>
          <t>상가건물있음,  성제네거리코너10m도로접합 계획관리지역 3필지일괄매매</t>
        </is>
      </c>
      <c r="L1307" s="6">
        <f>HYPERLINK("https://fin.land.naver.com/articles/2654484825", "매물Link")</f>
        <v/>
      </c>
      <c r="M1307" s="6">
        <f>HYPERLINK("https://map.naver.com/p/search/연서면 성제리 586-14", "지도Link")</f>
        <v/>
      </c>
      <c r="N1307" s="6">
        <f>HYPERLINK("http://www.eum.go.kr/web/ar/lu/luLandDet.jsp?pnu=3611036023105860014&amp;isNoScr=script&amp;mode=search", "토지이음")</f>
        <v/>
      </c>
      <c r="O1307" s="3" t="inlineStr">
        <is>
          <t>길음(02-983-0110)</t>
        </is>
      </c>
      <c r="P1307" s="4" t="n">
        <v>1</v>
      </c>
      <c r="Q1307" s="4" t="n">
        <v>418</v>
      </c>
      <c r="R1307" s="3" t="inlineStr">
        <is>
          <t>지정되지않음</t>
        </is>
      </c>
      <c r="S1307" s="3" t="inlineStr">
        <is>
          <t>주상용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소로각지</t>
        </is>
      </c>
    </row>
    <row r="1308">
      <c r="A1308" s="3" t="inlineStr">
        <is>
          <t>연서면 성제리 586-14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112000</v>
      </c>
      <c r="G1308" s="4" t="n">
        <v>418</v>
      </c>
      <c r="H1308" s="4" t="n">
        <v>126</v>
      </c>
      <c r="I1308" s="5" t="n">
        <v>888.9</v>
      </c>
      <c r="J1308" s="5" t="n">
        <v>172</v>
      </c>
      <c r="K1308" s="3" t="inlineStr">
        <is>
          <t>현재132.16제곱음식점운영.인접2필지병행매매가합1204제곱.코너각지</t>
        </is>
      </c>
      <c r="L1308" s="6">
        <f>HYPERLINK("https://fin.land.naver.com/articles/2654864982", "매물Link")</f>
        <v/>
      </c>
      <c r="M1308" s="6">
        <f>HYPERLINK("https://map.naver.com/p/search/연서면 성제리 586-14", "지도Link")</f>
        <v/>
      </c>
      <c r="N1308" s="6">
        <f>HYPERLINK("http://www.eum.go.kr/web/ar/lu/luLandDet.jsp?pnu=3611036023105860014&amp;isNoScr=script&amp;mode=search", "토지이음")</f>
        <v/>
      </c>
      <c r="O1308" s="3" t="inlineStr">
        <is>
          <t>돈방석</t>
        </is>
      </c>
      <c r="P1308" s="4" t="n">
        <v>1</v>
      </c>
      <c r="Q1308" s="4" t="n">
        <v>418</v>
      </c>
      <c r="R1308" s="3" t="inlineStr">
        <is>
          <t>지정되지않음</t>
        </is>
      </c>
      <c r="S1308" s="3" t="inlineStr">
        <is>
          <t>주상용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소로각지</t>
        </is>
      </c>
    </row>
    <row r="1309">
      <c r="A1309" s="3" t="inlineStr">
        <is>
          <t>연서면 성제리 586-183</t>
        </is>
      </c>
      <c r="B1309" s="3" t="inlineStr">
        <is>
          <t>계획관리지역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95000</v>
      </c>
      <c r="G1309" s="4" t="n">
        <v>661</v>
      </c>
      <c r="H1309" s="4" t="n">
        <v>200</v>
      </c>
      <c r="I1309" s="5" t="n">
        <v>475</v>
      </c>
      <c r="J1309" s="5" t="n">
        <v>58.2</v>
      </c>
      <c r="K1309" s="3" t="inlineStr">
        <is>
          <t>2차선에 접한 귀한 토지.개발호재.지가상승지역.</t>
        </is>
      </c>
      <c r="L1309" s="6">
        <f>HYPERLINK("https://fin.land.naver.com/articles/2652504765", "매물Link")</f>
        <v/>
      </c>
      <c r="M1309" s="6">
        <f>HYPERLINK("https://map.naver.com/p/search/연서면 성제리 586-183", "지도Link")</f>
        <v/>
      </c>
      <c r="N1309" s="6">
        <f>HYPERLINK("http://www.eum.go.kr/web/ar/lu/luLandDet.jsp?pnu=3611036023105860183&amp;isNoScr=script&amp;mode=search", "토지이음")</f>
        <v/>
      </c>
      <c r="O1309" s="3" t="inlineStr">
        <is>
          <t>동원</t>
        </is>
      </c>
      <c r="P1309" s="4" t="n">
        <v>1</v>
      </c>
      <c r="Q1309" s="4" t="n">
        <v>661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소로한면</t>
        </is>
      </c>
    </row>
    <row r="1310">
      <c r="A1310" s="3" t="inlineStr">
        <is>
          <t>연서면 성제리 77-1</t>
        </is>
      </c>
      <c r="B1310" s="3" t="inlineStr">
        <is>
          <t>계획관리지역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310000</v>
      </c>
      <c r="G1310" s="4" t="n">
        <v>5153</v>
      </c>
      <c r="H1310" s="4" t="n">
        <v>1559</v>
      </c>
      <c r="I1310" s="5" t="n">
        <v>198.8</v>
      </c>
      <c r="J1310" s="5" t="n">
        <v>42.9</v>
      </c>
      <c r="K1310" s="3" t="inlineStr">
        <is>
          <t>성제리 도로접한 해 잘들어오는 계획관리 토지</t>
        </is>
      </c>
      <c r="L1310" s="6">
        <f>HYPERLINK("https://fin.land.naver.com/articles/2655073697", "매물Link")</f>
        <v/>
      </c>
      <c r="M1310" s="6">
        <f>HYPERLINK("https://map.naver.com/p/search/연서면 성제리 77-1", "지도Link")</f>
        <v/>
      </c>
      <c r="N1310" s="6">
        <f>HYPERLINK("http://www.eum.go.kr/web/ar/lu/luLandDet.jsp?pnu=3611036023100770001&amp;isNoScr=script&amp;mode=search", "토지이음")</f>
        <v/>
      </c>
      <c r="O1310" s="3" t="inlineStr">
        <is>
          <t>엄지척</t>
        </is>
      </c>
      <c r="P1310" s="4" t="n">
        <v>1</v>
      </c>
      <c r="Q1310" s="4" t="n">
        <v>4760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연서면 성제리 산 28-1</t>
        </is>
      </c>
      <c r="B1311" s="3" t="inlineStr">
        <is>
          <t>농림지역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215000</v>
      </c>
      <c r="G1311" s="4" t="n">
        <v>40562</v>
      </c>
      <c r="H1311" s="4" t="n">
        <v>12270</v>
      </c>
      <c r="I1311" s="5" t="n">
        <v>17.5</v>
      </c>
      <c r="J1311" s="5" t="n">
        <v>4.7</v>
      </c>
      <c r="K1311" s="3" t="inlineStr">
        <is>
          <t>임야</t>
        </is>
      </c>
      <c r="L1311" s="6">
        <f>HYPERLINK("https://fin.land.naver.com/articles/2653389298", "매물Link")</f>
        <v/>
      </c>
      <c r="M1311" s="6">
        <f>HYPERLINK("https://map.naver.com/p/search/연서면 성제리 산 28-1", "지도Link")</f>
        <v/>
      </c>
      <c r="N1311" s="6">
        <f>HYPERLINK("http://www.eum.go.kr/web/ar/lu/luLandDet.jsp?pnu=3611036023200280001&amp;isNoScr=script&amp;mode=search", "토지이음")</f>
        <v/>
      </c>
      <c r="O1311" s="3" t="inlineStr">
        <is>
          <t>다산</t>
        </is>
      </c>
      <c r="P1311" s="4" t="n">
        <v>1</v>
      </c>
      <c r="Q1311" s="4" t="n">
        <v>40562</v>
      </c>
      <c r="R1311" s="3" t="inlineStr">
        <is>
          <t>보전관리지역</t>
        </is>
      </c>
      <c r="S1311" s="3" t="inlineStr">
        <is>
          <t>자연림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연서면 성제리 산 28-1</t>
        </is>
      </c>
      <c r="B1312" s="3" t="inlineStr">
        <is>
          <t>농림지역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215000</v>
      </c>
      <c r="G1312" s="4" t="n">
        <v>40562</v>
      </c>
      <c r="H1312" s="4" t="n">
        <v>12270</v>
      </c>
      <c r="I1312" s="5" t="n">
        <v>17.5</v>
      </c>
      <c r="J1312" s="5" t="n">
        <v>4.7</v>
      </c>
      <c r="K1312" s="3" t="inlineStr">
        <is>
          <t>연서면 성제리 농림지역, 일부 보전관리 임야, 조치원 인근</t>
        </is>
      </c>
      <c r="L1312" s="6">
        <f>HYPERLINK("https://fin.land.naver.com/articles/2654025632", "매물Link")</f>
        <v/>
      </c>
      <c r="M1312" s="6">
        <f>HYPERLINK("https://map.naver.com/p/search/연서면 성제리 산 28-1", "지도Link")</f>
        <v/>
      </c>
      <c r="N1312" s="6">
        <f>HYPERLINK("http://www.eum.go.kr/web/ar/lu/luLandDet.jsp?pnu=3611036023200280001&amp;isNoScr=script&amp;mode=search", "토지이음")</f>
        <v/>
      </c>
      <c r="O1312" s="3" t="inlineStr">
        <is>
          <t>스카이</t>
        </is>
      </c>
      <c r="P1312" s="4" t="n">
        <v>1</v>
      </c>
      <c r="Q1312" s="4" t="n">
        <v>40562</v>
      </c>
      <c r="R1312" s="3" t="inlineStr">
        <is>
          <t>보전관리지역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연서면 신대리 115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35000</v>
      </c>
      <c r="G1313" s="4" t="n">
        <v>874</v>
      </c>
      <c r="H1313" s="4" t="n">
        <v>264</v>
      </c>
      <c r="I1313" s="5" t="n">
        <v>132.6</v>
      </c>
      <c r="J1313" s="5" t="n">
        <v>91.59999999999999</v>
      </c>
      <c r="K1313" s="3" t="inlineStr">
        <is>
          <t>연서면 신대리 계획관리 대지, 포장도로접, 조치원 국가산단 인근, 저렴</t>
        </is>
      </c>
      <c r="L1313" s="6">
        <f>HYPERLINK("https://fin.land.naver.com/articles/2654027707", "매물Link")</f>
        <v/>
      </c>
      <c r="M1313" s="6">
        <f>HYPERLINK("https://map.naver.com/p/search/연서면 신대리 115", "지도Link")</f>
        <v/>
      </c>
      <c r="N1313" s="6">
        <f>HYPERLINK("http://www.eum.go.kr/web/ar/lu/luLandDet.jsp?pnu=3611036029101150000&amp;isNoScr=script&amp;mode=search", "토지이음")</f>
        <v/>
      </c>
      <c r="O1313" s="3" t="inlineStr">
        <is>
          <t>스카이</t>
        </is>
      </c>
      <c r="P1313" s="4" t="n">
        <v>1</v>
      </c>
      <c r="Q1313" s="4" t="n">
        <v>874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신대리 124</t>
        </is>
      </c>
      <c r="B1314" s="3" t="inlineStr">
        <is>
          <t>계획관리지역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120000</v>
      </c>
      <c r="G1314" s="4" t="n">
        <v>2324</v>
      </c>
      <c r="H1314" s="4" t="n">
        <v>703</v>
      </c>
      <c r="I1314" s="5" t="n">
        <v>170.7</v>
      </c>
      <c r="J1314" s="5" t="n">
        <v>50.2</v>
      </c>
      <c r="K1314" s="3" t="inlineStr">
        <is>
          <t>급매, 대토용, 투자용</t>
        </is>
      </c>
      <c r="L1314" s="6">
        <f>HYPERLINK("https://fin.land.naver.com/articles/2654625622", "매물Link")</f>
        <v/>
      </c>
      <c r="M1314" s="6">
        <f>HYPERLINK("https://map.naver.com/p/search/연서면 신대리 124", "지도Link")</f>
        <v/>
      </c>
      <c r="N1314" s="6">
        <f>HYPERLINK("http://www.eum.go.kr/web/ar/lu/luLandDet.jsp?pnu=3611036029101240000&amp;isNoScr=script&amp;mode=search", "토지이음")</f>
        <v/>
      </c>
      <c r="O1314" s="3" t="inlineStr">
        <is>
          <t>고운동리치세종</t>
        </is>
      </c>
      <c r="P1314" s="4" t="n">
        <v>1</v>
      </c>
      <c r="Q1314" s="4" t="n">
        <v>2324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연서면 신대리 192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163000</v>
      </c>
      <c r="G1315" s="4" t="n">
        <v>2569</v>
      </c>
      <c r="H1315" s="4" t="n">
        <v>777</v>
      </c>
      <c r="I1315" s="5" t="n">
        <v>209.8</v>
      </c>
      <c r="J1315" s="5" t="n">
        <v>62</v>
      </c>
      <c r="K1315" s="3" t="inlineStr">
        <is>
          <t>계획관리지역, 성장관리구역, 도로접합, 세종국가산단인근</t>
        </is>
      </c>
      <c r="L1315" s="6">
        <f>HYPERLINK("https://fin.land.naver.com/articles/2650333044", "매물Link")</f>
        <v/>
      </c>
      <c r="M1315" s="6">
        <f>HYPERLINK("https://map.naver.com/p/search/연서면 신대리 192", "지도Link")</f>
        <v/>
      </c>
      <c r="N1315" s="6">
        <f>HYPERLINK("http://www.eum.go.kr/web/ar/lu/luLandDet.jsp?pnu=3611036029101920000&amp;isNoScr=script&amp;mode=search", "토지이음")</f>
        <v/>
      </c>
      <c r="O1315" s="3" t="inlineStr">
        <is>
          <t>세종일조</t>
        </is>
      </c>
      <c r="P1315" s="4" t="n">
        <v>1</v>
      </c>
      <c r="Q1315" s="4" t="n">
        <v>2569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신대리 30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63000</v>
      </c>
      <c r="G1316" s="4" t="n">
        <v>913</v>
      </c>
      <c r="H1316" s="4" t="n">
        <v>276</v>
      </c>
      <c r="I1316" s="5" t="n">
        <v>228.3</v>
      </c>
      <c r="J1316" s="5" t="n">
        <v>73.8</v>
      </c>
      <c r="K1316" s="3" t="inlineStr">
        <is>
          <t>세종산업단지 1km이내 계획관리지역, 자연취락지구 토지매매</t>
        </is>
      </c>
      <c r="L1316" s="6">
        <f>HYPERLINK("https://fin.land.naver.com/articles/2652044665", "매물Link")</f>
        <v/>
      </c>
      <c r="M1316" s="6">
        <f>HYPERLINK("https://map.naver.com/p/search/연서면 신대리 30", "지도Link")</f>
        <v/>
      </c>
      <c r="N1316" s="6">
        <f>HYPERLINK("http://www.eum.go.kr/web/ar/lu/luLandDet.jsp?pnu=3611036029100300000&amp;isNoScr=script&amp;mode=search", "토지이음")</f>
        <v/>
      </c>
      <c r="O1316" s="3" t="inlineStr">
        <is>
          <t>에이스</t>
        </is>
      </c>
      <c r="P1316" s="4" t="n">
        <v>1</v>
      </c>
      <c r="Q1316" s="4" t="n">
        <v>364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신대리 320</t>
        </is>
      </c>
      <c r="B1317" s="3" t="inlineStr">
        <is>
          <t>생산관리지역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45800</v>
      </c>
      <c r="G1317" s="4" t="n">
        <v>2013</v>
      </c>
      <c r="H1317" s="4" t="n">
        <v>609</v>
      </c>
      <c r="I1317" s="5" t="n">
        <v>75.2</v>
      </c>
      <c r="J1317" s="5" t="n">
        <v>23.9</v>
      </c>
      <c r="K1317" s="3" t="inlineStr">
        <is>
          <t>투자하기 좋은 토지</t>
        </is>
      </c>
      <c r="L1317" s="6">
        <f>HYPERLINK("https://fin.land.naver.com/articles/2652686162", "매물Link")</f>
        <v/>
      </c>
      <c r="M1317" s="6">
        <f>HYPERLINK("https://map.naver.com/p/search/연서면 신대리 320", "지도Link")</f>
        <v/>
      </c>
      <c r="N1317" s="6">
        <f>HYPERLINK("http://www.eum.go.kr/web/ar/lu/luLandDet.jsp?pnu=3611036029103200000&amp;isNoScr=script&amp;mode=search", "토지이음")</f>
        <v/>
      </c>
      <c r="O1317" s="3" t="inlineStr">
        <is>
          <t>이로운 사무소</t>
        </is>
      </c>
      <c r="P1317" s="4" t="n">
        <v>1</v>
      </c>
      <c r="Q1317" s="4" t="n">
        <v>2013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완경사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연서면 신대리 323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600000</v>
      </c>
      <c r="G1318" s="4" t="n">
        <v>10277</v>
      </c>
      <c r="H1318" s="4" t="n">
        <v>3109</v>
      </c>
      <c r="I1318" s="5" t="n">
        <v>193</v>
      </c>
      <c r="J1318" s="5" t="n">
        <v>22.7</v>
      </c>
      <c r="K1318" s="3" t="inlineStr">
        <is>
          <t>귀한 연서면 토지이며 인접한 3필지 일괄 매매.분할매도가능</t>
        </is>
      </c>
      <c r="L1318" s="6">
        <f>HYPERLINK("https://fin.land.naver.com/articles/2651569592", "매물Link")</f>
        <v/>
      </c>
      <c r="M1318" s="6">
        <f>HYPERLINK("https://map.naver.com/p/search/연서면 신대리 323", "지도Link")</f>
        <v/>
      </c>
      <c r="N1318" s="6">
        <f>HYPERLINK("http://www.eum.go.kr/web/ar/lu/luLandDet.jsp?pnu=3611036029103230000&amp;isNoScr=script&amp;mode=search", "토지이음")</f>
        <v/>
      </c>
      <c r="O1318" s="3" t="inlineStr">
        <is>
          <t>생생</t>
        </is>
      </c>
      <c r="P1318" s="4" t="n">
        <v>1</v>
      </c>
      <c r="Q1318" s="4" t="n">
        <v>2188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신대리 327-5</t>
        </is>
      </c>
      <c r="B1319" s="3" t="inlineStr">
        <is>
          <t>생산관리지역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22500</v>
      </c>
      <c r="G1319" s="4" t="n">
        <v>941</v>
      </c>
      <c r="H1319" s="4" t="n">
        <v>285</v>
      </c>
      <c r="I1319" s="5" t="n">
        <v>78.90000000000001</v>
      </c>
      <c r="J1319" s="5" t="n">
        <v>17.8</v>
      </c>
      <c r="K1319" s="3" t="inlineStr">
        <is>
          <t>국가산단예정지 인접,전원생활과 미래가치를 동시에</t>
        </is>
      </c>
      <c r="L1319" s="6">
        <f>HYPERLINK("https://fin.land.naver.com/articles/2654180711", "매물Link")</f>
        <v/>
      </c>
      <c r="M1319" s="6">
        <f>HYPERLINK("https://map.naver.com/p/search/연서면 신대리 327-5", "지도Link")</f>
        <v/>
      </c>
      <c r="N1319" s="6">
        <f>HYPERLINK("http://www.eum.go.kr/web/ar/lu/luLandDet.jsp?pnu=3611036029103270005&amp;isNoScr=script&amp;mode=search", "토지이음")</f>
        <v/>
      </c>
      <c r="O1319" s="3" t="inlineStr">
        <is>
          <t>가치잇는</t>
        </is>
      </c>
      <c r="P1319" s="4" t="n">
        <v>1</v>
      </c>
      <c r="Q1319" s="4" t="n">
        <v>757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신대리 365-3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58000</v>
      </c>
      <c r="G1320" s="4" t="n">
        <v>1927</v>
      </c>
      <c r="H1320" s="4" t="n">
        <v>583</v>
      </c>
      <c r="I1320" s="5" t="n">
        <v>99.5</v>
      </c>
      <c r="J1320" s="5" t="n">
        <v>47.8</v>
      </c>
      <c r="K1320" s="3" t="inlineStr">
        <is>
          <t>연서면 신대리에 있는 계획관리지역 대지 3필지를 일괄 매매합니다</t>
        </is>
      </c>
      <c r="L1320" s="6">
        <f>HYPERLINK("https://fin.land.naver.com/articles/2650207850", "매물Link")</f>
        <v/>
      </c>
      <c r="M1320" s="6">
        <f>HYPERLINK("https://map.naver.com/p/search/연서면 신대리 365-3", "지도Link")</f>
        <v/>
      </c>
      <c r="N1320" s="6">
        <f>HYPERLINK("http://www.eum.go.kr/web/ar/lu/luLandDet.jsp?pnu=3611036029103650003&amp;isNoScr=script&amp;mode=search", "토지이음")</f>
        <v/>
      </c>
      <c r="O1320" s="3" t="inlineStr">
        <is>
          <t>스마일세종</t>
        </is>
      </c>
      <c r="P1320" s="4" t="n">
        <v>1</v>
      </c>
      <c r="Q1320" s="4" t="n">
        <v>853</v>
      </c>
      <c r="R1320" s="3" t="inlineStr">
        <is>
          <t>지정되지않음</t>
        </is>
      </c>
      <c r="S1320" s="3" t="inlineStr">
        <is>
          <t>단독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신대리 395-10</t>
        </is>
      </c>
      <c r="B1321" s="3" t="inlineStr">
        <is>
          <t>보전관리지역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30000</v>
      </c>
      <c r="G1321" s="4" t="n">
        <v>720</v>
      </c>
      <c r="H1321" s="4" t="n">
        <v>218</v>
      </c>
      <c r="I1321" s="5" t="n">
        <v>137.6</v>
      </c>
      <c r="J1321" s="5" t="n">
        <v>66.59999999999999</v>
      </c>
      <c r="K1321" s="3" t="inlineStr">
        <is>
          <t>고복저수지근처 지목대지 건축 허가 가능.</t>
        </is>
      </c>
      <c r="L1321" s="6">
        <f>HYPERLINK("https://fin.land.naver.com/articles/2650858228", "매물Link")</f>
        <v/>
      </c>
      <c r="M1321" s="6">
        <f>HYPERLINK("https://map.naver.com/p/search/연서면 신대리 395-10", "지도Link")</f>
        <v/>
      </c>
      <c r="N1321" s="6">
        <f>HYPERLINK("http://www.eum.go.kr/web/ar/lu/luLandDet.jsp?pnu=3611036029103950010&amp;isNoScr=script&amp;mode=search", "토지이음")</f>
        <v/>
      </c>
      <c r="O1321" s="3" t="inlineStr">
        <is>
          <t>신한국</t>
        </is>
      </c>
      <c r="P1321" s="4" t="n">
        <v>1</v>
      </c>
      <c r="Q1321" s="4" t="n">
        <v>678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연서면 신대리 395-62</t>
        </is>
      </c>
      <c r="B1322" s="3" t="inlineStr">
        <is>
          <t>보전관리지역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57000</v>
      </c>
      <c r="G1322" s="4" t="n">
        <v>582</v>
      </c>
      <c r="H1322" s="4" t="n">
        <v>176</v>
      </c>
      <c r="I1322" s="5" t="n">
        <v>323.9</v>
      </c>
      <c r="J1322" s="5" t="n">
        <v>66.59999999999999</v>
      </c>
      <c r="K1322" s="3" t="inlineStr">
        <is>
          <t>전원주택단지내 전원주택부지</t>
        </is>
      </c>
      <c r="L1322" s="6">
        <f>HYPERLINK("https://fin.land.naver.com/articles/2654424413", "매물Link")</f>
        <v/>
      </c>
      <c r="M1322" s="6">
        <f>HYPERLINK("https://map.naver.com/p/search/연서면 신대리 395-62", "지도Link")</f>
        <v/>
      </c>
      <c r="N1322" s="6">
        <f>HYPERLINK("http://www.eum.go.kr/web/ar/lu/luLandDet.jsp?pnu=3611036029103950062&amp;isNoScr=script&amp;mode=search", "토지이음")</f>
        <v/>
      </c>
      <c r="O1322" s="3" t="inlineStr">
        <is>
          <t>대한민국</t>
        </is>
      </c>
      <c r="P1322" s="4" t="n">
        <v>2</v>
      </c>
      <c r="Q1322" s="4" t="n">
        <v>582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완경사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연서면 신대리 395-62</t>
        </is>
      </c>
      <c r="B1323" s="3" t="inlineStr">
        <is>
          <t>보전관리지역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57250</v>
      </c>
      <c r="G1323" s="4" t="n">
        <v>582</v>
      </c>
      <c r="H1323" s="4" t="n">
        <v>176</v>
      </c>
      <c r="I1323" s="5" t="n">
        <v>325.3</v>
      </c>
      <c r="J1323" s="5" t="n">
        <v>66.59999999999999</v>
      </c>
      <c r="K1323" s="3" t="inlineStr">
        <is>
          <t>개발 완료된 전원주택지. 즉시 건축 가능. 대지 582  도로 175</t>
        </is>
      </c>
      <c r="L1323" s="6">
        <f>HYPERLINK("https://fin.land.naver.com/articles/2651427202", "매물Link")</f>
        <v/>
      </c>
      <c r="M1323" s="6">
        <f>HYPERLINK("https://map.naver.com/p/search/연서면 신대리 395-62", "지도Link")</f>
        <v/>
      </c>
      <c r="N1323" s="6">
        <f>HYPERLINK("http://www.eum.go.kr/web/ar/lu/luLandDet.jsp?pnu=3611036029103950062&amp;isNoScr=script&amp;mode=search", "토지이음")</f>
        <v/>
      </c>
      <c r="O1323" s="3" t="inlineStr">
        <is>
          <t>세종소담114</t>
        </is>
      </c>
      <c r="P1323" s="4" t="n">
        <v>1</v>
      </c>
      <c r="Q1323" s="4" t="n">
        <v>582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연서면 신대리 412-25</t>
        </is>
      </c>
      <c r="B1324" s="3" t="inlineStr">
        <is>
          <t>보전관리지역</t>
        </is>
      </c>
      <c r="C1324" s="3" t="inlineStr">
        <is>
          <t>임야</t>
        </is>
      </c>
      <c r="D1324" s="3" t="inlineStr">
        <is>
          <t>대</t>
        </is>
      </c>
      <c r="E1324" s="3" t="inlineStr">
        <is>
          <t>매매</t>
        </is>
      </c>
      <c r="F1324" s="4" t="n">
        <v>22000</v>
      </c>
      <c r="G1324" s="4" t="n">
        <v>542</v>
      </c>
      <c r="H1324" s="4" t="n">
        <v>164</v>
      </c>
      <c r="I1324" s="5" t="n">
        <v>134.1</v>
      </c>
      <c r="J1324" s="5" t="n">
        <v>66.59999999999999</v>
      </c>
      <c r="K1324" s="3" t="inlineStr">
        <is>
          <t>급매 고복저수지근처 로얄빌리지 전원주택지매매</t>
        </is>
      </c>
      <c r="L1324" s="6">
        <f>HYPERLINK("https://fin.land.naver.com/articles/2653986925", "매물Link")</f>
        <v/>
      </c>
      <c r="M1324" s="6">
        <f>HYPERLINK("https://map.naver.com/p/search/연서면 신대리 412-25", "지도Link")</f>
        <v/>
      </c>
      <c r="N1324" s="6">
        <f>HYPERLINK("http://www.eum.go.kr/web/ar/lu/luLandDet.jsp?pnu=3611036029104120025&amp;isNoScr=script&amp;mode=search", "토지이음")</f>
        <v/>
      </c>
      <c r="O1324" s="3" t="inlineStr">
        <is>
          <t>명진</t>
        </is>
      </c>
      <c r="P1324" s="4" t="n">
        <v>1</v>
      </c>
      <c r="Q1324" s="4" t="n">
        <v>542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완경사</t>
        </is>
      </c>
      <c r="U1324" s="3" t="inlineStr">
        <is>
          <t>세로장방</t>
        </is>
      </c>
      <c r="V1324" s="3" t="inlineStr">
        <is>
          <t>세로한면(가)</t>
        </is>
      </c>
    </row>
    <row r="1325">
      <c r="A1325" s="3" t="inlineStr">
        <is>
          <t>연서면 신대리 412-25</t>
        </is>
      </c>
      <c r="B1325" s="3" t="inlineStr">
        <is>
          <t>보전관리지역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26000</v>
      </c>
      <c r="G1325" s="4" t="n">
        <v>542</v>
      </c>
      <c r="H1325" s="4" t="n">
        <v>164</v>
      </c>
      <c r="I1325" s="5" t="n">
        <v>158.5</v>
      </c>
      <c r="J1325" s="5" t="n">
        <v>66.59999999999999</v>
      </c>
      <c r="K1325" s="3" t="inlineStr">
        <is>
          <t>급매추천. 개발 완료된 전원주택지. 전용 542  도로 120</t>
        </is>
      </c>
      <c r="L1325" s="6">
        <f>HYPERLINK("https://fin.land.naver.com/articles/2651427480", "매물Link")</f>
        <v/>
      </c>
      <c r="M1325" s="6">
        <f>HYPERLINK("https://map.naver.com/p/search/연서면 신대리 412-25", "지도Link")</f>
        <v/>
      </c>
      <c r="N1325" s="6">
        <f>HYPERLINK("http://www.eum.go.kr/web/ar/lu/luLandDet.jsp?pnu=3611036029104120025&amp;isNoScr=script&amp;mode=search", "토지이음")</f>
        <v/>
      </c>
      <c r="O1325" s="3" t="inlineStr">
        <is>
          <t>세종소담114</t>
        </is>
      </c>
      <c r="P1325" s="4" t="n">
        <v>2</v>
      </c>
      <c r="Q1325" s="4" t="n">
        <v>542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완경사</t>
        </is>
      </c>
      <c r="U1325" s="3" t="inlineStr">
        <is>
          <t>세로장방</t>
        </is>
      </c>
      <c r="V1325" s="3" t="inlineStr">
        <is>
          <t>세로한면(가)</t>
        </is>
      </c>
    </row>
    <row r="1326">
      <c r="A1326" s="3" t="inlineStr">
        <is>
          <t>연서면 신대리 412-28</t>
        </is>
      </c>
      <c r="B1326" s="3" t="inlineStr">
        <is>
          <t>보전관리지역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27016</v>
      </c>
      <c r="G1326" s="4" t="n">
        <v>687</v>
      </c>
      <c r="H1326" s="4" t="n">
        <v>208</v>
      </c>
      <c r="I1326" s="5" t="n">
        <v>129.9</v>
      </c>
      <c r="J1326" s="5" t="n">
        <v>66.59999999999999</v>
      </c>
      <c r="K1326" s="3" t="inlineStr">
        <is>
          <t>감동의 땅 정말 좋은 땅 가성비 착한 토지 위치  땅모양 괜찮지 않나요</t>
        </is>
      </c>
      <c r="L1326" s="6">
        <f>HYPERLINK("https://fin.land.naver.com/articles/2654324010", "매물Link")</f>
        <v/>
      </c>
      <c r="M1326" s="6">
        <f>HYPERLINK("https://map.naver.com/p/search/연서면 신대리 412-28", "지도Link")</f>
        <v/>
      </c>
      <c r="N1326" s="6">
        <f>HYPERLINK("http://www.eum.go.kr/web/ar/lu/luLandDet.jsp?pnu=3611036029104120028&amp;isNoScr=script&amp;mode=search", "토지이음")</f>
        <v/>
      </c>
      <c r="O1326" s="3" t="inlineStr">
        <is>
          <t>세종시삼성래미안</t>
        </is>
      </c>
      <c r="P1326" s="4" t="n">
        <v>1</v>
      </c>
      <c r="Q1326" s="4" t="n">
        <v>563</v>
      </c>
      <c r="R1326" s="3" t="inlineStr">
        <is>
          <t>지정되지않음</t>
        </is>
      </c>
      <c r="S1326" s="3" t="inlineStr">
        <is>
          <t>주거나지</t>
        </is>
      </c>
      <c r="T1326" s="3" t="inlineStr">
        <is>
          <t>완경사</t>
        </is>
      </c>
      <c r="U1326" s="3" t="inlineStr">
        <is>
          <t>사다리형</t>
        </is>
      </c>
      <c r="V1326" s="3" t="inlineStr">
        <is>
          <t>세로한면(가)</t>
        </is>
      </c>
    </row>
    <row r="1327">
      <c r="A1327" s="3" t="inlineStr">
        <is>
          <t>연서면 신대리 412-28</t>
        </is>
      </c>
      <c r="B1327" s="3" t="inlineStr">
        <is>
          <t>보전관리지역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24000</v>
      </c>
      <c r="G1327" s="4" t="n">
        <v>563</v>
      </c>
      <c r="H1327" s="4" t="n">
        <v>170</v>
      </c>
      <c r="I1327" s="5" t="n">
        <v>141.2</v>
      </c>
      <c r="J1327" s="5" t="n">
        <v>66.59999999999999</v>
      </c>
      <c r="K1327" s="3" t="inlineStr">
        <is>
          <t>nan</t>
        </is>
      </c>
      <c r="L1327" s="6">
        <f>HYPERLINK("https://fin.land.naver.com/articles/2652378754", "매물Link")</f>
        <v/>
      </c>
      <c r="M1327" s="6">
        <f>HYPERLINK("https://map.naver.com/p/search/연서면 신대리 412-28", "지도Link")</f>
        <v/>
      </c>
      <c r="N1327" s="6">
        <f>HYPERLINK("http://www.eum.go.kr/web/ar/lu/luLandDet.jsp?pnu=3611036029104120028&amp;isNoScr=script&amp;mode=search", "토지이음")</f>
        <v/>
      </c>
      <c r="O1327" s="3" t="inlineStr">
        <is>
          <t>은성</t>
        </is>
      </c>
      <c r="P1327" s="4" t="n">
        <v>1</v>
      </c>
      <c r="Q1327" s="4" t="n">
        <v>563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완경사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신대리 412-44</t>
        </is>
      </c>
      <c r="B1328" s="3" t="inlineStr">
        <is>
          <t>보전관리지역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34700</v>
      </c>
      <c r="G1328" s="4" t="n">
        <v>637</v>
      </c>
      <c r="H1328" s="4" t="n">
        <v>193</v>
      </c>
      <c r="I1328" s="5" t="n">
        <v>179.8</v>
      </c>
      <c r="J1328" s="5" t="n">
        <v>66.59999999999999</v>
      </c>
      <c r="K1328" s="3" t="inlineStr">
        <is>
          <t>고복저수지 가는길 부근 기반시설 잘 갖춰진 네모반듯한 코너 전원주택지</t>
        </is>
      </c>
      <c r="L1328" s="6">
        <f>HYPERLINK("https://fin.land.naver.com/articles/2652065672", "매물Link")</f>
        <v/>
      </c>
      <c r="M1328" s="6">
        <f>HYPERLINK("https://map.naver.com/p/search/연서면 신대리 412-44", "지도Link")</f>
        <v/>
      </c>
      <c r="N1328" s="6">
        <f>HYPERLINK("http://www.eum.go.kr/web/ar/lu/luLandDet.jsp?pnu=3611036029104120044&amp;isNoScr=script&amp;mode=search", "토지이음")</f>
        <v/>
      </c>
      <c r="O1328" s="3" t="inlineStr">
        <is>
          <t>신와촌</t>
        </is>
      </c>
      <c r="P1328" s="4" t="n">
        <v>1</v>
      </c>
      <c r="Q1328" s="4" t="n">
        <v>523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완경사</t>
        </is>
      </c>
      <c r="U1328" s="3" t="inlineStr">
        <is>
          <t>가로장방</t>
        </is>
      </c>
      <c r="V1328" s="3" t="inlineStr">
        <is>
          <t>세로한면(가)</t>
        </is>
      </c>
    </row>
    <row r="1329">
      <c r="A1329" s="3" t="inlineStr">
        <is>
          <t>연서면 신대리 454-4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31000</v>
      </c>
      <c r="G1329" s="4" t="n">
        <v>1121</v>
      </c>
      <c r="H1329" s="4" t="n">
        <v>339</v>
      </c>
      <c r="I1329" s="5" t="n">
        <v>91.40000000000001</v>
      </c>
      <c r="J1329" s="5" t="n">
        <v>22.9</v>
      </c>
      <c r="K1329" s="3" t="inlineStr">
        <is>
          <t>고복 저수지와 전원 마을 단지 사이 신대리 토지매매</t>
        </is>
      </c>
      <c r="L1329" s="6">
        <f>HYPERLINK("https://fin.land.naver.com/articles/2651085963", "매물Link")</f>
        <v/>
      </c>
      <c r="M1329" s="6">
        <f>HYPERLINK("https://map.naver.com/p/search/연서면 신대리 454-4", "지도Link")</f>
        <v/>
      </c>
      <c r="N1329" s="6">
        <f>HYPERLINK("http://www.eum.go.kr/web/ar/lu/luLandDet.jsp?pnu=3611036029104540004&amp;isNoScr=script&amp;mode=search", "토지이음")</f>
        <v/>
      </c>
      <c r="O1329" s="3" t="inlineStr">
        <is>
          <t>지성</t>
        </is>
      </c>
      <c r="P1329" s="4" t="n">
        <v>1</v>
      </c>
      <c r="Q1329" s="4" t="n">
        <v>1121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세로한면(가)</t>
        </is>
      </c>
    </row>
    <row r="1330">
      <c r="A1330" s="3" t="inlineStr">
        <is>
          <t>연서면 신대리 454-5</t>
        </is>
      </c>
      <c r="B1330" s="3" t="inlineStr">
        <is>
          <t>농림지역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71500</v>
      </c>
      <c r="G1330" s="4" t="n">
        <v>2366</v>
      </c>
      <c r="H1330" s="4" t="n">
        <v>716</v>
      </c>
      <c r="I1330" s="5" t="n">
        <v>99.90000000000001</v>
      </c>
      <c r="J1330" s="5" t="n">
        <v>22.9</v>
      </c>
      <c r="K1330" s="3" t="inlineStr">
        <is>
          <t>좋은 땅 가성비 착한 토지 위치  땅모양 좋아요</t>
        </is>
      </c>
      <c r="L1330" s="6">
        <f>HYPERLINK("https://fin.land.naver.com/articles/2654306979", "매물Link")</f>
        <v/>
      </c>
      <c r="M1330" s="6">
        <f>HYPERLINK("https://map.naver.com/p/search/연서면 신대리 454-5", "지도Link")</f>
        <v/>
      </c>
      <c r="N1330" s="6">
        <f>HYPERLINK("http://www.eum.go.kr/web/ar/lu/luLandDet.jsp?pnu=3611036029104540005&amp;isNoScr=script&amp;mode=search", "토지이음")</f>
        <v/>
      </c>
      <c r="O1330" s="3" t="inlineStr">
        <is>
          <t>세종시삼성래미안</t>
        </is>
      </c>
      <c r="P1330" s="4" t="n">
        <v>1</v>
      </c>
      <c r="Q1330" s="4" t="n">
        <v>2366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세로한면(가)</t>
        </is>
      </c>
    </row>
    <row r="1331">
      <c r="A1331" s="3" t="inlineStr">
        <is>
          <t>연서면 신대리 456-2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72000</v>
      </c>
      <c r="G1331" s="4" t="n">
        <v>2632</v>
      </c>
      <c r="H1331" s="4" t="n">
        <v>796</v>
      </c>
      <c r="I1331" s="5" t="n">
        <v>90.5</v>
      </c>
      <c r="J1331" s="5" t="n">
        <v>22.9</v>
      </c>
      <c r="K1331" s="3" t="inlineStr">
        <is>
          <t>대토용,투자용 적합</t>
        </is>
      </c>
      <c r="L1331" s="6">
        <f>HYPERLINK("https://fin.land.naver.com/articles/2653703409", "매물Link")</f>
        <v/>
      </c>
      <c r="M1331" s="6">
        <f>HYPERLINK("https://map.naver.com/p/search/연서면 신대리 456-2", "지도Link")</f>
        <v/>
      </c>
      <c r="N1331" s="6">
        <f>HYPERLINK("http://www.eum.go.kr/web/ar/lu/luLandDet.jsp?pnu=3611036029104560002&amp;isNoScr=script&amp;mode=search", "토지이음")</f>
        <v/>
      </c>
      <c r="O1331" s="3" t="inlineStr">
        <is>
          <t>지원</t>
        </is>
      </c>
      <c r="P1331" s="4" t="n">
        <v>1</v>
      </c>
      <c r="Q1331" s="4" t="n">
        <v>2632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신대리 456-2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39800</v>
      </c>
      <c r="G1332" s="4" t="n">
        <v>2632</v>
      </c>
      <c r="H1332" s="4" t="n">
        <v>796</v>
      </c>
      <c r="I1332" s="5" t="n">
        <v>50</v>
      </c>
      <c r="J1332" s="5" t="n">
        <v>22.9</v>
      </c>
      <c r="K1332" s="3" t="inlineStr">
        <is>
          <t>nan</t>
        </is>
      </c>
      <c r="L1332" s="6">
        <f>HYPERLINK("https://fin.land.naver.com/articles/2654271164", "매물Link")</f>
        <v/>
      </c>
      <c r="M1332" s="6">
        <f>HYPERLINK("https://map.naver.com/p/search/연서면 신대리 456-2", "지도Link")</f>
        <v/>
      </c>
      <c r="N1332" s="6">
        <f>HYPERLINK("http://www.eum.go.kr/web/ar/lu/luLandDet.jsp?pnu=3611036029104560002&amp;isNoScr=script&amp;mode=search", "토지이음")</f>
        <v/>
      </c>
      <c r="O1332" s="3" t="inlineStr">
        <is>
          <t>효성</t>
        </is>
      </c>
      <c r="P1332" s="4" t="n">
        <v>1</v>
      </c>
      <c r="Q1332" s="4" t="n">
        <v>2632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연서면 신대리 458-1</t>
        </is>
      </c>
      <c r="B1333" s="3" t="inlineStr">
        <is>
          <t>보전관리지역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427000</v>
      </c>
      <c r="G1333" s="4" t="n">
        <v>10463</v>
      </c>
      <c r="H1333" s="4" t="n">
        <v>3165</v>
      </c>
      <c r="I1333" s="5" t="n">
        <v>134.9</v>
      </c>
      <c r="J1333" s="5" t="n">
        <v>63.8</v>
      </c>
      <c r="K1333" s="3" t="inlineStr">
        <is>
          <t>세종 국가산단 인근 가치 상승지역 토지 매매</t>
        </is>
      </c>
      <c r="L1333" s="6">
        <f>HYPERLINK("https://fin.land.naver.com/articles/2654049297", "매물Link")</f>
        <v/>
      </c>
      <c r="M1333" s="6">
        <f>HYPERLINK("https://map.naver.com/p/search/연서면 신대리 458-1", "지도Link")</f>
        <v/>
      </c>
      <c r="N1333" s="6">
        <f>HYPERLINK("http://www.eum.go.kr/web/ar/lu/luLandDet.jsp?pnu=3611036029104580001&amp;isNoScr=script&amp;mode=search", "토지이음")</f>
        <v/>
      </c>
      <c r="O1333" s="3" t="inlineStr">
        <is>
          <t>세종비전행정사</t>
        </is>
      </c>
      <c r="P1333" s="4" t="n">
        <v>1</v>
      </c>
      <c r="Q1333" s="4" t="n">
        <v>4780</v>
      </c>
      <c r="R1333" s="3" t="inlineStr">
        <is>
          <t>지정되지않음</t>
        </is>
      </c>
      <c r="S1333" s="3" t="inlineStr">
        <is>
          <t>주거기타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신대리 469-44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41800</v>
      </c>
      <c r="G1334" s="4" t="n">
        <v>540</v>
      </c>
      <c r="H1334" s="4" t="n">
        <v>163</v>
      </c>
      <c r="I1334" s="5" t="n">
        <v>256.4</v>
      </c>
      <c r="J1334" s="5" t="n">
        <v>66</v>
      </c>
      <c r="K1334" s="3" t="inlineStr">
        <is>
          <t>남향,전원주택지추천,계획관리,고복저수지인접</t>
        </is>
      </c>
      <c r="L1334" s="6">
        <f>HYPERLINK("https://fin.land.naver.com/articles/2652355894", "매물Link")</f>
        <v/>
      </c>
      <c r="M1334" s="6">
        <f>HYPERLINK("https://map.naver.com/p/search/연서면 신대리 469-44", "지도Link")</f>
        <v/>
      </c>
      <c r="N1334" s="6">
        <f>HYPERLINK("http://www.eum.go.kr/web/ar/lu/luLandDet.jsp?pnu=3611036029104690044&amp;isNoScr=script&amp;mode=search", "토지이음")</f>
        <v/>
      </c>
      <c r="O1334" s="3" t="inlineStr">
        <is>
          <t>따뜻한</t>
        </is>
      </c>
      <c r="P1334" s="4" t="n">
        <v>1</v>
      </c>
      <c r="Q1334" s="4" t="n">
        <v>540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완경사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연서면 신대리 49-9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대</t>
        </is>
      </c>
      <c r="E1335" s="3" t="inlineStr">
        <is>
          <t>매매</t>
        </is>
      </c>
      <c r="F1335" s="4" t="n">
        <v>60000</v>
      </c>
      <c r="G1335" s="4" t="n">
        <v>2512</v>
      </c>
      <c r="H1335" s="4" t="n">
        <v>760</v>
      </c>
      <c r="I1335" s="5" t="n">
        <v>78.90000000000001</v>
      </c>
      <c r="J1335" s="5" t="n">
        <v>31.4</v>
      </c>
      <c r="K1335" s="3" t="inlineStr">
        <is>
          <t>농지 매물 연서면 신대리 2,512㎡ 답 매매</t>
        </is>
      </c>
      <c r="L1335" s="6">
        <f>HYPERLINK("https://fin.land.naver.com/articles/2651605840", "매물Link")</f>
        <v/>
      </c>
      <c r="M1335" s="6">
        <f>HYPERLINK("https://map.naver.com/p/search/연서면 신대리 49-9", "지도Link")</f>
        <v/>
      </c>
      <c r="N1335" s="6">
        <f>HYPERLINK("http://www.eum.go.kr/web/ar/lu/luLandDet.jsp?pnu=3611036029100490009&amp;isNoScr=script&amp;mode=search",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2512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세로한면(가)</t>
        </is>
      </c>
    </row>
    <row r="1336">
      <c r="A1336" s="3" t="inlineStr">
        <is>
          <t>연서면 신대리 49-9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60000</v>
      </c>
      <c r="G1336" s="4" t="n">
        <v>2512</v>
      </c>
      <c r="H1336" s="4" t="n">
        <v>760</v>
      </c>
      <c r="I1336" s="5" t="n">
        <v>78.90000000000001</v>
      </c>
      <c r="J1336" s="5" t="n">
        <v>31.4</v>
      </c>
      <c r="K1336" s="3" t="inlineStr">
        <is>
          <t>nan</t>
        </is>
      </c>
      <c r="L1336" s="6">
        <f>HYPERLINK("https://fin.land.naver.com/articles/2649736710", "매물Link")</f>
        <v/>
      </c>
      <c r="M1336" s="6">
        <f>HYPERLINK("https://map.naver.com/p/search/연서면 신대리 49-9", "지도Link")</f>
        <v/>
      </c>
      <c r="N1336" s="6">
        <f>HYPERLINK("http://www.eum.go.kr/web/ar/lu/luLandDet.jsp?pnu=3611036029100490009&amp;isNoScr=script&amp;mode=search",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2512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연서면 신대리 537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대</t>
        </is>
      </c>
      <c r="E1337" s="3" t="inlineStr">
        <is>
          <t>매매</t>
        </is>
      </c>
      <c r="F1337" s="4" t="n">
        <v>60350</v>
      </c>
      <c r="G1337" s="4" t="n">
        <v>1147</v>
      </c>
      <c r="H1337" s="4" t="n">
        <v>347</v>
      </c>
      <c r="I1337" s="5" t="n">
        <v>173.9</v>
      </c>
      <c r="J1337" s="5" t="n">
        <v>38.1</v>
      </c>
      <c r="K1337" s="3" t="inlineStr">
        <is>
          <t>2차선도로에 접해있으며 인접 도로 여건이 양호</t>
        </is>
      </c>
      <c r="L1337" s="6">
        <f>HYPERLINK("https://fin.land.naver.com/articles/2655183784", "매물Link")</f>
        <v/>
      </c>
      <c r="M1337" s="6">
        <f>HYPERLINK("https://map.naver.com/p/search/연서면 신대리 537", "지도Link")</f>
        <v/>
      </c>
      <c r="N1337" s="6">
        <f>HYPERLINK("http://www.eum.go.kr/web/ar/lu/luLandDet.jsp?pnu=3611036029105370000&amp;isNoScr=script&amp;mode=search", "토지이음")</f>
        <v/>
      </c>
      <c r="O1337" s="3" t="inlineStr">
        <is>
          <t>더KEY</t>
        </is>
      </c>
      <c r="P1337" s="4" t="n">
        <v>1</v>
      </c>
      <c r="Q1337" s="4" t="n">
        <v>1174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신대리 75-1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43700</v>
      </c>
      <c r="G1338" s="4" t="n">
        <v>1928</v>
      </c>
      <c r="H1338" s="4" t="n">
        <v>583</v>
      </c>
      <c r="I1338" s="5" t="n">
        <v>75</v>
      </c>
      <c r="J1338" s="5" t="n">
        <v>31.7</v>
      </c>
      <c r="K1338" s="3" t="inlineStr">
        <is>
          <t>2차선 도로에 접해 있는 세종 스마트 산업단지 인근의 투자용 토지</t>
        </is>
      </c>
      <c r="L1338" s="6">
        <f>HYPERLINK("https://fin.land.naver.com/articles/2653003595", "매물Link")</f>
        <v/>
      </c>
      <c r="M1338" s="6">
        <f>HYPERLINK("https://map.naver.com/p/search/연서면 신대리 75-1", "지도Link")</f>
        <v/>
      </c>
      <c r="N1338" s="6">
        <f>HYPERLINK("http://www.eum.go.kr/web/ar/lu/luLandDet.jsp?pnu=3611036029100750001&amp;isNoScr=script&amp;mode=search", "토지이음")</f>
        <v/>
      </c>
      <c r="O1338" s="3" t="inlineStr">
        <is>
          <t>스마일세종</t>
        </is>
      </c>
      <c r="P1338" s="4" t="n">
        <v>1</v>
      </c>
      <c r="Q1338" s="4" t="n">
        <v>1928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연서면 신대리 75-2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69000</v>
      </c>
      <c r="G1339" s="4" t="n">
        <v>3045</v>
      </c>
      <c r="H1339" s="4" t="n">
        <v>921</v>
      </c>
      <c r="I1339" s="5" t="n">
        <v>74.90000000000001</v>
      </c>
      <c r="J1339" s="5" t="n">
        <v>31.7</v>
      </c>
      <c r="K1339" s="3" t="inlineStr">
        <is>
          <t>세종 스마트 국가산업단지가 예정 돼 있어 향후 투자가치가 높은 토지입니다</t>
        </is>
      </c>
      <c r="L1339" s="6">
        <f>HYPERLINK("https://fin.land.naver.com/articles/2649560776", "매물Link")</f>
        <v/>
      </c>
      <c r="M1339" s="6">
        <f>HYPERLINK("https://map.naver.com/p/search/연서면 신대리 75-2", "지도Link")</f>
        <v/>
      </c>
      <c r="N1339" s="6">
        <f>HYPERLINK("http://www.eum.go.kr/web/ar/lu/luLandDet.jsp?pnu=3611036029100750002&amp;isNoScr=script&amp;mode=search", "토지이음")</f>
        <v/>
      </c>
      <c r="O1339" s="3" t="inlineStr">
        <is>
          <t>스마일세종</t>
        </is>
      </c>
      <c r="P1339" s="4" t="n">
        <v>1</v>
      </c>
      <c r="Q1339" s="4" t="n">
        <v>3045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세로한면(가)</t>
        </is>
      </c>
    </row>
    <row r="1340">
      <c r="A1340" s="3" t="inlineStr">
        <is>
          <t>연서면 신대리 산100</t>
        </is>
      </c>
      <c r="B1340" s="3" t="inlineStr">
        <is>
          <t>보전관리지역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75000</v>
      </c>
      <c r="G1340" s="4" t="n">
        <v>6645</v>
      </c>
      <c r="H1340" s="4" t="n">
        <v>2010</v>
      </c>
      <c r="I1340" s="5" t="n">
        <v>37.3</v>
      </c>
      <c r="J1340" s="5" t="n">
        <v>8.5</v>
      </c>
      <c r="K1340" s="3" t="inlineStr">
        <is>
          <t>해구토말형 임야,귀한 명당 자리</t>
        </is>
      </c>
      <c r="L1340" s="6">
        <f>HYPERLINK("https://fin.land.naver.com/articles/2651709533", "매물Link")</f>
        <v/>
      </c>
      <c r="M1340" s="6">
        <f>HYPERLINK("https://map.naver.com/p/search/연서면 신대리 산100", "지도Link")</f>
        <v/>
      </c>
      <c r="N1340" s="6">
        <f>HYPERLINK("http://www.eum.go.kr/web/ar/lu/luLandDet.jsp?pnu=3611036029201000000&amp;isNoScr=script&amp;mode=search", "토지이음")</f>
        <v/>
      </c>
      <c r="O1340" s="3" t="inlineStr">
        <is>
          <t>가치잇는</t>
        </is>
      </c>
      <c r="P1340" s="4" t="n">
        <v>1</v>
      </c>
      <c r="Q1340" s="4" t="n">
        <v>6645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급경사</t>
        </is>
      </c>
      <c r="U1340" s="3" t="inlineStr">
        <is>
          <t>부정형</t>
        </is>
      </c>
      <c r="V1340" s="3" t="inlineStr">
        <is>
          <t>맹지</t>
        </is>
      </c>
    </row>
    <row r="1341">
      <c r="A1341" s="3" t="inlineStr">
        <is>
          <t>연서면 신대리 산19-5</t>
        </is>
      </c>
      <c r="B1341" s="3" t="inlineStr">
        <is>
          <t>보전관리지역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197000</v>
      </c>
      <c r="G1341" s="4" t="n">
        <v>8142</v>
      </c>
      <c r="H1341" s="4" t="n">
        <v>2463</v>
      </c>
      <c r="I1341" s="5" t="n">
        <v>80</v>
      </c>
      <c r="J1341" s="5" t="n">
        <v>4.6</v>
      </c>
      <c r="K1341" s="3" t="inlineStr">
        <is>
          <t>전원주택및다용도</t>
        </is>
      </c>
      <c r="L1341" s="6">
        <f>HYPERLINK("https://fin.land.naver.com/articles/2654781394", "매물Link")</f>
        <v/>
      </c>
      <c r="M1341" s="6">
        <f>HYPERLINK("https://map.naver.com/p/search/연서면 신대리 산19-5", "지도Link")</f>
        <v/>
      </c>
      <c r="N1341" s="6">
        <f>HYPERLINK("http://www.eum.go.kr/web/ar/lu/luLandDet.jsp?pnu=3611036029200190005&amp;isNoScr=script&amp;mode=search", "토지이음")</f>
        <v/>
      </c>
      <c r="O1341" s="3" t="inlineStr">
        <is>
          <t>지성</t>
        </is>
      </c>
      <c r="P1341" s="4" t="n">
        <v>1</v>
      </c>
      <c r="Q1341" s="4" t="n">
        <v>8142</v>
      </c>
      <c r="R1341" s="3" t="inlineStr">
        <is>
          <t>지정되지않음</t>
        </is>
      </c>
      <c r="S1341" s="3" t="inlineStr">
        <is>
          <t>자연림</t>
        </is>
      </c>
      <c r="T1341" s="3" t="inlineStr">
        <is>
          <t>급경사</t>
        </is>
      </c>
      <c r="U1341" s="3" t="inlineStr">
        <is>
          <t>부정형</t>
        </is>
      </c>
      <c r="V1341" s="3" t="inlineStr">
        <is>
          <t>세로한면(불)</t>
        </is>
      </c>
    </row>
    <row r="1342">
      <c r="A1342" s="3" t="inlineStr">
        <is>
          <t>연서면 신대리 산64-13</t>
        </is>
      </c>
      <c r="B1342" s="3" t="inlineStr">
        <is>
          <t>계획관리지역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185400</v>
      </c>
      <c r="G1342" s="4" t="n">
        <v>3064</v>
      </c>
      <c r="H1342" s="4" t="n">
        <v>927</v>
      </c>
      <c r="I1342" s="5" t="n">
        <v>200</v>
      </c>
      <c r="J1342" s="5" t="n">
        <v>6.6</v>
      </c>
      <c r="K1342" s="3" t="inlineStr">
        <is>
          <t>연서면 신대리 토지 매매</t>
        </is>
      </c>
      <c r="L1342" s="6">
        <f>HYPERLINK("https://fin.land.naver.com/articles/2653008123", "매물Link")</f>
        <v/>
      </c>
      <c r="M1342" s="6">
        <f>HYPERLINK("https://map.naver.com/p/search/연서면 신대리 산64-13", "지도Link")</f>
        <v/>
      </c>
      <c r="N1342" s="6">
        <f>HYPERLINK("http://www.eum.go.kr/web/ar/lu/luLandDet.jsp?pnu=3611036029200640013&amp;isNoScr=script&amp;mode=search", "토지이음")</f>
        <v/>
      </c>
      <c r="O1342" s="3" t="inlineStr">
        <is>
          <t>주식회사넥서스</t>
        </is>
      </c>
      <c r="P1342" s="4" t="n">
        <v>1</v>
      </c>
      <c r="Q1342" s="4" t="n">
        <v>3064</v>
      </c>
      <c r="R1342" s="3" t="inlineStr">
        <is>
          <t>지정되지않음</t>
        </is>
      </c>
      <c r="S1342" s="3" t="inlineStr">
        <is>
          <t>자연림</t>
        </is>
      </c>
      <c r="T1342" s="3" t="inlineStr">
        <is>
          <t>완경사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연서면 신대리 산64-13</t>
        </is>
      </c>
      <c r="B1343" s="3" t="inlineStr">
        <is>
          <t>계획관리지역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185400</v>
      </c>
      <c r="G1343" s="4" t="n">
        <v>3064</v>
      </c>
      <c r="H1343" s="4" t="n">
        <v>927</v>
      </c>
      <c r="I1343" s="5" t="n">
        <v>200</v>
      </c>
      <c r="J1343" s="5" t="n">
        <v>6.6</v>
      </c>
      <c r="K1343" s="3" t="inlineStr">
        <is>
          <t>연서면 신대리 토지 매매</t>
        </is>
      </c>
      <c r="L1343" s="6">
        <f>HYPERLINK("https://fin.land.naver.com/articles/2653301226", "매물Link")</f>
        <v/>
      </c>
      <c r="M1343" s="6">
        <f>HYPERLINK("https://map.naver.com/p/search/연서면 신대리 산64-13", "지도Link")</f>
        <v/>
      </c>
      <c r="N1343" s="6">
        <f>HYPERLINK("http://www.eum.go.kr/web/ar/lu/luLandDet.jsp?pnu=3611036029200640013&amp;isNoScr=script&amp;mode=search", "토지이음")</f>
        <v/>
      </c>
      <c r="O1343" s="3" t="inlineStr">
        <is>
          <t>주식회사넥서스</t>
        </is>
      </c>
      <c r="P1343" s="4" t="n">
        <v>1</v>
      </c>
      <c r="Q1343" s="4" t="n">
        <v>3064</v>
      </c>
      <c r="R1343" s="3" t="inlineStr">
        <is>
          <t>지정되지않음</t>
        </is>
      </c>
      <c r="S1343" s="3" t="inlineStr">
        <is>
          <t>자연림</t>
        </is>
      </c>
      <c r="T1343" s="3" t="inlineStr">
        <is>
          <t>완경사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연서면 신대리 산64-15</t>
        </is>
      </c>
      <c r="B1344" s="3" t="inlineStr">
        <is>
          <t>계획관리지역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67000</v>
      </c>
      <c r="G1344" s="4" t="n">
        <v>1395</v>
      </c>
      <c r="H1344" s="4" t="n">
        <v>422</v>
      </c>
      <c r="I1344" s="5" t="n">
        <v>158.8</v>
      </c>
      <c r="J1344" s="5" t="n">
        <v>45.6</v>
      </c>
      <c r="K1344" s="3" t="inlineStr">
        <is>
          <t>계획관리 네모 반듯한 임야. 주택 근생 공장 창고 가능 넓은 도로</t>
        </is>
      </c>
      <c r="L1344" s="6">
        <f>HYPERLINK("https://fin.land.naver.com/articles/2652124954", "매물Link")</f>
        <v/>
      </c>
      <c r="M1344" s="6">
        <f>HYPERLINK("https://map.naver.com/p/search/연서면 신대리 산64-15", "지도Link")</f>
        <v/>
      </c>
      <c r="N1344" s="6">
        <f>HYPERLINK("http://www.eum.go.kr/web/ar/lu/luLandDet.jsp?pnu=3611036029200640015&amp;isNoScr=script&amp;mode=search", "토지이음")</f>
        <v/>
      </c>
      <c r="O1344" s="3" t="inlineStr">
        <is>
          <t>미스터홈즈강남지사</t>
        </is>
      </c>
      <c r="P1344" s="4" t="n">
        <v>1</v>
      </c>
      <c r="Q1344" s="4" t="n">
        <v>1304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완경사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연서면 쌍류리 101-10</t>
        </is>
      </c>
      <c r="B1345" s="3" t="inlineStr">
        <is>
          <t>생산관리지역</t>
        </is>
      </c>
      <c r="C1345" s="3" t="inlineStr">
        <is>
          <t>과수원</t>
        </is>
      </c>
      <c r="D1345" s="3" t="inlineStr">
        <is>
          <t>과수원</t>
        </is>
      </c>
      <c r="E1345" s="3" t="inlineStr">
        <is>
          <t>매매</t>
        </is>
      </c>
      <c r="F1345" s="4" t="n">
        <v>16000</v>
      </c>
      <c r="G1345" s="4" t="n">
        <v>413</v>
      </c>
      <c r="H1345" s="4" t="n">
        <v>125</v>
      </c>
      <c r="I1345" s="5" t="n">
        <v>128</v>
      </c>
      <c r="J1345" s="5" t="n">
        <v>31.2</v>
      </c>
      <c r="K1345" s="3" t="inlineStr">
        <is>
          <t>체류형쉼터강추,도로접,국유지사용가,도로지분33제곱별도면적포함가</t>
        </is>
      </c>
      <c r="L1345" s="6">
        <f>HYPERLINK("https://fin.land.naver.com/articles/2654053916", "매물Link")</f>
        <v/>
      </c>
      <c r="M1345" s="6">
        <f>HYPERLINK("https://map.naver.com/p/search/연서면 쌍류리 101-10", "지도Link")</f>
        <v/>
      </c>
      <c r="N1345" s="6">
        <f>HYPERLINK("http://www.eum.go.kr/web/ar/lu/luLandDet.jsp?pnu=3611036026101010010&amp;isNoScr=script&amp;mode=search", "토지이음")</f>
        <v/>
      </c>
      <c r="O1345" s="3" t="inlineStr">
        <is>
          <t>힐스테이트행복</t>
        </is>
      </c>
      <c r="P1345" s="4" t="n">
        <v>1</v>
      </c>
      <c r="Q1345" s="4" t="n">
        <v>413</v>
      </c>
      <c r="R1345" s="3" t="inlineStr">
        <is>
          <t>지정되지않음</t>
        </is>
      </c>
      <c r="S1345" s="3" t="inlineStr">
        <is>
          <t>전기타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연서면 쌍류리 101-10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16000</v>
      </c>
      <c r="G1346" s="4" t="n">
        <v>447</v>
      </c>
      <c r="H1346" s="4" t="n">
        <v>135</v>
      </c>
      <c r="I1346" s="5" t="n">
        <v>118.5</v>
      </c>
      <c r="J1346" s="5" t="n">
        <v>31.2</v>
      </c>
      <c r="K1346" s="3" t="inlineStr">
        <is>
          <t>고복저수지인근,4m도로접, 모양좋고 평탄한 농지, 주말농장,체류형쉼터,</t>
        </is>
      </c>
      <c r="L1346" s="6">
        <f>HYPERLINK("https://fin.land.naver.com/articles/2651745421", "매물Link")</f>
        <v/>
      </c>
      <c r="M1346" s="6">
        <f>HYPERLINK("https://map.naver.com/p/search/연서면 쌍류리 101-10", "지도Link")</f>
        <v/>
      </c>
      <c r="N1346" s="6">
        <f>HYPERLINK("http://www.eum.go.kr/web/ar/lu/luLandDet.jsp?pnu=3611036026101010010&amp;isNoScr=script&amp;mode=search", "토지이음")</f>
        <v/>
      </c>
      <c r="O1346" s="3" t="inlineStr">
        <is>
          <t>세종복댕이</t>
        </is>
      </c>
      <c r="P1346" s="4" t="n">
        <v>1</v>
      </c>
      <c r="Q1346" s="4" t="n">
        <v>413</v>
      </c>
      <c r="R1346" s="3" t="inlineStr">
        <is>
          <t>지정되지않음</t>
        </is>
      </c>
      <c r="S1346" s="3" t="inlineStr">
        <is>
          <t>전기타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연서면 쌍류리 116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23800</v>
      </c>
      <c r="G1347" s="4" t="n">
        <v>1959</v>
      </c>
      <c r="H1347" s="4" t="n">
        <v>593</v>
      </c>
      <c r="I1347" s="5" t="n">
        <v>40.1</v>
      </c>
      <c r="J1347" s="5" t="n">
        <v>25.8</v>
      </c>
      <c r="K1347" s="3" t="inlineStr">
        <is>
          <t>급매. 고복저수지 인근 소액토지</t>
        </is>
      </c>
      <c r="L1347" s="6">
        <f>HYPERLINK("https://fin.land.naver.com/articles/2654805339", "매물Link")</f>
        <v/>
      </c>
      <c r="M1347" s="6">
        <f>HYPERLINK("https://map.naver.com/p/search/연서면 쌍류리 116", "지도Link")</f>
        <v/>
      </c>
      <c r="N1347" s="6">
        <f>HYPERLINK("http://www.eum.go.kr/web/ar/lu/luLandDet.jsp?pnu=3611036026101160000&amp;isNoScr=script&amp;mode=search", "토지이음")</f>
        <v/>
      </c>
      <c r="O1347" s="3" t="inlineStr">
        <is>
          <t>강아지풀</t>
        </is>
      </c>
      <c r="P1347" s="4" t="n">
        <v>1</v>
      </c>
      <c r="Q1347" s="4" t="n">
        <v>1959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맹지</t>
        </is>
      </c>
    </row>
    <row r="1348">
      <c r="A1348" s="3" t="inlineStr">
        <is>
          <t>연서면 쌍류리 117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49500</v>
      </c>
      <c r="G1348" s="4" t="n">
        <v>1022</v>
      </c>
      <c r="H1348" s="4" t="n">
        <v>309</v>
      </c>
      <c r="I1348" s="5" t="n">
        <v>160.2</v>
      </c>
      <c r="J1348" s="5" t="n">
        <v>46</v>
      </c>
      <c r="K1348" s="3" t="inlineStr">
        <is>
          <t>고복저수지근방 2차 도로접,소하천접한 생산,성장관리계획구역 활용도 굿</t>
        </is>
      </c>
      <c r="L1348" s="6">
        <f>HYPERLINK("https://fin.land.naver.com/articles/2650750823", "매물Link")</f>
        <v/>
      </c>
      <c r="M1348" s="6">
        <f>HYPERLINK("https://map.naver.com/p/search/연서면 쌍류리 117", "지도Link")</f>
        <v/>
      </c>
      <c r="N1348" s="6">
        <f>HYPERLINK("http://www.eum.go.kr/web/ar/lu/luLandDet.jsp?pnu=3611036026101170000&amp;isNoScr=script&amp;mode=search", "토지이음")</f>
        <v/>
      </c>
      <c r="O1348" s="3" t="inlineStr">
        <is>
          <t>가경수</t>
        </is>
      </c>
      <c r="P1348" s="4" t="n">
        <v>1</v>
      </c>
      <c r="Q1348" s="4" t="n">
        <v>1022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쌍류리 126-3</t>
        </is>
      </c>
      <c r="B1349" s="3" t="inlineStr">
        <is>
          <t>생산관리지역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92000</v>
      </c>
      <c r="G1349" s="4" t="n">
        <v>1909</v>
      </c>
      <c r="H1349" s="4" t="n">
        <v>577</v>
      </c>
      <c r="I1349" s="5" t="n">
        <v>159.4</v>
      </c>
      <c r="J1349" s="5" t="n">
        <v>46.6</v>
      </c>
      <c r="K1349" s="3" t="inlineStr">
        <is>
          <t>신축주택과 넓은 마당 갖춘 고복저수지 생활권</t>
        </is>
      </c>
      <c r="L1349" s="6">
        <f>HYPERLINK("https://fin.land.naver.com/articles/2653428455", "매물Link")</f>
        <v/>
      </c>
      <c r="M1349" s="6">
        <f>HYPERLINK("https://map.naver.com/p/search/연서면 쌍류리 126-3", "지도Link")</f>
        <v/>
      </c>
      <c r="N1349" s="6">
        <f>HYPERLINK("http://www.eum.go.kr/web/ar/lu/luLandDet.jsp?pnu=3611036026101260003&amp;isNoScr=script&amp;mode=search",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683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쌍류리 164</t>
        </is>
      </c>
      <c r="B1350" s="3" t="inlineStr">
        <is>
          <t>생산관리지역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35000</v>
      </c>
      <c r="G1350" s="4" t="n">
        <v>1260</v>
      </c>
      <c r="H1350" s="4" t="n">
        <v>381</v>
      </c>
      <c r="I1350" s="5" t="n">
        <v>91.90000000000001</v>
      </c>
      <c r="J1350" s="5" t="n">
        <v>25</v>
      </c>
      <c r="K1350" s="3" t="inlineStr">
        <is>
          <t>nan</t>
        </is>
      </c>
      <c r="L1350" s="6">
        <f>HYPERLINK("https://fin.land.naver.com/articles/2649773331", "매물Link")</f>
        <v/>
      </c>
      <c r="M1350" s="6">
        <f>HYPERLINK("https://map.naver.com/p/search/연서면 쌍류리 164", "지도Link")</f>
        <v/>
      </c>
      <c r="N1350" s="6">
        <f>HYPERLINK("http://www.eum.go.kr/web/ar/lu/luLandDet.jsp?pnu=3611036026101640000&amp;isNoScr=script&amp;mode=search", "토지이음")</f>
        <v/>
      </c>
      <c r="O1350" s="3" t="inlineStr">
        <is>
          <t>세종몽땅</t>
        </is>
      </c>
      <c r="P1350" s="4" t="n">
        <v>1</v>
      </c>
      <c r="Q1350" s="4" t="n">
        <v>1260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연서면 쌍류리 164</t>
        </is>
      </c>
      <c r="B1351" s="3" t="inlineStr">
        <is>
          <t>생산관리지역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35000</v>
      </c>
      <c r="G1351" s="4" t="n">
        <v>1260</v>
      </c>
      <c r="H1351" s="4" t="n">
        <v>381</v>
      </c>
      <c r="I1351" s="5" t="n">
        <v>91.90000000000001</v>
      </c>
      <c r="J1351" s="5" t="n">
        <v>25</v>
      </c>
      <c r="K1351" s="3" t="inlineStr">
        <is>
          <t>세종 연서면 과수원 매매 생산관리지역성장관리계획구역</t>
        </is>
      </c>
      <c r="L1351" s="6">
        <f>HYPERLINK("https://fin.land.naver.com/articles/2651520255", "매물Link")</f>
        <v/>
      </c>
      <c r="M1351" s="6">
        <f>HYPERLINK("https://map.naver.com/p/search/연서면 쌍류리 164", "지도Link")</f>
        <v/>
      </c>
      <c r="N1351" s="6">
        <f>HYPERLINK("http://www.eum.go.kr/web/ar/lu/luLandDet.jsp?pnu=3611036026101640000&amp;isNoScr=script&amp;mode=search", "토지이음")</f>
        <v/>
      </c>
      <c r="O1351" s="3" t="inlineStr">
        <is>
          <t>세종몽땅</t>
        </is>
      </c>
      <c r="P1351" s="4" t="n">
        <v>1</v>
      </c>
      <c r="Q1351" s="4" t="n">
        <v>1260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쌍류리 171-3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81000</v>
      </c>
      <c r="G1352" s="4" t="n">
        <v>1978</v>
      </c>
      <c r="H1352" s="4" t="n">
        <v>598</v>
      </c>
      <c r="I1352" s="5" t="n">
        <v>135.5</v>
      </c>
      <c r="J1352" s="5" t="n">
        <v>29.7</v>
      </c>
      <c r="K1352" s="3" t="inlineStr">
        <is>
          <t>규모 있는 영농부지 찾는 분 주목</t>
        </is>
      </c>
      <c r="L1352" s="6">
        <f>HYPERLINK("https://fin.land.naver.com/articles/2649776390", "매물Link")</f>
        <v/>
      </c>
      <c r="M1352" s="6">
        <f>HYPERLINK("https://map.naver.com/p/search/연서면 쌍류리 171-3", "지도Link")</f>
        <v/>
      </c>
      <c r="N1352" s="6">
        <f>HYPERLINK("http://www.eum.go.kr/web/ar/lu/luLandDet.jsp?pnu=3611036026101710003&amp;isNoScr=script&amp;mode=search", "토지이음")</f>
        <v/>
      </c>
      <c r="O1352" s="3" t="inlineStr">
        <is>
          <t>세종몽땅</t>
        </is>
      </c>
      <c r="P1352" s="4" t="n">
        <v>1</v>
      </c>
      <c r="Q1352" s="4" t="n">
        <v>1978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세로한면(가)</t>
        </is>
      </c>
    </row>
    <row r="1353">
      <c r="A1353" s="3" t="inlineStr">
        <is>
          <t>연서면 쌍류리 224</t>
        </is>
      </c>
      <c r="B1353" s="3" t="inlineStr">
        <is>
          <t>생산관리지역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110000</v>
      </c>
      <c r="G1353" s="4" t="n">
        <v>3183</v>
      </c>
      <c r="H1353" s="4" t="n">
        <v>963</v>
      </c>
      <c r="I1353" s="5" t="n">
        <v>114.2</v>
      </c>
      <c r="J1353" s="5" t="n">
        <v>35.8</v>
      </c>
      <c r="K1353" s="3" t="inlineStr">
        <is>
          <t>도로접,땅모양좋습니다,성장관리계획구역,조정가</t>
        </is>
      </c>
      <c r="L1353" s="6">
        <f>HYPERLINK("https://fin.land.naver.com/articles/2650425351", "매물Link")</f>
        <v/>
      </c>
      <c r="M1353" s="6">
        <f>HYPERLINK("https://map.naver.com/p/search/연서면 쌍류리 224", "지도Link")</f>
        <v/>
      </c>
      <c r="N1353" s="6">
        <f>HYPERLINK("http://www.eum.go.kr/web/ar/lu/luLandDet.jsp?pnu=3611036026102240000&amp;isNoScr=script&amp;mode=search", "토지이음")</f>
        <v/>
      </c>
      <c r="O1353" s="3" t="inlineStr">
        <is>
          <t>힐스테이트행복</t>
        </is>
      </c>
      <c r="P1353" s="4" t="n">
        <v>1</v>
      </c>
      <c r="Q1353" s="4" t="n">
        <v>3183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쌍류리 224</t>
        </is>
      </c>
      <c r="B1354" s="3" t="inlineStr">
        <is>
          <t>생산관리지역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96300</v>
      </c>
      <c r="G1354" s="4" t="n">
        <v>3183</v>
      </c>
      <c r="H1354" s="4" t="n">
        <v>963</v>
      </c>
      <c r="I1354" s="5" t="n">
        <v>100</v>
      </c>
      <c r="J1354" s="5" t="n">
        <v>35.8</v>
      </c>
      <c r="K1354" s="3" t="inlineStr">
        <is>
          <t>고복저수지, 연기휴게소예정지 인근 생산관리토지</t>
        </is>
      </c>
      <c r="L1354" s="6">
        <f>HYPERLINK("https://fin.land.naver.com/articles/2652041512", "매물Link")</f>
        <v/>
      </c>
      <c r="M1354" s="6">
        <f>HYPERLINK("https://map.naver.com/p/search/연서면 쌍류리 224", "지도Link")</f>
        <v/>
      </c>
      <c r="N1354" s="6">
        <f>HYPERLINK("http://www.eum.go.kr/web/ar/lu/luLandDet.jsp?pnu=3611036026102240000&amp;isNoScr=script&amp;mode=search", "토지이음")</f>
        <v/>
      </c>
      <c r="O1354" s="3" t="inlineStr">
        <is>
          <t>미스터홈즈강남지사</t>
        </is>
      </c>
      <c r="P1354" s="4" t="n">
        <v>1</v>
      </c>
      <c r="Q1354" s="4" t="n">
        <v>3183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쌍류리 227-1</t>
        </is>
      </c>
      <c r="B1355" s="3" t="inlineStr">
        <is>
          <t>생산관리지역</t>
        </is>
      </c>
      <c r="C1355" s="3" t="inlineStr">
        <is>
          <t>과수원</t>
        </is>
      </c>
      <c r="D1355" s="3" t="inlineStr">
        <is>
          <t>과수원</t>
        </is>
      </c>
      <c r="E1355" s="3" t="inlineStr">
        <is>
          <t>매매</t>
        </is>
      </c>
      <c r="F1355" s="4" t="n">
        <v>160000</v>
      </c>
      <c r="G1355" s="4" t="n">
        <v>3530</v>
      </c>
      <c r="H1355" s="4" t="n">
        <v>1068</v>
      </c>
      <c r="I1355" s="5" t="n">
        <v>149.8</v>
      </c>
      <c r="J1355" s="5" t="n">
        <v>37.7</v>
      </c>
      <c r="K1355" s="3" t="inlineStr">
        <is>
          <t>고복저수지인근,2차선접,투자가치좋아요</t>
        </is>
      </c>
      <c r="L1355" s="6">
        <f>HYPERLINK("https://fin.land.naver.com/articles/2650425575", "매물Link")</f>
        <v/>
      </c>
      <c r="M1355" s="6">
        <f>HYPERLINK("https://map.naver.com/p/search/연서면 쌍류리 227-1", "지도Link")</f>
        <v/>
      </c>
      <c r="N1355" s="6">
        <f>HYPERLINK("http://www.eum.go.kr/web/ar/lu/luLandDet.jsp?pnu=3611036026102270001&amp;isNoScr=script&amp;mode=search", "토지이음")</f>
        <v/>
      </c>
      <c r="O1355" s="3" t="inlineStr">
        <is>
          <t>힐스테이트행복</t>
        </is>
      </c>
      <c r="P1355" s="4" t="n">
        <v>1</v>
      </c>
      <c r="Q1355" s="4" t="n">
        <v>3530</v>
      </c>
      <c r="R1355" s="3" t="inlineStr">
        <is>
          <t>지정되지않음</t>
        </is>
      </c>
      <c r="S1355" s="3" t="inlineStr">
        <is>
          <t>과수원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연서면 쌍류리 227-1</t>
        </is>
      </c>
      <c r="B1356" s="3" t="inlineStr">
        <is>
          <t>생산관리지역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39600</v>
      </c>
      <c r="G1356" s="4" t="n">
        <v>1092</v>
      </c>
      <c r="H1356" s="4" t="n">
        <v>330</v>
      </c>
      <c r="I1356" s="5" t="n">
        <v>120</v>
      </c>
      <c r="J1356" s="5" t="n">
        <v>37.7</v>
      </c>
      <c r="K1356" s="3" t="inlineStr">
        <is>
          <t>도로접함 2필지 일괄매매 현재 과수원 미래가치ok</t>
        </is>
      </c>
      <c r="L1356" s="6">
        <f>HYPERLINK("https://fin.land.naver.com/articles/2650582716", "매물Link")</f>
        <v/>
      </c>
      <c r="M1356" s="6">
        <f>HYPERLINK("https://map.naver.com/p/search/연서면 쌍류리 227-1", "지도Link")</f>
        <v/>
      </c>
      <c r="N1356" s="6">
        <f>HYPERLINK("http://www.eum.go.kr/web/ar/lu/luLandDet.jsp?pnu=3611036026102270001&amp;isNoScr=script&amp;mode=search", "토지이음")</f>
        <v/>
      </c>
      <c r="O1356" s="3" t="inlineStr">
        <is>
          <t>신불당</t>
        </is>
      </c>
      <c r="P1356" s="4" t="n">
        <v>1</v>
      </c>
      <c r="Q1356" s="4" t="n">
        <v>3530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연서면 쌍류리 250</t>
        </is>
      </c>
      <c r="B1357" s="3" t="inlineStr">
        <is>
          <t>계획관리지역</t>
        </is>
      </c>
      <c r="C1357" s="3" t="inlineStr">
        <is>
          <t>과수원</t>
        </is>
      </c>
      <c r="D1357" s="3" t="inlineStr">
        <is>
          <t>전</t>
        </is>
      </c>
      <c r="E1357" s="3" t="inlineStr">
        <is>
          <t>매매</t>
        </is>
      </c>
      <c r="F1357" s="4" t="n">
        <v>80000</v>
      </c>
      <c r="G1357" s="4" t="n">
        <v>2499</v>
      </c>
      <c r="H1357" s="4" t="n">
        <v>756</v>
      </c>
      <c r="I1357" s="5" t="n">
        <v>105.8</v>
      </c>
      <c r="J1357" s="5" t="n">
        <v>37.1</v>
      </c>
      <c r="K1357" s="3" t="inlineStr">
        <is>
          <t>계획관리 양지바른 남향 탁트인 개방감 국가산단 인근으로 투자용추천</t>
        </is>
      </c>
      <c r="L1357" s="6">
        <f>HYPERLINK("https://fin.land.naver.com/articles/2650281221", "매물Link")</f>
        <v/>
      </c>
      <c r="M1357" s="6">
        <f>HYPERLINK("https://map.naver.com/p/search/연서면 쌍류리 250", "지도Link")</f>
        <v/>
      </c>
      <c r="N1357" s="6">
        <f>HYPERLINK("http://www.eum.go.kr/web/ar/lu/luLandDet.jsp?pnu=3611036026102500000&amp;isNoScr=script&amp;mode=search", "토지이음")</f>
        <v/>
      </c>
      <c r="O1357" s="3" t="inlineStr">
        <is>
          <t>더샵엘리프원탑</t>
        </is>
      </c>
      <c r="P1357" s="4" t="n">
        <v>1</v>
      </c>
      <c r="Q1357" s="4" t="n">
        <v>2499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쌍류리 253-1</t>
        </is>
      </c>
      <c r="B1358" s="3" t="inlineStr">
        <is>
          <t>생산관리지역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39300</v>
      </c>
      <c r="G1358" s="4" t="n">
        <v>1002</v>
      </c>
      <c r="H1358" s="4" t="n">
        <v>303</v>
      </c>
      <c r="I1358" s="5" t="n">
        <v>129.7</v>
      </c>
      <c r="J1358" s="5" t="n">
        <v>30.9</v>
      </c>
      <c r="K1358" s="3" t="inlineStr">
        <is>
          <t>고복저수지인근의 도로길게 접한 생산관리 농지, 전원생활,투자를 겸한 자경</t>
        </is>
      </c>
      <c r="L1358" s="6">
        <f>HYPERLINK("https://fin.land.naver.com/articles/2651745431", "매물Link")</f>
        <v/>
      </c>
      <c r="M1358" s="6">
        <f>HYPERLINK("https://map.naver.com/p/search/연서면 쌍류리 253-1", "지도Link")</f>
        <v/>
      </c>
      <c r="N1358" s="6">
        <f>HYPERLINK("http://www.eum.go.kr/web/ar/lu/luLandDet.jsp?pnu=3611036026102530001&amp;isNoScr=script&amp;mode=search", "토지이음")</f>
        <v/>
      </c>
      <c r="O1358" s="3" t="inlineStr">
        <is>
          <t>세종복댕이</t>
        </is>
      </c>
      <c r="P1358" s="4" t="n">
        <v>1</v>
      </c>
      <c r="Q1358" s="4" t="n">
        <v>1002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세로각지(가)</t>
        </is>
      </c>
    </row>
    <row r="1359">
      <c r="A1359" s="3" t="inlineStr">
        <is>
          <t>연서면 쌍류리 29-1</t>
        </is>
      </c>
      <c r="B1359" s="3" t="inlineStr">
        <is>
          <t>생산관리지역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38500</v>
      </c>
      <c r="G1359" s="4" t="n">
        <v>1590</v>
      </c>
      <c r="H1359" s="4" t="n">
        <v>481</v>
      </c>
      <c r="I1359" s="5" t="n">
        <v>80</v>
      </c>
      <c r="J1359" s="5" t="n">
        <v>24.9</v>
      </c>
      <c r="K1359" s="3" t="inlineStr">
        <is>
          <t>도로접한 관리지역 토지현과수원</t>
        </is>
      </c>
      <c r="L1359" s="6">
        <f>HYPERLINK("https://fin.land.naver.com/articles/2650858545", "매물Link")</f>
        <v/>
      </c>
      <c r="M1359" s="6">
        <f>HYPERLINK("https://map.naver.com/p/search/연서면 쌍류리 29-1", "지도Link")</f>
        <v/>
      </c>
      <c r="N1359" s="6">
        <f>HYPERLINK("http://www.eum.go.kr/web/ar/lu/luLandDet.jsp?pnu=3611036026100290001&amp;isNoScr=script&amp;mode=search", "토지이음")</f>
        <v/>
      </c>
      <c r="O1359" s="3" t="inlineStr">
        <is>
          <t>세종대박</t>
        </is>
      </c>
      <c r="P1359" s="4" t="n">
        <v>1</v>
      </c>
      <c r="Q1359" s="4" t="n">
        <v>1590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세로한면(가)</t>
        </is>
      </c>
    </row>
    <row r="1360">
      <c r="A1360" s="3" t="inlineStr">
        <is>
          <t>연서면 쌍류리 304-1</t>
        </is>
      </c>
      <c r="B1360" s="3" t="inlineStr">
        <is>
          <t>계획관리지역</t>
        </is>
      </c>
      <c r="C1360" s="3" t="inlineStr">
        <is>
          <t>공장용지</t>
        </is>
      </c>
      <c r="D1360" s="3" t="inlineStr">
        <is>
          <t>공장용지</t>
        </is>
      </c>
      <c r="E1360" s="3" t="inlineStr">
        <is>
          <t>매매</t>
        </is>
      </c>
      <c r="F1360" s="4" t="n">
        <v>112000</v>
      </c>
      <c r="G1360" s="4" t="n">
        <v>1851</v>
      </c>
      <c r="H1360" s="4" t="n">
        <v>560</v>
      </c>
      <c r="I1360" s="5" t="n">
        <v>200</v>
      </c>
      <c r="J1360" s="5" t="n">
        <v>63.2</v>
      </c>
      <c r="K1360" s="3" t="inlineStr">
        <is>
          <t>공장 있었으나 멸실됨, 공장 창고 또는 근생부지로도 훌륭함</t>
        </is>
      </c>
      <c r="L1360" s="6">
        <f>HYPERLINK("https://fin.land.naver.com/articles/2652040154", "매물Link")</f>
        <v/>
      </c>
      <c r="M1360" s="6">
        <f>HYPERLINK("https://map.naver.com/p/search/연서면 쌍류리 304-1", "지도Link")</f>
        <v/>
      </c>
      <c r="N1360" s="6">
        <f>HYPERLINK("http://www.eum.go.kr/web/ar/lu/luLandDet.jsp?pnu=3611036026103040001&amp;isNoScr=script&amp;mode=search", "토지이음")</f>
        <v/>
      </c>
      <c r="O1360" s="3" t="inlineStr">
        <is>
          <t>미스터홈즈강남지사</t>
        </is>
      </c>
      <c r="P1360" s="4" t="n">
        <v>1</v>
      </c>
      <c r="Q1360" s="4" t="n">
        <v>818</v>
      </c>
      <c r="R1360" s="3" t="inlineStr">
        <is>
          <t>지정되지않음</t>
        </is>
      </c>
      <c r="S1360" s="3" t="inlineStr">
        <is>
          <t>공업용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연서면 쌍류리 333-1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70200</v>
      </c>
      <c r="G1361" s="4" t="n">
        <v>2340</v>
      </c>
      <c r="H1361" s="4" t="n">
        <v>708</v>
      </c>
      <c r="I1361" s="5" t="n">
        <v>99.2</v>
      </c>
      <c r="J1361" s="5" t="n">
        <v>29.4</v>
      </c>
      <c r="K1361" s="3" t="inlineStr">
        <is>
          <t>연서면 쌍류리 2차선변 과수원 매매</t>
        </is>
      </c>
      <c r="L1361" s="6">
        <f>HYPERLINK("https://fin.land.naver.com/articles/2650946339", "매물Link")</f>
        <v/>
      </c>
      <c r="M1361" s="6">
        <f>HYPERLINK("https://map.naver.com/p/search/연서면 쌍류리 333-1", "지도Link")</f>
        <v/>
      </c>
      <c r="N1361" s="6">
        <f>HYPERLINK("http://www.eum.go.kr/web/ar/lu/luLandDet.jsp?pnu=3611036026103330001&amp;isNoScr=script&amp;mode=search", "토지이음")</f>
        <v/>
      </c>
      <c r="O1361" s="3" t="inlineStr">
        <is>
          <t>길운</t>
        </is>
      </c>
      <c r="P1361" s="4" t="n">
        <v>1</v>
      </c>
      <c r="Q1361" s="4" t="n">
        <v>984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연서면 쌍류리 333-1</t>
        </is>
      </c>
      <c r="B1362" s="3" t="inlineStr">
        <is>
          <t>생산관리지역</t>
        </is>
      </c>
      <c r="C1362" s="3" t="inlineStr">
        <is>
          <t>과수원</t>
        </is>
      </c>
      <c r="D1362" s="3" t="inlineStr">
        <is>
          <t>과수원</t>
        </is>
      </c>
      <c r="E1362" s="3" t="inlineStr">
        <is>
          <t>매매</t>
        </is>
      </c>
      <c r="F1362" s="4" t="n">
        <v>36500</v>
      </c>
      <c r="G1362" s="4" t="n">
        <v>1334</v>
      </c>
      <c r="H1362" s="4" t="n">
        <v>404</v>
      </c>
      <c r="I1362" s="5" t="n">
        <v>90.3</v>
      </c>
      <c r="J1362" s="5" t="n">
        <v>29.4</v>
      </c>
      <c r="K1362" s="3" t="inlineStr">
        <is>
          <t>연서면 쌍류리 2차선변 토지 매매</t>
        </is>
      </c>
      <c r="L1362" s="6">
        <f>HYPERLINK("https://fin.land.naver.com/articles/2649563551", "매물Link")</f>
        <v/>
      </c>
      <c r="M1362" s="6">
        <f>HYPERLINK("https://map.naver.com/p/search/연서면 쌍류리 333-1", "지도Link")</f>
        <v/>
      </c>
      <c r="N1362" s="6">
        <f>HYPERLINK("http://www.eum.go.kr/web/ar/lu/luLandDet.jsp?pnu=3611036026103330001&amp;isNoScr=script&amp;mode=search", "토지이음")</f>
        <v/>
      </c>
      <c r="O1362" s="3" t="inlineStr">
        <is>
          <t>길운</t>
        </is>
      </c>
      <c r="P1362" s="4" t="n">
        <v>1</v>
      </c>
      <c r="Q1362" s="4" t="n">
        <v>984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연서면 쌍류리 333-1</t>
        </is>
      </c>
      <c r="B1363" s="3" t="inlineStr">
        <is>
          <t>생산관리지역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36500</v>
      </c>
      <c r="G1363" s="4" t="n">
        <v>1334</v>
      </c>
      <c r="H1363" s="4" t="n">
        <v>404</v>
      </c>
      <c r="I1363" s="5" t="n">
        <v>90.3</v>
      </c>
      <c r="J1363" s="5" t="n">
        <v>29.4</v>
      </c>
      <c r="K1363" s="3" t="inlineStr">
        <is>
          <t>하천, 도로접, 포도농원</t>
        </is>
      </c>
      <c r="L1363" s="6">
        <f>HYPERLINK("https://fin.land.naver.com/articles/2650024525", "매물Link")</f>
        <v/>
      </c>
      <c r="M1363" s="6">
        <f>HYPERLINK("https://map.naver.com/p/search/연서면 쌍류리 333-1", "지도Link")</f>
        <v/>
      </c>
      <c r="N1363" s="6">
        <f>HYPERLINK("http://www.eum.go.kr/web/ar/lu/luLandDet.jsp?pnu=3611036026103330001&amp;isNoScr=script&amp;mode=search", "토지이음")</f>
        <v/>
      </c>
      <c r="O1363" s="3" t="inlineStr">
        <is>
          <t>삼보</t>
        </is>
      </c>
      <c r="P1363" s="4" t="n">
        <v>1</v>
      </c>
      <c r="Q1363" s="4" t="n">
        <v>984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연서면 쌍류리 42-1</t>
        </is>
      </c>
      <c r="B1364" s="3" t="inlineStr">
        <is>
          <t>생산관리지역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22900</v>
      </c>
      <c r="G1364" s="4" t="n">
        <v>840</v>
      </c>
      <c r="H1364" s="4" t="n">
        <v>254</v>
      </c>
      <c r="I1364" s="5" t="n">
        <v>90.2</v>
      </c>
      <c r="J1364" s="5" t="n">
        <v>46</v>
      </c>
      <c r="K1364" s="3" t="inlineStr">
        <is>
          <t>도로확장 되는 부분과 96미터 정도로 길게 접한 좁고 길쭉한 토지</t>
        </is>
      </c>
      <c r="L1364" s="6">
        <f>HYPERLINK("https://fin.land.naver.com/articles/2649904522", "매물Link")</f>
        <v/>
      </c>
      <c r="M1364" s="6">
        <f>HYPERLINK("https://map.naver.com/p/search/연서면 쌍류리 42-1", "지도Link")</f>
        <v/>
      </c>
      <c r="N1364" s="6">
        <f>HYPERLINK("http://www.eum.go.kr/web/ar/lu/luLandDet.jsp?pnu=3611036026100420001&amp;isNoScr=script&amp;mode=search",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840</v>
      </c>
      <c r="R1364" s="3" t="inlineStr">
        <is>
          <t>지정되지않음</t>
        </is>
      </c>
      <c r="S1364" s="3" t="inlineStr">
        <is>
          <t>과수원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소로한면</t>
        </is>
      </c>
    </row>
    <row r="1365">
      <c r="A1365" s="3" t="inlineStr">
        <is>
          <t>연서면 쌍류리 426-2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16000</v>
      </c>
      <c r="G1365" s="4" t="n">
        <v>476</v>
      </c>
      <c r="H1365" s="4" t="n">
        <v>144</v>
      </c>
      <c r="I1365" s="5" t="n">
        <v>111.1</v>
      </c>
      <c r="J1365" s="5" t="n">
        <v>55.4</v>
      </c>
      <c r="K1365" s="3" t="inlineStr">
        <is>
          <t>nan</t>
        </is>
      </c>
      <c r="L1365" s="6">
        <f>HYPERLINK("https://fin.land.naver.com/articles/2649967157", "매물Link")</f>
        <v/>
      </c>
      <c r="M1365" s="6">
        <f>HYPERLINK("https://map.naver.com/p/search/연서면 쌍류리 426-2", "지도Link")</f>
        <v/>
      </c>
      <c r="N1365" s="6">
        <f>HYPERLINK("http://www.eum.go.kr/web/ar/lu/luLandDet.jsp?pnu=3611036026104260002&amp;isNoScr=script&amp;mode=search", "토지이음")</f>
        <v/>
      </c>
      <c r="O1365" s="3" t="inlineStr">
        <is>
          <t>지성</t>
        </is>
      </c>
      <c r="P1365" s="4" t="n">
        <v>1</v>
      </c>
      <c r="Q1365" s="4" t="n">
        <v>476</v>
      </c>
      <c r="R1365" s="3" t="inlineStr">
        <is>
          <t>지정되지않음</t>
        </is>
      </c>
      <c r="S1365" s="3" t="inlineStr">
        <is>
          <t>단독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연서면 쌍류리 438-1</t>
        </is>
      </c>
      <c r="B1366" s="3" t="inlineStr">
        <is>
          <t>생산관리지역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224640</v>
      </c>
      <c r="G1366" s="4" t="n">
        <v>11404</v>
      </c>
      <c r="H1366" s="4" t="n">
        <v>3450</v>
      </c>
      <c r="I1366" s="5" t="n">
        <v>65.09999999999999</v>
      </c>
      <c r="J1366" s="5" t="n">
        <v>27.4</v>
      </c>
      <c r="K1366" s="3" t="inlineStr">
        <is>
          <t>국가산단 수혜 성장관리계획구역 내 대형 토지 투자 적기</t>
        </is>
      </c>
      <c r="L1366" s="6">
        <f>HYPERLINK("https://fin.land.naver.com/articles/2653501135", "매물Link")</f>
        <v/>
      </c>
      <c r="M1366" s="6">
        <f>HYPERLINK("https://map.naver.com/p/search/연서면 쌍류리 438-1", "지도Link")</f>
        <v/>
      </c>
      <c r="N1366" s="6">
        <f>HYPERLINK("http://www.eum.go.kr/web/ar/lu/luLandDet.jsp?pnu=3611036026104380001&amp;isNoScr=script&amp;mode=search", "토지이음")</f>
        <v/>
      </c>
      <c r="O1366" s="3" t="inlineStr">
        <is>
          <t>연서</t>
        </is>
      </c>
      <c r="P1366" s="4" t="n">
        <v>2</v>
      </c>
      <c r="Q1366" s="4" t="n">
        <v>11425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급경사</t>
        </is>
      </c>
      <c r="U1366" s="3" t="inlineStr">
        <is>
          <t>부정형</t>
        </is>
      </c>
      <c r="V1366" s="3" t="inlineStr">
        <is>
          <t>세로각지(가)</t>
        </is>
      </c>
    </row>
    <row r="1367">
      <c r="A1367" s="3" t="inlineStr">
        <is>
          <t>연서면 쌍류리 451</t>
        </is>
      </c>
      <c r="B1367" s="3" t="inlineStr">
        <is>
          <t>생산관리지역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55680</v>
      </c>
      <c r="G1367" s="4" t="n">
        <v>1534</v>
      </c>
      <c r="H1367" s="4" t="n">
        <v>464</v>
      </c>
      <c r="I1367" s="5" t="n">
        <v>120</v>
      </c>
      <c r="J1367" s="5" t="n">
        <v>23.6</v>
      </c>
      <c r="K1367" s="3" t="inlineStr">
        <is>
          <t>평탄화 작업 완료하여, 전원생활을 위한 원형지를 찾는 분에게 추천</t>
        </is>
      </c>
      <c r="L1367" s="6">
        <f>HYPERLINK("https://fin.land.naver.com/articles/2652093390", "매물Link")</f>
        <v/>
      </c>
      <c r="M1367" s="6">
        <f>HYPERLINK("https://map.naver.com/p/search/연서면 쌍류리 451", "지도Link")</f>
        <v/>
      </c>
      <c r="N1367" s="6">
        <f>HYPERLINK("http://www.eum.go.kr/web/ar/lu/luLandDet.jsp?pnu=3611036026104510000&amp;isNoScr=script&amp;mode=search", "토지이음")</f>
        <v/>
      </c>
      <c r="O1367" s="3" t="inlineStr">
        <is>
          <t>미스터홈즈강남지사</t>
        </is>
      </c>
      <c r="P1367" s="4" t="n">
        <v>1</v>
      </c>
      <c r="Q1367" s="4" t="n">
        <v>1534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급경사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연서면 쌍류리 452</t>
        </is>
      </c>
      <c r="B1368" s="3" t="inlineStr">
        <is>
          <t>생산관리지역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7000</v>
      </c>
      <c r="G1368" s="4" t="n">
        <v>496</v>
      </c>
      <c r="H1368" s="4" t="n">
        <v>150</v>
      </c>
      <c r="I1368" s="5" t="n">
        <v>46.7</v>
      </c>
      <c r="J1368" s="5" t="n">
        <v>15.2</v>
      </c>
      <c r="K1368" s="3" t="inlineStr">
        <is>
          <t>세종시 소규모 자본으로 투자 가능한땅,시멘트 포장도로접</t>
        </is>
      </c>
      <c r="L1368" s="6">
        <f>HYPERLINK("https://fin.land.naver.com/articles/2651793617", "매물Link")</f>
        <v/>
      </c>
      <c r="M1368" s="6">
        <f>HYPERLINK("https://map.naver.com/p/search/연서면 쌍류리 452", "지도Link")</f>
        <v/>
      </c>
      <c r="N1368" s="6">
        <f>HYPERLINK("http://www.eum.go.kr/web/ar/lu/luLandDet.jsp?pnu=3611036026104520000&amp;isNoScr=script&amp;mode=search", "토지이음")</f>
        <v/>
      </c>
      <c r="O1368" s="3" t="inlineStr">
        <is>
          <t>킹</t>
        </is>
      </c>
      <c r="P1368" s="4" t="n">
        <v>1</v>
      </c>
      <c r="Q1368" s="4" t="n">
        <v>496</v>
      </c>
      <c r="R1368" s="3" t="inlineStr">
        <is>
          <t>지정되지않음</t>
        </is>
      </c>
      <c r="S1368" s="3" t="inlineStr">
        <is>
          <t>과수원</t>
        </is>
      </c>
      <c r="T1368" s="3" t="inlineStr">
        <is>
          <t>급경사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쌍류리 452</t>
        </is>
      </c>
      <c r="B1369" s="3" t="inlineStr">
        <is>
          <t>생산관리지역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7000</v>
      </c>
      <c r="G1369" s="4" t="n">
        <v>495</v>
      </c>
      <c r="H1369" s="4" t="n">
        <v>150</v>
      </c>
      <c r="I1369" s="5" t="n">
        <v>46.7</v>
      </c>
      <c r="J1369" s="5" t="n">
        <v>15.2</v>
      </c>
      <c r="K1369" s="3" t="inlineStr">
        <is>
          <t>세종시 고복저수지 인근 전원마을 내 수요가 많은 활용도 좋은 토지 매매</t>
        </is>
      </c>
      <c r="L1369" s="6">
        <f>HYPERLINK("https://fin.land.naver.com/articles/2655222422", "매물Link")</f>
        <v/>
      </c>
      <c r="M1369" s="6">
        <f>HYPERLINK("https://map.naver.com/p/search/연서면 쌍류리 452", "지도Link")</f>
        <v/>
      </c>
      <c r="N1369" s="6">
        <f>HYPERLINK("http://www.eum.go.kr/web/ar/lu/luLandDet.jsp?pnu=3611036026104520000&amp;isNoScr=script&amp;mode=search", "토지이음")</f>
        <v/>
      </c>
      <c r="O1369" s="3" t="inlineStr">
        <is>
          <t>원탑</t>
        </is>
      </c>
      <c r="P1369" s="4" t="n">
        <v>2</v>
      </c>
      <c r="Q1369" s="4" t="n">
        <v>496</v>
      </c>
      <c r="R1369" s="3" t="inlineStr">
        <is>
          <t>지정되지않음</t>
        </is>
      </c>
      <c r="S1369" s="3" t="inlineStr">
        <is>
          <t>과수원</t>
        </is>
      </c>
      <c r="T1369" s="3" t="inlineStr">
        <is>
          <t>급경사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연서면 쌍류리 454</t>
        </is>
      </c>
      <c r="B1370" s="3" t="inlineStr">
        <is>
          <t>생산관리지역</t>
        </is>
      </c>
      <c r="C1370" s="3" t="inlineStr">
        <is>
          <t>과수원</t>
        </is>
      </c>
      <c r="D1370" s="3" t="inlineStr">
        <is>
          <t>과수원</t>
        </is>
      </c>
      <c r="E1370" s="3" t="inlineStr">
        <is>
          <t>매매</t>
        </is>
      </c>
      <c r="F1370" s="4" t="n">
        <v>20000</v>
      </c>
      <c r="G1370" s="4" t="n">
        <v>1296</v>
      </c>
      <c r="H1370" s="4" t="n">
        <v>392</v>
      </c>
      <c r="I1370" s="5" t="n">
        <v>51</v>
      </c>
      <c r="J1370" s="5" t="n">
        <v>28.9</v>
      </c>
      <c r="K1370" s="3" t="inlineStr">
        <is>
          <t>세종 연서면 쌍류리 생산관리 과수원 매매</t>
        </is>
      </c>
      <c r="L1370" s="6">
        <f>HYPERLINK("https://fin.land.naver.com/articles/2653135471", "매물Link")</f>
        <v/>
      </c>
      <c r="M1370" s="6">
        <f>HYPERLINK("https://map.naver.com/p/search/연서면 쌍류리 454", "지도Link")</f>
        <v/>
      </c>
      <c r="N1370" s="6">
        <f>HYPERLINK("http://www.eum.go.kr/web/ar/lu/luLandDet.jsp?pnu=3611036026104540000&amp;isNoScr=script&amp;mode=search", "토지이음")</f>
        <v/>
      </c>
      <c r="O1370" s="3" t="inlineStr">
        <is>
          <t>세종몽땅</t>
        </is>
      </c>
      <c r="P1370" s="4" t="n">
        <v>1</v>
      </c>
      <c r="Q1370" s="4" t="n">
        <v>1296</v>
      </c>
      <c r="R1370" s="3" t="inlineStr">
        <is>
          <t>지정되지않음</t>
        </is>
      </c>
      <c r="S1370" s="3" t="inlineStr">
        <is>
          <t>과수원</t>
        </is>
      </c>
      <c r="T1370" s="3" t="inlineStr">
        <is>
          <t>완경사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연서면 쌍류리 459</t>
        </is>
      </c>
      <c r="B1371" s="3" t="inlineStr">
        <is>
          <t>생산관리지역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27000</v>
      </c>
      <c r="G1371" s="4" t="n">
        <v>1983</v>
      </c>
      <c r="H1371" s="4" t="n">
        <v>600</v>
      </c>
      <c r="I1371" s="5" t="n">
        <v>45</v>
      </c>
      <c r="J1371" s="5" t="n">
        <v>23.1</v>
      </c>
      <c r="K1371" s="3" t="inlineStr">
        <is>
          <t>세종 연서면 쌍류리 생산관리 농지 매매</t>
        </is>
      </c>
      <c r="L1371" s="6">
        <f>HYPERLINK("https://fin.land.naver.com/articles/2653135048", "매물Link")</f>
        <v/>
      </c>
      <c r="M1371" s="6">
        <f>HYPERLINK("https://map.naver.com/p/search/연서면 쌍류리 459", "지도Link")</f>
        <v/>
      </c>
      <c r="N1371" s="6">
        <f>HYPERLINK("http://www.eum.go.kr/web/ar/lu/luLandDet.jsp?pnu=3611036026104590000&amp;isNoScr=script&amp;mode=search", "토지이음")</f>
        <v/>
      </c>
      <c r="O1371" s="3" t="inlineStr">
        <is>
          <t>세종몽땅</t>
        </is>
      </c>
      <c r="P1371" s="4" t="n">
        <v>1</v>
      </c>
      <c r="Q1371" s="4" t="n">
        <v>1983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맹지</t>
        </is>
      </c>
    </row>
    <row r="1372">
      <c r="A1372" s="3" t="inlineStr">
        <is>
          <t>연서면 쌍류리 472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28000</v>
      </c>
      <c r="G1372" s="4" t="n">
        <v>714</v>
      </c>
      <c r="H1372" s="4" t="n">
        <v>216</v>
      </c>
      <c r="I1372" s="5" t="n">
        <v>129.6</v>
      </c>
      <c r="J1372" s="5" t="n">
        <v>47</v>
      </c>
      <c r="K1372" s="3" t="inlineStr">
        <is>
          <t>세종 연서면 쌍류리 계획관리 대지 매매</t>
        </is>
      </c>
      <c r="L1372" s="6">
        <f>HYPERLINK("https://fin.land.naver.com/articles/2653136773", "매물Link")</f>
        <v/>
      </c>
      <c r="M1372" s="6">
        <f>HYPERLINK("https://map.naver.com/p/search/연서면 쌍류리 472", "지도Link")</f>
        <v/>
      </c>
      <c r="N1372" s="6">
        <f>HYPERLINK("http://www.eum.go.kr/web/ar/lu/luLandDet.jsp?pnu=3611036026104720000&amp;isNoScr=script&amp;mode=search", "토지이음")</f>
        <v/>
      </c>
      <c r="O1372" s="3" t="inlineStr">
        <is>
          <t>세종몽땅</t>
        </is>
      </c>
      <c r="P1372" s="4" t="n">
        <v>1</v>
      </c>
      <c r="Q1372" s="4" t="n">
        <v>714</v>
      </c>
      <c r="R1372" s="3" t="inlineStr">
        <is>
          <t>지정되지않음</t>
        </is>
      </c>
      <c r="S1372" s="3" t="inlineStr">
        <is>
          <t>단독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연서면 쌍류리 53</t>
        </is>
      </c>
      <c r="B1373" s="3" t="inlineStr">
        <is>
          <t>생산관리지역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57000</v>
      </c>
      <c r="G1373" s="4" t="n">
        <v>2734</v>
      </c>
      <c r="H1373" s="4" t="n">
        <v>827</v>
      </c>
      <c r="I1373" s="5" t="n">
        <v>68.90000000000001</v>
      </c>
      <c r="J1373" s="5" t="n">
        <v>24.9</v>
      </c>
      <c r="K1373" s="3" t="inlineStr">
        <is>
          <t>명성공인, 전용827, 연서면 생산관리 추천 매물</t>
        </is>
      </c>
      <c r="L1373" s="6">
        <f>HYPERLINK("https://fin.land.naver.com/articles/2650266078", "매물Link")</f>
        <v/>
      </c>
      <c r="M1373" s="6">
        <f>HYPERLINK("https://map.naver.com/p/search/연서면 쌍류리 53", "지도Link")</f>
        <v/>
      </c>
      <c r="N1373" s="6">
        <f>HYPERLINK("http://www.eum.go.kr/web/ar/lu/luLandDet.jsp?pnu=3611036026100530000&amp;isNoScr=script&amp;mode=search", "토지이음")</f>
        <v/>
      </c>
      <c r="O1373" s="3" t="inlineStr">
        <is>
          <t>명성</t>
        </is>
      </c>
      <c r="P1373" s="4" t="n">
        <v>2</v>
      </c>
      <c r="Q1373" s="4" t="n">
        <v>2734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쌍류리 56</t>
        </is>
      </c>
      <c r="B1374" s="3" t="inlineStr">
        <is>
          <t>생산관리지역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27000</v>
      </c>
      <c r="G1374" s="4" t="n">
        <v>1342</v>
      </c>
      <c r="H1374" s="4" t="n">
        <v>406</v>
      </c>
      <c r="I1374" s="5" t="n">
        <v>66.5</v>
      </c>
      <c r="J1374" s="5" t="n">
        <v>22.8</v>
      </c>
      <c r="K1374" s="3" t="inlineStr">
        <is>
          <t>명성공인, 전용406, 연서면 추천 매물</t>
        </is>
      </c>
      <c r="L1374" s="6">
        <f>HYPERLINK("https://fin.land.naver.com/articles/2653839618", "매물Link")</f>
        <v/>
      </c>
      <c r="M1374" s="6">
        <f>HYPERLINK("https://map.naver.com/p/search/연서면 쌍류리 56", "지도Link")</f>
        <v/>
      </c>
      <c r="N1374" s="6">
        <f>HYPERLINK("http://www.eum.go.kr/web/ar/lu/luLandDet.jsp?pnu=3611036026100560000&amp;isNoScr=script&amp;mode=search", "토지이음")</f>
        <v/>
      </c>
      <c r="O1374" s="3" t="inlineStr">
        <is>
          <t>명성</t>
        </is>
      </c>
      <c r="P1374" s="4" t="n">
        <v>1</v>
      </c>
      <c r="Q1374" s="4" t="n">
        <v>1011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연서면 쌍류리 564</t>
        </is>
      </c>
      <c r="B1375" s="3" t="inlineStr">
        <is>
          <t>생산관리지역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10000</v>
      </c>
      <c r="G1375" s="4" t="n">
        <v>1127</v>
      </c>
      <c r="H1375" s="4" t="n">
        <v>341</v>
      </c>
      <c r="I1375" s="5" t="n">
        <v>29.3</v>
      </c>
      <c r="J1375" s="5" t="n">
        <v>22</v>
      </c>
      <c r="K1375" s="3" t="inlineStr">
        <is>
          <t>관리지역 토지매매</t>
        </is>
      </c>
      <c r="L1375" s="6">
        <f>HYPERLINK("https://fin.land.naver.com/articles/2655032815", "매물Link")</f>
        <v/>
      </c>
      <c r="M1375" s="6">
        <f>HYPERLINK("https://map.naver.com/p/search/연서면 쌍류리 564", "지도Link")</f>
        <v/>
      </c>
      <c r="N1375" s="6">
        <f>HYPERLINK("http://www.eum.go.kr/web/ar/lu/luLandDet.jsp?pnu=3611036026105640000&amp;isNoScr=script&amp;mode=search", "토지이음")</f>
        <v/>
      </c>
      <c r="O1375" s="3" t="inlineStr">
        <is>
          <t>세종대박</t>
        </is>
      </c>
      <c r="P1375" s="4" t="n">
        <v>1</v>
      </c>
      <c r="Q1375" s="4" t="n">
        <v>1127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급경사</t>
        </is>
      </c>
      <c r="U1375" s="3" t="inlineStr">
        <is>
          <t>부정형</t>
        </is>
      </c>
      <c r="V1375" s="3" t="inlineStr">
        <is>
          <t>세로한면(불)</t>
        </is>
      </c>
    </row>
    <row r="1376">
      <c r="A1376" s="3" t="inlineStr">
        <is>
          <t>연서면 쌍류리 584-1</t>
        </is>
      </c>
      <c r="B1376" s="3" t="inlineStr">
        <is>
          <t>생산관리지역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19160</v>
      </c>
      <c r="G1376" s="4" t="n">
        <v>1056</v>
      </c>
      <c r="H1376" s="4" t="n">
        <v>319</v>
      </c>
      <c r="I1376" s="5" t="n">
        <v>60.1</v>
      </c>
      <c r="J1376" s="5" t="n">
        <v>28.9</v>
      </c>
      <c r="K1376" s="3" t="inlineStr">
        <is>
          <t>세종시에서 1억원대에 투자할수 있는땅</t>
        </is>
      </c>
      <c r="L1376" s="6">
        <f>HYPERLINK("https://fin.land.naver.com/articles/2653381412", "매물Link")</f>
        <v/>
      </c>
      <c r="M1376" s="6">
        <f>HYPERLINK("https://map.naver.com/p/search/연서면 쌍류리 584-1", "지도Link")</f>
        <v/>
      </c>
      <c r="N1376" s="6">
        <f>HYPERLINK("http://www.eum.go.kr/web/ar/lu/luLandDet.jsp?pnu=3611036026105840001&amp;isNoScr=script&amp;mode=search", "토지이음")</f>
        <v/>
      </c>
      <c r="O1376" s="3" t="inlineStr">
        <is>
          <t>킹</t>
        </is>
      </c>
      <c r="P1376" s="4" t="n">
        <v>1</v>
      </c>
      <c r="Q1376" s="4" t="n">
        <v>1056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쌍류리 584-3</t>
        </is>
      </c>
      <c r="B1377" s="3" t="inlineStr">
        <is>
          <t>생산관리지역</t>
        </is>
      </c>
      <c r="C1377" s="3" t="inlineStr">
        <is>
          <t>과수원</t>
        </is>
      </c>
      <c r="D1377" s="3" t="inlineStr">
        <is>
          <t>과수원</t>
        </is>
      </c>
      <c r="E1377" s="3" t="inlineStr">
        <is>
          <t>매매</t>
        </is>
      </c>
      <c r="F1377" s="4" t="n">
        <v>45000</v>
      </c>
      <c r="G1377" s="4" t="n">
        <v>2463</v>
      </c>
      <c r="H1377" s="4" t="n">
        <v>745</v>
      </c>
      <c r="I1377" s="5" t="n">
        <v>60.4</v>
      </c>
      <c r="J1377" s="5" t="n">
        <v>28.9</v>
      </c>
      <c r="K1377" s="3" t="inlineStr">
        <is>
          <t>쌍류리 저렴한 토지매매</t>
        </is>
      </c>
      <c r="L1377" s="6">
        <f>HYPERLINK("https://fin.land.naver.com/articles/2653075157", "매물Link")</f>
        <v/>
      </c>
      <c r="M1377" s="6">
        <f>HYPERLINK("https://map.naver.com/p/search/연서면 쌍류리 584-3", "지도Link")</f>
        <v/>
      </c>
      <c r="N1377" s="6">
        <f>HYPERLINK("http://www.eum.go.kr/web/ar/lu/luLandDet.jsp?pnu=3611036026105840003&amp;isNoScr=script&amp;mode=search", "토지이음")</f>
        <v/>
      </c>
      <c r="O1377" s="3" t="inlineStr">
        <is>
          <t>세종땅사랑</t>
        </is>
      </c>
      <c r="P1377" s="4" t="n">
        <v>1</v>
      </c>
      <c r="Q1377" s="4" t="n">
        <v>1435</v>
      </c>
      <c r="R1377" s="3" t="inlineStr">
        <is>
          <t>지정되지않음</t>
        </is>
      </c>
      <c r="S1377" s="3" t="inlineStr">
        <is>
          <t>과수원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연서면 쌍류리 584-3</t>
        </is>
      </c>
      <c r="B1378" s="3" t="inlineStr">
        <is>
          <t>생산관리지역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49500</v>
      </c>
      <c r="G1378" s="4" t="n">
        <v>2463</v>
      </c>
      <c r="H1378" s="4" t="n">
        <v>745</v>
      </c>
      <c r="I1378" s="5" t="n">
        <v>66.40000000000001</v>
      </c>
      <c r="J1378" s="5" t="n">
        <v>28.9</v>
      </c>
      <c r="K1378" s="3" t="inlineStr">
        <is>
          <t>도로접한 저렴한 토지매매</t>
        </is>
      </c>
      <c r="L1378" s="6">
        <f>HYPERLINK("https://fin.land.naver.com/articles/2651247524", "매물Link")</f>
        <v/>
      </c>
      <c r="M1378" s="6">
        <f>HYPERLINK("https://map.naver.com/p/search/연서면 쌍류리 584-3", "지도Link")</f>
        <v/>
      </c>
      <c r="N1378" s="6">
        <f>HYPERLINK("http://www.eum.go.kr/web/ar/lu/luLandDet.jsp?pnu=3611036026105840003&amp;isNoScr=script&amp;mode=search", "토지이음")</f>
        <v/>
      </c>
      <c r="O1378" s="3" t="inlineStr">
        <is>
          <t>세종토박이</t>
        </is>
      </c>
      <c r="P1378" s="4" t="n">
        <v>1</v>
      </c>
      <c r="Q1378" s="4" t="n">
        <v>1435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쌍류리 6-11</t>
        </is>
      </c>
      <c r="B1379" s="3" t="inlineStr">
        <is>
          <t>농림지역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46000</v>
      </c>
      <c r="G1379" s="4" t="n">
        <v>6289</v>
      </c>
      <c r="H1379" s="4" t="n">
        <v>1902</v>
      </c>
      <c r="I1379" s="5" t="n">
        <v>24.2</v>
      </c>
      <c r="J1379" s="5" t="n">
        <v>3</v>
      </c>
      <c r="K1379" s="3" t="inlineStr">
        <is>
          <t>연서면 2차선변 야산</t>
        </is>
      </c>
      <c r="L1379" s="6">
        <f>HYPERLINK("https://fin.land.naver.com/articles/2653950245", "매물Link")</f>
        <v/>
      </c>
      <c r="M1379" s="6">
        <f>HYPERLINK("https://map.naver.com/p/search/연서면 쌍류리 6-11", "지도Link")</f>
        <v/>
      </c>
      <c r="N1379" s="6">
        <f>HYPERLINK("http://www.eum.go.kr/web/ar/lu/luLandDet.jsp?pnu=3611036026100060011&amp;isNoScr=script&amp;mode=search", "토지이음")</f>
        <v/>
      </c>
      <c r="O1379" s="3" t="inlineStr">
        <is>
          <t>KB세종</t>
        </is>
      </c>
      <c r="P1379" s="4" t="n">
        <v>1</v>
      </c>
      <c r="Q1379" s="4" t="n">
        <v>6289</v>
      </c>
      <c r="R1379" s="3" t="inlineStr">
        <is>
          <t>보전관리지역</t>
        </is>
      </c>
      <c r="S1379" s="3" t="inlineStr">
        <is>
          <t>자연림</t>
        </is>
      </c>
      <c r="T1379" s="3" t="inlineStr">
        <is>
          <t>급경사</t>
        </is>
      </c>
      <c r="U1379" s="3" t="inlineStr">
        <is>
          <t>부정형</t>
        </is>
      </c>
      <c r="V1379" s="3" t="inlineStr">
        <is>
          <t>소로한면</t>
        </is>
      </c>
    </row>
    <row r="1380">
      <c r="A1380" s="3" t="inlineStr">
        <is>
          <t>연서면 쌍류리 608-4</t>
        </is>
      </c>
      <c r="B1380" s="3" t="inlineStr">
        <is>
          <t>보전관리지역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18000</v>
      </c>
      <c r="G1380" s="4" t="n">
        <v>500</v>
      </c>
      <c r="H1380" s="4" t="n">
        <v>151</v>
      </c>
      <c r="I1380" s="5" t="n">
        <v>119.2</v>
      </c>
      <c r="J1380" s="5" t="n">
        <v>25.4</v>
      </c>
      <c r="K1380" s="3" t="inlineStr">
        <is>
          <t>세종에서 1억원대에 투자할수 있는땅</t>
        </is>
      </c>
      <c r="L1380" s="6">
        <f>HYPERLINK("https://fin.land.naver.com/articles/2653381281", "매물Link")</f>
        <v/>
      </c>
      <c r="M1380" s="6">
        <f>HYPERLINK("https://map.naver.com/p/search/연서면 쌍류리 608-4", "지도Link")</f>
        <v/>
      </c>
      <c r="N1380" s="6">
        <f>HYPERLINK("http://www.eum.go.kr/web/ar/lu/luLandDet.jsp?pnu=3611036026106080004&amp;isNoScr=script&amp;mode=search", "토지이음")</f>
        <v/>
      </c>
      <c r="O1380" s="3" t="inlineStr">
        <is>
          <t>킹</t>
        </is>
      </c>
      <c r="P1380" s="4" t="n">
        <v>1</v>
      </c>
      <c r="Q1380" s="4" t="n">
        <v>500</v>
      </c>
      <c r="R1380" s="3" t="inlineStr">
        <is>
          <t>생산관리지역</t>
        </is>
      </c>
      <c r="S1380" s="3" t="inlineStr">
        <is>
          <t>과수원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세로한면(불)</t>
        </is>
      </c>
    </row>
    <row r="1381">
      <c r="A1381" s="3" t="inlineStr">
        <is>
          <t>연서면 쌍류리 706-99</t>
        </is>
      </c>
      <c r="B1381" s="3" t="inlineStr">
        <is>
          <t>생산관리지역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17000</v>
      </c>
      <c r="G1381" s="4" t="n">
        <v>522</v>
      </c>
      <c r="H1381" s="4" t="n">
        <v>158</v>
      </c>
      <c r="I1381" s="5" t="n">
        <v>107.6</v>
      </c>
      <c r="J1381" s="5" t="n">
        <v>32.8</v>
      </c>
      <c r="K1381" s="3" t="inlineStr">
        <is>
          <t>쌍류리 2차선길게 접한 코너각지 위치좋고 저렴한 토지</t>
        </is>
      </c>
      <c r="L1381" s="6">
        <f>HYPERLINK("https://fin.land.naver.com/articles/2651241272", "매물Link")</f>
        <v/>
      </c>
      <c r="M1381" s="6">
        <f>HYPERLINK("https://map.naver.com/p/search/연서면 쌍류리 706-99", "지도Link")</f>
        <v/>
      </c>
      <c r="N1381" s="6">
        <f>HYPERLINK("http://www.eum.go.kr/web/ar/lu/luLandDet.jsp?pnu=3611036026107060099&amp;isNoScr=script&amp;mode=search", "토지이음")</f>
        <v/>
      </c>
      <c r="O1381" s="3" t="inlineStr">
        <is>
          <t>세종땅사랑</t>
        </is>
      </c>
      <c r="P1381" s="4" t="n">
        <v>1</v>
      </c>
      <c r="Q1381" s="4" t="n">
        <v>314</v>
      </c>
      <c r="R1381" s="3" t="inlineStr">
        <is>
          <t>지정되지않음</t>
        </is>
      </c>
      <c r="S1381" s="3" t="inlineStr">
        <is>
          <t>과수원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쌍류리 706-99</t>
        </is>
      </c>
      <c r="B1382" s="3" t="inlineStr">
        <is>
          <t>생산관리지역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16300</v>
      </c>
      <c r="G1382" s="4" t="n">
        <v>522</v>
      </c>
      <c r="H1382" s="4" t="n">
        <v>158</v>
      </c>
      <c r="I1382" s="5" t="n">
        <v>103.2</v>
      </c>
      <c r="J1382" s="5" t="n">
        <v>32.8</v>
      </c>
      <c r="K1382" s="3" t="inlineStr">
        <is>
          <t>2차선 도로변의 접근성 좋은 급매 토지</t>
        </is>
      </c>
      <c r="L1382" s="6">
        <f>HYPERLINK("https://fin.land.naver.com/articles/2654839909", "매물Link")</f>
        <v/>
      </c>
      <c r="M1382" s="6">
        <f>HYPERLINK("https://map.naver.com/p/search/연서면 쌍류리 706-99", "지도Link")</f>
        <v/>
      </c>
      <c r="N1382" s="6">
        <f>HYPERLINK("http://www.eum.go.kr/web/ar/lu/luLandDet.jsp?pnu=3611036026107060099&amp;isNoScr=script&amp;mode=search", "토지이음")</f>
        <v/>
      </c>
      <c r="O1382" s="3" t="inlineStr">
        <is>
          <t>용궁</t>
        </is>
      </c>
      <c r="P1382" s="4" t="n">
        <v>1</v>
      </c>
      <c r="Q1382" s="4" t="n">
        <v>314</v>
      </c>
      <c r="R1382" s="3" t="inlineStr">
        <is>
          <t>지정되지않음</t>
        </is>
      </c>
      <c r="S1382" s="3" t="inlineStr">
        <is>
          <t>과수원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연서면 쌍류리 72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150000</v>
      </c>
      <c r="G1383" s="4" t="n">
        <v>2088</v>
      </c>
      <c r="H1383" s="4" t="n">
        <v>632</v>
      </c>
      <c r="I1383" s="5" t="n">
        <v>237.3</v>
      </c>
      <c r="J1383" s="5" t="n">
        <v>83.09999999999999</v>
      </c>
      <c r="K1383" s="3" t="inlineStr">
        <is>
          <t>인근에서 보기 두문 계획관리 부지</t>
        </is>
      </c>
      <c r="L1383" s="6">
        <f>HYPERLINK("https://fin.land.naver.com/articles/2650344547", "매물Link")</f>
        <v/>
      </c>
      <c r="M1383" s="6">
        <f>HYPERLINK("https://map.naver.com/p/search/연서면 쌍류리 72", "지도Link")</f>
        <v/>
      </c>
      <c r="N1383" s="6">
        <f>HYPERLINK("http://www.eum.go.kr/web/ar/lu/luLandDet.jsp?pnu=3611036026100720000&amp;isNoScr=script&amp;mode=search", "토지이음")</f>
        <v/>
      </c>
      <c r="O1383" s="3" t="inlineStr">
        <is>
          <t>비전</t>
        </is>
      </c>
      <c r="P1383" s="4" t="n">
        <v>2</v>
      </c>
      <c r="Q1383" s="4" t="n">
        <v>650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쌍류리 94-12</t>
        </is>
      </c>
      <c r="B1384" s="3" t="inlineStr">
        <is>
          <t>생산관리지역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26560</v>
      </c>
      <c r="G1384" s="4" t="n">
        <v>477</v>
      </c>
      <c r="H1384" s="4" t="n">
        <v>144</v>
      </c>
      <c r="I1384" s="5" t="n">
        <v>184.4</v>
      </c>
      <c r="J1384" s="5" t="n">
        <v>30.2</v>
      </c>
      <c r="K1384" s="3" t="inlineStr">
        <is>
          <t>nan</t>
        </is>
      </c>
      <c r="L1384" s="6">
        <f>HYPERLINK("https://fin.land.naver.com/articles/2650436505", "매물Link")</f>
        <v/>
      </c>
      <c r="M1384" s="6">
        <f>HYPERLINK("https://map.naver.com/p/search/연서면 쌍류리 94-12", "지도Link")</f>
        <v/>
      </c>
      <c r="N1384" s="6">
        <f>HYPERLINK("http://www.eum.go.kr/web/ar/lu/luLandDet.jsp?pnu=3611036026100940012&amp;isNoScr=script&amp;mode=search", "토지이음")</f>
        <v/>
      </c>
      <c r="O1384" s="3" t="inlineStr">
        <is>
          <t>세종소담114</t>
        </is>
      </c>
      <c r="P1384" s="4" t="n">
        <v>1</v>
      </c>
      <c r="Q1384" s="4" t="n">
        <v>477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완경사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연서면 쌍류리 94-12</t>
        </is>
      </c>
      <c r="B1385" s="3" t="inlineStr">
        <is>
          <t>생산관리지역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26000</v>
      </c>
      <c r="G1385" s="4" t="n">
        <v>477</v>
      </c>
      <c r="H1385" s="4" t="n">
        <v>144</v>
      </c>
      <c r="I1385" s="5" t="n">
        <v>180.6</v>
      </c>
      <c r="J1385" s="5" t="n">
        <v>30.2</v>
      </c>
      <c r="K1385" s="3" t="inlineStr">
        <is>
          <t>근생 건축허가 및 전기,수도,통신 등 지하와 완료 즉시 신축가능</t>
        </is>
      </c>
      <c r="L1385" s="6">
        <f>HYPERLINK("https://fin.land.naver.com/articles/2654765481", "매물Link")</f>
        <v/>
      </c>
      <c r="M1385" s="6">
        <f>HYPERLINK("https://map.naver.com/p/search/연서면 쌍류리 94-12", "지도Link")</f>
        <v/>
      </c>
      <c r="N1385" s="6">
        <f>HYPERLINK("http://www.eum.go.kr/web/ar/lu/luLandDet.jsp?pnu=3611036026100940012&amp;isNoScr=script&amp;mode=search", "토지이음")</f>
        <v/>
      </c>
      <c r="O1385" s="3" t="inlineStr">
        <is>
          <t>세종나라</t>
        </is>
      </c>
      <c r="P1385" s="4" t="n">
        <v>2</v>
      </c>
      <c r="Q1385" s="4" t="n">
        <v>477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쌍전리 125-2</t>
        </is>
      </c>
      <c r="B1386" s="3" t="inlineStr">
        <is>
          <t>자연녹지지역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90000</v>
      </c>
      <c r="G1386" s="4" t="n">
        <v>813</v>
      </c>
      <c r="H1386" s="4" t="n">
        <v>246</v>
      </c>
      <c r="I1386" s="5" t="n">
        <v>365.9</v>
      </c>
      <c r="J1386" s="5" t="n">
        <v>74.90000000000001</v>
      </c>
      <c r="K1386" s="3" t="inlineStr">
        <is>
          <t>대지,도시근접</t>
        </is>
      </c>
      <c r="L1386" s="6">
        <f>HYPERLINK("https://fin.land.naver.com/articles/2654366971", "매물Link")</f>
        <v/>
      </c>
      <c r="M1386" s="6">
        <f>HYPERLINK("https://map.naver.com/p/search/연서면 쌍전리 125-2", "지도Link")</f>
        <v/>
      </c>
      <c r="N1386" s="6">
        <f>HYPERLINK("http://www.eum.go.kr/web/ar/lu/luLandDet.jsp?pnu=3611036022101250002&amp;isNoScr=script&amp;mode=search", "토지이음")</f>
        <v/>
      </c>
      <c r="O1386" s="3" t="inlineStr">
        <is>
          <t>평택지제역로얄</t>
        </is>
      </c>
      <c r="P1386" s="4" t="n">
        <v>1</v>
      </c>
      <c r="Q1386" s="4" t="n">
        <v>813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쌍전리 140-2</t>
        </is>
      </c>
      <c r="B1387" s="3" t="inlineStr">
        <is>
          <t>자연녹지지역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27000</v>
      </c>
      <c r="G1387" s="4" t="n">
        <v>700</v>
      </c>
      <c r="H1387" s="4" t="n">
        <v>212</v>
      </c>
      <c r="I1387" s="5" t="n">
        <v>127.4</v>
      </c>
      <c r="J1387" s="5" t="n">
        <v>55.9</v>
      </c>
      <c r="K1387" s="3" t="inlineStr">
        <is>
          <t>토지거래허가구역에서 제외된 토지. 향후 미래가치가 높은 소액투자로 추천.</t>
        </is>
      </c>
      <c r="L1387" s="6">
        <f>HYPERLINK("https://fin.land.naver.com/articles/2655088515", "매물Link")</f>
        <v/>
      </c>
      <c r="M1387" s="6">
        <f>HYPERLINK("https://map.naver.com/p/search/연서면 쌍전리 140-2", "지도Link")</f>
        <v/>
      </c>
      <c r="N1387" s="6">
        <f>HYPERLINK("http://www.eum.go.kr/web/ar/lu/luLandDet.jsp?pnu=3611036022101400002&amp;isNoScr=script&amp;mode=search", "토지이음")</f>
        <v/>
      </c>
      <c r="O1387" s="3" t="inlineStr">
        <is>
          <t>세종대장</t>
        </is>
      </c>
      <c r="P1387" s="4" t="n">
        <v>2</v>
      </c>
      <c r="Q1387" s="4" t="n">
        <v>510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완경사</t>
        </is>
      </c>
      <c r="U1387" s="3" t="inlineStr">
        <is>
          <t>부정형</t>
        </is>
      </c>
      <c r="V1387" s="3" t="inlineStr">
        <is>
          <t>세로한면(불)</t>
        </is>
      </c>
    </row>
    <row r="1388">
      <c r="A1388" s="3" t="inlineStr">
        <is>
          <t>연서면 쌍전리 175-14</t>
        </is>
      </c>
      <c r="B1388" s="3" t="inlineStr">
        <is>
          <t>자연녹지지역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40300</v>
      </c>
      <c r="G1388" s="4" t="n">
        <v>635</v>
      </c>
      <c r="H1388" s="4" t="n">
        <v>192</v>
      </c>
      <c r="I1388" s="5" t="n">
        <v>209.9</v>
      </c>
      <c r="J1388" s="5" t="n">
        <v>66.90000000000001</v>
      </c>
      <c r="K1388" s="3" t="inlineStr">
        <is>
          <t>도심근처 주택지 공방,찻집 등이 어울리는 호재성 좋은 토지</t>
        </is>
      </c>
      <c r="L1388" s="6">
        <f>HYPERLINK("https://fin.land.naver.com/articles/2650398102", "매물Link")</f>
        <v/>
      </c>
      <c r="M1388" s="6">
        <f>HYPERLINK("https://map.naver.com/p/search/연서면 쌍전리 175-14", "지도Link")</f>
        <v/>
      </c>
      <c r="N1388" s="6">
        <f>HYPERLINK("http://www.eum.go.kr/web/ar/lu/luLandDet.jsp?pnu=3611036022101750014&amp;isNoScr=script&amp;mode=search", "토지이음")</f>
        <v/>
      </c>
      <c r="O1388" s="3" t="inlineStr">
        <is>
          <t>지성</t>
        </is>
      </c>
      <c r="P1388" s="4" t="n">
        <v>1</v>
      </c>
      <c r="Q1388" s="4" t="n">
        <v>518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완경사</t>
        </is>
      </c>
      <c r="U1388" s="3" t="inlineStr">
        <is>
          <t>사다리형</t>
        </is>
      </c>
      <c r="V1388" s="3" t="inlineStr">
        <is>
          <t>세로한면(가)</t>
        </is>
      </c>
    </row>
    <row r="1389">
      <c r="A1389" s="3" t="inlineStr">
        <is>
          <t>연서면 쌍전리 177-1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39000</v>
      </c>
      <c r="G1389" s="4" t="n">
        <v>630</v>
      </c>
      <c r="H1389" s="4" t="n">
        <v>191</v>
      </c>
      <c r="I1389" s="5" t="n">
        <v>204.2</v>
      </c>
      <c r="J1389" s="5" t="n">
        <v>51.2</v>
      </c>
      <c r="K1389" s="3" t="inlineStr">
        <is>
          <t>과수원 도시지역 자연녹지 630제곱미터 매매 금액협의</t>
        </is>
      </c>
      <c r="L1389" s="6">
        <f>HYPERLINK("https://fin.land.naver.com/articles/2652904184", "매물Link")</f>
        <v/>
      </c>
      <c r="M1389" s="6">
        <f>HYPERLINK("https://map.naver.com/p/search/연서면 쌍전리 177-1", "지도Link")</f>
        <v/>
      </c>
      <c r="N1389" s="6">
        <f>HYPERLINK("http://www.eum.go.kr/web/ar/lu/luLandDet.jsp?pnu=3611036022101770001&amp;isNoScr=script&amp;mode=search", "토지이음")</f>
        <v/>
      </c>
      <c r="O1389" s="3" t="inlineStr">
        <is>
          <t>오송원</t>
        </is>
      </c>
      <c r="P1389" s="4" t="n">
        <v>1</v>
      </c>
      <c r="Q1389" s="4" t="n">
        <v>1260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쌍전리 405-4</t>
        </is>
      </c>
      <c r="B1390" s="3" t="inlineStr">
        <is>
          <t>자연녹지지역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81000</v>
      </c>
      <c r="G1390" s="4" t="n">
        <v>1498</v>
      </c>
      <c r="H1390" s="4" t="n">
        <v>453</v>
      </c>
      <c r="I1390" s="5" t="n">
        <v>178.8</v>
      </c>
      <c r="J1390" s="5" t="n">
        <v>24.2</v>
      </c>
      <c r="K1390" s="3" t="inlineStr">
        <is>
          <t>자연녹지 임야 매매</t>
        </is>
      </c>
      <c r="L1390" s="6">
        <f>HYPERLINK("https://fin.land.naver.com/articles/2655032819", "매물Link")</f>
        <v/>
      </c>
      <c r="M1390" s="6">
        <f>HYPERLINK("https://map.naver.com/p/search/연서면 쌍전리 405-4", "지도Link")</f>
        <v/>
      </c>
      <c r="N1390" s="6">
        <f>HYPERLINK("http://www.eum.go.kr/web/ar/lu/luLandDet.jsp?pnu=3611036022104050004&amp;isNoScr=script&amp;mode=search", "토지이음")</f>
        <v/>
      </c>
      <c r="O1390" s="3" t="inlineStr">
        <is>
          <t>세종대박</t>
        </is>
      </c>
      <c r="P1390" s="4" t="n">
        <v>1</v>
      </c>
      <c r="Q1390" s="4" t="n">
        <v>1498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세로한면(불)</t>
        </is>
      </c>
    </row>
    <row r="1391">
      <c r="A1391" s="3" t="inlineStr">
        <is>
          <t>연서면 쌍전리 419-2</t>
        </is>
      </c>
      <c r="B1391" s="3" t="inlineStr">
        <is>
          <t>자연녹지지역</t>
        </is>
      </c>
      <c r="C1391" s="3" t="inlineStr">
        <is>
          <t>과수원</t>
        </is>
      </c>
      <c r="D1391" s="3" t="inlineStr">
        <is>
          <t>과수원</t>
        </is>
      </c>
      <c r="E1391" s="3" t="inlineStr">
        <is>
          <t>매매</t>
        </is>
      </c>
      <c r="F1391" s="4" t="n">
        <v>92500</v>
      </c>
      <c r="G1391" s="4" t="n">
        <v>2043</v>
      </c>
      <c r="H1391" s="4" t="n">
        <v>618</v>
      </c>
      <c r="I1391" s="5" t="n">
        <v>149.7</v>
      </c>
      <c r="J1391" s="5" t="n">
        <v>46.5</v>
      </c>
      <c r="K1391" s="3" t="inlineStr">
        <is>
          <t>급매 지대가 높아 조망이 좋은 전원주택지 및 과수원으로 활용</t>
        </is>
      </c>
      <c r="L1391" s="6">
        <f>HYPERLINK("https://fin.land.naver.com/articles/2654812462", "매물Link")</f>
        <v/>
      </c>
      <c r="M1391" s="6">
        <f>HYPERLINK("https://map.naver.com/p/search/연서면 쌍전리 419-2", "지도Link")</f>
        <v/>
      </c>
      <c r="N1391" s="6">
        <f>HYPERLINK("http://www.eum.go.kr/web/ar/lu/luLandDet.jsp?pnu=3611036022104190002&amp;isNoScr=script&amp;mode=search", "토지이음")</f>
        <v/>
      </c>
      <c r="O1391" s="3" t="inlineStr">
        <is>
          <t>스마일세종</t>
        </is>
      </c>
      <c r="P1391" s="4" t="n">
        <v>1</v>
      </c>
      <c r="Q1391" s="4" t="n">
        <v>2043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쌍전리 427</t>
        </is>
      </c>
      <c r="B1392" s="3" t="inlineStr">
        <is>
          <t>자연녹지지역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62500</v>
      </c>
      <c r="G1392" s="4" t="n">
        <v>820</v>
      </c>
      <c r="H1392" s="4" t="n">
        <v>248</v>
      </c>
      <c r="I1392" s="5" t="n">
        <v>252</v>
      </c>
      <c r="J1392" s="5" t="n">
        <v>87.2</v>
      </c>
      <c r="K1392" s="3" t="inlineStr">
        <is>
          <t>투자용,상세설명참조</t>
        </is>
      </c>
      <c r="L1392" s="6">
        <f>HYPERLINK("https://fin.land.naver.com/articles/2652097120", "매물Link")</f>
        <v/>
      </c>
      <c r="M1392" s="6">
        <f>HYPERLINK("https://map.naver.com/p/search/연서면 쌍전리 427", "지도Link")</f>
        <v/>
      </c>
      <c r="N1392" s="6">
        <f>HYPERLINK("http://www.eum.go.kr/web/ar/lu/luLandDet.jsp?pnu=3611036022104270000&amp;isNoScr=script&amp;mode=search", "토지이음")</f>
        <v/>
      </c>
      <c r="O1392" s="3" t="inlineStr">
        <is>
          <t>지호주식회사</t>
        </is>
      </c>
      <c r="P1392" s="4" t="n">
        <v>1</v>
      </c>
      <c r="Q1392" s="4" t="n">
        <v>820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세로한면(가)</t>
        </is>
      </c>
    </row>
    <row r="1393">
      <c r="A1393" s="3" t="inlineStr">
        <is>
          <t>연서면 쌍전리 457-9</t>
        </is>
      </c>
      <c r="B1393" s="3" t="inlineStr">
        <is>
          <t>계획관리지역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105500</v>
      </c>
      <c r="G1393" s="4" t="n">
        <v>1293</v>
      </c>
      <c r="H1393" s="4" t="n">
        <v>391</v>
      </c>
      <c r="I1393" s="5" t="n">
        <v>269.8</v>
      </c>
      <c r="J1393" s="5" t="n">
        <v>49.1</v>
      </c>
      <c r="K1393" s="3" t="inlineStr">
        <is>
          <t>세종시 연서면 농협인근 토지 계획관리.매매</t>
        </is>
      </c>
      <c r="L1393" s="6">
        <f>HYPERLINK("https://fin.land.naver.com/articles/2652504314", "매물Link")</f>
        <v/>
      </c>
      <c r="M1393" s="6">
        <f>HYPERLINK("https://map.naver.com/p/search/연서면 쌍전리 457-9", "지도Link")</f>
        <v/>
      </c>
      <c r="N1393" s="6">
        <f>HYPERLINK("http://www.eum.go.kr/web/ar/lu/luLandDet.jsp?pnu=3611036022104570009&amp;isNoScr=script&amp;mode=search", "토지이음")</f>
        <v/>
      </c>
      <c r="O1393" s="3" t="inlineStr">
        <is>
          <t>동원</t>
        </is>
      </c>
      <c r="P1393" s="4" t="n">
        <v>1</v>
      </c>
      <c r="Q1393" s="4" t="n">
        <v>1293</v>
      </c>
      <c r="R1393" s="3" t="inlineStr">
        <is>
          <t>자연녹지지역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쌍전리 463-1</t>
        </is>
      </c>
      <c r="B1394" s="3" t="inlineStr">
        <is>
          <t>계획관리지역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86700</v>
      </c>
      <c r="G1394" s="4" t="n">
        <v>957</v>
      </c>
      <c r="H1394" s="4" t="n">
        <v>289</v>
      </c>
      <c r="I1394" s="5" t="n">
        <v>300</v>
      </c>
      <c r="J1394" s="5" t="n">
        <v>44.1</v>
      </c>
      <c r="K1394" s="3" t="inlineStr">
        <is>
          <t>세종스마트국가산단,고복저수지공원 부근. 카페부지 투자용 토지</t>
        </is>
      </c>
      <c r="L1394" s="6">
        <f>HYPERLINK("https://fin.land.naver.com/articles/2654531237", "매물Link")</f>
        <v/>
      </c>
      <c r="M1394" s="6">
        <f>HYPERLINK("https://map.naver.com/p/search/연서면 쌍전리 463-1", "지도Link")</f>
        <v/>
      </c>
      <c r="N1394" s="6">
        <f>HYPERLINK("http://www.eum.go.kr/web/ar/lu/luLandDet.jsp?pnu=3611036022104630001&amp;isNoScr=script&amp;mode=search", "토지이음")</f>
        <v/>
      </c>
      <c r="O1394" s="3" t="inlineStr">
        <is>
          <t>복드림</t>
        </is>
      </c>
      <c r="P1394" s="4" t="n">
        <v>2</v>
      </c>
      <c r="Q1394" s="4" t="n">
        <v>957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세로한면(불)</t>
        </is>
      </c>
    </row>
    <row r="1395">
      <c r="A1395" s="3" t="inlineStr">
        <is>
          <t>연서면 쌍전리 464-3</t>
        </is>
      </c>
      <c r="B1395" s="3" t="inlineStr">
        <is>
          <t>계획관리지역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135000</v>
      </c>
      <c r="G1395" s="4" t="n">
        <v>2626</v>
      </c>
      <c r="H1395" s="4" t="n">
        <v>794</v>
      </c>
      <c r="I1395" s="5" t="n">
        <v>170</v>
      </c>
      <c r="J1395" s="5" t="n">
        <v>44.1</v>
      </c>
      <c r="K1395" s="3" t="inlineStr">
        <is>
          <t>2차선도로와 본 토지 사이에 국유지가 있어 점용허가를 받아 넓게 사용가능</t>
        </is>
      </c>
      <c r="L1395" s="6">
        <f>HYPERLINK("https://fin.land.naver.com/articles/2654526611", "매물Link")</f>
        <v/>
      </c>
      <c r="M1395" s="6">
        <f>HYPERLINK("https://map.naver.com/p/search/연서면 쌍전리 464-3", "지도Link")</f>
        <v/>
      </c>
      <c r="N1395" s="6">
        <f>HYPERLINK("http://www.eum.go.kr/web/ar/lu/luLandDet.jsp?pnu=3611036022104640003&amp;isNoScr=script&amp;mode=search", "토지이음")</f>
        <v/>
      </c>
      <c r="O1395" s="3" t="inlineStr">
        <is>
          <t>스마일세종</t>
        </is>
      </c>
      <c r="P1395" s="4" t="n">
        <v>1</v>
      </c>
      <c r="Q1395" s="4" t="n">
        <v>2626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세로한면(불)</t>
        </is>
      </c>
    </row>
    <row r="1396">
      <c r="A1396" s="3" t="inlineStr">
        <is>
          <t>연서면 쌍전리 513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83000</v>
      </c>
      <c r="G1396" s="4" t="n">
        <v>3454</v>
      </c>
      <c r="H1396" s="4" t="n">
        <v>1045</v>
      </c>
      <c r="I1396" s="5" t="n">
        <v>79.40000000000001</v>
      </c>
      <c r="J1396" s="5" t="n">
        <v>27.2</v>
      </c>
      <c r="K1396" s="3" t="inlineStr">
        <is>
          <t>북세종IC 인근 농림지역으로 투자가치 높고 저렴한 가격인 대토로 추천.</t>
        </is>
      </c>
      <c r="L1396" s="6">
        <f>HYPERLINK("https://fin.land.naver.com/articles/2650939648", "매물Link")</f>
        <v/>
      </c>
      <c r="M1396" s="6">
        <f>HYPERLINK("https://map.naver.com/p/search/연서면 쌍전리 513", "지도Link")</f>
        <v/>
      </c>
      <c r="N1396" s="6">
        <f>HYPERLINK("http://www.eum.go.kr/web/ar/lu/luLandDet.jsp?pnu=3611036022105130000&amp;isNoScr=script&amp;mode=search",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3454.8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연서면 쌍전리 580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58000</v>
      </c>
      <c r="G1397" s="4" t="n">
        <v>2557</v>
      </c>
      <c r="H1397" s="4" t="n">
        <v>773</v>
      </c>
      <c r="I1397" s="5" t="n">
        <v>75</v>
      </c>
      <c r="J1397" s="5" t="n">
        <v>28.3</v>
      </c>
      <c r="K1397" s="3" t="inlineStr">
        <is>
          <t>도로접한 농림지역, 인근 북세종IC예정</t>
        </is>
      </c>
      <c r="L1397" s="6">
        <f>HYPERLINK("https://fin.land.naver.com/articles/2655032802", "매물Link")</f>
        <v/>
      </c>
      <c r="M1397" s="6">
        <f>HYPERLINK("https://map.naver.com/p/search/연서면 쌍전리 580", "지도Link")</f>
        <v/>
      </c>
      <c r="N1397" s="6">
        <f>HYPERLINK("http://www.eum.go.kr/web/ar/lu/luLandDet.jsp?pnu=3611036022105800000&amp;isNoScr=script&amp;mode=search", "토지이음")</f>
        <v/>
      </c>
      <c r="O1397" s="3" t="inlineStr">
        <is>
          <t>세종대박</t>
        </is>
      </c>
      <c r="P1397" s="4" t="n">
        <v>1</v>
      </c>
      <c r="Q1397" s="4" t="n">
        <v>2557.2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세로한면(가)</t>
        </is>
      </c>
    </row>
    <row r="1398">
      <c r="A1398" s="3" t="inlineStr">
        <is>
          <t>연서면 쌍전리 584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136000</v>
      </c>
      <c r="G1398" s="4" t="n">
        <v>5295</v>
      </c>
      <c r="H1398" s="4" t="n">
        <v>1602</v>
      </c>
      <c r="I1398" s="5" t="n">
        <v>84.90000000000001</v>
      </c>
      <c r="J1398" s="5" t="n">
        <v>28.3</v>
      </c>
      <c r="K1398" s="3" t="inlineStr">
        <is>
          <t>대토로도 좋은 도로접한 농지입니다</t>
        </is>
      </c>
      <c r="L1398" s="6">
        <f>HYPERLINK("https://fin.land.naver.com/articles/2652124438", "매물Link")</f>
        <v/>
      </c>
      <c r="M1398" s="6">
        <f>HYPERLINK("https://map.naver.com/p/search/연서면 쌍전리 584", "지도Link")</f>
        <v/>
      </c>
      <c r="N1398" s="6">
        <f>HYPERLINK("http://www.eum.go.kr/web/ar/lu/luLandDet.jsp?pnu=3611036022105840000&amp;isNoScr=script&amp;mode=search", "토지이음")</f>
        <v/>
      </c>
      <c r="O1398" s="3" t="inlineStr">
        <is>
          <t>미스터홈즈강남지사</t>
        </is>
      </c>
      <c r="P1398" s="4" t="n">
        <v>2</v>
      </c>
      <c r="Q1398" s="4" t="n">
        <v>5295.3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세로한면(가)</t>
        </is>
      </c>
    </row>
    <row r="1399">
      <c r="A1399" s="3" t="inlineStr">
        <is>
          <t>연서면 쌍전리 638</t>
        </is>
      </c>
      <c r="B1399" s="3" t="inlineStr">
        <is>
          <t>농림지역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103800</v>
      </c>
      <c r="G1399" s="4" t="n">
        <v>3431</v>
      </c>
      <c r="H1399" s="4" t="n">
        <v>1038</v>
      </c>
      <c r="I1399" s="5" t="n">
        <v>100</v>
      </c>
      <c r="J1399" s="5" t="n">
        <v>28.3</v>
      </c>
      <c r="K1399" s="3" t="inlineStr">
        <is>
          <t>쌍전리 2차선도로 가까운 토지 북세종톨게이트 예정지 수혜지</t>
        </is>
      </c>
      <c r="L1399" s="6">
        <f>HYPERLINK("https://fin.land.naver.com/articles/2649964374", "매물Link")</f>
        <v/>
      </c>
      <c r="M1399" s="6">
        <f>HYPERLINK("https://map.naver.com/p/search/연서면 쌍전리 638", "지도Link")</f>
        <v/>
      </c>
      <c r="N1399" s="6">
        <f>HYPERLINK("http://www.eum.go.kr/web/ar/lu/luLandDet.jsp?pnu=3611036022106380000&amp;isNoScr=script&amp;mode=search", "토지이음")</f>
        <v/>
      </c>
      <c r="O1399" s="3" t="inlineStr">
        <is>
          <t>지성</t>
        </is>
      </c>
      <c r="P1399" s="4" t="n">
        <v>1</v>
      </c>
      <c r="Q1399" s="4" t="n">
        <v>3431.4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세로한면(가)</t>
        </is>
      </c>
    </row>
    <row r="1400">
      <c r="A1400" s="3" t="inlineStr">
        <is>
          <t>연서면 쌍전리 654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132000</v>
      </c>
      <c r="G1400" s="4" t="n">
        <v>3980</v>
      </c>
      <c r="H1400" s="4" t="n">
        <v>1204</v>
      </c>
      <c r="I1400" s="5" t="n">
        <v>109.6</v>
      </c>
      <c r="J1400" s="5" t="n">
        <v>28</v>
      </c>
      <c r="K1400" s="3" t="inlineStr">
        <is>
          <t>도로접한 농림지역 농지. 대토추천</t>
        </is>
      </c>
      <c r="L1400" s="6">
        <f>HYPERLINK("https://fin.land.naver.com/articles/2649890122", "매물Link")</f>
        <v/>
      </c>
      <c r="M1400" s="6">
        <f>HYPERLINK("https://map.naver.com/p/search/연서면 쌍전리 654", "지도Link")</f>
        <v/>
      </c>
      <c r="N1400" s="6">
        <f>HYPERLINK("http://www.eum.go.kr/web/ar/lu/luLandDet.jsp?pnu=3611036022106540000&amp;isNoScr=script&amp;mode=search", "토지이음")</f>
        <v/>
      </c>
      <c r="O1400" s="3" t="inlineStr">
        <is>
          <t>미스터홈즈강남지사</t>
        </is>
      </c>
      <c r="P1400" s="4" t="n">
        <v>1</v>
      </c>
      <c r="Q1400" s="4" t="n">
        <v>3980.6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쌍전리 684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70000</v>
      </c>
      <c r="G1401" s="4" t="n">
        <v>1016</v>
      </c>
      <c r="H1401" s="4" t="n">
        <v>307</v>
      </c>
      <c r="I1401" s="5" t="n">
        <v>228</v>
      </c>
      <c r="J1401" s="5" t="n">
        <v>30.3</v>
      </c>
      <c r="K1401" s="3" t="inlineStr">
        <is>
          <t>nan</t>
        </is>
      </c>
      <c r="L1401" s="6">
        <f>HYPERLINK("https://fin.land.naver.com/articles/2651396918", "매물Link")</f>
        <v/>
      </c>
      <c r="M1401" s="6">
        <f>HYPERLINK("https://map.naver.com/p/search/연서면 쌍전리 684", "지도Link")</f>
        <v/>
      </c>
      <c r="N1401" s="6">
        <f>HYPERLINK("http://www.eum.go.kr/web/ar/lu/luLandDet.jsp?pnu=3611036022106840000&amp;isNoScr=script&amp;mode=search", "토지이음")</f>
        <v/>
      </c>
      <c r="O1401" s="3" t="inlineStr">
        <is>
          <t>로데오상가</t>
        </is>
      </c>
      <c r="P1401" s="4" t="n">
        <v>2</v>
      </c>
      <c r="Q1401" s="4" t="n">
        <v>1015.5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연서면 쌍전리 684</t>
        </is>
      </c>
      <c r="B1402" s="3" t="inlineStr">
        <is>
          <t>농림지역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70000</v>
      </c>
      <c r="G1402" s="4" t="n">
        <v>1015</v>
      </c>
      <c r="H1402" s="4" t="n">
        <v>307</v>
      </c>
      <c r="I1402" s="5" t="n">
        <v>228</v>
      </c>
      <c r="J1402" s="5" t="n">
        <v>30.3</v>
      </c>
      <c r="K1402" s="3" t="inlineStr">
        <is>
          <t>2차선 도로에 접해 있으며 3면이 도로에 접한 투지가치 좋은 매물입니다</t>
        </is>
      </c>
      <c r="L1402" s="6">
        <f>HYPERLINK("https://fin.land.naver.com/articles/2655066690", "매물Link")</f>
        <v/>
      </c>
      <c r="M1402" s="6">
        <f>HYPERLINK("https://map.naver.com/p/search/연서면 쌍전리 684", "지도Link")</f>
        <v/>
      </c>
      <c r="N1402" s="6">
        <f>HYPERLINK("http://www.eum.go.kr/web/ar/lu/luLandDet.jsp?pnu=3611036022106840000&amp;isNoScr=script&amp;mode=search", "토지이음")</f>
        <v/>
      </c>
      <c r="O1402" s="3" t="inlineStr">
        <is>
          <t>스마일세종</t>
        </is>
      </c>
      <c r="P1402" s="4" t="n">
        <v>8</v>
      </c>
      <c r="Q1402" s="4" t="n">
        <v>1015.5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연서면 쌍전리 684</t>
        </is>
      </c>
      <c r="B1403" s="3" t="inlineStr">
        <is>
          <t>농림지역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70000</v>
      </c>
      <c r="G1403" s="4" t="n">
        <v>1015</v>
      </c>
      <c r="H1403" s="4" t="n">
        <v>307</v>
      </c>
      <c r="I1403" s="5" t="n">
        <v>228</v>
      </c>
      <c r="J1403" s="5" t="n">
        <v>30.3</v>
      </c>
      <c r="K1403" s="3" t="inlineStr">
        <is>
          <t>2차선접,대토강추,투자가치최고</t>
        </is>
      </c>
      <c r="L1403" s="6">
        <f>HYPERLINK("https://fin.land.naver.com/articles/2654055320", "매물Link")</f>
        <v/>
      </c>
      <c r="M1403" s="6">
        <f>HYPERLINK("https://map.naver.com/p/search/연서면 쌍전리 684", "지도Link")</f>
        <v/>
      </c>
      <c r="N1403" s="6">
        <f>HYPERLINK("http://www.eum.go.kr/web/ar/lu/luLandDet.jsp?pnu=3611036022106840000&amp;isNoScr=script&amp;mode=search", "토지이음")</f>
        <v/>
      </c>
      <c r="O1403" s="3" t="inlineStr">
        <is>
          <t>힐스테이트행복</t>
        </is>
      </c>
      <c r="P1403" s="4" t="n">
        <v>1</v>
      </c>
      <c r="Q1403" s="4" t="n">
        <v>1015.5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연서면 쌍전리 78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24500</v>
      </c>
      <c r="G1404" s="4" t="n">
        <v>324</v>
      </c>
      <c r="H1404" s="4" t="n">
        <v>98</v>
      </c>
      <c r="I1404" s="5" t="n">
        <v>250</v>
      </c>
      <c r="J1404" s="5" t="n">
        <v>106.9</v>
      </c>
      <c r="K1404" s="3" t="inlineStr">
        <is>
          <t>자연녹지, 자연취락지구 내 대지. 현재는 나대지임. 건폐율 60</t>
        </is>
      </c>
      <c r="L1404" s="6">
        <f>HYPERLINK("https://fin.land.naver.com/articles/2649900081", "매물Link")</f>
        <v/>
      </c>
      <c r="M1404" s="6">
        <f>HYPERLINK("https://map.naver.com/p/search/연서면 쌍전리 78", "지도Link")</f>
        <v/>
      </c>
      <c r="N1404" s="6">
        <f>HYPERLINK("http://www.eum.go.kr/web/ar/lu/luLandDet.jsp?pnu=3611036022100780000&amp;isNoScr=script&amp;mode=search", "토지이음")</f>
        <v/>
      </c>
      <c r="O1404" s="3" t="inlineStr">
        <is>
          <t>미스터홈즈강남지사</t>
        </is>
      </c>
      <c r="P1404" s="4" t="n">
        <v>1</v>
      </c>
      <c r="Q1404" s="4" t="n">
        <v>324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연서면 쌍전리 산 29-1</t>
        </is>
      </c>
      <c r="B1405" s="3" t="inlineStr">
        <is>
          <t>자연녹지지역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218500</v>
      </c>
      <c r="G1405" s="4" t="n">
        <v>7223</v>
      </c>
      <c r="H1405" s="4" t="n">
        <v>2185</v>
      </c>
      <c r="I1405" s="5" t="n">
        <v>100</v>
      </c>
      <c r="J1405" s="5" t="n">
        <v>20.6</v>
      </c>
      <c r="K1405" s="3" t="inlineStr">
        <is>
          <t>2필지. 자연취락지구,준보전산지.</t>
        </is>
      </c>
      <c r="L1405" s="6">
        <f>HYPERLINK("https://fin.land.naver.com/articles/2653109397", "매물Link")</f>
        <v/>
      </c>
      <c r="M1405" s="6">
        <f>HYPERLINK("https://map.naver.com/p/search/연서면 쌍전리 산 29-1", "지도Link")</f>
        <v/>
      </c>
      <c r="N1405" s="6">
        <f>HYPERLINK("http://www.eum.go.kr/web/ar/lu/luLandDet.jsp?pnu=3611036022200290001&amp;isNoScr=script&amp;mode=search", "토지이음")</f>
        <v/>
      </c>
      <c r="O1405" s="3" t="inlineStr">
        <is>
          <t>세종소담114</t>
        </is>
      </c>
      <c r="P1405" s="4" t="n">
        <v>1</v>
      </c>
      <c r="Q1405" s="4" t="n">
        <v>6446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쌍전리 산18-6</t>
        </is>
      </c>
      <c r="B1406" s="3" t="inlineStr">
        <is>
          <t>자연녹지지역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196000</v>
      </c>
      <c r="G1406" s="4" t="n">
        <v>6318</v>
      </c>
      <c r="H1406" s="4" t="n">
        <v>1911</v>
      </c>
      <c r="I1406" s="5" t="n">
        <v>102.6</v>
      </c>
      <c r="J1406" s="5" t="n">
        <v>21.7</v>
      </c>
      <c r="K1406" s="3" t="inlineStr">
        <is>
          <t>연서면 쌍전리 임야와 과수원을 일괄하여 급매로 매매합니다</t>
        </is>
      </c>
      <c r="L1406" s="6">
        <f>HYPERLINK("https://fin.land.naver.com/articles/2654812838", "매물Link")</f>
        <v/>
      </c>
      <c r="M1406" s="6">
        <f>HYPERLINK("https://map.naver.com/p/search/연서면 쌍전리 산18-6", "지도Link")</f>
        <v/>
      </c>
      <c r="N1406" s="6">
        <f>HYPERLINK("http://www.eum.go.kr/web/ar/lu/luLandDet.jsp?pnu=3611036022200180006&amp;isNoScr=script&amp;mode=search",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1463</v>
      </c>
      <c r="R1406" s="3" t="inlineStr">
        <is>
          <t>지정되지않음</t>
        </is>
      </c>
      <c r="S1406" s="3" t="inlineStr">
        <is>
          <t>자연림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와촌리 1075</t>
        </is>
      </c>
      <c r="B1407" s="3" t="inlineStr">
        <is>
          <t>보전관리지역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73000</v>
      </c>
      <c r="G1407" s="4" t="n">
        <v>1600</v>
      </c>
      <c r="H1407" s="4" t="n">
        <v>484</v>
      </c>
      <c r="I1407" s="5" t="n">
        <v>150.8</v>
      </c>
      <c r="J1407" s="5" t="n">
        <v>41.7</v>
      </c>
      <c r="K1407" s="3" t="inlineStr">
        <is>
          <t>세종 연서면 와촌리 토지</t>
        </is>
      </c>
      <c r="L1407" s="6">
        <f>HYPERLINK("https://fin.land.naver.com/articles/2649772695", "매물Link")</f>
        <v/>
      </c>
      <c r="M1407" s="6">
        <f>HYPERLINK("https://map.naver.com/p/search/연서면 와촌리 1075", "지도Link")</f>
        <v/>
      </c>
      <c r="N1407" s="6">
        <f>HYPERLINK("http://www.eum.go.kr/web/ar/lu/luLandDet.jsp?pnu=3611036031110750000&amp;isNoScr=script&amp;mode=search", "토지이음")</f>
        <v/>
      </c>
      <c r="O1407" s="3" t="inlineStr">
        <is>
          <t>세종몽땅</t>
        </is>
      </c>
      <c r="P1407" s="4" t="n">
        <v>1</v>
      </c>
      <c r="Q1407" s="4" t="n">
        <v>1600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완경사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와촌리 1092-4</t>
        </is>
      </c>
      <c r="B1408" s="3" t="inlineStr">
        <is>
          <t>계획관리지역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150000</v>
      </c>
      <c r="G1408" s="4" t="n">
        <v>1661</v>
      </c>
      <c r="H1408" s="4" t="n">
        <v>502</v>
      </c>
      <c r="I1408" s="5" t="n">
        <v>298.8</v>
      </c>
      <c r="J1408" s="5" t="n">
        <v>59.2</v>
      </c>
      <c r="K1408" s="3" t="inlineStr">
        <is>
          <t>지방도 접해 있고 다양한 용도로 활용성 높은 투자가치 높은 용지</t>
        </is>
      </c>
      <c r="L1408" s="6">
        <f>HYPERLINK("https://fin.land.naver.com/articles/2654432271", "매물Link")</f>
        <v/>
      </c>
      <c r="M1408" s="6">
        <f>HYPERLINK("https://map.naver.com/p/search/연서면 와촌리 1092-4", "지도Link")</f>
        <v/>
      </c>
      <c r="N1408" s="6">
        <f>HYPERLINK("http://www.eum.go.kr/web/ar/lu/luLandDet.jsp?pnu=3611036031110920004&amp;isNoScr=script&amp;mode=search", "토지이음")</f>
        <v/>
      </c>
      <c r="O1408" s="3" t="inlineStr">
        <is>
          <t>반곡황금더샵</t>
        </is>
      </c>
      <c r="P1408" s="4" t="n">
        <v>1</v>
      </c>
      <c r="Q1408" s="4" t="n">
        <v>1661</v>
      </c>
      <c r="R1408" s="3" t="inlineStr">
        <is>
          <t>지정되지않음</t>
        </is>
      </c>
      <c r="S1408" s="3" t="inlineStr">
        <is>
          <t>전기타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연서면 와촌리 1094</t>
        </is>
      </c>
      <c r="B1409" s="3" t="inlineStr">
        <is>
          <t>계획관리지역</t>
        </is>
      </c>
      <c r="C1409" s="3" t="inlineStr">
        <is>
          <t>전</t>
        </is>
      </c>
      <c r="D1409" s="3" t="inlineStr">
        <is>
          <t>전</t>
        </is>
      </c>
      <c r="E1409" s="3" t="inlineStr">
        <is>
          <t>매매</t>
        </is>
      </c>
      <c r="F1409" s="4" t="n">
        <v>34400</v>
      </c>
      <c r="G1409" s="4" t="n">
        <v>284</v>
      </c>
      <c r="H1409" s="4" t="n">
        <v>86</v>
      </c>
      <c r="I1409" s="5" t="n">
        <v>400</v>
      </c>
      <c r="J1409" s="5" t="n">
        <v>80.09999999999999</v>
      </c>
      <c r="K1409" s="3" t="inlineStr">
        <is>
          <t>상가 신축에 아주 적합한 2차선변에 길게 접한 소액투자 토지</t>
        </is>
      </c>
      <c r="L1409" s="6">
        <f>HYPERLINK("https://fin.land.naver.com/articles/2651949476", "매물Link")</f>
        <v/>
      </c>
      <c r="M1409" s="6">
        <f>HYPERLINK("https://map.naver.com/p/search/연서면 와촌리 1094", "지도Link")</f>
        <v/>
      </c>
      <c r="N1409" s="6">
        <f>HYPERLINK("http://www.eum.go.kr/web/ar/lu/luLandDet.jsp?pnu=3611036031110940000&amp;isNoScr=script&amp;mode=search", "토지이음")</f>
        <v/>
      </c>
      <c r="O1409" s="3" t="inlineStr">
        <is>
          <t>용궁</t>
        </is>
      </c>
      <c r="P1409" s="4" t="n">
        <v>1</v>
      </c>
      <c r="Q1409" s="4" t="n">
        <v>285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와촌리 1175</t>
        </is>
      </c>
      <c r="B1410" s="3" t="inlineStr">
        <is>
          <t>보전관리지역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18000</v>
      </c>
      <c r="G1410" s="4" t="n">
        <v>744</v>
      </c>
      <c r="H1410" s="4" t="n">
        <v>225</v>
      </c>
      <c r="I1410" s="5" t="n">
        <v>80</v>
      </c>
      <c r="J1410" s="5" t="n">
        <v>23.7</v>
      </c>
      <c r="K1410" s="3" t="inlineStr">
        <is>
          <t>소액 투자나 농막 체류형쉼터용 농지</t>
        </is>
      </c>
      <c r="L1410" s="6">
        <f>HYPERLINK("https://fin.land.naver.com/articles/2651948470", "매물Link")</f>
        <v/>
      </c>
      <c r="M1410" s="6">
        <f>HYPERLINK("https://map.naver.com/p/search/연서면 와촌리 1175", "지도Link")</f>
        <v/>
      </c>
      <c r="N1410" s="6">
        <f>HYPERLINK("http://www.eum.go.kr/web/ar/lu/luLandDet.jsp?pnu=3611036031111750000&amp;isNoScr=script&amp;mode=search", "토지이음")</f>
        <v/>
      </c>
      <c r="O1410" s="3" t="inlineStr">
        <is>
          <t>용궁</t>
        </is>
      </c>
      <c r="P1410" s="4" t="n">
        <v>1</v>
      </c>
      <c r="Q1410" s="4" t="n">
        <v>744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와촌리 1180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180000</v>
      </c>
      <c r="G1411" s="4" t="n">
        <v>2380</v>
      </c>
      <c r="H1411" s="4" t="n">
        <v>720</v>
      </c>
      <c r="I1411" s="5" t="n">
        <v>250</v>
      </c>
      <c r="J1411" s="5" t="n">
        <v>84.8</v>
      </c>
      <c r="K1411" s="3" t="inlineStr">
        <is>
          <t>마을 맨 윗쪽 넓은 전원주택지. 현재 전 및 일부 축사</t>
        </is>
      </c>
      <c r="L1411" s="6">
        <f>HYPERLINK("https://fin.land.naver.com/articles/2651423318", "매물Link")</f>
        <v/>
      </c>
      <c r="M1411" s="6">
        <f>HYPERLINK("https://map.naver.com/p/search/연서면 와촌리 1180", "지도Link")</f>
        <v/>
      </c>
      <c r="N1411" s="6">
        <f>HYPERLINK("http://www.eum.go.kr/web/ar/lu/luLandDet.jsp?pnu=3611036031111800000&amp;isNoScr=script&amp;mode=search", "토지이음")</f>
        <v/>
      </c>
      <c r="O1411" s="3" t="inlineStr">
        <is>
          <t>세종소담114</t>
        </is>
      </c>
      <c r="P1411" s="4" t="n">
        <v>1</v>
      </c>
      <c r="Q1411" s="4" t="n">
        <v>2380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세로한면(불)</t>
        </is>
      </c>
    </row>
    <row r="1412">
      <c r="A1412" s="3" t="inlineStr">
        <is>
          <t>연서면 와촌리 1180</t>
        </is>
      </c>
      <c r="B1412" s="3" t="inlineStr">
        <is>
          <t>계획관리지역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180000</v>
      </c>
      <c r="G1412" s="4" t="n">
        <v>2380</v>
      </c>
      <c r="H1412" s="4" t="n">
        <v>720</v>
      </c>
      <c r="I1412" s="5" t="n">
        <v>250</v>
      </c>
      <c r="J1412" s="5" t="n">
        <v>84.8</v>
      </c>
      <c r="K1412" s="3" t="inlineStr">
        <is>
          <t>세종시 인기지역, 국가산업단지 인근, 현재 축사건물있음 , 투자가치높음</t>
        </is>
      </c>
      <c r="L1412" s="6">
        <f>HYPERLINK("https://fin.land.naver.com/articles/2652354951", "매물Link")</f>
        <v/>
      </c>
      <c r="M1412" s="6">
        <f>HYPERLINK("https://map.naver.com/p/search/연서면 와촌리 1180", "지도Link")</f>
        <v/>
      </c>
      <c r="N1412" s="6">
        <f>HYPERLINK("http://www.eum.go.kr/web/ar/lu/luLandDet.jsp?pnu=3611036031111800000&amp;isNoScr=script&amp;mode=search", "토지이음")</f>
        <v/>
      </c>
      <c r="O1412" s="3" t="inlineStr">
        <is>
          <t>세종특별시</t>
        </is>
      </c>
      <c r="P1412" s="4" t="n">
        <v>1</v>
      </c>
      <c r="Q1412" s="4" t="n">
        <v>2380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세로한면(불)</t>
        </is>
      </c>
    </row>
    <row r="1413">
      <c r="A1413" s="3" t="inlineStr">
        <is>
          <t>연서면 와촌리 1182</t>
        </is>
      </c>
      <c r="B1413" s="3" t="inlineStr">
        <is>
          <t>계획관리지역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140000</v>
      </c>
      <c r="G1413" s="4" t="n">
        <v>1689</v>
      </c>
      <c r="H1413" s="4" t="n">
        <v>511</v>
      </c>
      <c r="I1413" s="5" t="n">
        <v>274</v>
      </c>
      <c r="J1413" s="5" t="n">
        <v>85.59999999999999</v>
      </c>
      <c r="K1413" s="3" t="inlineStr">
        <is>
          <t>복숭아 나무 식재 중, 토지모양 굿, 자연취락지구, 성장관리계획구역</t>
        </is>
      </c>
      <c r="L1413" s="6">
        <f>HYPERLINK("https://fin.land.naver.com/articles/2653281131", "매물Link")</f>
        <v/>
      </c>
      <c r="M1413" s="6">
        <f>HYPERLINK("https://map.naver.com/p/search/연서면 와촌리 1182", "지도Link")</f>
        <v/>
      </c>
      <c r="N1413" s="6">
        <f>HYPERLINK("http://www.eum.go.kr/web/ar/lu/luLandDet.jsp?pnu=3611036031111820000&amp;isNoScr=script&amp;mode=search", "토지이음")</f>
        <v/>
      </c>
      <c r="O1413" s="3" t="inlineStr">
        <is>
          <t>올바른</t>
        </is>
      </c>
      <c r="P1413" s="4" t="n">
        <v>1</v>
      </c>
      <c r="Q1413" s="4" t="n">
        <v>1689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세로한면(불)</t>
        </is>
      </c>
    </row>
    <row r="1414">
      <c r="A1414" s="3" t="inlineStr">
        <is>
          <t>연서면 와촌리 1183-1</t>
        </is>
      </c>
      <c r="B1414" s="3" t="inlineStr">
        <is>
          <t>계획관리지역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360000</v>
      </c>
      <c r="G1414" s="4" t="n">
        <v>3769</v>
      </c>
      <c r="H1414" s="4" t="n">
        <v>1140</v>
      </c>
      <c r="I1414" s="5" t="n">
        <v>315.8</v>
      </c>
      <c r="J1414" s="5" t="n">
        <v>76.3</v>
      </c>
      <c r="K1414" s="3" t="inlineStr">
        <is>
          <t>국가산업단지인근 계획관리지역 분할매매도 가능</t>
        </is>
      </c>
      <c r="L1414" s="6">
        <f>HYPERLINK("https://fin.land.naver.com/articles/2651159468", "매물Link")</f>
        <v/>
      </c>
      <c r="M1414" s="6">
        <f>HYPERLINK("https://map.naver.com/p/search/연서면 와촌리 1183-1", "지도Link")</f>
        <v/>
      </c>
      <c r="N1414" s="6">
        <f>HYPERLINK("http://www.eum.go.kr/web/ar/lu/luLandDet.jsp?pnu=3611036031111830001&amp;isNoScr=script&amp;mode=search", "토지이음")</f>
        <v/>
      </c>
      <c r="O1414" s="3" t="inlineStr">
        <is>
          <t>샘터아이파크시티</t>
        </is>
      </c>
      <c r="P1414" s="4" t="n">
        <v>2</v>
      </c>
      <c r="Q1414" s="4" t="n">
        <v>3769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자루형</t>
        </is>
      </c>
      <c r="V1414" s="3" t="inlineStr">
        <is>
          <t>소로한면</t>
        </is>
      </c>
    </row>
    <row r="1415">
      <c r="A1415" s="3" t="inlineStr">
        <is>
          <t>연서면 와촌리 1185-1</t>
        </is>
      </c>
      <c r="B1415" s="3" t="inlineStr">
        <is>
          <t>계획관리지역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240000</v>
      </c>
      <c r="G1415" s="4" t="n">
        <v>2432</v>
      </c>
      <c r="H1415" s="4" t="n">
        <v>736</v>
      </c>
      <c r="I1415" s="5" t="n">
        <v>326.1</v>
      </c>
      <c r="J1415" s="5" t="n">
        <v>77.09999999999999</v>
      </c>
      <c r="K1415" s="3" t="inlineStr">
        <is>
          <t>계획관리, 성장관리 지역, 2차선 도로 바로 옆 토지, 국가산단 5분거리</t>
        </is>
      </c>
      <c r="L1415" s="6">
        <f>HYPERLINK("https://fin.land.naver.com/articles/2653281350", "매물Link")</f>
        <v/>
      </c>
      <c r="M1415" s="6">
        <f>HYPERLINK("https://map.naver.com/p/search/연서면 와촌리 1185-1", "지도Link")</f>
        <v/>
      </c>
      <c r="N1415" s="6">
        <f>HYPERLINK("http://www.eum.go.kr/web/ar/lu/luLandDet.jsp?pnu=3611036031111850001&amp;isNoScr=script&amp;mode=search", "토지이음")</f>
        <v/>
      </c>
      <c r="O1415" s="3" t="inlineStr">
        <is>
          <t>올바른</t>
        </is>
      </c>
      <c r="P1415" s="4" t="n">
        <v>1</v>
      </c>
      <c r="Q1415" s="4" t="n">
        <v>1660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소로한면</t>
        </is>
      </c>
    </row>
    <row r="1416">
      <c r="A1416" s="3" t="inlineStr">
        <is>
          <t>연서면 와촌리 172-1</t>
        </is>
      </c>
      <c r="B1416" s="3" t="inlineStr">
        <is>
          <t>계획관리지역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270000</v>
      </c>
      <c r="G1416" s="4" t="n">
        <v>2749</v>
      </c>
      <c r="H1416" s="4" t="n">
        <v>832</v>
      </c>
      <c r="I1416" s="5" t="n">
        <v>324.5</v>
      </c>
      <c r="J1416" s="5" t="n">
        <v>57.5</v>
      </c>
      <c r="K1416" s="3" t="inlineStr">
        <is>
          <t>세종 스마트 국가산업단지 길건너 발전가능성 높은 귀한 토지 매도</t>
        </is>
      </c>
      <c r="L1416" s="6">
        <f>HYPERLINK("https://fin.land.naver.com/articles/2654801492", "매물Link")</f>
        <v/>
      </c>
      <c r="M1416" s="6">
        <f>HYPERLINK("https://map.naver.com/p/search/연서면 와촌리 172-1", "지도Link")</f>
        <v/>
      </c>
      <c r="N1416" s="6">
        <f>HYPERLINK("http://www.eum.go.kr/web/ar/lu/luLandDet.jsp?pnu=3611036031101720001&amp;isNoScr=script&amp;mode=search", "토지이음")</f>
        <v/>
      </c>
      <c r="O1416" s="3" t="inlineStr">
        <is>
          <t>번영</t>
        </is>
      </c>
      <c r="P1416" s="4" t="n">
        <v>1</v>
      </c>
      <c r="Q1416" s="4" t="n">
        <v>2749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자루형</t>
        </is>
      </c>
      <c r="V1416" s="3" t="inlineStr">
        <is>
          <t>맹지</t>
        </is>
      </c>
    </row>
    <row r="1417">
      <c r="A1417" s="3" t="inlineStr">
        <is>
          <t>연서면 와촌리 314-2</t>
        </is>
      </c>
      <c r="B1417" s="3" t="inlineStr">
        <is>
          <t>계획관리지역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91683</v>
      </c>
      <c r="G1417" s="4" t="n">
        <v>1656</v>
      </c>
      <c r="H1417" s="4" t="n">
        <v>501</v>
      </c>
      <c r="I1417" s="5" t="n">
        <v>183</v>
      </c>
      <c r="J1417" s="5" t="n">
        <v>63.1</v>
      </c>
      <c r="K1417" s="3" t="inlineStr">
        <is>
          <t>와촌리 급매 투자 및 국가산단 보상 대토 강력 추천 계획관리</t>
        </is>
      </c>
      <c r="L1417" s="6">
        <f>HYPERLINK("https://fin.land.naver.com/articles/2653501223", "매물Link")</f>
        <v/>
      </c>
      <c r="M1417" s="6">
        <f>HYPERLINK("https://map.naver.com/p/search/연서면 와촌리 314-2", "지도Link")</f>
        <v/>
      </c>
      <c r="N1417" s="6">
        <f>HYPERLINK("http://www.eum.go.kr/web/ar/lu/luLandDet.jsp?pnu=3611036031103140002&amp;isNoScr=script&amp;mode=search", "토지이음")</f>
        <v/>
      </c>
      <c r="O1417" s="3" t="inlineStr">
        <is>
          <t>연서</t>
        </is>
      </c>
      <c r="P1417" s="4" t="n">
        <v>1</v>
      </c>
      <c r="Q1417" s="4" t="n">
        <v>1656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와촌리 430-9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110000</v>
      </c>
      <c r="G1418" s="4" t="n">
        <v>3017</v>
      </c>
      <c r="H1418" s="4" t="n">
        <v>913</v>
      </c>
      <c r="I1418" s="5" t="n">
        <v>120.5</v>
      </c>
      <c r="J1418" s="5" t="n">
        <v>40.4</v>
      </c>
      <c r="K1418" s="3" t="inlineStr">
        <is>
          <t>세종스마트산업단지 인접 논답</t>
        </is>
      </c>
      <c r="L1418" s="6">
        <f>HYPERLINK("https://fin.land.naver.com/articles/2651924800", "매물Link")</f>
        <v/>
      </c>
      <c r="M1418" s="6">
        <f>HYPERLINK("https://map.naver.com/p/search/연서면 와촌리 430-9", "지도Link")</f>
        <v/>
      </c>
      <c r="N1418" s="6">
        <f>HYPERLINK("http://www.eum.go.kr/web/ar/lu/luLandDet.jsp?pnu=3611036031104300009&amp;isNoScr=script&amp;mode=search", "토지이음")</f>
        <v/>
      </c>
      <c r="O1418" s="3" t="inlineStr">
        <is>
          <t>강아지풀</t>
        </is>
      </c>
      <c r="P1418" s="4" t="n">
        <v>2</v>
      </c>
      <c r="Q1418" s="4" t="n">
        <v>3017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세로한면(가)</t>
        </is>
      </c>
    </row>
    <row r="1419">
      <c r="A1419" s="3" t="inlineStr">
        <is>
          <t>연서면 와촌리 437-2</t>
        </is>
      </c>
      <c r="B1419" s="3" t="inlineStr">
        <is>
          <t>농림지역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33000</v>
      </c>
      <c r="G1419" s="4" t="n">
        <v>1092</v>
      </c>
      <c r="H1419" s="4" t="n">
        <v>330</v>
      </c>
      <c r="I1419" s="5" t="n">
        <v>100</v>
      </c>
      <c r="J1419" s="5" t="n">
        <v>40.8</v>
      </c>
      <c r="K1419" s="3" t="inlineStr">
        <is>
          <t>세종스마트 국가산업단지 옆 와촌리 토지 급매.</t>
        </is>
      </c>
      <c r="L1419" s="6">
        <f>HYPERLINK("https://fin.land.naver.com/articles/2650939358", "매물Link")</f>
        <v/>
      </c>
      <c r="M1419" s="6">
        <f>HYPERLINK("https://map.naver.com/p/search/연서면 와촌리 437-2", "지도Link")</f>
        <v/>
      </c>
      <c r="N1419" s="6">
        <f>HYPERLINK("http://www.eum.go.kr/web/ar/lu/luLandDet.jsp?pnu=3611036031104370002&amp;isNoScr=script&amp;mode=search", "토지이음")</f>
        <v/>
      </c>
      <c r="O1419" s="3" t="inlineStr">
        <is>
          <t>세종대장</t>
        </is>
      </c>
      <c r="P1419" s="4" t="n">
        <v>1</v>
      </c>
      <c r="Q1419" s="4" t="n">
        <v>1092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세로한면(가)</t>
        </is>
      </c>
    </row>
    <row r="1420">
      <c r="A1420" s="3" t="inlineStr">
        <is>
          <t>연서면 와촌리 437-3</t>
        </is>
      </c>
      <c r="B1420" s="3" t="inlineStr">
        <is>
          <t>농림지역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150000</v>
      </c>
      <c r="G1420" s="4" t="n">
        <v>2991</v>
      </c>
      <c r="H1420" s="4" t="n">
        <v>905</v>
      </c>
      <c r="I1420" s="5" t="n">
        <v>165.7</v>
      </c>
      <c r="J1420" s="5" t="n">
        <v>40.8</v>
      </c>
      <c r="K1420" s="3" t="inlineStr">
        <is>
          <t>조치원산단 인근 농지. 투자용으로 추천</t>
        </is>
      </c>
      <c r="L1420" s="6">
        <f>HYPERLINK("https://fin.land.naver.com/articles/2650858525", "매물Link")</f>
        <v/>
      </c>
      <c r="M1420" s="6">
        <f>HYPERLINK("https://map.naver.com/p/search/연서면 와촌리 437-3", "지도Link")</f>
        <v/>
      </c>
      <c r="N1420" s="6">
        <f>HYPERLINK("http://www.eum.go.kr/web/ar/lu/luLandDet.jsp?pnu=3611036031104370003&amp;isNoScr=script&amp;mode=search", "토지이음")</f>
        <v/>
      </c>
      <c r="O1420" s="3" t="inlineStr">
        <is>
          <t>세종대박</t>
        </is>
      </c>
      <c r="P1420" s="4" t="n">
        <v>1</v>
      </c>
      <c r="Q1420" s="4" t="n">
        <v>2992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세로한면(가)</t>
        </is>
      </c>
    </row>
    <row r="1421">
      <c r="A1421" s="3" t="inlineStr">
        <is>
          <t>연서면 와촌리 438-3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82000</v>
      </c>
      <c r="G1421" s="4" t="n">
        <v>1687</v>
      </c>
      <c r="H1421" s="4" t="n">
        <v>510</v>
      </c>
      <c r="I1421" s="5" t="n">
        <v>160.8</v>
      </c>
      <c r="J1421" s="5" t="n">
        <v>40.4</v>
      </c>
      <c r="K1421" s="3" t="inlineStr">
        <is>
          <t>성토된 농지, 도로접한 전현황</t>
        </is>
      </c>
      <c r="L1421" s="6">
        <f>HYPERLINK("https://fin.land.naver.com/articles/2655032787", "매물Link")</f>
        <v/>
      </c>
      <c r="M1421" s="6">
        <f>HYPERLINK("https://map.naver.com/p/search/연서면 와촌리 438-3", "지도Link")</f>
        <v/>
      </c>
      <c r="N1421" s="6">
        <f>HYPERLINK("http://www.eum.go.kr/web/ar/lu/luLandDet.jsp?pnu=3611036031104380003&amp;isNoScr=script&amp;mode=search", "토지이음")</f>
        <v/>
      </c>
      <c r="O1421" s="3" t="inlineStr">
        <is>
          <t>세종대박</t>
        </is>
      </c>
      <c r="P1421" s="4" t="n">
        <v>1</v>
      </c>
      <c r="Q1421" s="4" t="n">
        <v>1687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세로한면(가)</t>
        </is>
      </c>
    </row>
    <row r="1422">
      <c r="A1422" s="3" t="inlineStr">
        <is>
          <t>연서면 와촌리 858-1</t>
        </is>
      </c>
      <c r="B1422" s="3" t="inlineStr">
        <is>
          <t>계획관리지역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230000</v>
      </c>
      <c r="G1422" s="4" t="n">
        <v>1264</v>
      </c>
      <c r="H1422" s="4" t="n">
        <v>382</v>
      </c>
      <c r="I1422" s="5" t="n">
        <v>602.1</v>
      </c>
      <c r="J1422" s="5" t="n">
        <v>134.5</v>
      </c>
      <c r="K1422" s="3" t="inlineStr">
        <is>
          <t>세종산업단지인근 2차선도로 계획관리지역 토지매매</t>
        </is>
      </c>
      <c r="L1422" s="6">
        <f>HYPERLINK("https://fin.land.naver.com/articles/2652045069", "매물Link")</f>
        <v/>
      </c>
      <c r="M1422" s="6">
        <f>HYPERLINK("https://map.naver.com/p/search/연서면 와촌리 858-1", "지도Link")</f>
        <v/>
      </c>
      <c r="N1422" s="6">
        <f>HYPERLINK("http://www.eum.go.kr/web/ar/lu/luLandDet.jsp?pnu=3611036031108580001&amp;isNoScr=script&amp;mode=search", "토지이음")</f>
        <v/>
      </c>
      <c r="O1422" s="3" t="inlineStr">
        <is>
          <t>에이스</t>
        </is>
      </c>
      <c r="P1422" s="4" t="n">
        <v>1</v>
      </c>
      <c r="Q1422" s="4" t="n">
        <v>548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연서면 와촌리 862-3</t>
        </is>
      </c>
      <c r="B1423" s="3" t="inlineStr">
        <is>
          <t>생산관리지역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90000</v>
      </c>
      <c r="G1423" s="4" t="n">
        <v>661</v>
      </c>
      <c r="H1423" s="4" t="n">
        <v>200</v>
      </c>
      <c r="I1423" s="5" t="n">
        <v>450</v>
      </c>
      <c r="J1423" s="5" t="n">
        <v>63.1</v>
      </c>
      <c r="K1423" s="3" t="inlineStr">
        <is>
          <t>연서면 와촌리 와촌보건소 인근 2차선 도로에 접한 농지 분할 매매 합니다</t>
        </is>
      </c>
      <c r="L1423" s="6">
        <f>HYPERLINK("https://fin.land.naver.com/articles/2652993287", "매물Link")</f>
        <v/>
      </c>
      <c r="M1423" s="6">
        <f>HYPERLINK("https://map.naver.com/p/search/연서면 와촌리 862-3", "지도Link")</f>
        <v/>
      </c>
      <c r="N1423" s="6">
        <f>HYPERLINK("http://www.eum.go.kr/web/ar/lu/luLandDet.jsp?pnu=3611036031108620003&amp;isNoScr=script&amp;mode=search", "토지이음")</f>
        <v/>
      </c>
      <c r="O1423" s="3" t="inlineStr">
        <is>
          <t>스마일세종</t>
        </is>
      </c>
      <c r="P1423" s="4" t="n">
        <v>1</v>
      </c>
      <c r="Q1423" s="4" t="n">
        <v>3171</v>
      </c>
      <c r="R1423" s="3" t="inlineStr">
        <is>
          <t>보전관리지역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연서면 와촌리 866-4</t>
        </is>
      </c>
      <c r="B1424" s="3" t="inlineStr">
        <is>
          <t>생산관리지역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40000</v>
      </c>
      <c r="G1424" s="4" t="n">
        <v>662</v>
      </c>
      <c r="H1424" s="4" t="n">
        <v>200</v>
      </c>
      <c r="I1424" s="5" t="n">
        <v>200</v>
      </c>
      <c r="J1424" s="5" t="n">
        <v>60.6</v>
      </c>
      <c r="K1424" s="3" t="inlineStr">
        <is>
          <t>스마트국가산단 인근 생산관리 토지</t>
        </is>
      </c>
      <c r="L1424" s="6">
        <f>HYPERLINK("https://fin.land.naver.com/articles/2649915561", "매물Link")</f>
        <v/>
      </c>
      <c r="M1424" s="6">
        <f>HYPERLINK("https://map.naver.com/p/search/연서면 와촌리 866-4", "지도Link")</f>
        <v/>
      </c>
      <c r="N1424" s="6">
        <f>HYPERLINK("http://www.eum.go.kr/web/ar/lu/luLandDet.jsp?pnu=3611036031108660004&amp;isNoScr=script&amp;mode=search",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214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소로한면</t>
        </is>
      </c>
    </row>
    <row r="1425">
      <c r="A1425" s="3" t="inlineStr">
        <is>
          <t>연서면 와촌리 955-2</t>
        </is>
      </c>
      <c r="B1425" s="3" t="inlineStr">
        <is>
          <t>생산관리지역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238100</v>
      </c>
      <c r="G1425" s="4" t="n">
        <v>7871</v>
      </c>
      <c r="H1425" s="4" t="n">
        <v>2381</v>
      </c>
      <c r="I1425" s="5" t="n">
        <v>100</v>
      </c>
      <c r="J1425" s="5" t="n">
        <v>40.5</v>
      </c>
      <c r="K1425" s="3" t="inlineStr">
        <is>
          <t>국가산업단지 인근의 가장 저렴한 과수원</t>
        </is>
      </c>
      <c r="L1425" s="6">
        <f>HYPERLINK("https://fin.land.naver.com/articles/2651948883", "매물Link")</f>
        <v/>
      </c>
      <c r="M1425" s="6">
        <f>HYPERLINK("https://map.naver.com/p/search/연서면 와촌리 955-2", "지도Link")</f>
        <v/>
      </c>
      <c r="N1425" s="6">
        <f>HYPERLINK("http://www.eum.go.kr/web/ar/lu/luLandDet.jsp?pnu=3611036031109550002&amp;isNoScr=script&amp;mode=search", "토지이음")</f>
        <v/>
      </c>
      <c r="O1425" s="3" t="inlineStr">
        <is>
          <t>용궁</t>
        </is>
      </c>
      <c r="P1425" s="4" t="n">
        <v>1</v>
      </c>
      <c r="Q1425" s="4" t="n">
        <v>2364</v>
      </c>
      <c r="R1425" s="3" t="inlineStr">
        <is>
          <t>지정되지않음</t>
        </is>
      </c>
      <c r="S1425" s="3" t="inlineStr">
        <is>
          <t>전기타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와촌리 963</t>
        </is>
      </c>
      <c r="B1426" s="3" t="inlineStr">
        <is>
          <t>생산관리지역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943200</v>
      </c>
      <c r="G1426" s="4" t="n">
        <v>15593</v>
      </c>
      <c r="H1426" s="4" t="n">
        <v>4717</v>
      </c>
      <c r="I1426" s="5" t="n">
        <v>200</v>
      </c>
      <c r="J1426" s="5" t="n">
        <v>50.3</v>
      </c>
      <c r="K1426" s="3" t="inlineStr">
        <is>
          <t>국가산업단지 길목, 수혜지역.투자용,상업용,산업용 용도 다양</t>
        </is>
      </c>
      <c r="L1426" s="6">
        <f>HYPERLINK("https://fin.land.naver.com/articles/2651168285", "매물Link")</f>
        <v/>
      </c>
      <c r="M1426" s="6">
        <f>HYPERLINK("https://map.naver.com/p/search/연서면 와촌리 963", "지도Link")</f>
        <v/>
      </c>
      <c r="N1426" s="6">
        <f>HYPERLINK("http://www.eum.go.kr/web/ar/lu/luLandDet.jsp?pnu=3611036031109630000&amp;isNoScr=script&amp;mode=search", "토지이음")</f>
        <v/>
      </c>
      <c r="O1426" s="3" t="inlineStr">
        <is>
          <t>세종시해냄공인</t>
        </is>
      </c>
      <c r="P1426" s="4" t="n">
        <v>1</v>
      </c>
      <c r="Q1426" s="4" t="n">
        <v>2199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와촌리 산112-3</t>
        </is>
      </c>
      <c r="B1427" s="3" t="inlineStr">
        <is>
          <t>농림지역</t>
        </is>
      </c>
      <c r="C1427" s="3" t="inlineStr">
        <is>
          <t>임야</t>
        </is>
      </c>
      <c r="D1427" s="3" t="inlineStr">
        <is>
          <t>임야</t>
        </is>
      </c>
      <c r="E1427" s="3" t="inlineStr">
        <is>
          <t>매매</t>
        </is>
      </c>
      <c r="F1427" s="4" t="n">
        <v>140000</v>
      </c>
      <c r="G1427" s="4" t="n">
        <v>23140</v>
      </c>
      <c r="H1427" s="4" t="n">
        <v>7000</v>
      </c>
      <c r="I1427" s="5" t="n">
        <v>20</v>
      </c>
      <c r="J1427" s="5" t="n">
        <v>3.9</v>
      </c>
      <c r="K1427" s="3" t="inlineStr">
        <is>
          <t>장기투자 개발 하기 좋은 세종시 토지 매매</t>
        </is>
      </c>
      <c r="L1427" s="6">
        <f>HYPERLINK("https://fin.land.naver.com/articles/2652667739", "매물Link")</f>
        <v/>
      </c>
      <c r="M1427" s="6">
        <f>HYPERLINK("https://map.naver.com/p/search/연서면 와촌리 산112-3", "지도Link")</f>
        <v/>
      </c>
      <c r="N1427" s="6">
        <f>HYPERLINK("http://www.eum.go.kr/web/ar/lu/luLandDet.jsp?pnu=3611036031201120003&amp;isNoScr=script&amp;mode=search", "토지이음")</f>
        <v/>
      </c>
      <c r="O1427" s="3" t="inlineStr">
        <is>
          <t>(주)정민근</t>
        </is>
      </c>
      <c r="P1427" s="4" t="n">
        <v>1</v>
      </c>
      <c r="Q1427" s="4" t="n">
        <v>16528</v>
      </c>
      <c r="R1427" s="3" t="inlineStr">
        <is>
          <t>보전관리지역</t>
        </is>
      </c>
      <c r="S1427" s="3" t="inlineStr">
        <is>
          <t>자연림</t>
        </is>
      </c>
      <c r="T1427" s="3" t="inlineStr">
        <is>
          <t>급경사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연서면 와촌리 산135</t>
        </is>
      </c>
      <c r="B1428" s="3" t="inlineStr">
        <is>
          <t>농림지역</t>
        </is>
      </c>
      <c r="C1428" s="3" t="inlineStr">
        <is>
          <t>임야</t>
        </is>
      </c>
      <c r="D1428" s="3" t="inlineStr">
        <is>
          <t>임야</t>
        </is>
      </c>
      <c r="E1428" s="3" t="inlineStr">
        <is>
          <t>매매</t>
        </is>
      </c>
      <c r="F1428" s="4" t="n">
        <v>19500</v>
      </c>
      <c r="G1428" s="4" t="n">
        <v>6446</v>
      </c>
      <c r="H1428" s="4" t="n">
        <v>1950</v>
      </c>
      <c r="I1428" s="5" t="n">
        <v>10</v>
      </c>
      <c r="J1428" s="5" t="n">
        <v>3.5</v>
      </c>
      <c r="K1428" s="3" t="inlineStr">
        <is>
          <t>임업용산지</t>
        </is>
      </c>
      <c r="L1428" s="6">
        <f>HYPERLINK("https://fin.land.naver.com/articles/2651849805", "매물Link")</f>
        <v/>
      </c>
      <c r="M1428" s="6">
        <f>HYPERLINK("https://map.naver.com/p/search/연서면 와촌리 산135", "지도Link")</f>
        <v/>
      </c>
      <c r="N1428" s="6">
        <f>HYPERLINK("http://www.eum.go.kr/web/ar/lu/luLandDet.jsp?pnu=3611036031201350000&amp;isNoScr=script&amp;mode=search", "토지이음")</f>
        <v/>
      </c>
      <c r="O1428" s="3" t="inlineStr">
        <is>
          <t>세종소담114</t>
        </is>
      </c>
      <c r="P1428" s="4" t="n">
        <v>1</v>
      </c>
      <c r="Q1428" s="4" t="n">
        <v>6446</v>
      </c>
      <c r="R1428" s="3" t="inlineStr">
        <is>
          <t>지정되지않음</t>
        </is>
      </c>
      <c r="S1428" s="3" t="inlineStr">
        <is>
          <t>자연림</t>
        </is>
      </c>
      <c r="T1428" s="3" t="inlineStr">
        <is>
          <t>급경사</t>
        </is>
      </c>
      <c r="U1428" s="3" t="inlineStr">
        <is>
          <t>부정형</t>
        </is>
      </c>
      <c r="V1428" s="3" t="inlineStr">
        <is>
          <t>맹지</t>
        </is>
      </c>
    </row>
    <row r="1429">
      <c r="A1429" s="3" t="inlineStr">
        <is>
          <t>연서면 와촌리 산161</t>
        </is>
      </c>
      <c r="B1429" s="3" t="inlineStr">
        <is>
          <t>보전관리지역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60000</v>
      </c>
      <c r="G1429" s="4" t="n">
        <v>5752</v>
      </c>
      <c r="H1429" s="4" t="n">
        <v>1740</v>
      </c>
      <c r="I1429" s="5" t="n">
        <v>34.5</v>
      </c>
      <c r="J1429" s="5" t="n">
        <v>5.7</v>
      </c>
      <c r="K1429" s="3" t="inlineStr">
        <is>
          <t>세종시 연서면 와촌리 임야매매.35만원</t>
        </is>
      </c>
      <c r="L1429" s="6">
        <f>HYPERLINK("https://fin.land.naver.com/articles/2652496113", "매물Link")</f>
        <v/>
      </c>
      <c r="M1429" s="6">
        <f>HYPERLINK("https://map.naver.com/p/search/연서면 와촌리 산161", "지도Link")</f>
        <v/>
      </c>
      <c r="N1429" s="6">
        <f>HYPERLINK("http://www.eum.go.kr/web/ar/lu/luLandDet.jsp?pnu=3611036031201610000&amp;isNoScr=script&amp;mode=search", "토지이음")</f>
        <v/>
      </c>
      <c r="O1429" s="3" t="inlineStr">
        <is>
          <t>동원</t>
        </is>
      </c>
      <c r="P1429" s="4" t="n">
        <v>1</v>
      </c>
      <c r="Q1429" s="4" t="n">
        <v>5752</v>
      </c>
      <c r="R1429" s="3" t="inlineStr">
        <is>
          <t>지정되지않음</t>
        </is>
      </c>
      <c r="S1429" s="3" t="inlineStr">
        <is>
          <t>자연림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연서면 와촌리 산209</t>
        </is>
      </c>
      <c r="B1430" s="3" t="inlineStr">
        <is>
          <t>일반공업지역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92000</v>
      </c>
      <c r="G1430" s="4" t="n">
        <v>4670</v>
      </c>
      <c r="H1430" s="4" t="n">
        <v>1413</v>
      </c>
      <c r="I1430" s="5" t="n">
        <v>65.09999999999999</v>
      </c>
      <c r="J1430" s="5" t="n">
        <v>49.3</v>
      </c>
      <c r="K1430" s="3" t="inlineStr">
        <is>
          <t>산업단지 확장을 대비한 토지거래허가구역의 마을 앞 야산으로투자전망 좋음</t>
        </is>
      </c>
      <c r="L1430" s="6">
        <f>HYPERLINK("https://fin.land.naver.com/articles/2650742264", "매물Link")</f>
        <v/>
      </c>
      <c r="M1430" s="6">
        <f>HYPERLINK("https://map.naver.com/p/search/연서면 와촌리 산209", "지도Link")</f>
        <v/>
      </c>
      <c r="N1430" s="6">
        <f>HYPERLINK("http://www.eum.go.kr/web/ar/lu/luLandDet.jsp?pnu=3611036031202090000&amp;isNoScr=script&amp;mode=search", "토지이음")</f>
        <v/>
      </c>
      <c r="O1430" s="3" t="inlineStr">
        <is>
          <t>성실</t>
        </is>
      </c>
      <c r="P1430" s="4" t="n">
        <v>1</v>
      </c>
      <c r="Q1430" s="4" t="n">
        <v>4675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세로한면(불)</t>
        </is>
      </c>
    </row>
    <row r="1431">
      <c r="A1431" s="3" t="inlineStr">
        <is>
          <t>연서면 와촌리 산96-15</t>
        </is>
      </c>
      <c r="B1431" s="3" t="inlineStr">
        <is>
          <t>보전관리지역</t>
        </is>
      </c>
      <c r="C1431" s="3" t="inlineStr">
        <is>
          <t>임야</t>
        </is>
      </c>
      <c r="D1431" s="3" t="inlineStr">
        <is>
          <t>임야</t>
        </is>
      </c>
      <c r="E1431" s="3" t="inlineStr">
        <is>
          <t>매매</t>
        </is>
      </c>
      <c r="F1431" s="4" t="n">
        <v>178790</v>
      </c>
      <c r="G1431" s="4" t="n">
        <v>6221</v>
      </c>
      <c r="H1431" s="4" t="n">
        <v>1882</v>
      </c>
      <c r="I1431" s="5" t="n">
        <v>95</v>
      </c>
      <c r="J1431" s="5" t="n">
        <v>5.6</v>
      </c>
      <c r="K1431" s="3" t="inlineStr">
        <is>
          <t>세종국가산업단지 예정지와 근접하며 향후 개발가능성 높은 임야,6생활권인접</t>
        </is>
      </c>
      <c r="L1431" s="6">
        <f>HYPERLINK("https://fin.land.naver.com/articles/2654514834", "매물Link")</f>
        <v/>
      </c>
      <c r="M1431" s="6">
        <f>HYPERLINK("https://map.naver.com/p/search/연서면 와촌리 산96-15", "지도Link")</f>
        <v/>
      </c>
      <c r="N1431" s="6">
        <f>HYPERLINK("http://www.eum.go.kr/web/ar/lu/luLandDet.jsp?pnu=3611036031200960015&amp;isNoScr=script&amp;mode=search", "토지이음")</f>
        <v/>
      </c>
      <c r="O1431" s="3" t="inlineStr">
        <is>
          <t>담뜰</t>
        </is>
      </c>
      <c r="P1431" s="4" t="n">
        <v>1</v>
      </c>
      <c r="Q1431" s="4" t="n">
        <v>6221</v>
      </c>
      <c r="R1431" s="3" t="inlineStr">
        <is>
          <t>지정되지않음</t>
        </is>
      </c>
      <c r="S1431" s="3" t="inlineStr">
        <is>
          <t>자연림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맹지</t>
        </is>
      </c>
    </row>
    <row r="1432">
      <c r="A1432" s="3" t="inlineStr">
        <is>
          <t>연서면 용암리 166-5</t>
        </is>
      </c>
      <c r="B1432" s="3" t="inlineStr">
        <is>
          <t>계획관리지역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304800</v>
      </c>
      <c r="G1432" s="4" t="n">
        <v>869</v>
      </c>
      <c r="H1432" s="4" t="n">
        <v>263</v>
      </c>
      <c r="I1432" s="5" t="n">
        <v>1158.9</v>
      </c>
      <c r="J1432" s="5" t="n">
        <v>220.9</v>
      </c>
      <c r="K1432" s="3" t="inlineStr">
        <is>
          <t>와촌리 국가산업단지와 가까움, 2차선변 주차용이,투자로최고</t>
        </is>
      </c>
      <c r="L1432" s="6">
        <f>HYPERLINK("https://fin.land.naver.com/articles/2653880460", "매물Link")</f>
        <v/>
      </c>
      <c r="M1432" s="6">
        <f>HYPERLINK("https://map.naver.com/p/search/연서면 용암리 166-5", "지도Link")</f>
        <v/>
      </c>
      <c r="N1432" s="6">
        <f>HYPERLINK("http://www.eum.go.kr/web/ar/lu/luLandDet.jsp?pnu=3611036025101660005&amp;isNoScr=script&amp;mode=search", "토지이음")</f>
        <v/>
      </c>
      <c r="O1432" s="3" t="inlineStr">
        <is>
          <t>세종공주제일</t>
        </is>
      </c>
      <c r="P1432" s="4" t="n">
        <v>1</v>
      </c>
      <c r="Q1432" s="4" t="n">
        <v>869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용암리 212-11</t>
        </is>
      </c>
      <c r="B1433" s="3" t="inlineStr">
        <is>
          <t>자연환경보전지역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89000</v>
      </c>
      <c r="G1433" s="4" t="n">
        <v>1484</v>
      </c>
      <c r="H1433" s="4" t="n">
        <v>449</v>
      </c>
      <c r="I1433" s="5" t="n">
        <v>198.2</v>
      </c>
      <c r="J1433" s="5" t="n">
        <v>42.3</v>
      </c>
      <c r="K1433" s="3" t="inlineStr">
        <is>
          <t>고복저수지 월하천변 농지. 경치좋은 지역. 서울세종간고속도로인근</t>
        </is>
      </c>
      <c r="L1433" s="6">
        <f>HYPERLINK("https://fin.land.naver.com/articles/2649914984", "매물Link")</f>
        <v/>
      </c>
      <c r="M1433" s="6">
        <f>HYPERLINK("https://map.naver.com/p/search/연서면 용암리 212-11", "지도Link")</f>
        <v/>
      </c>
      <c r="N1433" s="6">
        <f>HYPERLINK("http://www.eum.go.kr/web/ar/lu/luLandDet.jsp?pnu=3611036025102120011&amp;isNoScr=script&amp;mode=search", "토지이음")</f>
        <v/>
      </c>
      <c r="O1433" s="3" t="inlineStr">
        <is>
          <t>미스터홈즈강남지사</t>
        </is>
      </c>
      <c r="P1433" s="4" t="n">
        <v>1</v>
      </c>
      <c r="Q1433" s="4" t="n">
        <v>1484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연서면 용암리 216-5</t>
        </is>
      </c>
      <c r="B1434" s="3" t="inlineStr">
        <is>
          <t>생산관리지역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58000</v>
      </c>
      <c r="G1434" s="4" t="n">
        <v>1059</v>
      </c>
      <c r="H1434" s="4" t="n">
        <v>320</v>
      </c>
      <c r="I1434" s="5" t="n">
        <v>181.2</v>
      </c>
      <c r="J1434" s="5" t="n">
        <v>116.5</v>
      </c>
      <c r="K1434" s="3" t="inlineStr">
        <is>
          <t>급매, 조율도가능, 건축 휴게음식점 가능</t>
        </is>
      </c>
      <c r="L1434" s="6">
        <f>HYPERLINK("https://fin.land.naver.com/articles/2650890760", "매물Link")</f>
        <v/>
      </c>
      <c r="M1434" s="6">
        <f>HYPERLINK("https://map.naver.com/p/search/연서면 용암리 216-5", "지도Link")</f>
        <v/>
      </c>
      <c r="N1434" s="6">
        <f>HYPERLINK("http://www.eum.go.kr/web/ar/lu/luLandDet.jsp?pnu=3611036025102160005&amp;isNoScr=script&amp;mode=search",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858</v>
      </c>
      <c r="R1434" s="3" t="inlineStr">
        <is>
          <t>자연환경보전지역</t>
        </is>
      </c>
      <c r="S1434" s="3" t="inlineStr">
        <is>
          <t>주상기타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소로한면</t>
        </is>
      </c>
    </row>
    <row r="1435">
      <c r="A1435" s="3" t="inlineStr">
        <is>
          <t>연서면 용암리 225-12</t>
        </is>
      </c>
      <c r="B1435" s="3" t="inlineStr">
        <is>
          <t>농림지역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151000</v>
      </c>
      <c r="G1435" s="4" t="n">
        <v>6254</v>
      </c>
      <c r="H1435" s="4" t="n">
        <v>1892</v>
      </c>
      <c r="I1435" s="5" t="n">
        <v>79.8</v>
      </c>
      <c r="J1435" s="5" t="n">
        <v>30</v>
      </c>
      <c r="K1435" s="3" t="inlineStr">
        <is>
          <t>고복저수지 인근 용암리 도로접한 농업보호구역 토지 급매.</t>
        </is>
      </c>
      <c r="L1435" s="6">
        <f>HYPERLINK("https://fin.land.naver.com/articles/2654658498", "매물Link")</f>
        <v/>
      </c>
      <c r="M1435" s="6">
        <f>HYPERLINK("https://map.naver.com/p/search/연서면 용암리 225-12", "지도Link")</f>
        <v/>
      </c>
      <c r="N1435" s="6">
        <f>HYPERLINK("http://www.eum.go.kr/web/ar/lu/luLandDet.jsp?pnu=3611036025102250012&amp;isNoScr=script&amp;mode=search", "토지이음")</f>
        <v/>
      </c>
      <c r="O1435" s="3" t="inlineStr">
        <is>
          <t>세종대장</t>
        </is>
      </c>
      <c r="P1435" s="4" t="n">
        <v>1</v>
      </c>
      <c r="Q1435" s="4" t="n">
        <v>3198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연서면 용암리 229-1</t>
        </is>
      </c>
      <c r="B1436" s="3" t="inlineStr">
        <is>
          <t>농림지역</t>
        </is>
      </c>
      <c r="C1436" s="3" t="inlineStr">
        <is>
          <t>목장용지</t>
        </is>
      </c>
      <c r="D1436" s="3" t="inlineStr">
        <is>
          <t>목장용지</t>
        </is>
      </c>
      <c r="E1436" s="3" t="inlineStr">
        <is>
          <t>매매</t>
        </is>
      </c>
      <c r="F1436" s="4" t="n">
        <v>42000</v>
      </c>
      <c r="G1436" s="4" t="n">
        <v>929</v>
      </c>
      <c r="H1436" s="4" t="n">
        <v>281</v>
      </c>
      <c r="I1436" s="5" t="n">
        <v>149.5</v>
      </c>
      <c r="J1436" s="5" t="n">
        <v>35</v>
      </c>
      <c r="K1436" s="3" t="inlineStr">
        <is>
          <t>고복저수지 인근, 연기휴게소 근처임. 넓은국유지접함</t>
        </is>
      </c>
      <c r="L1436" s="6">
        <f>HYPERLINK("https://fin.land.naver.com/articles/2652121887", "매물Link")</f>
        <v/>
      </c>
      <c r="M1436" s="6">
        <f>HYPERLINK("https://map.naver.com/p/search/연서면 용암리 229-1", "지도Link")</f>
        <v/>
      </c>
      <c r="N1436" s="6">
        <f>HYPERLINK("http://www.eum.go.kr/web/ar/lu/luLandDet.jsp?pnu=3611036025102290001&amp;isNoScr=script&amp;mode=search", "토지이음")</f>
        <v/>
      </c>
      <c r="O1436" s="3" t="inlineStr">
        <is>
          <t>미스터홈즈강남지사</t>
        </is>
      </c>
      <c r="P1436" s="4" t="n">
        <v>1</v>
      </c>
      <c r="Q1436" s="4" t="n">
        <v>929</v>
      </c>
      <c r="R1436" s="3" t="inlineStr">
        <is>
          <t>생산관리지역</t>
        </is>
      </c>
      <c r="S1436" s="3" t="inlineStr">
        <is>
          <t>전기타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용암리 239-11</t>
        </is>
      </c>
      <c r="B1437" s="3" t="inlineStr">
        <is>
          <t>생산관리지역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24000</v>
      </c>
      <c r="G1437" s="4" t="n">
        <v>577</v>
      </c>
      <c r="H1437" s="4" t="n">
        <v>175</v>
      </c>
      <c r="I1437" s="5" t="n">
        <v>137.1</v>
      </c>
      <c r="J1437" s="5" t="n">
        <v>43.2</v>
      </c>
      <c r="K1437" s="3" t="inlineStr">
        <is>
          <t>nan</t>
        </is>
      </c>
      <c r="L1437" s="6">
        <f>HYPERLINK("https://fin.land.naver.com/articles/2654421128", "매물Link")</f>
        <v/>
      </c>
      <c r="M1437" s="6">
        <f>HYPERLINK("https://map.naver.com/p/search/연서면 용암리 239-11", "지도Link")</f>
        <v/>
      </c>
      <c r="N1437" s="6">
        <f>HYPERLINK("http://www.eum.go.kr/web/ar/lu/luLandDet.jsp?pnu=3611036025102390011&amp;isNoScr=script&amp;mode=search", "토지이음")</f>
        <v/>
      </c>
      <c r="O1437" s="3" t="inlineStr">
        <is>
          <t>그래그</t>
        </is>
      </c>
      <c r="P1437" s="4" t="n">
        <v>2</v>
      </c>
      <c r="Q1437" s="4" t="n">
        <v>577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세로한면(불)</t>
        </is>
      </c>
    </row>
    <row r="1438">
      <c r="A1438" s="3" t="inlineStr">
        <is>
          <t>연서면 용암리 239-3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59000</v>
      </c>
      <c r="G1438" s="4" t="n">
        <v>1443</v>
      </c>
      <c r="H1438" s="4" t="n">
        <v>437</v>
      </c>
      <c r="I1438" s="5" t="n">
        <v>135</v>
      </c>
      <c r="J1438" s="5" t="n">
        <v>45.4</v>
      </c>
      <c r="K1438" s="3" t="inlineStr">
        <is>
          <t>nan</t>
        </is>
      </c>
      <c r="L1438" s="6">
        <f>HYPERLINK("https://fin.land.naver.com/articles/2654420880", "매물Link")</f>
        <v/>
      </c>
      <c r="M1438" s="6">
        <f>HYPERLINK("https://map.naver.com/p/search/연서면 용암리 239-3", "지도Link")</f>
        <v/>
      </c>
      <c r="N1438" s="6">
        <f>HYPERLINK("http://www.eum.go.kr/web/ar/lu/luLandDet.jsp?pnu=3611036025102390003&amp;isNoScr=script&amp;mode=search", "토지이음")</f>
        <v/>
      </c>
      <c r="O1438" s="3" t="inlineStr">
        <is>
          <t>그래그</t>
        </is>
      </c>
      <c r="P1438" s="4" t="n">
        <v>1</v>
      </c>
      <c r="Q1438" s="4" t="n">
        <v>1443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세로한면(불)</t>
        </is>
      </c>
    </row>
    <row r="1439">
      <c r="A1439" s="3" t="inlineStr">
        <is>
          <t>연서면 용암리 245-2</t>
        </is>
      </c>
      <c r="B1439" s="3" t="inlineStr">
        <is>
          <t>농림지역</t>
        </is>
      </c>
      <c r="C1439" s="3" t="inlineStr">
        <is>
          <t>잡종지</t>
        </is>
      </c>
      <c r="D1439" s="3" t="inlineStr">
        <is>
          <t>잡종지</t>
        </is>
      </c>
      <c r="E1439" s="3" t="inlineStr">
        <is>
          <t>매매</t>
        </is>
      </c>
      <c r="F1439" s="4" t="n">
        <v>323000</v>
      </c>
      <c r="G1439" s="4" t="n">
        <v>17797</v>
      </c>
      <c r="H1439" s="4" t="n">
        <v>5384</v>
      </c>
      <c r="I1439" s="5" t="n">
        <v>60</v>
      </c>
      <c r="J1439" s="5" t="n">
        <v>37.9</v>
      </c>
      <c r="K1439" s="3" t="inlineStr">
        <is>
          <t>태양광 시설 및 경사도 없는 야산으로 태양광 시설을 확장할 수 있는 임야</t>
        </is>
      </c>
      <c r="L1439" s="6">
        <f>HYPERLINK("https://fin.land.naver.com/articles/2651949989", "매물Link")</f>
        <v/>
      </c>
      <c r="M1439" s="6">
        <f>HYPERLINK("https://map.naver.com/p/search/연서면 용암리 245-2", "지도Link")</f>
        <v/>
      </c>
      <c r="N1439" s="6">
        <f>HYPERLINK("http://www.eum.go.kr/web/ar/lu/luLandDet.jsp?pnu=3611036025102450002&amp;isNoScr=script&amp;mode=search",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4332</v>
      </c>
      <c r="R1439" s="3" t="inlineStr">
        <is>
          <t>지정되지않음</t>
        </is>
      </c>
      <c r="S1439" s="3" t="inlineStr">
        <is>
          <t>태양광발전소부지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용암리 283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16300</v>
      </c>
      <c r="G1440" s="4" t="n">
        <v>770</v>
      </c>
      <c r="H1440" s="4" t="n">
        <v>233</v>
      </c>
      <c r="I1440" s="5" t="n">
        <v>70</v>
      </c>
      <c r="J1440" s="5" t="n">
        <v>20.7</v>
      </c>
      <c r="K1440" s="3" t="inlineStr">
        <is>
          <t>세종시 휴게소 예정지 인근 토지매매, 과수원매매</t>
        </is>
      </c>
      <c r="L1440" s="6">
        <f>HYPERLINK("https://fin.land.naver.com/articles/2652362367", "매물Link")</f>
        <v/>
      </c>
      <c r="M1440" s="6">
        <f>HYPERLINK("https://map.naver.com/p/search/연서면 용암리 283", "지도Link")</f>
        <v/>
      </c>
      <c r="N1440" s="6">
        <f>HYPERLINK("http://www.eum.go.kr/web/ar/lu/luLandDet.jsp?pnu=3611036025102830000&amp;isNoScr=script&amp;mode=search", "토지이음")</f>
        <v/>
      </c>
      <c r="O1440" s="3" t="inlineStr">
        <is>
          <t>유성대박</t>
        </is>
      </c>
      <c r="P1440" s="4" t="n">
        <v>1</v>
      </c>
      <c r="Q1440" s="4" t="n">
        <v>770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용암리 295</t>
        </is>
      </c>
      <c r="B1441" s="3" t="inlineStr">
        <is>
          <t>생산관리지역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31150</v>
      </c>
      <c r="G1441" s="4" t="n">
        <v>1471</v>
      </c>
      <c r="H1441" s="4" t="n">
        <v>445</v>
      </c>
      <c r="I1441" s="5" t="n">
        <v>70</v>
      </c>
      <c r="J1441" s="5" t="n">
        <v>17.6</v>
      </c>
      <c r="K1441" s="3" t="inlineStr">
        <is>
          <t>세종시 고속도로 휴게소 예정지 인근 토지매매</t>
        </is>
      </c>
      <c r="L1441" s="6">
        <f>HYPERLINK("https://fin.land.naver.com/articles/2652364710", "매물Link")</f>
        <v/>
      </c>
      <c r="M1441" s="6">
        <f>HYPERLINK("https://map.naver.com/p/search/연서면 용암리 295", "지도Link")</f>
        <v/>
      </c>
      <c r="N1441" s="6">
        <f>HYPERLINK("http://www.eum.go.kr/web/ar/lu/luLandDet.jsp?pnu=3611036025102950000&amp;isNoScr=script&amp;mode=search", "토지이음")</f>
        <v/>
      </c>
      <c r="O1441" s="3" t="inlineStr">
        <is>
          <t>유성대박</t>
        </is>
      </c>
      <c r="P1441" s="4" t="n">
        <v>1</v>
      </c>
      <c r="Q1441" s="4" t="n">
        <v>1471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완경사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연서면 용암리 296</t>
        </is>
      </c>
      <c r="B1442" s="3" t="inlineStr">
        <is>
          <t>생산관리지역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41000</v>
      </c>
      <c r="G1442" s="4" t="n">
        <v>1921</v>
      </c>
      <c r="H1442" s="4" t="n">
        <v>581</v>
      </c>
      <c r="I1442" s="5" t="n">
        <v>70.59999999999999</v>
      </c>
      <c r="J1442" s="5" t="n">
        <v>20.7</v>
      </c>
      <c r="K1442" s="3" t="inlineStr">
        <is>
          <t>세종시 토지매매. 휴게소 예정지 인근</t>
        </is>
      </c>
      <c r="L1442" s="6">
        <f>HYPERLINK("https://fin.land.naver.com/articles/2652374689", "매물Link")</f>
        <v/>
      </c>
      <c r="M1442" s="6">
        <f>HYPERLINK("https://map.naver.com/p/search/연서면 용암리 296", "지도Link")</f>
        <v/>
      </c>
      <c r="N1442" s="6">
        <f>HYPERLINK("http://www.eum.go.kr/web/ar/lu/luLandDet.jsp?pnu=3611036025102960000&amp;isNoScr=script&amp;mode=search", "토지이음")</f>
        <v/>
      </c>
      <c r="O1442" s="3" t="inlineStr">
        <is>
          <t>유성대박</t>
        </is>
      </c>
      <c r="P1442" s="4" t="n">
        <v>1</v>
      </c>
      <c r="Q1442" s="4" t="n">
        <v>1921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용암리 45-23</t>
        </is>
      </c>
      <c r="B1443" s="3" t="inlineStr">
        <is>
          <t>농림지역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40000</v>
      </c>
      <c r="G1443" s="4" t="n">
        <v>335</v>
      </c>
      <c r="H1443" s="4" t="n">
        <v>101</v>
      </c>
      <c r="I1443" s="5" t="n">
        <v>396</v>
      </c>
      <c r="J1443" s="5" t="n">
        <v>35.7</v>
      </c>
      <c r="K1443" s="3" t="inlineStr">
        <is>
          <t>고복저수지 뷰 도로에접한 저렴한 토지</t>
        </is>
      </c>
      <c r="L1443" s="6">
        <f>HYPERLINK("https://fin.land.naver.com/articles/2650856648", "매물Link")</f>
        <v/>
      </c>
      <c r="M1443" s="6">
        <f>HYPERLINK("https://map.naver.com/p/search/연서면 용암리 45-23", "지도Link")</f>
        <v/>
      </c>
      <c r="N1443" s="6">
        <f>HYPERLINK("http://www.eum.go.kr/web/ar/lu/luLandDet.jsp?pnu=3611036025100450023&amp;isNoScr=script&amp;mode=search", "토지이음")</f>
        <v/>
      </c>
      <c r="O1443" s="3" t="inlineStr">
        <is>
          <t>세종대박</t>
        </is>
      </c>
      <c r="P1443" s="4" t="n">
        <v>1</v>
      </c>
      <c r="Q1443" s="4" t="n">
        <v>335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연서면 용암리 산28-16</t>
        </is>
      </c>
      <c r="B1444" s="3" t="inlineStr">
        <is>
          <t>농림지역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73000</v>
      </c>
      <c r="G1444" s="4" t="n">
        <v>3377</v>
      </c>
      <c r="H1444" s="4" t="n">
        <v>1022</v>
      </c>
      <c r="I1444" s="5" t="n">
        <v>71.40000000000001</v>
      </c>
      <c r="J1444" s="5" t="n">
        <v>2.3</v>
      </c>
      <c r="K1444" s="3" t="inlineStr">
        <is>
          <t>세종 연서면 약 10만평 대규모 토지 통매매｜대단위 부지 찾는 분 주목</t>
        </is>
      </c>
      <c r="L1444" s="6">
        <f>HYPERLINK("https://fin.land.naver.com/articles/2652337059", "매물Link")</f>
        <v/>
      </c>
      <c r="M1444" s="6">
        <f>HYPERLINK("https://map.naver.com/p/search/연서면 용암리 산28-16", "지도Link")</f>
        <v/>
      </c>
      <c r="N1444" s="6">
        <f>HYPERLINK("http://www.eum.go.kr/web/ar/lu/luLandDet.jsp?pnu=3611036025200280016&amp;isNoScr=script&amp;mode=search", "토지이음")</f>
        <v/>
      </c>
      <c r="O1444" s="3" t="inlineStr">
        <is>
          <t>세종몽땅</t>
        </is>
      </c>
      <c r="P1444" s="4" t="n">
        <v>1</v>
      </c>
      <c r="Q1444" s="4" t="n">
        <v>1512</v>
      </c>
      <c r="R1444" s="3" t="inlineStr">
        <is>
          <t>지정되지않음</t>
        </is>
      </c>
      <c r="S1444" s="3" t="inlineStr">
        <is>
          <t>자연림</t>
        </is>
      </c>
      <c r="T1444" s="3" t="inlineStr">
        <is>
          <t>급경사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연서면 월하리 1035-2</t>
        </is>
      </c>
      <c r="B1445" s="3" t="inlineStr">
        <is>
          <t>자연녹지지역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176000</v>
      </c>
      <c r="G1445" s="4" t="n">
        <v>1455</v>
      </c>
      <c r="H1445" s="4" t="n">
        <v>440</v>
      </c>
      <c r="I1445" s="5" t="n">
        <v>400</v>
      </c>
      <c r="J1445" s="5" t="n">
        <v>113</v>
      </c>
      <c r="K1445" s="3" t="inlineStr">
        <is>
          <t>연서면 월하리 2차선, 4차선 계획 예정 도로에 접한 투자가치 좋은 급매</t>
        </is>
      </c>
      <c r="L1445" s="6">
        <f>HYPERLINK("https://fin.land.naver.com/articles/2652684372", "매물Link")</f>
        <v/>
      </c>
      <c r="M1445" s="6">
        <f>HYPERLINK("https://map.naver.com/p/search/연서면 월하리 1035-2", "지도Link")</f>
        <v/>
      </c>
      <c r="N1445" s="6">
        <f>HYPERLINK("http://www.eum.go.kr/web/ar/lu/luLandDet.jsp?pnu=3611036021110350002&amp;isNoScr=script&amp;mode=search", "토지이음")</f>
        <v/>
      </c>
      <c r="O1445" s="3" t="inlineStr">
        <is>
          <t>스마일세종</t>
        </is>
      </c>
      <c r="P1445" s="4" t="n">
        <v>1</v>
      </c>
      <c r="Q1445" s="4" t="n">
        <v>1455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소로한면</t>
        </is>
      </c>
    </row>
    <row r="1446">
      <c r="A1446" s="3" t="inlineStr">
        <is>
          <t>연서면 월하리 1041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1597</v>
      </c>
      <c r="H1446" s="4" t="n">
        <v>483</v>
      </c>
      <c r="I1446" s="5" t="n">
        <v>248.4</v>
      </c>
      <c r="J1446" s="5" t="n">
        <v>195.9</v>
      </c>
      <c r="K1446" s="3" t="inlineStr">
        <is>
          <t>월하리 자연녹지지역 저렴한 토지 급매. 포장도로 접함.</t>
        </is>
      </c>
      <c r="L1446" s="6">
        <f>HYPERLINK("https://fin.land.naver.com/articles/2651466882", "매물Link")</f>
        <v/>
      </c>
      <c r="M1446" s="6">
        <f>HYPERLINK("https://map.naver.com/p/search/연서면 월하리 1041", "지도Link")</f>
        <v/>
      </c>
      <c r="N1446" s="6">
        <f>HYPERLINK("http://www.eum.go.kr/web/ar/lu/luLandDet.jsp?pnu=3611036021110410000&amp;isNoScr=script&amp;mode=search", "토지이음")</f>
        <v/>
      </c>
      <c r="O1446" s="3" t="inlineStr">
        <is>
          <t>세종대장</t>
        </is>
      </c>
      <c r="P1446" s="4" t="n">
        <v>1</v>
      </c>
      <c r="Q1446" s="4" t="n">
        <v>1597</v>
      </c>
      <c r="R1446" s="3" t="inlineStr">
        <is>
          <t>지정되지않음</t>
        </is>
      </c>
      <c r="S1446" s="3" t="inlineStr">
        <is>
          <t>답기타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월하리 1055-1</t>
        </is>
      </c>
      <c r="B1447" s="3" t="inlineStr">
        <is>
          <t>자연녹지지역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330000</v>
      </c>
      <c r="G1447" s="4" t="n">
        <v>3712</v>
      </c>
      <c r="H1447" s="4" t="n">
        <v>1123</v>
      </c>
      <c r="I1447" s="5" t="n">
        <v>293.9</v>
      </c>
      <c r="J1447" s="5" t="n">
        <v>96.59999999999999</v>
      </c>
      <c r="K1447" s="3" t="inlineStr">
        <is>
          <t>자연녹지토지 분할매매가능</t>
        </is>
      </c>
      <c r="L1447" s="6">
        <f>HYPERLINK("https://fin.land.naver.com/articles/2655258476", "매물Link")</f>
        <v/>
      </c>
      <c r="M1447" s="6">
        <f>HYPERLINK("https://map.naver.com/p/search/연서면 월하리 1055-1", "지도Link")</f>
        <v/>
      </c>
      <c r="N1447" s="6">
        <f>HYPERLINK("http://www.eum.go.kr/web/ar/lu/luLandDet.jsp?pnu=3611036021110550001&amp;isNoScr=script&amp;mode=search", "토지이음")</f>
        <v/>
      </c>
      <c r="O1447" s="3" t="inlineStr">
        <is>
          <t>세종대박</t>
        </is>
      </c>
      <c r="P1447" s="4" t="n">
        <v>2</v>
      </c>
      <c r="Q1447" s="4" t="n">
        <v>3712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월하리 1055-1</t>
        </is>
      </c>
      <c r="B1448" s="3" t="inlineStr">
        <is>
          <t>자연녹지지역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200000</v>
      </c>
      <c r="G1448" s="4" t="n">
        <v>1653</v>
      </c>
      <c r="H1448" s="4" t="n">
        <v>500</v>
      </c>
      <c r="I1448" s="5" t="n">
        <v>400</v>
      </c>
      <c r="J1448" s="5" t="n">
        <v>96.59999999999999</v>
      </c>
      <c r="K1448" s="3" t="inlineStr">
        <is>
          <t>nan</t>
        </is>
      </c>
      <c r="L1448" s="6">
        <f>HYPERLINK("https://fin.land.naver.com/articles/2649692747", "매물Link")</f>
        <v/>
      </c>
      <c r="M1448" s="6">
        <f>HYPERLINK("https://map.naver.com/p/search/연서면 월하리 1055-1", "지도Link")</f>
        <v/>
      </c>
      <c r="N1448" s="6">
        <f>HYPERLINK("http://www.eum.go.kr/web/ar/lu/luLandDet.jsp?pnu=3611036021110550001&amp;isNoScr=script&amp;mode=search", "토지이음")</f>
        <v/>
      </c>
      <c r="O1448" s="3" t="inlineStr">
        <is>
          <t>온뜰</t>
        </is>
      </c>
      <c r="P1448" s="4" t="n">
        <v>1</v>
      </c>
      <c r="Q1448" s="4" t="n">
        <v>3712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1055-1</t>
        </is>
      </c>
      <c r="B1449" s="3" t="inlineStr">
        <is>
          <t>자연녹지지역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330000</v>
      </c>
      <c r="G1449" s="4" t="n">
        <v>3712</v>
      </c>
      <c r="H1449" s="4" t="n">
        <v>1123</v>
      </c>
      <c r="I1449" s="5" t="n">
        <v>293.9</v>
      </c>
      <c r="J1449" s="5" t="n">
        <v>96.59999999999999</v>
      </c>
      <c r="K1449" s="3" t="inlineStr">
        <is>
          <t>세종 조치원 공공주택지구 인근 투자용 토지 매매</t>
        </is>
      </c>
      <c r="L1449" s="6">
        <f>HYPERLINK("https://fin.land.naver.com/articles/2655091100", "매물Link")</f>
        <v/>
      </c>
      <c r="M1449" s="6">
        <f>HYPERLINK("https://map.naver.com/p/search/연서면 월하리 1055-1", "지도Link")</f>
        <v/>
      </c>
      <c r="N1449" s="6">
        <f>HYPERLINK("http://www.eum.go.kr/web/ar/lu/luLandDet.jsp?pnu=3611036021110550001&amp;isNoScr=script&amp;mode=search", "토지이음")</f>
        <v/>
      </c>
      <c r="O1449" s="3" t="inlineStr">
        <is>
          <t>(주)해뜰터</t>
        </is>
      </c>
      <c r="P1449" s="4" t="n">
        <v>1</v>
      </c>
      <c r="Q1449" s="4" t="n">
        <v>3712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연서면 월하리 1056</t>
        </is>
      </c>
      <c r="B1450" s="3" t="inlineStr">
        <is>
          <t>자연녹지지역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247000</v>
      </c>
      <c r="G1450" s="4" t="n">
        <v>4087</v>
      </c>
      <c r="H1450" s="4" t="n">
        <v>1236</v>
      </c>
      <c r="I1450" s="5" t="n">
        <v>199.8</v>
      </c>
      <c r="J1450" s="5" t="n">
        <v>96.59999999999999</v>
      </c>
      <c r="K1450" s="3" t="inlineStr">
        <is>
          <t>월하리 포장도로 접한 자연녹지지역 밭으로 이용. 총 4필지로 급매.</t>
        </is>
      </c>
      <c r="L1450" s="6">
        <f>HYPERLINK("https://fin.land.naver.com/articles/2654844963", "매물Link")</f>
        <v/>
      </c>
      <c r="M1450" s="6">
        <f>HYPERLINK("https://map.naver.com/p/search/연서면 월하리 1056", "지도Link")</f>
        <v/>
      </c>
      <c r="N1450" s="6">
        <f>HYPERLINK("http://www.eum.go.kr/web/ar/lu/luLandDet.jsp?pnu=3611036021110560000&amp;isNoScr=script&amp;mode=search", "토지이음")</f>
        <v/>
      </c>
      <c r="O1450" s="3" t="inlineStr">
        <is>
          <t>세종대장</t>
        </is>
      </c>
      <c r="P1450" s="4" t="n">
        <v>1</v>
      </c>
      <c r="Q1450" s="4" t="n">
        <v>2086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월하리 1103-51</t>
        </is>
      </c>
      <c r="B1451" s="3" t="inlineStr">
        <is>
          <t>자연녹지지역</t>
        </is>
      </c>
      <c r="C1451" s="3" t="inlineStr">
        <is>
          <t>과수원</t>
        </is>
      </c>
      <c r="D1451" s="3" t="inlineStr">
        <is>
          <t>과수원</t>
        </is>
      </c>
      <c r="E1451" s="3" t="inlineStr">
        <is>
          <t>매매</t>
        </is>
      </c>
      <c r="F1451" s="4" t="n">
        <v>150000</v>
      </c>
      <c r="G1451" s="4" t="n">
        <v>3313</v>
      </c>
      <c r="H1451" s="4" t="n">
        <v>1002</v>
      </c>
      <c r="I1451" s="5" t="n">
        <v>149.7</v>
      </c>
      <c r="J1451" s="5" t="n">
        <v>72.2</v>
      </c>
      <c r="K1451" s="3" t="inlineStr">
        <is>
          <t>가격 조율가,조치원 공공택지 개발지 인근</t>
        </is>
      </c>
      <c r="L1451" s="6">
        <f>HYPERLINK("https://fin.land.naver.com/articles/2650022169", "매물Link")</f>
        <v/>
      </c>
      <c r="M1451" s="6">
        <f>HYPERLINK("https://map.naver.com/p/search/연서면 월하리 1103-51", "지도Link")</f>
        <v/>
      </c>
      <c r="N1451" s="6">
        <f>HYPERLINK("http://www.eum.go.kr/web/ar/lu/luLandDet.jsp?pnu=3611036021111030051&amp;isNoScr=script&amp;mode=search", "토지이음")</f>
        <v/>
      </c>
      <c r="O1451" s="3" t="inlineStr">
        <is>
          <t>나릿재OK</t>
        </is>
      </c>
      <c r="P1451" s="4" t="n">
        <v>1</v>
      </c>
      <c r="Q1451" s="4" t="n">
        <v>3313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연서면 월하리 1103-54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180000</v>
      </c>
      <c r="G1452" s="4" t="n">
        <v>1676</v>
      </c>
      <c r="H1452" s="4" t="n">
        <v>507</v>
      </c>
      <c r="I1452" s="5" t="n">
        <v>355</v>
      </c>
      <c r="J1452" s="5" t="n">
        <v>121.8</v>
      </c>
      <c r="K1452" s="3" t="inlineStr">
        <is>
          <t>2차선 도로에 접해 있어 근생 부지로 적합한 도시지역 자연녹지의 과수원</t>
        </is>
      </c>
      <c r="L1452" s="6">
        <f>HYPERLINK("https://fin.land.naver.com/articles/2651465498", "매물Link")</f>
        <v/>
      </c>
      <c r="M1452" s="6">
        <f>HYPERLINK("https://map.naver.com/p/search/연서면 월하리 1103-54", "지도Link")</f>
        <v/>
      </c>
      <c r="N1452" s="6">
        <f>HYPERLINK("http://www.eum.go.kr/web/ar/lu/luLandDet.jsp?pnu=3611036021111030054&amp;isNoScr=script&amp;mode=search",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1676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소로한면</t>
        </is>
      </c>
    </row>
    <row r="1453">
      <c r="A1453" s="3" t="inlineStr">
        <is>
          <t>연서면 월하리 1138-4</t>
        </is>
      </c>
      <c r="B1453" s="3" t="inlineStr">
        <is>
          <t>자연녹지지역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68000</v>
      </c>
      <c r="G1453" s="4" t="n">
        <v>1818</v>
      </c>
      <c r="H1453" s="4" t="n">
        <v>550</v>
      </c>
      <c r="I1453" s="5" t="n">
        <v>123.6</v>
      </c>
      <c r="J1453" s="5" t="n">
        <v>69.59999999999999</v>
      </c>
      <c r="K1453" s="3" t="inlineStr">
        <is>
          <t>위치가 좋은 토지</t>
        </is>
      </c>
      <c r="L1453" s="6">
        <f>HYPERLINK("https://fin.land.naver.com/articles/2654845367", "매물Link")</f>
        <v/>
      </c>
      <c r="M1453" s="6">
        <f>HYPERLINK("https://map.naver.com/p/search/연서면 월하리 1138-4", "지도Link")</f>
        <v/>
      </c>
      <c r="N1453" s="6">
        <f>HYPERLINK("http://www.eum.go.kr/web/ar/lu/luLandDet.jsp?pnu=3611036021111380004&amp;isNoScr=script&amp;mode=search", "토지이음")</f>
        <v/>
      </c>
      <c r="O1453" s="3" t="inlineStr">
        <is>
          <t>세종리츠</t>
        </is>
      </c>
      <c r="P1453" s="4" t="n">
        <v>1</v>
      </c>
      <c r="Q1453" s="4" t="n">
        <v>1818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맹지</t>
        </is>
      </c>
    </row>
    <row r="1454">
      <c r="A1454" s="3" t="inlineStr">
        <is>
          <t>연서면 월하리 1153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27500</v>
      </c>
      <c r="G1454" s="4" t="n">
        <v>826</v>
      </c>
      <c r="H1454" s="4" t="n">
        <v>250</v>
      </c>
      <c r="I1454" s="5" t="n">
        <v>110</v>
      </c>
      <c r="J1454" s="5" t="n">
        <v>113.1</v>
      </c>
      <c r="K1454" s="3" t="inlineStr">
        <is>
          <t>조치원 생활권 인접 도로접 자연녹지 토지</t>
        </is>
      </c>
      <c r="L1454" s="6">
        <f>HYPERLINK("https://fin.land.naver.com/articles/2655056197", "매물Link")</f>
        <v/>
      </c>
      <c r="M1454" s="6">
        <f>HYPERLINK("https://map.naver.com/p/search/연서면 월하리 1153", "지도Link")</f>
        <v/>
      </c>
      <c r="N1454" s="6">
        <f>HYPERLINK("http://www.eum.go.kr/web/ar/lu/luLandDet.jsp?pnu=3611036021111530000&amp;isNoScr=script&amp;mode=search", "토지이음")</f>
        <v/>
      </c>
      <c r="O1454" s="3" t="inlineStr">
        <is>
          <t>세종소담황금</t>
        </is>
      </c>
      <c r="P1454" s="4" t="n">
        <v>2</v>
      </c>
      <c r="Q1454" s="4" t="n">
        <v>650</v>
      </c>
      <c r="R1454" s="3" t="inlineStr">
        <is>
          <t>지정되지않음</t>
        </is>
      </c>
      <c r="S1454" s="3" t="inlineStr">
        <is>
          <t>전축사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월하리 1153</t>
        </is>
      </c>
      <c r="B1455" s="3" t="inlineStr">
        <is>
          <t>자연녹지지역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27500</v>
      </c>
      <c r="G1455" s="4" t="n">
        <v>858</v>
      </c>
      <c r="H1455" s="4" t="n">
        <v>260</v>
      </c>
      <c r="I1455" s="5" t="n">
        <v>105.8</v>
      </c>
      <c r="J1455" s="5" t="n">
        <v>113.1</v>
      </c>
      <c r="K1455" s="3" t="inlineStr">
        <is>
          <t>nan</t>
        </is>
      </c>
      <c r="L1455" s="6">
        <f>HYPERLINK("https://fin.land.naver.com/articles/2654397952", "매물Link")</f>
        <v/>
      </c>
      <c r="M1455" s="6">
        <f>HYPERLINK("https://map.naver.com/p/search/연서면 월하리 1153", "지도Link")</f>
        <v/>
      </c>
      <c r="N1455" s="6">
        <f>HYPERLINK("http://www.eum.go.kr/web/ar/lu/luLandDet.jsp?pnu=3611036021111530000&amp;isNoScr=script&amp;mode=search", "토지이음")</f>
        <v/>
      </c>
      <c r="O1455" s="3" t="inlineStr">
        <is>
          <t>Home</t>
        </is>
      </c>
      <c r="P1455" s="4" t="n">
        <v>4</v>
      </c>
      <c r="Q1455" s="4" t="n">
        <v>650</v>
      </c>
      <c r="R1455" s="3" t="inlineStr">
        <is>
          <t>지정되지않음</t>
        </is>
      </c>
      <c r="S1455" s="3" t="inlineStr">
        <is>
          <t>전축사</t>
        </is>
      </c>
      <c r="T1455" s="3" t="inlineStr">
        <is>
          <t>평지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월하리 1274</t>
        </is>
      </c>
      <c r="B1456" s="3" t="inlineStr">
        <is>
          <t>농림지역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50000</v>
      </c>
      <c r="G1456" s="4" t="n">
        <v>3263</v>
      </c>
      <c r="H1456" s="4" t="n">
        <v>987</v>
      </c>
      <c r="I1456" s="5" t="n">
        <v>50.7</v>
      </c>
      <c r="J1456" s="5" t="n">
        <v>33</v>
      </c>
      <c r="K1456" s="3" t="inlineStr">
        <is>
          <t>농림진흥구역 농지,코너각지, 도로 양면 접, 대토추천</t>
        </is>
      </c>
      <c r="L1456" s="6">
        <f>HYPERLINK("https://fin.land.naver.com/articles/2654351170", "매물Link")</f>
        <v/>
      </c>
      <c r="M1456" s="6">
        <f>HYPERLINK("https://map.naver.com/p/search/연서면 월하리 1274", "지도Link")</f>
        <v/>
      </c>
      <c r="N1456" s="6">
        <f>HYPERLINK("http://www.eum.go.kr/web/ar/lu/luLandDet.jsp?pnu=3611036021112740000&amp;isNoScr=script&amp;mode=search", "토지이음")</f>
        <v/>
      </c>
      <c r="O1456" s="3" t="inlineStr">
        <is>
          <t>신안무소</t>
        </is>
      </c>
      <c r="P1456" s="4" t="n">
        <v>1</v>
      </c>
      <c r="Q1456" s="4" t="n">
        <v>3263.7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가로장방</t>
        </is>
      </c>
      <c r="V1456" s="3" t="inlineStr">
        <is>
          <t>세로한면(가)</t>
        </is>
      </c>
    </row>
    <row r="1457">
      <c r="A1457" s="3" t="inlineStr">
        <is>
          <t>연서면 월하리 15-1</t>
        </is>
      </c>
      <c r="B1457" s="3" t="inlineStr">
        <is>
          <t>자연녹지지역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19000</v>
      </c>
      <c r="G1457" s="4" t="n">
        <v>407</v>
      </c>
      <c r="H1457" s="4" t="n">
        <v>123</v>
      </c>
      <c r="I1457" s="5" t="n">
        <v>154.5</v>
      </c>
      <c r="J1457" s="5" t="n">
        <v>105.5</v>
      </c>
      <c r="K1457" s="3" t="inlineStr">
        <is>
          <t>지목대지,건축가능</t>
        </is>
      </c>
      <c r="L1457" s="6">
        <f>HYPERLINK("https://fin.land.naver.com/articles/2655086153", "매물Link")</f>
        <v/>
      </c>
      <c r="M1457" s="6">
        <f>HYPERLINK("https://map.naver.com/p/search/연서면 월하리 15-1", "지도Link")</f>
        <v/>
      </c>
      <c r="N1457" s="6">
        <f>HYPERLINK("http://www.eum.go.kr/web/ar/lu/luLandDet.jsp?pnu=3611036021100150001&amp;isNoScr=script&amp;mode=search", "토지이음")</f>
        <v/>
      </c>
      <c r="O1457" s="3" t="inlineStr">
        <is>
          <t>세종대박</t>
        </is>
      </c>
      <c r="P1457" s="4" t="n">
        <v>2</v>
      </c>
      <c r="Q1457" s="4" t="n">
        <v>407</v>
      </c>
      <c r="R1457" s="3" t="inlineStr">
        <is>
          <t>지정되지않음</t>
        </is>
      </c>
      <c r="S1457" s="3" t="inlineStr">
        <is>
          <t>단독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세로한면(가)</t>
        </is>
      </c>
    </row>
    <row r="1458">
      <c r="A1458" s="3" t="inlineStr">
        <is>
          <t>연서면 월하리 25-7</t>
        </is>
      </c>
      <c r="B1458" s="3" t="inlineStr">
        <is>
          <t>자연녹지지역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130000</v>
      </c>
      <c r="G1458" s="4" t="n">
        <v>1615</v>
      </c>
      <c r="H1458" s="4" t="n">
        <v>489</v>
      </c>
      <c r="I1458" s="5" t="n">
        <v>265.8</v>
      </c>
      <c r="J1458" s="5" t="n">
        <v>76.40000000000001</v>
      </c>
      <c r="K1458" s="3" t="inlineStr">
        <is>
          <t>도시지역내 자연녹지,미호강변 개발가능</t>
        </is>
      </c>
      <c r="L1458" s="6">
        <f>HYPERLINK("https://fin.land.naver.com/articles/2650859611", "매물Link")</f>
        <v/>
      </c>
      <c r="M1458" s="6">
        <f>HYPERLINK("https://map.naver.com/p/search/연서면 월하리 25-7", "지도Link")</f>
        <v/>
      </c>
      <c r="N1458" s="6">
        <f>HYPERLINK("http://www.eum.go.kr/web/ar/lu/luLandDet.jsp?pnu=3611036021100250007&amp;isNoScr=script&amp;mode=search", "토지이음")</f>
        <v/>
      </c>
      <c r="O1458" s="3" t="inlineStr">
        <is>
          <t>세종대박</t>
        </is>
      </c>
      <c r="P1458" s="4" t="n">
        <v>1</v>
      </c>
      <c r="Q1458" s="4" t="n">
        <v>1301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월하리 25-7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전</t>
        </is>
      </c>
      <c r="E1459" s="3" t="inlineStr">
        <is>
          <t>매매</t>
        </is>
      </c>
      <c r="F1459" s="4" t="n">
        <v>130000</v>
      </c>
      <c r="G1459" s="4" t="n">
        <v>1615</v>
      </c>
      <c r="H1459" s="4" t="n">
        <v>489</v>
      </c>
      <c r="I1459" s="5" t="n">
        <v>265.8</v>
      </c>
      <c r="J1459" s="5" t="n">
        <v>76.40000000000001</v>
      </c>
      <c r="K1459" s="3" t="inlineStr">
        <is>
          <t>미호강인근,주택부지포함,차도바로옆 금액최대협의</t>
        </is>
      </c>
      <c r="L1459" s="6">
        <f>HYPERLINK("https://fin.land.naver.com/articles/2654258120", "매물Link")</f>
        <v/>
      </c>
      <c r="M1459" s="6">
        <f>HYPERLINK("https://map.naver.com/p/search/연서면 월하리 25-7", "지도Link")</f>
        <v/>
      </c>
      <c r="N1459" s="6">
        <f>HYPERLINK("http://www.eum.go.kr/web/ar/lu/luLandDet.jsp?pnu=3611036021100250007&amp;isNoScr=script&amp;mode=search", "토지이음")</f>
        <v/>
      </c>
      <c r="O1459" s="3" t="inlineStr">
        <is>
          <t>세종새빛</t>
        </is>
      </c>
      <c r="P1459" s="4" t="n">
        <v>1</v>
      </c>
      <c r="Q1459" s="4" t="n">
        <v>1301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월하리 27</t>
        </is>
      </c>
      <c r="B1460" s="3" t="inlineStr">
        <is>
          <t>자연녹지지역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132000</v>
      </c>
      <c r="G1460" s="4" t="n">
        <v>1746</v>
      </c>
      <c r="H1460" s="4" t="n">
        <v>528</v>
      </c>
      <c r="I1460" s="5" t="n">
        <v>250</v>
      </c>
      <c r="J1460" s="5" t="n">
        <v>75.7</v>
      </c>
      <c r="K1460" s="3" t="inlineStr">
        <is>
          <t>미호강변 오천자전거길 옆 카페나 주택지, 근생으로 개발해도 좋음</t>
        </is>
      </c>
      <c r="L1460" s="6">
        <f>HYPERLINK("https://fin.land.naver.com/articles/2652099294", "매물Link")</f>
        <v/>
      </c>
      <c r="M1460" s="6">
        <f>HYPERLINK("https://map.naver.com/p/search/연서면 월하리 27", "지도Link")</f>
        <v/>
      </c>
      <c r="N1460" s="6">
        <f>HYPERLINK("http://www.eum.go.kr/web/ar/lu/luLandDet.jsp?pnu=3611036021100270000&amp;isNoScr=script&amp;mode=search", "토지이음")</f>
        <v/>
      </c>
      <c r="O1460" s="3" t="inlineStr">
        <is>
          <t>미스터홈즈강남지사</t>
        </is>
      </c>
      <c r="P1460" s="4" t="n">
        <v>1</v>
      </c>
      <c r="Q1460" s="4" t="n">
        <v>983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월하리 35-3</t>
        </is>
      </c>
      <c r="B1461" s="3" t="inlineStr">
        <is>
          <t>계획관리지역</t>
        </is>
      </c>
      <c r="C1461" s="3" t="inlineStr">
        <is>
          <t>공장용지</t>
        </is>
      </c>
      <c r="D1461" s="3" t="inlineStr">
        <is>
          <t>공장용지</t>
        </is>
      </c>
      <c r="E1461" s="3" t="inlineStr">
        <is>
          <t>매매</t>
        </is>
      </c>
      <c r="F1461" s="4" t="n">
        <v>69000</v>
      </c>
      <c r="G1461" s="4" t="n">
        <v>987</v>
      </c>
      <c r="H1461" s="4" t="n">
        <v>299</v>
      </c>
      <c r="I1461" s="5" t="n">
        <v>230.8</v>
      </c>
      <c r="J1461" s="5" t="n">
        <v>73.3</v>
      </c>
      <c r="K1461" s="3" t="inlineStr">
        <is>
          <t>공장부지, 299P, 주차6대, 1층 공장 건물 및 부속건물</t>
        </is>
      </c>
      <c r="L1461" s="6">
        <f>HYPERLINK("https://fin.land.naver.com/articles/2650988901", "매물Link")</f>
        <v/>
      </c>
      <c r="M1461" s="6">
        <f>HYPERLINK("https://map.naver.com/p/search/연서면 월하리 35-3", "지도Link")</f>
        <v/>
      </c>
      <c r="N1461" s="6">
        <f>HYPERLINK("http://www.eum.go.kr/web/ar/lu/luLandDet.jsp?pnu=3611036021100350003&amp;isNoScr=script&amp;mode=search", "토지이음")</f>
        <v/>
      </c>
      <c r="O1461" s="3" t="inlineStr">
        <is>
          <t>엄마와딸</t>
        </is>
      </c>
      <c r="P1461" s="4" t="n">
        <v>1</v>
      </c>
      <c r="Q1461" s="4" t="n">
        <v>987</v>
      </c>
      <c r="R1461" s="3" t="inlineStr">
        <is>
          <t>지정되지않음</t>
        </is>
      </c>
      <c r="S1461" s="3" t="inlineStr">
        <is>
          <t>공업용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연서면 월하리 35-7</t>
        </is>
      </c>
      <c r="B1462" s="3" t="inlineStr">
        <is>
          <t>계획관리지역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100000</v>
      </c>
      <c r="G1462" s="4" t="n">
        <v>1077</v>
      </c>
      <c r="H1462" s="4" t="n">
        <v>326</v>
      </c>
      <c r="I1462" s="5" t="n">
        <v>306.7</v>
      </c>
      <c r="J1462" s="5" t="n">
        <v>62.5</v>
      </c>
      <c r="K1462" s="3" t="inlineStr">
        <is>
          <t>미호강이 흐르는 경치 좋은 곳에 카페, 식당  상업용을 추천합니다.</t>
        </is>
      </c>
      <c r="L1462" s="6">
        <f>HYPERLINK("https://fin.land.naver.com/articles/2649621498", "매물Link")</f>
        <v/>
      </c>
      <c r="M1462" s="6">
        <f>HYPERLINK("https://map.naver.com/p/search/연서면 월하리 35-7", "지도Link")</f>
        <v/>
      </c>
      <c r="N1462" s="6">
        <f>HYPERLINK("http://www.eum.go.kr/web/ar/lu/luLandDet.jsp?pnu=3611036021100350007&amp;isNoScr=script&amp;mode=search", "토지이음")</f>
        <v/>
      </c>
      <c r="O1462" s="3" t="inlineStr">
        <is>
          <t>효자</t>
        </is>
      </c>
      <c r="P1462" s="4" t="n">
        <v>1</v>
      </c>
      <c r="Q1462" s="4" t="n">
        <v>1077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자루형</t>
        </is>
      </c>
      <c r="V1462" s="3" t="inlineStr">
        <is>
          <t>세로한면(가)</t>
        </is>
      </c>
    </row>
    <row r="1463">
      <c r="A1463" s="3" t="inlineStr">
        <is>
          <t>연서면 월하리 619</t>
        </is>
      </c>
      <c r="B1463" s="3" t="inlineStr">
        <is>
          <t>자연녹지지역</t>
        </is>
      </c>
      <c r="C1463" s="3" t="inlineStr">
        <is>
          <t>주차장</t>
        </is>
      </c>
      <c r="D1463" s="3" t="inlineStr">
        <is>
          <t>주차장</t>
        </is>
      </c>
      <c r="E1463" s="3" t="inlineStr">
        <is>
          <t>매매</t>
        </is>
      </c>
      <c r="F1463" s="4" t="n">
        <v>250000</v>
      </c>
      <c r="G1463" s="4" t="n">
        <v>2400</v>
      </c>
      <c r="H1463" s="4" t="n">
        <v>726</v>
      </c>
      <c r="I1463" s="5" t="n">
        <v>344.4</v>
      </c>
      <c r="J1463" s="5" t="n">
        <v>61.5</v>
      </c>
      <c r="K1463" s="3" t="inlineStr">
        <is>
          <t>명성공인, 월하리, 1번국도 가까운 활용도 좋은 추천 매물</t>
        </is>
      </c>
      <c r="L1463" s="6">
        <f>HYPERLINK("https://fin.land.naver.com/articles/2652073523", "매물Link")</f>
        <v/>
      </c>
      <c r="M1463" s="6">
        <f>HYPERLINK("https://map.naver.com/p/search/연서면 월하리 619", "지도Link")</f>
        <v/>
      </c>
      <c r="N1463" s="6">
        <f>HYPERLINK("http://www.eum.go.kr/web/ar/lu/luLandDet.jsp?pnu=3611036021106190000&amp;isNoScr=script&amp;mode=search", "토지이음")</f>
        <v/>
      </c>
      <c r="O1463" s="3" t="inlineStr">
        <is>
          <t>명성</t>
        </is>
      </c>
      <c r="P1463" s="4" t="n">
        <v>1</v>
      </c>
      <c r="Q1463" s="4" t="n">
        <v>963</v>
      </c>
      <c r="R1463" s="3" t="inlineStr">
        <is>
          <t>지정되지않음</t>
        </is>
      </c>
      <c r="S1463" s="3" t="inlineStr">
        <is>
          <t>주차장등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월하리 658-4</t>
        </is>
      </c>
      <c r="B1464" s="3" t="inlineStr">
        <is>
          <t>계획관리지역</t>
        </is>
      </c>
      <c r="C1464" s="3" t="inlineStr">
        <is>
          <t>전</t>
        </is>
      </c>
      <c r="D1464" s="3" t="inlineStr">
        <is>
          <t>전</t>
        </is>
      </c>
      <c r="E1464" s="3" t="inlineStr">
        <is>
          <t>매매</t>
        </is>
      </c>
      <c r="F1464" s="4" t="n">
        <v>98000</v>
      </c>
      <c r="G1464" s="4" t="n">
        <v>463</v>
      </c>
      <c r="H1464" s="4" t="n">
        <v>140</v>
      </c>
      <c r="I1464" s="5" t="n">
        <v>700</v>
      </c>
      <c r="J1464" s="5" t="n">
        <v>163.7</v>
      </c>
      <c r="K1464" s="3" t="inlineStr">
        <is>
          <t>도로 인접한  활용도 높은  토지 매매</t>
        </is>
      </c>
      <c r="L1464" s="6">
        <f>HYPERLINK("https://fin.land.naver.com/articles/2655178687", "매물Link")</f>
        <v/>
      </c>
      <c r="M1464" s="6">
        <f>HYPERLINK("https://map.naver.com/p/search/연서면 월하리 658-4", "지도Link")</f>
        <v/>
      </c>
      <c r="N1464" s="6">
        <f>HYPERLINK("http://www.eum.go.kr/web/ar/lu/luLandDet.jsp?pnu=3611036021106580004&amp;isNoScr=script&amp;mode=search", "토지이음")</f>
        <v/>
      </c>
      <c r="O1464" s="3" t="inlineStr">
        <is>
          <t>오송2단지창조</t>
        </is>
      </c>
      <c r="P1464" s="4" t="n">
        <v>1</v>
      </c>
      <c r="Q1464" s="4" t="n">
        <v>463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광대로한면</t>
        </is>
      </c>
    </row>
    <row r="1465">
      <c r="A1465" s="3" t="inlineStr">
        <is>
          <t>연서면 월하리 658-8</t>
        </is>
      </c>
      <c r="B1465" s="3" t="inlineStr">
        <is>
          <t>계획관리지역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87500</v>
      </c>
      <c r="G1465" s="4" t="n">
        <v>414</v>
      </c>
      <c r="H1465" s="4" t="n">
        <v>125</v>
      </c>
      <c r="I1465" s="5" t="n">
        <v>700</v>
      </c>
      <c r="J1465" s="5" t="n">
        <v>163.7</v>
      </c>
      <c r="K1465" s="3" t="inlineStr">
        <is>
          <t>대도로변에 위치해 있는 토지 매매</t>
        </is>
      </c>
      <c r="L1465" s="6">
        <f>HYPERLINK("https://fin.land.naver.com/articles/2655178355", "매물Link")</f>
        <v/>
      </c>
      <c r="M1465" s="6">
        <f>HYPERLINK("https://map.naver.com/p/search/연서면 월하리 658-8", "지도Link")</f>
        <v/>
      </c>
      <c r="N1465" s="6">
        <f>HYPERLINK("http://www.eum.go.kr/web/ar/lu/luLandDet.jsp?pnu=3611036021106580008&amp;isNoScr=script&amp;mode=search", "토지이음")</f>
        <v/>
      </c>
      <c r="O1465" s="3" t="inlineStr">
        <is>
          <t>오송2단지창조</t>
        </is>
      </c>
      <c r="P1465" s="4" t="n">
        <v>1</v>
      </c>
      <c r="Q1465" s="4" t="n">
        <v>414</v>
      </c>
      <c r="R1465" s="3" t="inlineStr">
        <is>
          <t>지정되지않음</t>
        </is>
      </c>
      <c r="S1465" s="3" t="inlineStr">
        <is>
          <t>전기타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광대로한면</t>
        </is>
      </c>
    </row>
    <row r="1466">
      <c r="A1466" s="3" t="inlineStr">
        <is>
          <t>연서면 월하리 663-38</t>
        </is>
      </c>
      <c r="B1466" s="3" t="inlineStr">
        <is>
          <t>자연녹지지역</t>
        </is>
      </c>
      <c r="C1466" s="3" t="inlineStr">
        <is>
          <t>전</t>
        </is>
      </c>
      <c r="D1466" s="3" t="inlineStr">
        <is>
          <t>전</t>
        </is>
      </c>
      <c r="E1466" s="3" t="inlineStr">
        <is>
          <t>매매</t>
        </is>
      </c>
      <c r="F1466" s="4" t="n">
        <v>474300</v>
      </c>
      <c r="G1466" s="4" t="n">
        <v>5229</v>
      </c>
      <c r="H1466" s="4" t="n">
        <v>1582</v>
      </c>
      <c r="I1466" s="5" t="n">
        <v>299.8</v>
      </c>
      <c r="J1466" s="5" t="n">
        <v>102.4</v>
      </c>
      <c r="K1466" s="3" t="inlineStr">
        <is>
          <t>위치 좋은 넓은 토지.연락주세요</t>
        </is>
      </c>
      <c r="L1466" s="6">
        <f>HYPERLINK("https://fin.land.naver.com/articles/2654077441", "매물Link")</f>
        <v/>
      </c>
      <c r="M1466" s="6">
        <f>HYPERLINK("https://map.naver.com/p/search/연서면 월하리 663-38", "지도Link")</f>
        <v/>
      </c>
      <c r="N1466" s="6">
        <f>HYPERLINK("http://www.eum.go.kr/web/ar/lu/luLandDet.jsp?pnu=3611036021106630038&amp;isNoScr=script&amp;mode=search", "토지이음")</f>
        <v/>
      </c>
      <c r="O1466" s="3" t="inlineStr">
        <is>
          <t>수자인</t>
        </is>
      </c>
      <c r="P1466" s="4" t="n">
        <v>1</v>
      </c>
      <c r="Q1466" s="4" t="n">
        <v>5222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연서면 월하리 663-38</t>
        </is>
      </c>
      <c r="B1467" s="3" t="inlineStr">
        <is>
          <t>자연녹지지역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474300</v>
      </c>
      <c r="G1467" s="4" t="n">
        <v>5229</v>
      </c>
      <c r="H1467" s="4" t="n">
        <v>1582</v>
      </c>
      <c r="I1467" s="5" t="n">
        <v>299.8</v>
      </c>
      <c r="J1467" s="5" t="n">
        <v>102.4</v>
      </c>
      <c r="K1467" s="3" t="inlineStr">
        <is>
          <t>세종 연서면 월하리 톨게이트예정지인근 시내인근 개발지 도로접 조정가능</t>
        </is>
      </c>
      <c r="L1467" s="6">
        <f>HYPERLINK("https://fin.land.naver.com/articles/2650823939", "매물Link")</f>
        <v/>
      </c>
      <c r="M1467" s="6">
        <f>HYPERLINK("https://map.naver.com/p/search/연서면 월하리 663-38", "지도Link")</f>
        <v/>
      </c>
      <c r="N1467" s="6">
        <f>HYPERLINK("http://www.eum.go.kr/web/ar/lu/luLandDet.jsp?pnu=3611036021106630038&amp;isNoScr=script&amp;mode=search", "토지이음")</f>
        <v/>
      </c>
      <c r="O1467" s="3" t="inlineStr">
        <is>
          <t>MK</t>
        </is>
      </c>
      <c r="P1467" s="4" t="n">
        <v>1</v>
      </c>
      <c r="Q1467" s="4" t="n">
        <v>5222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세로한면(가)</t>
        </is>
      </c>
    </row>
    <row r="1468">
      <c r="A1468" s="3" t="inlineStr">
        <is>
          <t>연서면 월하리 707</t>
        </is>
      </c>
      <c r="B1468" s="3" t="inlineStr">
        <is>
          <t>자연녹지지역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252000</v>
      </c>
      <c r="G1468" s="4" t="n">
        <v>4637</v>
      </c>
      <c r="H1468" s="4" t="n">
        <v>1403</v>
      </c>
      <c r="I1468" s="5" t="n">
        <v>179.6</v>
      </c>
      <c r="J1468" s="5" t="n">
        <v>91.2</v>
      </c>
      <c r="K1468" s="3" t="inlineStr">
        <is>
          <t>코너 2차선에 접하고 향후 4차선 계획도로 예정임. 시세보다 저렴.</t>
        </is>
      </c>
      <c r="L1468" s="6">
        <f>HYPERLINK("https://fin.land.naver.com/articles/2654844821", "매물Link")</f>
        <v/>
      </c>
      <c r="M1468" s="6">
        <f>HYPERLINK("https://map.naver.com/p/search/연서면 월하리 707", "지도Link")</f>
        <v/>
      </c>
      <c r="N1468" s="6">
        <f>HYPERLINK("http://www.eum.go.kr/web/ar/lu/luLandDet.jsp?pnu=3611036021107070000&amp;isNoScr=script&amp;mode=search", "토지이음")</f>
        <v/>
      </c>
      <c r="O1468" s="3" t="inlineStr">
        <is>
          <t>세종대장</t>
        </is>
      </c>
      <c r="P1468" s="4" t="n">
        <v>1</v>
      </c>
      <c r="Q1468" s="4" t="n">
        <v>3838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평지</t>
        </is>
      </c>
      <c r="U1468" s="3" t="inlineStr">
        <is>
          <t>부정형</t>
        </is>
      </c>
      <c r="V1468" s="3" t="inlineStr">
        <is>
          <t>소로한면</t>
        </is>
      </c>
    </row>
    <row r="1469">
      <c r="A1469" s="3" t="inlineStr">
        <is>
          <t>연서면 월하리 730</t>
        </is>
      </c>
      <c r="B1469" s="3" t="inlineStr">
        <is>
          <t>자연녹지지역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196000</v>
      </c>
      <c r="G1469" s="4" t="n">
        <v>1856</v>
      </c>
      <c r="H1469" s="4" t="n">
        <v>561</v>
      </c>
      <c r="I1469" s="5" t="n">
        <v>349.4</v>
      </c>
      <c r="J1469" s="5" t="n">
        <v>121.8</v>
      </c>
      <c r="K1469" s="3" t="inlineStr">
        <is>
          <t>연서면 월하리 2차선  접한  자연녹지, 4차선계획도로이며 분할매매 가능</t>
        </is>
      </c>
      <c r="L1469" s="6">
        <f>HYPERLINK("https://fin.land.naver.com/articles/2652083823", "매물Link")</f>
        <v/>
      </c>
      <c r="M1469" s="6">
        <f>HYPERLINK("https://map.naver.com/p/search/연서면 월하리 730", "지도Link")</f>
        <v/>
      </c>
      <c r="N1469" s="6">
        <f>HYPERLINK("http://www.eum.go.kr/web/ar/lu/luLandDet.jsp?pnu=3611036021107300000&amp;isNoScr=script&amp;mode=search", "토지이음")</f>
        <v/>
      </c>
      <c r="O1469" s="3" t="inlineStr">
        <is>
          <t>the다올</t>
        </is>
      </c>
      <c r="P1469" s="4" t="n">
        <v>2</v>
      </c>
      <c r="Q1469" s="4" t="n">
        <v>1856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소로한면</t>
        </is>
      </c>
    </row>
    <row r="1470">
      <c r="A1470" s="3" t="inlineStr">
        <is>
          <t>연서면 월하리 766</t>
        </is>
      </c>
      <c r="B1470" s="3" t="inlineStr">
        <is>
          <t>자연녹지지역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200000</v>
      </c>
      <c r="G1470" s="4" t="n">
        <v>3305</v>
      </c>
      <c r="H1470" s="4" t="n">
        <v>1000</v>
      </c>
      <c r="I1470" s="5" t="n">
        <v>200</v>
      </c>
      <c r="J1470" s="5" t="n">
        <v>128.3</v>
      </c>
      <c r="K1470" s="3" t="inlineStr">
        <is>
          <t>조치원 공공주택지구에 인접한 2차선변 1천평 토지 매매</t>
        </is>
      </c>
      <c r="L1470" s="6">
        <f>HYPERLINK("https://fin.land.naver.com/articles/2652068500", "매물Link")</f>
        <v/>
      </c>
      <c r="M1470" s="6">
        <f>HYPERLINK("https://map.naver.com/p/search/연서면 월하리 766", "지도Link")</f>
        <v/>
      </c>
      <c r="N1470" s="6">
        <f>HYPERLINK("http://www.eum.go.kr/web/ar/lu/luLandDet.jsp?pnu=3611036021107660000&amp;isNoScr=script&amp;mode=search", "토지이음")</f>
        <v/>
      </c>
      <c r="O1470" s="3" t="inlineStr">
        <is>
          <t>신와촌</t>
        </is>
      </c>
      <c r="P1470" s="4" t="n">
        <v>1</v>
      </c>
      <c r="Q1470" s="4" t="n">
        <v>3306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소로한면</t>
        </is>
      </c>
    </row>
    <row r="1471">
      <c r="A1471" s="3" t="inlineStr">
        <is>
          <t>연서면 월하리 794-1</t>
        </is>
      </c>
      <c r="B1471" s="3" t="inlineStr">
        <is>
          <t>자연녹지지역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82000</v>
      </c>
      <c r="G1471" s="4" t="n">
        <v>845</v>
      </c>
      <c r="H1471" s="4" t="n">
        <v>256</v>
      </c>
      <c r="I1471" s="5" t="n">
        <v>320.3</v>
      </c>
      <c r="J1471" s="5" t="n">
        <v>128.3</v>
      </c>
      <c r="K1471" s="3" t="inlineStr">
        <is>
          <t>2차선변,월하리 토지매매.</t>
        </is>
      </c>
      <c r="L1471" s="6">
        <f>HYPERLINK("https://fin.land.naver.com/articles/2651374054", "매물Link")</f>
        <v/>
      </c>
      <c r="M1471" s="6">
        <f>HYPERLINK("https://map.naver.com/p/search/연서면 월하리 794-1", "지도Link")</f>
        <v/>
      </c>
      <c r="N1471" s="6">
        <f>HYPERLINK("http://www.eum.go.kr/web/ar/lu/luLandDet.jsp?pnu=3611036021107940001&amp;isNoScr=script&amp;mode=search", "토지이음")</f>
        <v/>
      </c>
      <c r="O1471" s="3" t="inlineStr">
        <is>
          <t>세종강산</t>
        </is>
      </c>
      <c r="P1471" s="4" t="n">
        <v>1</v>
      </c>
      <c r="Q1471" s="4" t="n">
        <v>845</v>
      </c>
      <c r="R1471" s="3" t="inlineStr">
        <is>
          <t>지정되지않음</t>
        </is>
      </c>
      <c r="S1471" s="3" t="inlineStr">
        <is>
          <t>전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소로한면</t>
        </is>
      </c>
    </row>
    <row r="1472">
      <c r="A1472" s="3" t="inlineStr">
        <is>
          <t>연서면 월하리 809</t>
        </is>
      </c>
      <c r="B1472" s="3" t="inlineStr">
        <is>
          <t>자연녹지지역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48000</v>
      </c>
      <c r="G1472" s="4" t="n">
        <v>668</v>
      </c>
      <c r="H1472" s="4" t="n">
        <v>202</v>
      </c>
      <c r="I1472" s="5" t="n">
        <v>237.6</v>
      </c>
      <c r="J1472" s="5" t="n">
        <v>156.1</v>
      </c>
      <c r="K1472" s="3" t="inlineStr">
        <is>
          <t>월하리 2차선 도로접한 대지 급매. 자연취락지구로 토지거래허가구역임</t>
        </is>
      </c>
      <c r="L1472" s="6">
        <f>HYPERLINK("https://fin.land.naver.com/articles/2652535473", "매물Link")</f>
        <v/>
      </c>
      <c r="M1472" s="6">
        <f>HYPERLINK("https://map.naver.com/p/search/연서면 월하리 809", "지도Link")</f>
        <v/>
      </c>
      <c r="N1472" s="6">
        <f>HYPERLINK("http://www.eum.go.kr/web/ar/lu/luLandDet.jsp?pnu=3611036021108090000&amp;isNoScr=script&amp;mode=search", "토지이음")</f>
        <v/>
      </c>
      <c r="O1472" s="3" t="inlineStr">
        <is>
          <t>세종대장</t>
        </is>
      </c>
      <c r="P1472" s="4" t="n">
        <v>1</v>
      </c>
      <c r="Q1472" s="4" t="n">
        <v>668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소로한면</t>
        </is>
      </c>
    </row>
    <row r="1473">
      <c r="A1473" s="3" t="inlineStr">
        <is>
          <t>연서면 월하리 818-1</t>
        </is>
      </c>
      <c r="B1473" s="3" t="inlineStr">
        <is>
          <t>자연녹지지역</t>
        </is>
      </c>
      <c r="C1473" s="3" t="inlineStr">
        <is>
          <t>전</t>
        </is>
      </c>
      <c r="D1473" s="3" t="inlineStr">
        <is>
          <t>전</t>
        </is>
      </c>
      <c r="E1473" s="3" t="inlineStr">
        <is>
          <t>매매</t>
        </is>
      </c>
      <c r="F1473" s="4" t="n">
        <v>78000</v>
      </c>
      <c r="G1473" s="4" t="n">
        <v>745</v>
      </c>
      <c r="H1473" s="4" t="n">
        <v>225</v>
      </c>
      <c r="I1473" s="5" t="n">
        <v>346.7</v>
      </c>
      <c r="J1473" s="5" t="n">
        <v>80.3</v>
      </c>
      <c r="K1473" s="3" t="inlineStr">
        <is>
          <t>조치원 월하리 아파트 분양 예정지 근접,개발 투자가치로 좋아요</t>
        </is>
      </c>
      <c r="L1473" s="6">
        <f>HYPERLINK("https://fin.land.naver.com/articles/2651463269", "매물Link")</f>
        <v/>
      </c>
      <c r="M1473" s="6">
        <f>HYPERLINK("https://map.naver.com/p/search/연서면 월하리 818-1", "지도Link")</f>
        <v/>
      </c>
      <c r="N1473" s="6">
        <f>HYPERLINK("http://www.eum.go.kr/web/ar/lu/luLandDet.jsp?pnu=3611036021108180001&amp;isNoScr=script&amp;mode=search", "토지이음")</f>
        <v/>
      </c>
      <c r="O1473" s="3" t="inlineStr">
        <is>
          <t>담뜰</t>
        </is>
      </c>
      <c r="P1473" s="4" t="n">
        <v>1</v>
      </c>
      <c r="Q1473" s="4" t="n">
        <v>745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연서면 월하리 889-1</t>
        </is>
      </c>
      <c r="B1474" s="3" t="inlineStr">
        <is>
          <t>자연녹지지역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442000</v>
      </c>
      <c r="G1474" s="4" t="n">
        <v>5415</v>
      </c>
      <c r="H1474" s="4" t="n">
        <v>1638</v>
      </c>
      <c r="I1474" s="5" t="n">
        <v>269.8</v>
      </c>
      <c r="J1474" s="5" t="n">
        <v>81.3</v>
      </c>
      <c r="K1474" s="3" t="inlineStr">
        <is>
          <t>세종 조치원 공공주택지구 접한 투자용 토지 매매</t>
        </is>
      </c>
      <c r="L1474" s="6">
        <f>HYPERLINK("https://fin.land.naver.com/articles/2650462664", "매물Link")</f>
        <v/>
      </c>
      <c r="M1474" s="6">
        <f>HYPERLINK("https://map.naver.com/p/search/연서면 월하리 889-1", "지도Link")</f>
        <v/>
      </c>
      <c r="N1474" s="6">
        <f>HYPERLINK("http://www.eum.go.kr/web/ar/lu/luLandDet.jsp?pnu=3611036021108890001&amp;isNoScr=script&amp;mode=search", "토지이음")</f>
        <v/>
      </c>
      <c r="O1474" s="3" t="inlineStr">
        <is>
          <t>(주)해뜰터</t>
        </is>
      </c>
      <c r="P1474" s="4" t="n">
        <v>2</v>
      </c>
      <c r="Q1474" s="4" t="n">
        <v>5415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완경사</t>
        </is>
      </c>
      <c r="U1474" s="3" t="inlineStr">
        <is>
          <t>부정형</t>
        </is>
      </c>
      <c r="V1474" s="3" t="inlineStr">
        <is>
          <t>세로한면(불)</t>
        </is>
      </c>
    </row>
    <row r="1475">
      <c r="A1475" s="3" t="inlineStr">
        <is>
          <t>연서면 월하리 898</t>
        </is>
      </c>
      <c r="B1475" s="3" t="inlineStr">
        <is>
          <t>자연녹지지역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200000</v>
      </c>
      <c r="G1475" s="4" t="n">
        <v>1652</v>
      </c>
      <c r="H1475" s="4" t="n">
        <v>500</v>
      </c>
      <c r="I1475" s="5" t="n">
        <v>400</v>
      </c>
      <c r="J1475" s="5" t="n">
        <v>100.6</v>
      </c>
      <c r="K1475" s="3" t="inlineStr">
        <is>
          <t>포장도로 접한 답. 조치원 공공주택지구 인근 자연녹지</t>
        </is>
      </c>
      <c r="L1475" s="6">
        <f>HYPERLINK("https://fin.land.naver.com/articles/2654244524", "매물Link")</f>
        <v/>
      </c>
      <c r="M1475" s="6">
        <f>HYPERLINK("https://map.naver.com/p/search/연서면 월하리 898", "지도Link")</f>
        <v/>
      </c>
      <c r="N1475" s="6">
        <f>HYPERLINK("http://www.eum.go.kr/web/ar/lu/luLandDet.jsp?pnu=3611036021108980000&amp;isNoScr=script&amp;mode=search", "토지이음")</f>
        <v/>
      </c>
      <c r="O1475" s="3" t="inlineStr">
        <is>
          <t>미스터홈즈강남지사</t>
        </is>
      </c>
      <c r="P1475" s="4" t="n">
        <v>1</v>
      </c>
      <c r="Q1475" s="4" t="n">
        <v>1084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연서면 월하리 913-1</t>
        </is>
      </c>
      <c r="B1476" s="3" t="inlineStr">
        <is>
          <t>자연녹지지역</t>
        </is>
      </c>
      <c r="C1476" s="3" t="inlineStr">
        <is>
          <t>과수원</t>
        </is>
      </c>
      <c r="D1476" s="3" t="inlineStr">
        <is>
          <t>과수원</t>
        </is>
      </c>
      <c r="E1476" s="3" t="inlineStr">
        <is>
          <t>매매</t>
        </is>
      </c>
      <c r="F1476" s="4" t="n">
        <v>137800</v>
      </c>
      <c r="G1476" s="4" t="n">
        <v>2278</v>
      </c>
      <c r="H1476" s="4" t="n">
        <v>689</v>
      </c>
      <c r="I1476" s="5" t="n">
        <v>200</v>
      </c>
      <c r="J1476" s="5" t="n">
        <v>89.90000000000001</v>
      </c>
      <c r="K1476" s="3" t="inlineStr">
        <is>
          <t>월하리 자연녹지역 농지 2필지 일괄 매매.</t>
        </is>
      </c>
      <c r="L1476" s="6">
        <f>HYPERLINK("https://fin.land.naver.com/articles/2654030990", "매물Link")</f>
        <v/>
      </c>
      <c r="M1476" s="6">
        <f>HYPERLINK("https://map.naver.com/p/search/연서면 월하리 913-1", "지도Link")</f>
        <v/>
      </c>
      <c r="N1476" s="6">
        <f>HYPERLINK("http://www.eum.go.kr/web/ar/lu/luLandDet.jsp?pnu=3611036021109130001&amp;isNoScr=script&amp;mode=search", "토지이음")</f>
        <v/>
      </c>
      <c r="O1476" s="3" t="inlineStr">
        <is>
          <t>세종대장</t>
        </is>
      </c>
      <c r="P1476" s="4" t="n">
        <v>1</v>
      </c>
      <c r="Q1476" s="4" t="n">
        <v>1329</v>
      </c>
      <c r="R1476" s="3" t="inlineStr">
        <is>
          <t>지정되지않음</t>
        </is>
      </c>
      <c r="S1476" s="3" t="inlineStr">
        <is>
          <t>과수원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세로한면(불)</t>
        </is>
      </c>
    </row>
    <row r="1477">
      <c r="A1477" s="3" t="inlineStr">
        <is>
          <t>연서면 월하리 960-4</t>
        </is>
      </c>
      <c r="B1477" s="3" t="inlineStr">
        <is>
          <t>자연녹지지역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70000</v>
      </c>
      <c r="G1477" s="4" t="n">
        <v>574</v>
      </c>
      <c r="H1477" s="4" t="n">
        <v>174</v>
      </c>
      <c r="I1477" s="5" t="n">
        <v>402.3</v>
      </c>
      <c r="J1477" s="5" t="n">
        <v>208.2</v>
      </c>
      <c r="K1477" s="3" t="inlineStr">
        <is>
          <t>2차선 도로에 접한 3거리 코너각지에 있는 도시지역자연녹지  투자용 토지</t>
        </is>
      </c>
      <c r="L1477" s="6">
        <f>HYPERLINK("https://fin.land.naver.com/articles/2652409046", "매물Link")</f>
        <v/>
      </c>
      <c r="M1477" s="6">
        <f>HYPERLINK("https://map.naver.com/p/search/연서면 월하리 960-4", "지도Link")</f>
        <v/>
      </c>
      <c r="N1477" s="6">
        <f>HYPERLINK("http://www.eum.go.kr/web/ar/lu/luLandDet.jsp?pnu=3611036021109600004&amp;isNoScr=script&amp;mode=search", "토지이음")</f>
        <v/>
      </c>
      <c r="O1477" s="3" t="inlineStr">
        <is>
          <t>스마일세종</t>
        </is>
      </c>
      <c r="P1477" s="4" t="n">
        <v>1</v>
      </c>
      <c r="Q1477" s="4" t="n">
        <v>574</v>
      </c>
      <c r="R1477" s="3" t="inlineStr">
        <is>
          <t>지정되지않음</t>
        </is>
      </c>
      <c r="S1477" s="3" t="inlineStr">
        <is>
          <t>전기타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소로각지</t>
        </is>
      </c>
    </row>
    <row r="1478">
      <c r="A1478" s="3" t="inlineStr">
        <is>
          <t>연서면 월하리 986-3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168000</v>
      </c>
      <c r="G1478" s="4" t="n">
        <v>1157</v>
      </c>
      <c r="H1478" s="4" t="n">
        <v>350</v>
      </c>
      <c r="I1478" s="5" t="n">
        <v>480</v>
      </c>
      <c r="J1478" s="5" t="n">
        <v>208.4</v>
      </c>
      <c r="K1478" s="3" t="inlineStr">
        <is>
          <t>조치원 서북부 개발지역 근접  농지로 투자용으로도 추천, 포장도로 접함</t>
        </is>
      </c>
      <c r="L1478" s="6">
        <f>HYPERLINK("https://fin.land.naver.com/articles/2653204795", "매물Link")</f>
        <v/>
      </c>
      <c r="M1478" s="6">
        <f>HYPERLINK("https://map.naver.com/p/search/연서면 월하리 986-3", "지도Link")</f>
        <v/>
      </c>
      <c r="N1478" s="6">
        <f>HYPERLINK("http://www.eum.go.kr/web/ar/lu/luLandDet.jsp?pnu=3611036021109860003&amp;isNoScr=script&amp;mode=search", "토지이음")</f>
        <v/>
      </c>
      <c r="O1478" s="3" t="inlineStr">
        <is>
          <t>the다올</t>
        </is>
      </c>
      <c r="P1478" s="4" t="n">
        <v>1</v>
      </c>
      <c r="Q1478" s="4" t="n">
        <v>1157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연서면 월하리 산144-1</t>
        </is>
      </c>
      <c r="B1479" s="3" t="inlineStr">
        <is>
          <t>자연녹지지역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860000</v>
      </c>
      <c r="G1479" s="4" t="n">
        <v>22983</v>
      </c>
      <c r="H1479" s="4" t="n">
        <v>6952</v>
      </c>
      <c r="I1479" s="5" t="n">
        <v>123.7</v>
      </c>
      <c r="J1479" s="5" t="n">
        <v>22.5</v>
      </c>
      <c r="K1479" s="3" t="inlineStr">
        <is>
          <t>미호강변 경관좋은 완경사 임야</t>
        </is>
      </c>
      <c r="L1479" s="6">
        <f>HYPERLINK("https://fin.land.naver.com/articles/2651822753", "매물Link")</f>
        <v/>
      </c>
      <c r="M1479" s="6">
        <f>HYPERLINK("https://map.naver.com/p/search/연서면 월하리 산144-1", "지도Link")</f>
        <v/>
      </c>
      <c r="N1479" s="6">
        <f>HYPERLINK("http://www.eum.go.kr/web/ar/lu/luLandDet.jsp?pnu=3611036021201440001&amp;isNoScr=script&amp;mode=search", "토지이음")</f>
        <v/>
      </c>
      <c r="O1479" s="3" t="inlineStr">
        <is>
          <t>번영</t>
        </is>
      </c>
      <c r="P1479" s="4" t="n">
        <v>1</v>
      </c>
      <c r="Q1479" s="4" t="n">
        <v>22641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연서면 월하리 산7-12</t>
        </is>
      </c>
      <c r="B1480" s="3" t="inlineStr">
        <is>
          <t>자연녹지지역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15800</v>
      </c>
      <c r="G1480" s="4" t="n">
        <v>660</v>
      </c>
      <c r="H1480" s="4" t="n">
        <v>200</v>
      </c>
      <c r="I1480" s="5" t="n">
        <v>79</v>
      </c>
      <c r="J1480" s="5" t="n">
        <v>21.7</v>
      </c>
      <c r="K1480" s="3" t="inlineStr">
        <is>
          <t>연서면 월하리 도시지역 자연녹지, 경사도 완만한 투 자용 임야입니다</t>
        </is>
      </c>
      <c r="L1480" s="6">
        <f>HYPERLINK("https://fin.land.naver.com/articles/2653251403", "매물Link")</f>
        <v/>
      </c>
      <c r="M1480" s="6">
        <f>HYPERLINK("https://map.naver.com/p/search/연서면 월하리 산7-12", "지도Link")</f>
        <v/>
      </c>
      <c r="N1480" s="6">
        <f>HYPERLINK("http://www.eum.go.kr/web/ar/lu/luLandDet.jsp?pnu=3611036021200070012&amp;isNoScr=script&amp;mode=search", "토지이음")</f>
        <v/>
      </c>
      <c r="O1480" s="3" t="inlineStr">
        <is>
          <t>스마일세종</t>
        </is>
      </c>
      <c r="P1480" s="4" t="n">
        <v>2</v>
      </c>
      <c r="Q1480" s="4" t="n">
        <v>660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부정형</t>
        </is>
      </c>
      <c r="V1480" s="3" t="inlineStr">
        <is>
          <t>맹지</t>
        </is>
      </c>
    </row>
    <row r="1481">
      <c r="A1481" s="3" t="inlineStr">
        <is>
          <t>연서면 청라리 12</t>
        </is>
      </c>
      <c r="B1481" s="3" t="inlineStr">
        <is>
          <t>생산관리지역</t>
        </is>
      </c>
      <c r="C1481" s="3" t="inlineStr">
        <is>
          <t>과수원</t>
        </is>
      </c>
      <c r="D1481" s="3" t="inlineStr">
        <is>
          <t>과수원</t>
        </is>
      </c>
      <c r="E1481" s="3" t="inlineStr">
        <is>
          <t>매매</t>
        </is>
      </c>
      <c r="F1481" s="4" t="n">
        <v>12500</v>
      </c>
      <c r="G1481" s="4" t="n">
        <v>1838</v>
      </c>
      <c r="H1481" s="4" t="n">
        <v>556</v>
      </c>
      <c r="I1481" s="5" t="n">
        <v>22.5</v>
      </c>
      <c r="J1481" s="5" t="n">
        <v>23.5</v>
      </c>
      <c r="K1481" s="3" t="inlineStr">
        <is>
          <t>급매 주변 시세보다 저렴한 태양광 시설등으로 적합한 생산관리지역의 과수원</t>
        </is>
      </c>
      <c r="L1481" s="6">
        <f>HYPERLINK("https://fin.land.naver.com/articles/2652681924", "매물Link")</f>
        <v/>
      </c>
      <c r="M1481" s="6">
        <f>HYPERLINK("https://map.naver.com/p/search/연서면 청라리 12", "지도Link")</f>
        <v/>
      </c>
      <c r="N1481" s="6">
        <f>HYPERLINK("http://www.eum.go.kr/web/ar/lu/luLandDet.jsp?pnu=3611036027100120000&amp;isNoScr=script&amp;mode=search", "토지이음")</f>
        <v/>
      </c>
      <c r="O1481" s="3" t="inlineStr">
        <is>
          <t>스마일세종</t>
        </is>
      </c>
      <c r="P1481" s="4" t="n">
        <v>2</v>
      </c>
      <c r="Q1481" s="4" t="n">
        <v>1838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연서면 청라리 127-1</t>
        </is>
      </c>
      <c r="B1482" s="3" t="inlineStr">
        <is>
          <t>생산관리지역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53000</v>
      </c>
      <c r="G1482" s="4" t="n">
        <v>1249</v>
      </c>
      <c r="H1482" s="4" t="n">
        <v>378</v>
      </c>
      <c r="I1482" s="5" t="n">
        <v>140.2</v>
      </c>
      <c r="J1482" s="5" t="n">
        <v>30.6</v>
      </c>
      <c r="K1482" s="3" t="inlineStr">
        <is>
          <t>세종 연서면 고복저수지 인근 건축 및 투자 추천 추가 하천부지 있음</t>
        </is>
      </c>
      <c r="L1482" s="6">
        <f>HYPERLINK("https://fin.land.naver.com/articles/2654669162", "매물Link")</f>
        <v/>
      </c>
      <c r="M1482" s="6">
        <f>HYPERLINK("https://map.naver.com/p/search/연서면 청라리 127-1", "지도Link")</f>
        <v/>
      </c>
      <c r="N1482" s="6">
        <f>HYPERLINK("http://www.eum.go.kr/web/ar/lu/luLandDet.jsp?pnu=3611036027101270001&amp;isNoScr=script&amp;mode=search", "토지이음")</f>
        <v/>
      </c>
      <c r="O1482" s="3" t="inlineStr">
        <is>
          <t>나침반</t>
        </is>
      </c>
      <c r="P1482" s="4" t="n">
        <v>8</v>
      </c>
      <c r="Q1482" s="4" t="n">
        <v>1249</v>
      </c>
      <c r="R1482" s="3" t="inlineStr">
        <is>
          <t>지정되지않음</t>
        </is>
      </c>
      <c r="S1482" s="3" t="inlineStr">
        <is>
          <t>과수원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연서면 청라리 127-1</t>
        </is>
      </c>
      <c r="B1483" s="3" t="inlineStr">
        <is>
          <t>생산관리지역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53000</v>
      </c>
      <c r="G1483" s="4" t="n">
        <v>1249</v>
      </c>
      <c r="H1483" s="4" t="n">
        <v>378</v>
      </c>
      <c r="I1483" s="5" t="n">
        <v>140.2</v>
      </c>
      <c r="J1483" s="5" t="n">
        <v>30.6</v>
      </c>
      <c r="K1483" s="3" t="inlineStr">
        <is>
          <t>고복저수지5분거리 국산인근수혜지</t>
        </is>
      </c>
      <c r="L1483" s="6">
        <f>HYPERLINK("https://fin.land.naver.com/articles/2652904321", "매물Link")</f>
        <v/>
      </c>
      <c r="M1483" s="6">
        <f>HYPERLINK("https://map.naver.com/p/search/연서면 청라리 127-1", "지도Link")</f>
        <v/>
      </c>
      <c r="N1483" s="6">
        <f>HYPERLINK("http://www.eum.go.kr/web/ar/lu/luLandDet.jsp?pnu=3611036027101270001&amp;isNoScr=script&amp;mode=search", "토지이음")</f>
        <v/>
      </c>
      <c r="O1483" s="3" t="inlineStr">
        <is>
          <t>오송원</t>
        </is>
      </c>
      <c r="P1483" s="4" t="n">
        <v>1</v>
      </c>
      <c r="Q1483" s="4" t="n">
        <v>1249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연서면 청라리 127-1</t>
        </is>
      </c>
      <c r="B1484" s="3" t="inlineStr">
        <is>
          <t>생산관리지역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53000</v>
      </c>
      <c r="G1484" s="4" t="n">
        <v>1249</v>
      </c>
      <c r="H1484" s="4" t="n">
        <v>378</v>
      </c>
      <c r="I1484" s="5" t="n">
        <v>140.2</v>
      </c>
      <c r="J1484" s="5" t="n">
        <v>30.6</v>
      </c>
      <c r="K1484" s="3" t="inlineStr">
        <is>
          <t>l청년l 세종시 투자가치 있는 토지 입니다.</t>
        </is>
      </c>
      <c r="L1484" s="6">
        <f>HYPERLINK("https://fin.land.naver.com/articles/2652676790", "매물Link")</f>
        <v/>
      </c>
      <c r="M1484" s="6">
        <f>HYPERLINK("https://map.naver.com/p/search/연서면 청라리 127-1", "지도Link")</f>
        <v/>
      </c>
      <c r="N1484" s="6">
        <f>HYPERLINK("http://www.eum.go.kr/web/ar/lu/luLandDet.jsp?pnu=3611036027101270001&amp;isNoScr=script&amp;mode=search", "토지이음")</f>
        <v/>
      </c>
      <c r="O1484" s="3" t="inlineStr">
        <is>
          <t>청년사사무소</t>
        </is>
      </c>
      <c r="P1484" s="4" t="n">
        <v>1</v>
      </c>
      <c r="Q1484" s="4" t="n">
        <v>1249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연서면 청라리 127-1</t>
        </is>
      </c>
      <c r="B1485" s="3" t="inlineStr">
        <is>
          <t>생산관리지역</t>
        </is>
      </c>
      <c r="C1485" s="3" t="inlineStr">
        <is>
          <t>과수원</t>
        </is>
      </c>
      <c r="D1485" s="3" t="inlineStr">
        <is>
          <t>과수원</t>
        </is>
      </c>
      <c r="E1485" s="3" t="inlineStr">
        <is>
          <t>매매</t>
        </is>
      </c>
      <c r="F1485" s="4" t="n">
        <v>53000</v>
      </c>
      <c r="G1485" s="4" t="n">
        <v>1249</v>
      </c>
      <c r="H1485" s="4" t="n">
        <v>378</v>
      </c>
      <c r="I1485" s="5" t="n">
        <v>140.2</v>
      </c>
      <c r="J1485" s="5" t="n">
        <v>30.6</v>
      </c>
      <c r="K1485" s="3" t="inlineStr">
        <is>
          <t>포장도로 접한 세종 북부권 전원주택 검토형 토지</t>
        </is>
      </c>
      <c r="L1485" s="6">
        <f>HYPERLINK("https://fin.land.naver.com/articles/2649753980", "매물Link")</f>
        <v/>
      </c>
      <c r="M1485" s="6">
        <f>HYPERLINK("https://map.naver.com/p/search/연서면 청라리 127-1", "지도Link")</f>
        <v/>
      </c>
      <c r="N1485" s="6">
        <f>HYPERLINK("http://www.eum.go.kr/web/ar/lu/luLandDet.jsp?pnu=3611036027101270001&amp;isNoScr=script&amp;mode=search", "토지이음")</f>
        <v/>
      </c>
      <c r="O1485" s="3" t="inlineStr">
        <is>
          <t>세종소담황금</t>
        </is>
      </c>
      <c r="P1485" s="4" t="n">
        <v>1</v>
      </c>
      <c r="Q1485" s="4" t="n">
        <v>1249</v>
      </c>
      <c r="R1485" s="3" t="inlineStr">
        <is>
          <t>지정되지않음</t>
        </is>
      </c>
      <c r="S1485" s="3" t="inlineStr">
        <is>
          <t>과수원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연서면 청라리 16</t>
        </is>
      </c>
      <c r="B1486" s="3" t="inlineStr">
        <is>
          <t>생산관리지역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42000</v>
      </c>
      <c r="G1486" s="4" t="n">
        <v>2023</v>
      </c>
      <c r="H1486" s="4" t="n">
        <v>612</v>
      </c>
      <c r="I1486" s="5" t="n">
        <v>68.59999999999999</v>
      </c>
      <c r="J1486" s="5" t="n">
        <v>23.5</v>
      </c>
      <c r="K1486" s="3" t="inlineStr">
        <is>
          <t>풍수지리 최고위치 국가산단 배후지 급매물</t>
        </is>
      </c>
      <c r="L1486" s="6">
        <f>HYPERLINK("https://fin.land.naver.com/articles/2650378739", "매물Link")</f>
        <v/>
      </c>
      <c r="M1486" s="6">
        <f>HYPERLINK("https://map.naver.com/p/search/연서면 청라리 16", "지도Link")</f>
        <v/>
      </c>
      <c r="N1486" s="6">
        <f>HYPERLINK("http://www.eum.go.kr/web/ar/lu/luLandDet.jsp?pnu=3611036027100160000&amp;isNoScr=script&amp;mode=search", "토지이음")</f>
        <v/>
      </c>
      <c r="O1486" s="3" t="inlineStr">
        <is>
          <t>THE행복</t>
        </is>
      </c>
      <c r="P1486" s="4" t="n">
        <v>1</v>
      </c>
      <c r="Q1486" s="4" t="n">
        <v>2023</v>
      </c>
      <c r="R1486" s="3" t="inlineStr">
        <is>
          <t>지정되지않음</t>
        </is>
      </c>
      <c r="S1486" s="3" t="inlineStr">
        <is>
          <t>과수원</t>
        </is>
      </c>
      <c r="T1486" s="3" t="inlineStr">
        <is>
          <t>완경사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연서면 청라리 16</t>
        </is>
      </c>
      <c r="B1487" s="3" t="inlineStr">
        <is>
          <t>생산관리지역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42000</v>
      </c>
      <c r="G1487" s="4" t="n">
        <v>2023</v>
      </c>
      <c r="H1487" s="4" t="n">
        <v>612</v>
      </c>
      <c r="I1487" s="5" t="n">
        <v>68.59999999999999</v>
      </c>
      <c r="J1487" s="5" t="n">
        <v>23.5</v>
      </c>
      <c r="K1487" s="3" t="inlineStr">
        <is>
          <t>차량진입완경사, 고복저수지 6분국가산단 15분권</t>
        </is>
      </c>
      <c r="L1487" s="6">
        <f>HYPERLINK("https://fin.land.naver.com/articles/2650328099", "매물Link")</f>
        <v/>
      </c>
      <c r="M1487" s="6">
        <f>HYPERLINK("https://map.naver.com/p/search/연서면 청라리 16", "지도Link")</f>
        <v/>
      </c>
      <c r="N1487" s="6">
        <f>HYPERLINK("http://www.eum.go.kr/web/ar/lu/luLandDet.jsp?pnu=3611036027100160000&amp;isNoScr=script&amp;mode=search", "토지이음")</f>
        <v/>
      </c>
      <c r="O1487" s="3" t="inlineStr">
        <is>
          <t>세종소담황금</t>
        </is>
      </c>
      <c r="P1487" s="4" t="n">
        <v>1</v>
      </c>
      <c r="Q1487" s="4" t="n">
        <v>2023</v>
      </c>
      <c r="R1487" s="3" t="inlineStr">
        <is>
          <t>지정되지않음</t>
        </is>
      </c>
      <c r="S1487" s="3" t="inlineStr">
        <is>
          <t>과수원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연서면 청라리 163-8</t>
        </is>
      </c>
      <c r="B1488" s="3" t="inlineStr">
        <is>
          <t>생산관리지역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31000</v>
      </c>
      <c r="G1488" s="4" t="n">
        <v>778</v>
      </c>
      <c r="H1488" s="4" t="n">
        <v>235</v>
      </c>
      <c r="I1488" s="5" t="n">
        <v>131.9</v>
      </c>
      <c r="J1488" s="5" t="n">
        <v>27</v>
      </c>
      <c r="K1488" s="3" t="inlineStr">
        <is>
          <t>급매  남향  토목공사 완료  조망권 좋음</t>
        </is>
      </c>
      <c r="L1488" s="6">
        <f>HYPERLINK("https://fin.land.naver.com/articles/2654621303", "매물Link")</f>
        <v/>
      </c>
      <c r="M1488" s="6">
        <f>HYPERLINK("https://map.naver.com/p/search/연서면 청라리 163-8", "지도Link")</f>
        <v/>
      </c>
      <c r="N1488" s="6">
        <f>HYPERLINK("http://www.eum.go.kr/web/ar/lu/luLandDet.jsp?pnu=3611036027101630008&amp;isNoScr=script&amp;mode=search", "토지이음")</f>
        <v/>
      </c>
      <c r="O1488" s="3" t="inlineStr">
        <is>
          <t>보람진솔한</t>
        </is>
      </c>
      <c r="P1488" s="4" t="n">
        <v>1</v>
      </c>
      <c r="Q1488" s="4" t="n">
        <v>778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연서면 청라리 17-1</t>
        </is>
      </c>
      <c r="B1489" s="3" t="inlineStr">
        <is>
          <t>생산관리지역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44000</v>
      </c>
      <c r="G1489" s="4" t="n">
        <v>1828</v>
      </c>
      <c r="H1489" s="4" t="n">
        <v>553</v>
      </c>
      <c r="I1489" s="5" t="n">
        <v>79.59999999999999</v>
      </c>
      <c r="J1489" s="5" t="n">
        <v>23.5</v>
      </c>
      <c r="K1489" s="3" t="inlineStr">
        <is>
          <t>연서면 청라리에 있는 전원주택도 지을 수 있는 투자용 토지 입니다</t>
        </is>
      </c>
      <c r="L1489" s="6">
        <f>HYPERLINK("https://fin.land.naver.com/articles/2650766989", "매물Link")</f>
        <v/>
      </c>
      <c r="M1489" s="6">
        <f>HYPERLINK("https://map.naver.com/p/search/연서면 청라리 17-1", "지도Link")</f>
        <v/>
      </c>
      <c r="N1489" s="6">
        <f>HYPERLINK("http://www.eum.go.kr/web/ar/lu/luLandDet.jsp?pnu=3611036027100170001&amp;isNoScr=script&amp;mode=search", "토지이음")</f>
        <v/>
      </c>
      <c r="O1489" s="3" t="inlineStr">
        <is>
          <t>스마일세종</t>
        </is>
      </c>
      <c r="P1489" s="4" t="n">
        <v>1</v>
      </c>
      <c r="Q1489" s="4" t="n">
        <v>1729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완경사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연서면 청라리 191-1</t>
        </is>
      </c>
      <c r="B1490" s="3" t="inlineStr">
        <is>
          <t>생산관리지역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75000</v>
      </c>
      <c r="G1490" s="4" t="n">
        <v>2096</v>
      </c>
      <c r="H1490" s="4" t="n">
        <v>634</v>
      </c>
      <c r="I1490" s="5" t="n">
        <v>118.3</v>
      </c>
      <c r="J1490" s="5" t="n">
        <v>32.1</v>
      </c>
      <c r="K1490" s="3" t="inlineStr">
        <is>
          <t>생산관리, 도로접함, 대토용, 투자용</t>
        </is>
      </c>
      <c r="L1490" s="6">
        <f>HYPERLINK("https://fin.land.naver.com/articles/2650332745", "매물Link")</f>
        <v/>
      </c>
      <c r="M1490" s="6">
        <f>HYPERLINK("https://map.naver.com/p/search/연서면 청라리 191-1", "지도Link")</f>
        <v/>
      </c>
      <c r="N1490" s="6">
        <f>HYPERLINK("http://www.eum.go.kr/web/ar/lu/luLandDet.jsp?pnu=3611036027101910001&amp;isNoScr=script&amp;mode=search",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2096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연서면 청라리 211-1</t>
        </is>
      </c>
      <c r="B1491" s="3" t="inlineStr">
        <is>
          <t>생산관리지역</t>
        </is>
      </c>
      <c r="C1491" s="3" t="inlineStr">
        <is>
          <t>과수원</t>
        </is>
      </c>
      <c r="D1491" s="3" t="inlineStr">
        <is>
          <t>과수원</t>
        </is>
      </c>
      <c r="E1491" s="3" t="inlineStr">
        <is>
          <t>매매</t>
        </is>
      </c>
      <c r="F1491" s="4" t="n">
        <v>96000</v>
      </c>
      <c r="G1491" s="4" t="n">
        <v>3514</v>
      </c>
      <c r="H1491" s="4" t="n">
        <v>1063</v>
      </c>
      <c r="I1491" s="5" t="n">
        <v>90.3</v>
      </c>
      <c r="J1491" s="5" t="n">
        <v>24.3</v>
      </c>
      <c r="K1491" s="3" t="inlineStr">
        <is>
          <t>nan</t>
        </is>
      </c>
      <c r="L1491" s="6">
        <f>HYPERLINK("https://fin.land.naver.com/articles/2653307407", "매물Link")</f>
        <v/>
      </c>
      <c r="M1491" s="6">
        <f>HYPERLINK("https://map.naver.com/p/search/연서면 청라리 211-1", "지도Link")</f>
        <v/>
      </c>
      <c r="N1491" s="6">
        <f>HYPERLINK("http://www.eum.go.kr/web/ar/lu/luLandDet.jsp?pnu=3611036027102110001&amp;isNoScr=script&amp;mode=search", "토지이음")</f>
        <v/>
      </c>
      <c r="O1491" s="3" t="inlineStr">
        <is>
          <t>디아트성심</t>
        </is>
      </c>
      <c r="P1491" s="4" t="n">
        <v>1</v>
      </c>
      <c r="Q1491" s="4" t="n">
        <v>3514</v>
      </c>
      <c r="R1491" s="3" t="inlineStr">
        <is>
          <t>지정되지않음</t>
        </is>
      </c>
      <c r="S1491" s="3" t="inlineStr">
        <is>
          <t>과수원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세로각지(가)</t>
        </is>
      </c>
    </row>
    <row r="1492">
      <c r="A1492" s="3" t="inlineStr">
        <is>
          <t>연서면 청라리 244-1</t>
        </is>
      </c>
      <c r="B1492" s="3" t="inlineStr">
        <is>
          <t>생산관리지역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20000</v>
      </c>
      <c r="G1492" s="4" t="n">
        <v>833</v>
      </c>
      <c r="H1492" s="4" t="n">
        <v>252</v>
      </c>
      <c r="I1492" s="5" t="n">
        <v>79.40000000000001</v>
      </c>
      <c r="J1492" s="5" t="n">
        <v>20.8</v>
      </c>
      <c r="K1492" s="3" t="inlineStr">
        <is>
          <t>nan</t>
        </is>
      </c>
      <c r="L1492" s="6">
        <f>HYPERLINK("https://fin.land.naver.com/articles/2651654470", "매물Link")</f>
        <v/>
      </c>
      <c r="M1492" s="6">
        <f>HYPERLINK("https://map.naver.com/p/search/연서면 청라리 244-1", "지도Link")</f>
        <v/>
      </c>
      <c r="N1492" s="6">
        <f>HYPERLINK("http://www.eum.go.kr/web/ar/lu/luLandDet.jsp?pnu=3611036027102440001&amp;isNoScr=script&amp;mode=search", "토지이음")</f>
        <v/>
      </c>
      <c r="O1492" s="3" t="inlineStr">
        <is>
          <t>고운하임</t>
        </is>
      </c>
      <c r="P1492" s="4" t="n">
        <v>1</v>
      </c>
      <c r="Q1492" s="4" t="n">
        <v>833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연서면 청라리 263</t>
        </is>
      </c>
      <c r="B1493" s="3" t="inlineStr">
        <is>
          <t>생산관리지역</t>
        </is>
      </c>
      <c r="C1493" s="3" t="inlineStr">
        <is>
          <t>과수원</t>
        </is>
      </c>
      <c r="D1493" s="3" t="inlineStr">
        <is>
          <t>과수원</t>
        </is>
      </c>
      <c r="E1493" s="3" t="inlineStr">
        <is>
          <t>매매</t>
        </is>
      </c>
      <c r="F1493" s="4" t="n">
        <v>38500</v>
      </c>
      <c r="G1493" s="4" t="n">
        <v>2314</v>
      </c>
      <c r="H1493" s="4" t="n">
        <v>700</v>
      </c>
      <c r="I1493" s="5" t="n">
        <v>55</v>
      </c>
      <c r="J1493" s="5" t="n">
        <v>20.8</v>
      </c>
      <c r="K1493" s="3" t="inlineStr">
        <is>
          <t>연서면 청라리 농지매매</t>
        </is>
      </c>
      <c r="L1493" s="6">
        <f>HYPERLINK("https://fin.land.naver.com/articles/2650941248", "매물Link")</f>
        <v/>
      </c>
      <c r="M1493" s="6">
        <f>HYPERLINK("https://map.naver.com/p/search/연서면 청라리 263", "지도Link")</f>
        <v/>
      </c>
      <c r="N1493" s="6">
        <f>HYPERLINK("http://www.eum.go.kr/web/ar/lu/luLandDet.jsp?pnu=3611036027102630000&amp;isNoScr=script&amp;mode=search", "토지이음")</f>
        <v/>
      </c>
      <c r="O1493" s="3" t="inlineStr">
        <is>
          <t>OK세종 사무소</t>
        </is>
      </c>
      <c r="P1493" s="4" t="n">
        <v>1</v>
      </c>
      <c r="Q1493" s="4" t="n">
        <v>2314</v>
      </c>
      <c r="R1493" s="3" t="inlineStr">
        <is>
          <t>지정되지않음</t>
        </is>
      </c>
      <c r="S1493" s="3" t="inlineStr">
        <is>
          <t>과수원</t>
        </is>
      </c>
      <c r="T1493" s="3" t="inlineStr">
        <is>
          <t>완경사</t>
        </is>
      </c>
      <c r="U1493" s="3" t="inlineStr">
        <is>
          <t>부정형</t>
        </is>
      </c>
      <c r="V1493" s="3" t="inlineStr">
        <is>
          <t>세로한면(불)</t>
        </is>
      </c>
    </row>
    <row r="1494">
      <c r="A1494" s="3" t="inlineStr">
        <is>
          <t>연서면 청라리 277</t>
        </is>
      </c>
      <c r="B1494" s="3" t="inlineStr">
        <is>
          <t>생산관리지역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63000</v>
      </c>
      <c r="G1494" s="4" t="n">
        <v>3472</v>
      </c>
      <c r="H1494" s="4" t="n">
        <v>1050</v>
      </c>
      <c r="I1494" s="5" t="n">
        <v>60</v>
      </c>
      <c r="J1494" s="5" t="n">
        <v>22</v>
      </c>
      <c r="K1494" s="3" t="inlineStr">
        <is>
          <t>현황도로 길게 접한 생산관리 토지. 대토, 전원주택 추천</t>
        </is>
      </c>
      <c r="L1494" s="6">
        <f>HYPERLINK("https://fin.land.naver.com/articles/2652115768", "매물Link")</f>
        <v/>
      </c>
      <c r="M1494" s="6">
        <f>HYPERLINK("https://map.naver.com/p/search/연서면 청라리 277", "지도Link")</f>
        <v/>
      </c>
      <c r="N1494" s="6">
        <f>HYPERLINK("http://www.eum.go.kr/web/ar/lu/luLandDet.jsp?pnu=3611036027102770000&amp;isNoScr=script&amp;mode=search", "토지이음")</f>
        <v/>
      </c>
      <c r="O1494" s="3" t="inlineStr">
        <is>
          <t>미스터홈즈강남지사</t>
        </is>
      </c>
      <c r="P1494" s="4" t="n">
        <v>1</v>
      </c>
      <c r="Q1494" s="4" t="n">
        <v>3472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완경사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연서면 청라리 295-2</t>
        </is>
      </c>
      <c r="B1495" s="3" t="inlineStr">
        <is>
          <t>생산관리지역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71800</v>
      </c>
      <c r="G1495" s="4" t="n">
        <v>2372</v>
      </c>
      <c r="H1495" s="4" t="n">
        <v>718</v>
      </c>
      <c r="I1495" s="5" t="n">
        <v>100</v>
      </c>
      <c r="J1495" s="5" t="n">
        <v>23.5</v>
      </c>
      <c r="K1495" s="3" t="inlineStr">
        <is>
          <t>고복저수지인근 2차선변 답</t>
        </is>
      </c>
      <c r="L1495" s="6">
        <f>HYPERLINK("https://fin.land.naver.com/articles/2652044870", "매물Link")</f>
        <v/>
      </c>
      <c r="M1495" s="6">
        <f>HYPERLINK("https://map.naver.com/p/search/연서면 청라리 295-2", "지도Link")</f>
        <v/>
      </c>
      <c r="N1495" s="6">
        <f>HYPERLINK("http://www.eum.go.kr/web/ar/lu/luLandDet.jsp?pnu=3611036027102950002&amp;isNoScr=script&amp;mode=search", "토지이음")</f>
        <v/>
      </c>
      <c r="O1495" s="3" t="inlineStr">
        <is>
          <t>미스터홈즈강남지사</t>
        </is>
      </c>
      <c r="P1495" s="4" t="n">
        <v>1</v>
      </c>
      <c r="Q1495" s="4" t="n">
        <v>2372.4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연서면 청라리 34-1</t>
        </is>
      </c>
      <c r="B1496" s="3" t="inlineStr">
        <is>
          <t>생산관리지역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82300</v>
      </c>
      <c r="G1496" s="4" t="n">
        <v>3891</v>
      </c>
      <c r="H1496" s="4" t="n">
        <v>1177</v>
      </c>
      <c r="I1496" s="5" t="n">
        <v>69.90000000000001</v>
      </c>
      <c r="J1496" s="5" t="n">
        <v>24.2</v>
      </c>
      <c r="K1496" s="3" t="inlineStr">
        <is>
          <t>대토용 토지</t>
        </is>
      </c>
      <c r="L1496" s="6">
        <f>HYPERLINK("https://fin.land.naver.com/articles/2651766800", "매물Link")</f>
        <v/>
      </c>
      <c r="M1496" s="6">
        <f>HYPERLINK("https://map.naver.com/p/search/연서면 청라리 34-1", "지도Link")</f>
        <v/>
      </c>
      <c r="N1496" s="6">
        <f>HYPERLINK("http://www.eum.go.kr/web/ar/lu/luLandDet.jsp?pnu=3611036027100340001&amp;isNoScr=script&amp;mode=search", "토지이음")</f>
        <v/>
      </c>
      <c r="O1496" s="3" t="inlineStr">
        <is>
          <t>토지개발</t>
        </is>
      </c>
      <c r="P1496" s="4" t="n">
        <v>1</v>
      </c>
      <c r="Q1496" s="4" t="n">
        <v>3825</v>
      </c>
      <c r="R1496" s="3" t="inlineStr">
        <is>
          <t>지정되지않음</t>
        </is>
      </c>
      <c r="S1496" s="3" t="inlineStr">
        <is>
          <t>과수원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연서면 청라리 38-2</t>
        </is>
      </c>
      <c r="B1497" s="3" t="inlineStr">
        <is>
          <t>생산관리지역</t>
        </is>
      </c>
      <c r="C1497" s="3" t="inlineStr">
        <is>
          <t>과수원</t>
        </is>
      </c>
      <c r="D1497" s="3" t="inlineStr">
        <is>
          <t>과수원</t>
        </is>
      </c>
      <c r="E1497" s="3" t="inlineStr">
        <is>
          <t>매매</t>
        </is>
      </c>
      <c r="F1497" s="4" t="n">
        <v>18180</v>
      </c>
      <c r="G1497" s="4" t="n">
        <v>1001</v>
      </c>
      <c r="H1497" s="4" t="n">
        <v>303</v>
      </c>
      <c r="I1497" s="5" t="n">
        <v>60</v>
      </c>
      <c r="J1497" s="5" t="n">
        <v>24.2</v>
      </c>
      <c r="K1497" s="3" t="inlineStr">
        <is>
          <t>배나무 심어져 있고 농지원부 나오는땅</t>
        </is>
      </c>
      <c r="L1497" s="6">
        <f>HYPERLINK("https://fin.land.naver.com/articles/2651959061", "매물Link")</f>
        <v/>
      </c>
      <c r="M1497" s="6">
        <f>HYPERLINK("https://map.naver.com/p/search/연서면 청라리 38-2", "지도Link")</f>
        <v/>
      </c>
      <c r="N1497" s="6">
        <f>HYPERLINK("http://www.eum.go.kr/web/ar/lu/luLandDet.jsp?pnu=3611036027100380002&amp;isNoScr=script&amp;mode=search", "토지이음")</f>
        <v/>
      </c>
      <c r="O1497" s="3" t="inlineStr">
        <is>
          <t>용궁</t>
        </is>
      </c>
      <c r="P1497" s="4" t="n">
        <v>1</v>
      </c>
      <c r="Q1497" s="4" t="n">
        <v>1000</v>
      </c>
      <c r="R1497" s="3" t="inlineStr">
        <is>
          <t>지정되지않음</t>
        </is>
      </c>
      <c r="S1497" s="3" t="inlineStr">
        <is>
          <t>과수원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연서면 청라리 420-1</t>
        </is>
      </c>
      <c r="B1498" s="3" t="inlineStr">
        <is>
          <t>계획관리지역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37000</v>
      </c>
      <c r="G1498" s="4" t="n">
        <v>657</v>
      </c>
      <c r="H1498" s="4" t="n">
        <v>199</v>
      </c>
      <c r="I1498" s="5" t="n">
        <v>185.9</v>
      </c>
      <c r="J1498" s="5" t="n">
        <v>56.6</v>
      </c>
      <c r="K1498" s="3" t="inlineStr">
        <is>
          <t>계획관리지역.성장관리계획구역.단독주택있슴</t>
        </is>
      </c>
      <c r="L1498" s="6">
        <f>HYPERLINK("https://fin.land.naver.com/articles/2653846170", "매물Link")</f>
        <v/>
      </c>
      <c r="M1498" s="6">
        <f>HYPERLINK("https://map.naver.com/p/search/연서면 청라리 420-1", "지도Link")</f>
        <v/>
      </c>
      <c r="N1498" s="6">
        <f>HYPERLINK("http://www.eum.go.kr/web/ar/lu/luLandDet.jsp?pnu=3611036027104200001&amp;isNoScr=script&amp;mode=search", "토지이음")</f>
        <v/>
      </c>
      <c r="O1498" s="3" t="inlineStr">
        <is>
          <t>돈방석</t>
        </is>
      </c>
      <c r="P1498" s="4" t="n">
        <v>1</v>
      </c>
      <c r="Q1498" s="4" t="n">
        <v>657.4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연서면 청라리 448</t>
        </is>
      </c>
      <c r="B1499" s="3" t="inlineStr">
        <is>
          <t>계획관리지역</t>
        </is>
      </c>
      <c r="C1499" s="3" t="inlineStr">
        <is>
          <t>창고용지</t>
        </is>
      </c>
      <c r="D1499" s="3" t="inlineStr">
        <is>
          <t>대</t>
        </is>
      </c>
      <c r="E1499" s="3" t="inlineStr">
        <is>
          <t>매매</t>
        </is>
      </c>
      <c r="F1499" s="4" t="n">
        <v>425400</v>
      </c>
      <c r="G1499" s="4" t="n">
        <v>7031</v>
      </c>
      <c r="H1499" s="4" t="n">
        <v>2127</v>
      </c>
      <c r="I1499" s="5" t="n">
        <v>200</v>
      </c>
      <c r="J1499" s="5" t="n">
        <v>36.8</v>
      </c>
      <c r="K1499" s="3" t="inlineStr">
        <is>
          <t>2차선도로 접한 토지</t>
        </is>
      </c>
      <c r="L1499" s="6">
        <f>HYPERLINK("https://fin.land.naver.com/articles/2655183878", "매물Link")</f>
        <v/>
      </c>
      <c r="M1499" s="6">
        <f>HYPERLINK("https://map.naver.com/p/search/연서면 청라리 448", "지도Link")</f>
        <v/>
      </c>
      <c r="N1499" s="6">
        <f>HYPERLINK("http://www.eum.go.kr/web/ar/lu/luLandDet.jsp?pnu=3611036027104480000&amp;isNoScr=script&amp;mode=search", "토지이음")</f>
        <v/>
      </c>
      <c r="O1499" s="3" t="inlineStr">
        <is>
          <t>더KEY</t>
        </is>
      </c>
      <c r="P1499" s="4" t="n">
        <v>1</v>
      </c>
      <c r="Q1499" s="4" t="n">
        <v>1158</v>
      </c>
      <c r="R1499" s="3" t="inlineStr">
        <is>
          <t>지정되지않음</t>
        </is>
      </c>
      <c r="S1499" s="3" t="inlineStr">
        <is>
          <t>답기타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소로한면</t>
        </is>
      </c>
    </row>
    <row r="1500">
      <c r="A1500" s="3" t="inlineStr">
        <is>
          <t>연서면 청라리 490</t>
        </is>
      </c>
      <c r="B1500" s="3" t="inlineStr">
        <is>
          <t>보전관리지역</t>
        </is>
      </c>
      <c r="C1500" s="3" t="inlineStr">
        <is>
          <t>답</t>
        </is>
      </c>
      <c r="D1500" s="3" t="inlineStr">
        <is>
          <t>전</t>
        </is>
      </c>
      <c r="E1500" s="3" t="inlineStr">
        <is>
          <t>매매</t>
        </is>
      </c>
      <c r="F1500" s="4" t="n">
        <v>12700</v>
      </c>
      <c r="G1500" s="4" t="n">
        <v>1402</v>
      </c>
      <c r="H1500" s="4" t="n">
        <v>424</v>
      </c>
      <c r="I1500" s="5" t="n">
        <v>30</v>
      </c>
      <c r="J1500" s="5" t="n">
        <v>10.8</v>
      </c>
      <c r="K1500" s="3" t="inlineStr">
        <is>
          <t>절충가능하고 대토용으로 추천드림니다</t>
        </is>
      </c>
      <c r="L1500" s="6">
        <f>HYPERLINK("https://fin.land.naver.com/articles/2654814455", "매물Link")</f>
        <v/>
      </c>
      <c r="M1500" s="6">
        <f>HYPERLINK("https://map.naver.com/p/search/연서면 청라리 490", "지도Link")</f>
        <v/>
      </c>
      <c r="N1500" s="6">
        <f>HYPERLINK("http://www.eum.go.kr/web/ar/lu/luLandDet.jsp?pnu=3611036027104900000&amp;isNoScr=script&amp;mode=search", "토지이음")</f>
        <v/>
      </c>
      <c r="O1500" s="3" t="inlineStr">
        <is>
          <t>스마일세종</t>
        </is>
      </c>
      <c r="P1500" s="4" t="n">
        <v>1</v>
      </c>
      <c r="Q1500" s="4" t="n">
        <v>724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급경사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연서면 청라리 490</t>
        </is>
      </c>
      <c r="B1501" s="3" t="inlineStr">
        <is>
          <t>보전관리지역</t>
        </is>
      </c>
      <c r="C1501" s="3" t="inlineStr">
        <is>
          <t>답</t>
        </is>
      </c>
      <c r="D1501" s="3" t="inlineStr">
        <is>
          <t>전</t>
        </is>
      </c>
      <c r="E1501" s="3" t="inlineStr">
        <is>
          <t>매매</t>
        </is>
      </c>
      <c r="F1501" s="4" t="n">
        <v>7000</v>
      </c>
      <c r="G1501" s="4" t="n">
        <v>1401</v>
      </c>
      <c r="H1501" s="4" t="n">
        <v>424</v>
      </c>
      <c r="I1501" s="5" t="n">
        <v>16.5</v>
      </c>
      <c r="J1501" s="5" t="n">
        <v>10.8</v>
      </c>
      <c r="K1501" s="3" t="inlineStr">
        <is>
          <t>급매.과수원추천.보전관리.성장관리계획구역.영농여건불리농지. 대토추천.</t>
        </is>
      </c>
      <c r="L1501" s="6">
        <f>HYPERLINK("https://fin.land.naver.com/articles/2651449309", "매물Link")</f>
        <v/>
      </c>
      <c r="M1501" s="6">
        <f>HYPERLINK("https://map.naver.com/p/search/연서면 청라리 490", "지도Link")</f>
        <v/>
      </c>
      <c r="N1501" s="6">
        <f>HYPERLINK("http://www.eum.go.kr/web/ar/lu/luLandDet.jsp?pnu=3611036027104900000&amp;isNoScr=script&amp;mode=search", "토지이음")</f>
        <v/>
      </c>
      <c r="O1501" s="3" t="inlineStr">
        <is>
          <t>휴튼9단지세교신도시</t>
        </is>
      </c>
      <c r="P1501" s="4" t="n">
        <v>1</v>
      </c>
      <c r="Q1501" s="4" t="n">
        <v>724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급경사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연서면 청라리 490</t>
        </is>
      </c>
      <c r="B1502" s="3" t="inlineStr">
        <is>
          <t>보전관리지역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6750</v>
      </c>
      <c r="G1502" s="4" t="n">
        <v>1402</v>
      </c>
      <c r="H1502" s="4" t="n">
        <v>424</v>
      </c>
      <c r="I1502" s="5" t="n">
        <v>15.9</v>
      </c>
      <c r="J1502" s="5" t="n">
        <v>10.8</v>
      </c>
      <c r="K1502" s="3" t="inlineStr">
        <is>
          <t>구거 접해 있지만 맹지입니다.</t>
        </is>
      </c>
      <c r="L1502" s="6">
        <f>HYPERLINK("https://fin.land.naver.com/articles/2652005290", "매물Link")</f>
        <v/>
      </c>
      <c r="M1502" s="6">
        <f>HYPERLINK("https://map.naver.com/p/search/연서면 청라리 490", "지도Link")</f>
        <v/>
      </c>
      <c r="N1502" s="6">
        <f>HYPERLINK("http://www.eum.go.kr/web/ar/lu/luLandDet.jsp?pnu=3611036027104900000&amp;isNoScr=script&amp;mode=search", "토지이음")</f>
        <v/>
      </c>
      <c r="O1502" s="3" t="inlineStr">
        <is>
          <t>세종땅사랑</t>
        </is>
      </c>
      <c r="P1502" s="4" t="n">
        <v>1</v>
      </c>
      <c r="Q1502" s="4" t="n">
        <v>724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급경사</t>
        </is>
      </c>
      <c r="U1502" s="3" t="inlineStr">
        <is>
          <t>부정형</t>
        </is>
      </c>
      <c r="V1502" s="3" t="inlineStr">
        <is>
          <t>맹지</t>
        </is>
      </c>
    </row>
    <row r="1503">
      <c r="A1503" s="3" t="inlineStr">
        <is>
          <t>오송읍 공북리 184-1</t>
        </is>
      </c>
      <c r="B1503" s="3" t="inlineStr">
        <is>
          <t>농림지역</t>
        </is>
      </c>
      <c r="C1503" s="3" t="inlineStr">
        <is>
          <t>잡종지</t>
        </is>
      </c>
      <c r="D1503" s="3" t="inlineStr">
        <is>
          <t>잡종지</t>
        </is>
      </c>
      <c r="E1503" s="3" t="inlineStr">
        <is>
          <t>매매</t>
        </is>
      </c>
      <c r="F1503" s="4" t="n">
        <v>130000</v>
      </c>
      <c r="G1503" s="4" t="n">
        <v>2146</v>
      </c>
      <c r="H1503" s="4" t="n">
        <v>649</v>
      </c>
      <c r="I1503" s="5" t="n">
        <v>200.3</v>
      </c>
      <c r="J1503" s="5" t="n">
        <v>53.7</v>
      </c>
      <c r="K1503" s="3" t="inlineStr">
        <is>
          <t>오송역.산단인접 개발 활용도 좋은 잡종지 토지 매매.2차선 도로접</t>
        </is>
      </c>
      <c r="L1503" s="6">
        <f>HYPERLINK("https://fin.land.naver.com/articles/2650636899", "매물Link")</f>
        <v/>
      </c>
      <c r="M1503" s="6">
        <f>HYPERLINK("https://map.naver.com/p/search/오송읍 공북리 184-1", "지도Link")</f>
        <v/>
      </c>
      <c r="N1503" s="6">
        <f>HYPERLINK("http://www.eum.go.kr/web/ar/lu/luLandDet.jsp?pnu=4311325023101840001&amp;isNoScr=script&amp;mode=search", "토지이음")</f>
        <v/>
      </c>
      <c r="O1503" s="3" t="inlineStr">
        <is>
          <t>삼성사무소</t>
        </is>
      </c>
      <c r="P1503" s="4" t="n">
        <v>1</v>
      </c>
      <c r="Q1503" s="4" t="n">
        <v>746</v>
      </c>
      <c r="R1503" s="3" t="inlineStr">
        <is>
          <t>지정되지않음</t>
        </is>
      </c>
      <c r="S1503" s="3" t="inlineStr">
        <is>
          <t>단독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소로한면</t>
        </is>
      </c>
    </row>
    <row r="1504">
      <c r="A1504" s="3" t="inlineStr">
        <is>
          <t>오송읍 공북리 184-2</t>
        </is>
      </c>
      <c r="B1504" s="3" t="inlineStr">
        <is>
          <t>농림지역</t>
        </is>
      </c>
      <c r="C1504" s="3" t="inlineStr">
        <is>
          <t>잡종지</t>
        </is>
      </c>
      <c r="D1504" s="3" t="inlineStr">
        <is>
          <t>잡종지</t>
        </is>
      </c>
      <c r="E1504" s="3" t="inlineStr">
        <is>
          <t>매매</t>
        </is>
      </c>
      <c r="F1504" s="4" t="n">
        <v>130000</v>
      </c>
      <c r="G1504" s="4" t="n">
        <v>2146</v>
      </c>
      <c r="H1504" s="4" t="n">
        <v>649</v>
      </c>
      <c r="I1504" s="5" t="n">
        <v>200.3</v>
      </c>
      <c r="J1504" s="5" t="n">
        <v>53.7</v>
      </c>
      <c r="K1504" s="3" t="inlineStr">
        <is>
          <t>2차선 도로 접, 서울 세종간 고속도로 오송진입로 1.3km, 투자 적지</t>
        </is>
      </c>
      <c r="L1504" s="6">
        <f>HYPERLINK("https://fin.land.naver.com/articles/2651729575", "매물Link")</f>
        <v/>
      </c>
      <c r="M1504" s="6">
        <f>HYPERLINK("https://map.naver.com/p/search/오송읍 공북리 184-2", "지도Link")</f>
        <v/>
      </c>
      <c r="N1504" s="6">
        <f>HYPERLINK("http://www.eum.go.kr/web/ar/lu/luLandDet.jsp?pnu=4311325023101840002&amp;isNoScr=script&amp;mode=search", "토지이음")</f>
        <v/>
      </c>
      <c r="O1504" s="3" t="inlineStr">
        <is>
          <t>OK파라곤</t>
        </is>
      </c>
      <c r="P1504" s="4" t="n">
        <v>1</v>
      </c>
      <c r="Q1504" s="4" t="n">
        <v>1400</v>
      </c>
      <c r="R1504" s="3" t="inlineStr">
        <is>
          <t>지정되지않음</t>
        </is>
      </c>
      <c r="S1504" s="3" t="inlineStr">
        <is>
          <t>단독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소로한면</t>
        </is>
      </c>
    </row>
    <row r="1505">
      <c r="A1505" s="3" t="inlineStr">
        <is>
          <t>오송읍 공북리 568-28</t>
        </is>
      </c>
      <c r="B1505" s="3" t="inlineStr">
        <is>
          <t>계획관리지역</t>
        </is>
      </c>
      <c r="C1505" s="3" t="inlineStr">
        <is>
          <t>잡종지</t>
        </is>
      </c>
      <c r="D1505" s="3" t="inlineStr">
        <is>
          <t>대</t>
        </is>
      </c>
      <c r="E1505" s="3" t="inlineStr">
        <is>
          <t>매매</t>
        </is>
      </c>
      <c r="F1505" s="4" t="n">
        <v>220000</v>
      </c>
      <c r="G1505" s="4" t="n">
        <v>2707</v>
      </c>
      <c r="H1505" s="4" t="n">
        <v>819</v>
      </c>
      <c r="I1505" s="5" t="n">
        <v>268.6</v>
      </c>
      <c r="J1505" s="5" t="n">
        <v>72.2</v>
      </c>
      <c r="K1505" s="3" t="inlineStr">
        <is>
          <t>오송생명과학단지 바로옆,옥산IC인근,전체 계획관리지역,공장 창고 추천</t>
        </is>
      </c>
      <c r="L1505" s="6">
        <f>HYPERLINK("https://fin.land.naver.com/articles/2652356906", "매물Link")</f>
        <v/>
      </c>
      <c r="M1505" s="6">
        <f>HYPERLINK("https://map.naver.com/p/search/오송읍 공북리 568-28", "지도Link")</f>
        <v/>
      </c>
      <c r="N1505" s="6">
        <f>HYPERLINK("http://www.eum.go.kr/web/ar/lu/luLandDet.jsp?pnu=4311325023105680028&amp;isNoScr=script&amp;mode=search", "토지이음")</f>
        <v/>
      </c>
      <c r="O1505" s="3" t="inlineStr">
        <is>
          <t>(주)미르</t>
        </is>
      </c>
      <c r="P1505" s="4" t="n">
        <v>1</v>
      </c>
      <c r="Q1505" s="4" t="n">
        <v>79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오송읍 공북리 568-30</t>
        </is>
      </c>
      <c r="B1506" s="3" t="inlineStr">
        <is>
          <t>계획관리지역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220000</v>
      </c>
      <c r="G1506" s="4" t="n">
        <v>2707</v>
      </c>
      <c r="H1506" s="4" t="n">
        <v>819</v>
      </c>
      <c r="I1506" s="5" t="n">
        <v>268.6</v>
      </c>
      <c r="J1506" s="5" t="n">
        <v>72.2</v>
      </c>
      <c r="K1506" s="3" t="inlineStr">
        <is>
          <t>오송생명과학단지 , 오송 화장품산업단지 인근 공장 창고 추천</t>
        </is>
      </c>
      <c r="L1506" s="6">
        <f>HYPERLINK("https://fin.land.naver.com/articles/2652969686", "매물Link")</f>
        <v/>
      </c>
      <c r="M1506" s="6">
        <f>HYPERLINK("https://map.naver.com/p/search/오송읍 공북리 568-30", "지도Link")</f>
        <v/>
      </c>
      <c r="N1506" s="6">
        <f>HYPERLINK("http://www.eum.go.kr/web/ar/lu/luLandDet.jsp?pnu=4311325023105680030&amp;isNoScr=script&amp;mode=search", "토지이음")</f>
        <v/>
      </c>
      <c r="O1506" s="3" t="inlineStr">
        <is>
          <t>더원</t>
        </is>
      </c>
      <c r="P1506" s="4" t="n">
        <v>1</v>
      </c>
      <c r="Q1506" s="4" t="n">
        <v>144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세로한면(가)</t>
        </is>
      </c>
    </row>
    <row r="1507">
      <c r="A1507" s="3" t="inlineStr">
        <is>
          <t>오송읍 공북리 639-1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20600</v>
      </c>
      <c r="G1507" s="4" t="n">
        <v>975</v>
      </c>
      <c r="H1507" s="4" t="n">
        <v>295</v>
      </c>
      <c r="I1507" s="5" t="n">
        <v>69.8</v>
      </c>
      <c r="J1507" s="5" t="n">
        <v>21.6</v>
      </c>
      <c r="K1507" s="3" t="inlineStr">
        <is>
          <t>오송역 오송철도클러스터단지인근토지 수도 전기 화장실 컨테이너 설치</t>
        </is>
      </c>
      <c r="L1507" s="6">
        <f>HYPERLINK("https://fin.land.naver.com/articles/2653991086", "매물Link")</f>
        <v/>
      </c>
      <c r="M1507" s="6">
        <f>HYPERLINK("https://map.naver.com/p/search/오송읍 공북리 639-1", "지도Link")</f>
        <v/>
      </c>
      <c r="N1507" s="6">
        <f>HYPERLINK("http://www.eum.go.kr/web/ar/lu/luLandDet.jsp?pnu=4311325023106390001&amp;isNoScr=script&amp;mode=search", "토지이음")</f>
        <v/>
      </c>
      <c r="O1507" s="3" t="inlineStr">
        <is>
          <t>아임</t>
        </is>
      </c>
      <c r="P1507" s="4" t="n">
        <v>2</v>
      </c>
      <c r="Q1507" s="4" t="n">
        <v>975</v>
      </c>
      <c r="R1507" s="3" t="inlineStr">
        <is>
          <t>생산관리지역</t>
        </is>
      </c>
      <c r="S1507" s="3" t="inlineStr">
        <is>
          <t>답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세로한면(가)</t>
        </is>
      </c>
    </row>
    <row r="1508">
      <c r="A1508" s="3" t="inlineStr">
        <is>
          <t>오송읍 공북리 산 52-7</t>
        </is>
      </c>
      <c r="B1508" s="3" t="inlineStr">
        <is>
          <t>보전관리지역</t>
        </is>
      </c>
      <c r="C1508" s="3" t="inlineStr">
        <is>
          <t>임야</t>
        </is>
      </c>
      <c r="D1508" s="3" t="inlineStr">
        <is>
          <t>임야</t>
        </is>
      </c>
      <c r="E1508" s="3" t="inlineStr">
        <is>
          <t>매매</t>
        </is>
      </c>
      <c r="F1508" s="4" t="n">
        <v>190000</v>
      </c>
      <c r="G1508" s="4" t="n">
        <v>39425</v>
      </c>
      <c r="H1508" s="4" t="n">
        <v>11926</v>
      </c>
      <c r="I1508" s="5" t="n">
        <v>15.9</v>
      </c>
      <c r="J1508" s="5" t="n">
        <v>3.1</v>
      </c>
      <c r="K1508" s="3" t="inlineStr">
        <is>
          <t>카폐,전원주택 개발 가능여지 있음</t>
        </is>
      </c>
      <c r="L1508" s="6">
        <f>HYPERLINK("https://fin.land.naver.com/articles/2654775571", "매물Link")</f>
        <v/>
      </c>
      <c r="M1508" s="6">
        <f>HYPERLINK("https://map.naver.com/p/search/오송읍 공북리 산 52-7", "지도Link")</f>
        <v/>
      </c>
      <c r="N1508" s="6">
        <f>HYPERLINK("http://www.eum.go.kr/web/ar/lu/luLandDet.jsp?pnu=4311325023200520007&amp;isNoScr=script&amp;mode=search", "토지이음")</f>
        <v/>
      </c>
      <c r="O1508" s="3" t="inlineStr">
        <is>
          <t>조은</t>
        </is>
      </c>
      <c r="P1508" s="4" t="n">
        <v>1</v>
      </c>
      <c r="Q1508" s="4" t="n">
        <v>2791</v>
      </c>
      <c r="R1508" s="3" t="inlineStr">
        <is>
          <t>지정되지않음</t>
        </is>
      </c>
      <c r="S1508" s="3" t="inlineStr">
        <is>
          <t>조림</t>
        </is>
      </c>
      <c r="T1508" s="3" t="inlineStr">
        <is>
          <t>급경사</t>
        </is>
      </c>
      <c r="U1508" s="3" t="inlineStr">
        <is>
          <t>부정형</t>
        </is>
      </c>
      <c r="V1508" s="3" t="inlineStr">
        <is>
          <t>맹지</t>
        </is>
      </c>
    </row>
    <row r="1509">
      <c r="A1509" s="3" t="inlineStr">
        <is>
          <t>오송읍 궁평리 121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90000</v>
      </c>
      <c r="G1509" s="4" t="n">
        <v>2265</v>
      </c>
      <c r="H1509" s="4" t="n">
        <v>685</v>
      </c>
      <c r="I1509" s="5" t="n">
        <v>131.4</v>
      </c>
      <c r="J1509" s="5" t="n">
        <v>35.7</v>
      </c>
      <c r="K1509" s="3" t="inlineStr">
        <is>
          <t>1산단 남측 포장도로접한 하우스 농지</t>
        </is>
      </c>
      <c r="L1509" s="6">
        <f>HYPERLINK("https://fin.land.naver.com/articles/2649950672", "매물Link")</f>
        <v/>
      </c>
      <c r="M1509" s="6">
        <f>HYPERLINK("https://map.naver.com/p/search/오송읍 궁평리 121", "지도Link")</f>
        <v/>
      </c>
      <c r="N1509" s="6">
        <f>HYPERLINK("http://www.eum.go.kr/web/ar/lu/luLandDet.jsp?pnu=4311325027101210000&amp;isNoScr=script&amp;mode=search", "토지이음")</f>
        <v/>
      </c>
      <c r="O1509" s="3" t="inlineStr">
        <is>
          <t>오송k랜드</t>
        </is>
      </c>
      <c r="P1509" s="4" t="n">
        <v>1</v>
      </c>
      <c r="Q1509" s="4" t="n">
        <v>2265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세로한면(가)</t>
        </is>
      </c>
    </row>
    <row r="1510">
      <c r="A1510" s="3" t="inlineStr">
        <is>
          <t>오송읍 궁평리 204-8</t>
        </is>
      </c>
      <c r="B1510" s="3" t="inlineStr">
        <is>
          <t>농림지역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95000</v>
      </c>
      <c r="G1510" s="4" t="n">
        <v>2036</v>
      </c>
      <c r="H1510" s="4" t="n">
        <v>616</v>
      </c>
      <c r="I1510" s="5" t="n">
        <v>154.2</v>
      </c>
      <c r="J1510" s="5" t="n">
        <v>27.4</v>
      </c>
      <c r="K1510" s="3" t="inlineStr">
        <is>
          <t>오송읍 투자가치 높은 토지 매매</t>
        </is>
      </c>
      <c r="L1510" s="6">
        <f>HYPERLINK("https://fin.land.naver.com/articles/2653393609", "매물Link")</f>
        <v/>
      </c>
      <c r="M1510" s="6">
        <f>HYPERLINK("https://map.naver.com/p/search/오송읍 궁평리 204-8", "지도Link")</f>
        <v/>
      </c>
      <c r="N1510" s="6">
        <f>HYPERLINK("http://www.eum.go.kr/web/ar/lu/luLandDet.jsp?pnu=4311325027102040008&amp;isNoScr=script&amp;mode=search", "토지이음")</f>
        <v/>
      </c>
      <c r="O1510" s="3" t="inlineStr">
        <is>
          <t>대지</t>
        </is>
      </c>
      <c r="P1510" s="4" t="n">
        <v>1</v>
      </c>
      <c r="Q1510" s="4" t="n">
        <v>2036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세로한면(가)</t>
        </is>
      </c>
    </row>
    <row r="1511">
      <c r="A1511" s="3" t="inlineStr">
        <is>
          <t>오송읍 궁평리 213-3</t>
        </is>
      </c>
      <c r="B1511" s="3" t="inlineStr">
        <is>
          <t>농림지역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47500</v>
      </c>
      <c r="G1511" s="4" t="n">
        <v>2093</v>
      </c>
      <c r="H1511" s="4" t="n">
        <v>633</v>
      </c>
      <c r="I1511" s="5" t="n">
        <v>75</v>
      </c>
      <c r="J1511" s="5" t="n">
        <v>30</v>
      </c>
      <c r="K1511" s="3" t="inlineStr">
        <is>
          <t>nan</t>
        </is>
      </c>
      <c r="L1511" s="6">
        <f>HYPERLINK("https://fin.land.naver.com/articles/2650456829", "매물Link")</f>
        <v/>
      </c>
      <c r="M1511" s="6">
        <f>HYPERLINK("https://map.naver.com/p/search/오송읍 궁평리 213-3", "지도Link")</f>
        <v/>
      </c>
      <c r="N1511" s="6">
        <f>HYPERLINK("http://www.eum.go.kr/web/ar/lu/luLandDet.jsp?pnu=4311325027102130003&amp;isNoScr=script&amp;mode=search", "토지이음")</f>
        <v/>
      </c>
      <c r="O1511" s="3" t="inlineStr">
        <is>
          <t>OK파라곤</t>
        </is>
      </c>
      <c r="P1511" s="4" t="n">
        <v>1</v>
      </c>
      <c r="Q1511" s="4" t="n">
        <v>2093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오송읍 궁평리 216-6</t>
        </is>
      </c>
      <c r="B1512" s="3" t="inlineStr">
        <is>
          <t>농림지역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90700</v>
      </c>
      <c r="G1512" s="4" t="n">
        <v>3740</v>
      </c>
      <c r="H1512" s="4" t="n">
        <v>1131</v>
      </c>
      <c r="I1512" s="5" t="n">
        <v>80.2</v>
      </c>
      <c r="J1512" s="5" t="n">
        <v>27</v>
      </c>
      <c r="K1512" s="3" t="inlineStr">
        <is>
          <t>궁평리 청주오스코 인근</t>
        </is>
      </c>
      <c r="L1512" s="6">
        <f>HYPERLINK("https://fin.land.naver.com/articles/2653380363", "매물Link")</f>
        <v/>
      </c>
      <c r="M1512" s="6">
        <f>HYPERLINK("https://map.naver.com/p/search/오송읍 궁평리 216-6", "지도Link")</f>
        <v/>
      </c>
      <c r="N1512" s="6">
        <f>HYPERLINK("http://www.eum.go.kr/web/ar/lu/luLandDet.jsp?pnu=4311325027102160006&amp;isNoScr=script&amp;mode=search", "토지이음")</f>
        <v/>
      </c>
      <c r="O1512" s="3" t="inlineStr">
        <is>
          <t>수풀림</t>
        </is>
      </c>
      <c r="P1512" s="4" t="n">
        <v>2</v>
      </c>
      <c r="Q1512" s="4" t="n">
        <v>3743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세로한면(불)</t>
        </is>
      </c>
    </row>
    <row r="1513">
      <c r="A1513" s="3" t="inlineStr">
        <is>
          <t>오송읍 궁평리 234-6</t>
        </is>
      </c>
      <c r="B1513" s="3" t="inlineStr">
        <is>
          <t>농림지역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136000</v>
      </c>
      <c r="G1513" s="4" t="n">
        <v>3003</v>
      </c>
      <c r="H1513" s="4" t="n">
        <v>908</v>
      </c>
      <c r="I1513" s="5" t="n">
        <v>149.8</v>
      </c>
      <c r="J1513" s="5" t="n">
        <v>37.1</v>
      </c>
      <c r="K1513" s="3" t="inlineStr">
        <is>
          <t>매물특징</t>
        </is>
      </c>
      <c r="L1513" s="6">
        <f>HYPERLINK("https://fin.land.naver.com/articles/2654799108", "매물Link")</f>
        <v/>
      </c>
      <c r="M1513" s="6">
        <f>HYPERLINK("https://map.naver.com/p/search/오송읍 궁평리 234-6", "지도Link")</f>
        <v/>
      </c>
      <c r="N1513" s="6">
        <f>HYPERLINK("http://www.eum.go.kr/web/ar/lu/luLandDet.jsp?pnu=4311325027102340006&amp;isNoScr=script&amp;mode=search", "토지이음")</f>
        <v/>
      </c>
      <c r="O1513" s="3" t="inlineStr">
        <is>
          <t>오송궁평마을</t>
        </is>
      </c>
      <c r="P1513" s="4" t="n">
        <v>1</v>
      </c>
      <c r="Q1513" s="4" t="n">
        <v>3003</v>
      </c>
      <c r="R1513" s="3" t="inlineStr">
        <is>
          <t>지정되지않음</t>
        </is>
      </c>
      <c r="S1513" s="3" t="inlineStr">
        <is>
          <t>답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세로한면(가)</t>
        </is>
      </c>
    </row>
    <row r="1514">
      <c r="A1514" s="3" t="inlineStr">
        <is>
          <t>오송읍 궁평리 259-14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80000</v>
      </c>
      <c r="G1514" s="4" t="n">
        <v>1144</v>
      </c>
      <c r="H1514" s="4" t="n">
        <v>346</v>
      </c>
      <c r="I1514" s="5" t="n">
        <v>231.2</v>
      </c>
      <c r="J1514" s="5" t="n">
        <v>93.90000000000001</v>
      </c>
      <c r="K1514" s="3" t="inlineStr">
        <is>
          <t>오송역 및 오스코 600m, 6차선 지하차도 예정지에 인접한 계획관리토지</t>
        </is>
      </c>
      <c r="L1514" s="6">
        <f>HYPERLINK("https://fin.land.naver.com/articles/2654630539", "매물Link")</f>
        <v/>
      </c>
      <c r="M1514" s="6">
        <f>HYPERLINK("https://map.naver.com/p/search/오송읍 궁평리 259-14", "지도Link")</f>
        <v/>
      </c>
      <c r="N1514" s="6">
        <f>HYPERLINK("http://www.eum.go.kr/web/ar/lu/luLandDet.jsp?pnu=4311325027102590014&amp;isNoScr=script&amp;mode=search", "토지이음")</f>
        <v/>
      </c>
      <c r="O1514" s="3" t="inlineStr">
        <is>
          <t>오송3산단  사무소</t>
        </is>
      </c>
      <c r="P1514" s="4" t="n">
        <v>1</v>
      </c>
      <c r="Q1514" s="4" t="n">
        <v>1144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세로한면(가)</t>
        </is>
      </c>
    </row>
    <row r="1515">
      <c r="A1515" s="3" t="inlineStr">
        <is>
          <t>오송읍 궁평리 272-3</t>
        </is>
      </c>
      <c r="B1515" s="3" t="inlineStr">
        <is>
          <t>계획관리지역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85000</v>
      </c>
      <c r="G1515" s="4" t="n">
        <v>573</v>
      </c>
      <c r="H1515" s="4" t="n">
        <v>173</v>
      </c>
      <c r="I1515" s="5" t="n">
        <v>491.3</v>
      </c>
      <c r="J1515" s="5" t="n">
        <v>161.2</v>
      </c>
      <c r="K1515" s="3" t="inlineStr">
        <is>
          <t>오송역에서 가까운 궁평리에 위치한 토지임</t>
        </is>
      </c>
      <c r="L1515" s="6">
        <f>HYPERLINK("https://fin.land.naver.com/articles/2652419897", "매물Link")</f>
        <v/>
      </c>
      <c r="M1515" s="6">
        <f>HYPERLINK("https://map.naver.com/p/search/오송읍 궁평리 272-3", "지도Link")</f>
        <v/>
      </c>
      <c r="N1515" s="6">
        <f>HYPERLINK("http://www.eum.go.kr/web/ar/lu/luLandDet.jsp?pnu=4311325027102720003&amp;isNoScr=script&amp;mode=search", "토지이음")</f>
        <v/>
      </c>
      <c r="O1515" s="3" t="inlineStr">
        <is>
          <t>산성</t>
        </is>
      </c>
      <c r="P1515" s="4" t="n">
        <v>1</v>
      </c>
      <c r="Q1515" s="4" t="n">
        <v>573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오송읍 궁평리 278-1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227000</v>
      </c>
      <c r="G1516" s="4" t="n">
        <v>4076</v>
      </c>
      <c r="H1516" s="4" t="n">
        <v>1233</v>
      </c>
      <c r="I1516" s="5" t="n">
        <v>184.1</v>
      </c>
      <c r="J1516" s="5" t="n">
        <v>46.8</v>
      </c>
      <c r="K1516" s="3" t="inlineStr">
        <is>
          <t>매물특징</t>
        </is>
      </c>
      <c r="L1516" s="6">
        <f>HYPERLINK("https://fin.land.naver.com/articles/2654431239", "매물Link")</f>
        <v/>
      </c>
      <c r="M1516" s="6">
        <f>HYPERLINK("https://map.naver.com/p/search/오송읍 궁평리 278-1", "지도Link")</f>
        <v/>
      </c>
      <c r="N1516" s="6">
        <f>HYPERLINK("http://www.eum.go.kr/web/ar/lu/luLandDet.jsp?pnu=4311325027102780001&amp;isNoScr=script&amp;mode=search", "토지이음")</f>
        <v/>
      </c>
      <c r="O1516" s="3" t="inlineStr">
        <is>
          <t>오송궁평마을</t>
        </is>
      </c>
      <c r="P1516" s="4" t="n">
        <v>1</v>
      </c>
      <c r="Q1516" s="4" t="n">
        <v>4076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세로한면(불)</t>
        </is>
      </c>
    </row>
    <row r="1517">
      <c r="A1517" s="3" t="inlineStr">
        <is>
          <t>오송읍 궁평리 296-3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150000</v>
      </c>
      <c r="G1517" s="4" t="n">
        <v>3967</v>
      </c>
      <c r="H1517" s="4" t="n">
        <v>1200</v>
      </c>
      <c r="I1517" s="5" t="n">
        <v>125</v>
      </c>
      <c r="J1517" s="5" t="n">
        <v>53.7</v>
      </c>
      <c r="K1517" s="3" t="inlineStr">
        <is>
          <t>오송역 인근 장래개발 호재지역 투자용 대토용 조경업 농림관련산업</t>
        </is>
      </c>
      <c r="L1517" s="6">
        <f>HYPERLINK("https://fin.land.naver.com/articles/2652622632", "매물Link")</f>
        <v/>
      </c>
      <c r="M1517" s="6">
        <f>HYPERLINK("https://map.naver.com/p/search/오송읍 궁평리 296-3", "지도Link")</f>
        <v/>
      </c>
      <c r="N1517" s="6">
        <f>HYPERLINK("http://www.eum.go.kr/web/ar/lu/luLandDet.jsp?pnu=4311325027102960003&amp;isNoScr=script&amp;mode=search", "토지이음")</f>
        <v/>
      </c>
      <c r="O1517" s="3" t="inlineStr">
        <is>
          <t>재일합동사무소</t>
        </is>
      </c>
      <c r="P1517" s="4" t="n">
        <v>1</v>
      </c>
      <c r="Q1517" s="4" t="n">
        <v>3967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궁평리 303-1</t>
        </is>
      </c>
      <c r="B1518" s="3" t="inlineStr">
        <is>
          <t>농림지역</t>
        </is>
      </c>
      <c r="C1518" s="3" t="inlineStr">
        <is>
          <t>과수원</t>
        </is>
      </c>
      <c r="D1518" s="3" t="inlineStr">
        <is>
          <t>과수원</t>
        </is>
      </c>
      <c r="E1518" s="3" t="inlineStr">
        <is>
          <t>매매</t>
        </is>
      </c>
      <c r="F1518" s="4" t="n">
        <v>105000</v>
      </c>
      <c r="G1518" s="4" t="n">
        <v>1523</v>
      </c>
      <c r="H1518" s="4" t="n">
        <v>461</v>
      </c>
      <c r="I1518" s="5" t="n">
        <v>227.8</v>
      </c>
      <c r="J1518" s="5" t="n">
        <v>63</v>
      </c>
      <c r="K1518" s="3" t="inlineStr">
        <is>
          <t>도로 접한 과수원 부지 매도 오송역 인근 장래 개발 호재 지역</t>
        </is>
      </c>
      <c r="L1518" s="6">
        <f>HYPERLINK("https://fin.land.naver.com/articles/2649497254", "매물Link")</f>
        <v/>
      </c>
      <c r="M1518" s="6">
        <f>HYPERLINK("https://map.naver.com/p/search/오송읍 궁평리 303-1", "지도Link")</f>
        <v/>
      </c>
      <c r="N1518" s="6">
        <f>HYPERLINK("http://www.eum.go.kr/web/ar/lu/luLandDet.jsp?pnu=4311325027103030001&amp;isNoScr=script&amp;mode=search", "토지이음")</f>
        <v/>
      </c>
      <c r="O1518" s="3" t="inlineStr">
        <is>
          <t>오송퍼스트영웅</t>
        </is>
      </c>
      <c r="P1518" s="4" t="n">
        <v>1</v>
      </c>
      <c r="Q1518" s="4" t="n">
        <v>1523</v>
      </c>
      <c r="R1518" s="3" t="inlineStr">
        <is>
          <t>지정되지않음</t>
        </is>
      </c>
      <c r="S1518" s="3" t="inlineStr">
        <is>
          <t>과수원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중로한면</t>
        </is>
      </c>
    </row>
    <row r="1519">
      <c r="A1519" s="3" t="inlineStr">
        <is>
          <t>오송읍 궁평리 61-6</t>
        </is>
      </c>
      <c r="B1519" s="3" t="inlineStr">
        <is>
          <t>계획관리지역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40000</v>
      </c>
      <c r="G1519" s="4" t="n">
        <v>347</v>
      </c>
      <c r="H1519" s="4" t="n">
        <v>105</v>
      </c>
      <c r="I1519" s="5" t="n">
        <v>381</v>
      </c>
      <c r="J1519" s="5" t="n">
        <v>103.6</v>
      </c>
      <c r="K1519" s="3" t="inlineStr">
        <is>
          <t>궁평리 전원주택 지을 토지 매매.</t>
        </is>
      </c>
      <c r="L1519" s="6">
        <f>HYPERLINK("https://fin.land.naver.com/articles/2652685481", "매물Link")</f>
        <v/>
      </c>
      <c r="M1519" s="6">
        <f>HYPERLINK("https://map.naver.com/p/search/오송읍 궁평리 61-6", "지도Link")</f>
        <v/>
      </c>
      <c r="N1519" s="6">
        <f>HYPERLINK("http://www.eum.go.kr/web/ar/lu/luLandDet.jsp?pnu=4311325027100610006&amp;isNoScr=script&amp;mode=search", "토지이음")</f>
        <v/>
      </c>
      <c r="O1519" s="3" t="inlineStr">
        <is>
          <t>대한민국</t>
        </is>
      </c>
      <c r="P1519" s="4" t="n">
        <v>1</v>
      </c>
      <c r="Q1519" s="4" t="n">
        <v>347</v>
      </c>
      <c r="R1519" s="3" t="inlineStr">
        <is>
          <t>지정되지않음</t>
        </is>
      </c>
      <c r="S1519" s="3" t="inlineStr">
        <is>
          <t>단독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세로한면(가)</t>
        </is>
      </c>
    </row>
    <row r="1520">
      <c r="A1520" s="3" t="inlineStr">
        <is>
          <t>오송읍 궁평리 75-1</t>
        </is>
      </c>
      <c r="B1520" s="3" t="inlineStr">
        <is>
          <t>농림지역</t>
        </is>
      </c>
      <c r="C1520" s="3" t="inlineStr">
        <is>
          <t>전</t>
        </is>
      </c>
      <c r="D1520" s="3" t="inlineStr">
        <is>
          <t>답</t>
        </is>
      </c>
      <c r="E1520" s="3" t="inlineStr">
        <is>
          <t>매매</t>
        </is>
      </c>
      <c r="F1520" s="4" t="n">
        <v>31700</v>
      </c>
      <c r="G1520" s="4" t="n">
        <v>614</v>
      </c>
      <c r="H1520" s="4" t="n">
        <v>186</v>
      </c>
      <c r="I1520" s="5" t="n">
        <v>170.4</v>
      </c>
      <c r="J1520" s="5" t="n">
        <v>37.1</v>
      </c>
      <c r="K1520" s="3" t="inlineStr">
        <is>
          <t>투자가치로 적극 추천하는 궁평리 중심 토지</t>
        </is>
      </c>
      <c r="L1520" s="6">
        <f>HYPERLINK("https://fin.land.naver.com/articles/2650824873", "매물Link")</f>
        <v/>
      </c>
      <c r="M1520" s="6">
        <f>HYPERLINK("https://map.naver.com/p/search/오송읍 궁평리 75-1", "지도Link")</f>
        <v/>
      </c>
      <c r="N1520" s="6">
        <f>HYPERLINK("http://www.eum.go.kr/web/ar/lu/luLandDet.jsp?pnu=4311325027100750001&amp;isNoScr=script&amp;mode=search", "토지이음")</f>
        <v/>
      </c>
      <c r="O1520" s="3" t="inlineStr">
        <is>
          <t>국제</t>
        </is>
      </c>
      <c r="P1520" s="4" t="n">
        <v>1</v>
      </c>
      <c r="Q1520" s="4" t="n">
        <v>3078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세로각지(가)</t>
        </is>
      </c>
    </row>
    <row r="1521">
      <c r="A1521" s="3" t="inlineStr">
        <is>
          <t>오송읍 동평리 381-13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36000</v>
      </c>
      <c r="G1521" s="4" t="n">
        <v>2070</v>
      </c>
      <c r="H1521" s="4" t="n">
        <v>626</v>
      </c>
      <c r="I1521" s="5" t="n">
        <v>57.5</v>
      </c>
      <c r="J1521" s="5" t="n">
        <v>26.6</v>
      </c>
      <c r="K1521" s="3" t="inlineStr">
        <is>
          <t>오송3산단 수용지에 인접한 추가수용 유력토지, 착한가격의 투자용 매물</t>
        </is>
      </c>
      <c r="L1521" s="6">
        <f>HYPERLINK("https://fin.land.naver.com/articles/2654628723", "매물Link")</f>
        <v/>
      </c>
      <c r="M1521" s="6">
        <f>HYPERLINK("https://map.naver.com/p/search/오송읍 동평리 381-13", "지도Link")</f>
        <v/>
      </c>
      <c r="N1521" s="6">
        <f>HYPERLINK("http://www.eum.go.kr/web/ar/lu/luLandDet.jsp?pnu=4311325029103810013&amp;isNoScr=script&amp;mode=search", "토지이음")</f>
        <v/>
      </c>
      <c r="O1521" s="3" t="inlineStr">
        <is>
          <t>오송3산단  사무소</t>
        </is>
      </c>
      <c r="P1521" s="4" t="n">
        <v>1</v>
      </c>
      <c r="Q1521" s="4" t="n">
        <v>1769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세로한면(불)</t>
        </is>
      </c>
    </row>
    <row r="1522">
      <c r="A1522" s="3" t="inlineStr">
        <is>
          <t>오송읍 동평리 95-1</t>
        </is>
      </c>
      <c r="B1522" s="3" t="inlineStr">
        <is>
          <t>계획관리지역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196</v>
      </c>
      <c r="H1522" s="4" t="n">
        <v>59</v>
      </c>
      <c r="I1522" s="5" t="n">
        <v>678</v>
      </c>
      <c r="J1522" s="5" t="n">
        <v>109.4</v>
      </c>
      <c r="K1522" s="3" t="inlineStr">
        <is>
          <t>청주시 흥덕구 오송읍 동평리에 위치한 토지및 근린생활시설임.</t>
        </is>
      </c>
      <c r="L1522" s="6">
        <f>HYPERLINK("https://fin.land.naver.com/articles/2652419826", "매물Link")</f>
        <v/>
      </c>
      <c r="M1522" s="6">
        <f>HYPERLINK("https://map.naver.com/p/search/오송읍 동평리 95-1", "지도Link")</f>
        <v/>
      </c>
      <c r="N1522" s="6">
        <f>HYPERLINK("http://www.eum.go.kr/web/ar/lu/luLandDet.jsp?pnu=4311325029100950001&amp;isNoScr=script&amp;mode=search", "토지이음")</f>
        <v/>
      </c>
      <c r="O1522" s="3" t="inlineStr">
        <is>
          <t>산성</t>
        </is>
      </c>
      <c r="P1522" s="4" t="n">
        <v>1</v>
      </c>
      <c r="Q1522" s="4" t="n">
        <v>184</v>
      </c>
      <c r="R1522" s="3" t="inlineStr">
        <is>
          <t>지정되지않음</t>
        </is>
      </c>
      <c r="S1522" s="3" t="inlineStr">
        <is>
          <t>주거기타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세로각지(가)</t>
        </is>
      </c>
    </row>
    <row r="1523">
      <c r="A1523" s="3" t="inlineStr">
        <is>
          <t>오송읍 만수리 272-3</t>
        </is>
      </c>
      <c r="B1523" s="3" t="inlineStr">
        <is>
          <t>농림지역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36000</v>
      </c>
      <c r="G1523" s="4" t="n">
        <v>1183</v>
      </c>
      <c r="H1523" s="4" t="n">
        <v>358</v>
      </c>
      <c r="I1523" s="5" t="n">
        <v>100.6</v>
      </c>
      <c r="J1523" s="5" t="n">
        <v>35.7</v>
      </c>
      <c r="K1523" s="3" t="inlineStr">
        <is>
          <t>농림지역 답 매도 오송 역세권 ktx  근접  투자 가치 뿜뿜</t>
        </is>
      </c>
      <c r="L1523" s="6">
        <f>HYPERLINK("https://fin.land.naver.com/articles/2654653202", "매물Link")</f>
        <v/>
      </c>
      <c r="M1523" s="6">
        <f>HYPERLINK("https://map.naver.com/p/search/오송읍 만수리 272-3", "지도Link")</f>
        <v/>
      </c>
      <c r="N1523" s="6">
        <f>HYPERLINK("http://www.eum.go.kr/web/ar/lu/luLandDet.jsp?pnu=4311325025102720003&amp;isNoScr=script&amp;mode=search", "토지이음")</f>
        <v/>
      </c>
      <c r="O1523" s="3" t="inlineStr">
        <is>
          <t>오송퍼스트영웅</t>
        </is>
      </c>
      <c r="P1523" s="4" t="n">
        <v>1</v>
      </c>
      <c r="Q1523" s="4" t="n">
        <v>1183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세로한면(가)</t>
        </is>
      </c>
    </row>
    <row r="1524">
      <c r="A1524" s="3" t="inlineStr">
        <is>
          <t>오송읍 만수리 939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45000</v>
      </c>
      <c r="G1524" s="4" t="n">
        <v>269</v>
      </c>
      <c r="H1524" s="4" t="n">
        <v>81</v>
      </c>
      <c r="I1524" s="5" t="n">
        <v>555.6</v>
      </c>
      <c r="J1524" s="5" t="n">
        <v>209.3</v>
      </c>
      <c r="K1524" s="3" t="inlineStr">
        <is>
          <t>대도로변 이면도로 위치 좋은 토지입니다</t>
        </is>
      </c>
      <c r="L1524" s="6">
        <f>HYPERLINK("https://fin.land.naver.com/articles/2650305364", "매물Link")</f>
        <v/>
      </c>
      <c r="M1524" s="6">
        <f>HYPERLINK("https://map.naver.com/p/search/오송읍 만수리 939", "지도Link")</f>
        <v/>
      </c>
      <c r="N1524" s="6">
        <f>HYPERLINK("http://www.eum.go.kr/web/ar/lu/luLandDet.jsp?pnu=4311325025109390000&amp;isNoScr=script&amp;mode=search", "토지이음")</f>
        <v/>
      </c>
      <c r="O1524" s="3" t="inlineStr">
        <is>
          <t>스케치</t>
        </is>
      </c>
      <c r="P1524" s="4" t="n">
        <v>1</v>
      </c>
      <c r="Q1524" s="4" t="n">
        <v>268.2</v>
      </c>
      <c r="R1524" s="3" t="inlineStr">
        <is>
          <t>자연녹지지역</t>
        </is>
      </c>
      <c r="S1524" s="3" t="inlineStr">
        <is>
          <t>주상나지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오송읍 봉산리 1124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45000</v>
      </c>
      <c r="G1525" s="4" t="n">
        <v>240</v>
      </c>
      <c r="H1525" s="4" t="n">
        <v>73</v>
      </c>
      <c r="I1525" s="5" t="n">
        <v>616.4</v>
      </c>
      <c r="J1525" s="5" t="n">
        <v>208.1</v>
      </c>
      <c r="K1525" s="3" t="inlineStr">
        <is>
          <t>가격조율 최대한 해볼게요 위치좋은 먹자골목 상권 토지</t>
        </is>
      </c>
      <c r="L1525" s="6">
        <f>HYPERLINK("https://fin.land.naver.com/articles/2652318391", "매물Link")</f>
        <v/>
      </c>
      <c r="M1525" s="6">
        <f>HYPERLINK("https://map.naver.com/p/search/오송읍 봉산리 1124", "지도Link")</f>
        <v/>
      </c>
      <c r="N1525" s="6">
        <f>HYPERLINK("http://www.eum.go.kr/web/ar/lu/luLandDet.jsp?pnu=4311325031111240000&amp;isNoScr=script&amp;mode=search", "토지이음")</f>
        <v/>
      </c>
      <c r="O1525" s="3" t="inlineStr">
        <is>
          <t>복덩이</t>
        </is>
      </c>
      <c r="P1525" s="4" t="n">
        <v>1</v>
      </c>
      <c r="Q1525" s="4" t="n">
        <v>240.6</v>
      </c>
      <c r="R1525" s="3" t="inlineStr">
        <is>
          <t>지정되지않음</t>
        </is>
      </c>
      <c r="S1525" s="3" t="inlineStr">
        <is>
          <t>주거기타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오송읍 봉산리 1179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58000</v>
      </c>
      <c r="G1526" s="4" t="n">
        <v>270</v>
      </c>
      <c r="H1526" s="4" t="n">
        <v>82</v>
      </c>
      <c r="I1526" s="5" t="n">
        <v>707.3</v>
      </c>
      <c r="J1526" s="5" t="n">
        <v>206.3</v>
      </c>
      <c r="K1526" s="3" t="inlineStr">
        <is>
          <t>오송2단지 허가득 남향 상가건물 지을 수 있는 토지</t>
        </is>
      </c>
      <c r="L1526" s="6">
        <f>HYPERLINK("https://fin.land.naver.com/articles/2650461950", "매물Link")</f>
        <v/>
      </c>
      <c r="M1526" s="6">
        <f>HYPERLINK("https://map.naver.com/p/search/오송읍 봉산리 1179", "지도Link")</f>
        <v/>
      </c>
      <c r="N1526" s="6">
        <f>HYPERLINK("http://www.eum.go.kr/web/ar/lu/luLandDet.jsp?pnu=4311325031111790000&amp;isNoScr=script&amp;mode=search", "토지이음")</f>
        <v/>
      </c>
      <c r="O1526" s="3" t="inlineStr">
        <is>
          <t>세종오송</t>
        </is>
      </c>
      <c r="P1526" s="4" t="n">
        <v>1</v>
      </c>
      <c r="Q1526" s="4" t="n">
        <v>269.9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1208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50000</v>
      </c>
      <c r="G1527" s="4" t="n">
        <v>264</v>
      </c>
      <c r="H1527" s="4" t="n">
        <v>80</v>
      </c>
      <c r="I1527" s="5" t="n">
        <v>625</v>
      </c>
      <c r="J1527" s="5" t="n">
        <v>206.3</v>
      </c>
      <c r="K1527" s="3" t="inlineStr">
        <is>
          <t>nan</t>
        </is>
      </c>
      <c r="L1527" s="6">
        <f>HYPERLINK("https://fin.land.naver.com/articles/2650507610", "매물Link")</f>
        <v/>
      </c>
      <c r="M1527" s="6">
        <f>HYPERLINK("https://map.naver.com/p/search/오송읍 봉산리 1208", "지도Link")</f>
        <v/>
      </c>
      <c r="N1527" s="6">
        <f>HYPERLINK("http://www.eum.go.kr/web/ar/lu/luLandDet.jsp?pnu=4311325031112080000&amp;isNoScr=script&amp;mode=search", "토지이음")</f>
        <v/>
      </c>
      <c r="O1527" s="3" t="inlineStr">
        <is>
          <t>아임</t>
        </is>
      </c>
      <c r="P1527" s="4" t="n">
        <v>1</v>
      </c>
      <c r="Q1527" s="4" t="n">
        <v>264.6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1209</t>
        </is>
      </c>
      <c r="B1528" s="3" t="inlineStr">
        <is>
          <t>제1종일반주거지역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60000</v>
      </c>
      <c r="G1528" s="4" t="n">
        <v>264</v>
      </c>
      <c r="H1528" s="4" t="n">
        <v>80</v>
      </c>
      <c r="I1528" s="5" t="n">
        <v>750</v>
      </c>
      <c r="J1528" s="5" t="n">
        <v>206.3</v>
      </c>
      <c r="K1528" s="3" t="inlineStr">
        <is>
          <t>오송 2산업단지 준주거지역과 접해있고 상업지역과도 50m정도 떨어져 있음</t>
        </is>
      </c>
      <c r="L1528" s="6">
        <f>HYPERLINK("https://fin.land.naver.com/articles/2650022122", "매물Link")</f>
        <v/>
      </c>
      <c r="M1528" s="6">
        <f>HYPERLINK("https://map.naver.com/p/search/오송읍 봉산리 1209", "지도Link")</f>
        <v/>
      </c>
      <c r="N1528" s="6">
        <f>HYPERLINK("http://www.eum.go.kr/web/ar/lu/luLandDet.jsp?pnu=4311325031112090000&amp;isNoScr=script&amp;mode=search", "토지이음")</f>
        <v/>
      </c>
      <c r="O1528" s="3" t="inlineStr">
        <is>
          <t>스마일세종</t>
        </is>
      </c>
      <c r="P1528" s="4" t="n">
        <v>1</v>
      </c>
      <c r="Q1528" s="4" t="n">
        <v>264.8</v>
      </c>
      <c r="R1528" s="3" t="inlineStr">
        <is>
          <t>지정되지않음</t>
        </is>
      </c>
      <c r="S1528" s="3" t="inlineStr">
        <is>
          <t>주거기타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오송읍 봉산리 1221</t>
        </is>
      </c>
      <c r="B1529" s="3" t="inlineStr">
        <is>
          <t>준주거지역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124630</v>
      </c>
      <c r="G1529" s="4" t="n">
        <v>412</v>
      </c>
      <c r="H1529" s="4" t="n">
        <v>125</v>
      </c>
      <c r="I1529" s="5" t="n">
        <v>997</v>
      </c>
      <c r="J1529" s="5" t="n">
        <v>624.1</v>
      </c>
      <c r="K1529" s="3" t="inlineStr">
        <is>
          <t>오송역세권 오피스 조성지역 근생토지</t>
        </is>
      </c>
      <c r="L1529" s="6">
        <f>HYPERLINK("https://fin.land.naver.com/articles/2653257226", "매물Link")</f>
        <v/>
      </c>
      <c r="M1529" s="6">
        <f>HYPERLINK("https://map.naver.com/p/search/오송읍 봉산리 1221", "지도Link")</f>
        <v/>
      </c>
      <c r="N1529" s="6">
        <f>HYPERLINK("http://www.eum.go.kr/web/ar/lu/luLandDet.jsp?pnu=4311325031112210000&amp;isNoScr=script&amp;mode=search", "토지이음")</f>
        <v/>
      </c>
      <c r="O1529" s="3" t="inlineStr">
        <is>
          <t>프로</t>
        </is>
      </c>
      <c r="P1529" s="4" t="n">
        <v>2</v>
      </c>
      <c r="Q1529" s="4" t="n">
        <v>412</v>
      </c>
      <c r="R1529" s="3" t="inlineStr">
        <is>
          <t>지정되지않음</t>
        </is>
      </c>
      <c r="S1529" s="3" t="inlineStr">
        <is>
          <t>상업기타</t>
        </is>
      </c>
      <c r="T1529" s="3" t="inlineStr">
        <is>
          <t>평지</t>
        </is>
      </c>
      <c r="U1529" s="3" t="inlineStr">
        <is>
          <t>가로장방</t>
        </is>
      </c>
      <c r="V1529" s="3" t="inlineStr">
        <is>
          <t>중로각지</t>
        </is>
      </c>
    </row>
    <row r="1530">
      <c r="A1530" s="3" t="inlineStr">
        <is>
          <t>오송읍 봉산리 1276</t>
        </is>
      </c>
      <c r="B1530" s="3" t="inlineStr">
        <is>
          <t>제1종일반주거지역</t>
        </is>
      </c>
      <c r="C1530" s="3" t="inlineStr">
        <is>
          <t>주차장</t>
        </is>
      </c>
      <c r="D1530" s="3" t="inlineStr">
        <is>
          <t>주차장</t>
        </is>
      </c>
      <c r="E1530" s="3" t="inlineStr">
        <is>
          <t>매매</t>
        </is>
      </c>
      <c r="F1530" s="4" t="n">
        <v>165000</v>
      </c>
      <c r="G1530" s="4" t="n">
        <v>1091</v>
      </c>
      <c r="H1530" s="4" t="n">
        <v>330</v>
      </c>
      <c r="I1530" s="5" t="n">
        <v>500</v>
      </c>
      <c r="J1530" s="5" t="n">
        <v>220.4</v>
      </c>
      <c r="K1530" s="3" t="inlineStr">
        <is>
          <t>주차타워와 1층 근생상가 가능한 매력적인 주차장용지</t>
        </is>
      </c>
      <c r="L1530" s="6">
        <f>HYPERLINK("https://fin.land.naver.com/articles/2650859464", "매물Link")</f>
        <v/>
      </c>
      <c r="M1530" s="6">
        <f>HYPERLINK("https://map.naver.com/p/search/오송읍 봉산리 1276", "지도Link")</f>
        <v/>
      </c>
      <c r="N1530" s="6">
        <f>HYPERLINK("http://www.eum.go.kr/web/ar/lu/luLandDet.jsp?pnu=4311325031112760000&amp;isNoScr=script&amp;mode=search", "토지이음")</f>
        <v/>
      </c>
      <c r="O1530" s="3" t="inlineStr">
        <is>
          <t>프로</t>
        </is>
      </c>
      <c r="P1530" s="4" t="n">
        <v>2</v>
      </c>
      <c r="Q1530" s="4" t="n">
        <v>1091.4</v>
      </c>
      <c r="R1530" s="3" t="inlineStr">
        <is>
          <t>지정되지않음</t>
        </is>
      </c>
      <c r="S1530" s="3" t="inlineStr">
        <is>
          <t>주차장등</t>
        </is>
      </c>
      <c r="T1530" s="3" t="inlineStr">
        <is>
          <t>평지</t>
        </is>
      </c>
      <c r="U1530" s="3" t="inlineStr">
        <is>
          <t>가로장방</t>
        </is>
      </c>
      <c r="V1530" s="3" t="inlineStr">
        <is>
          <t>중로각지</t>
        </is>
      </c>
    </row>
    <row r="1531">
      <c r="A1531" s="3" t="inlineStr">
        <is>
          <t>오송읍 봉산리 1293</t>
        </is>
      </c>
      <c r="B1531" s="3" t="inlineStr">
        <is>
          <t>준주거지역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169000</v>
      </c>
      <c r="G1531" s="4" t="n">
        <v>414</v>
      </c>
      <c r="H1531" s="4" t="n">
        <v>125</v>
      </c>
      <c r="I1531" s="5" t="n">
        <v>1352</v>
      </c>
      <c r="J1531" s="5" t="n">
        <v>624.1</v>
      </c>
      <c r="K1531" s="3" t="inlineStr">
        <is>
          <t>오송2산단으로 배후세력 2만여세대의 준주거지역 근생토지,대로변에 위치</t>
        </is>
      </c>
      <c r="L1531" s="6">
        <f>HYPERLINK("https://fin.land.naver.com/articles/2653578931", "매물Link")</f>
        <v/>
      </c>
      <c r="M1531" s="6">
        <f>HYPERLINK("https://map.naver.com/p/search/오송읍 봉산리 1293", "지도Link")</f>
        <v/>
      </c>
      <c r="N1531" s="6">
        <f>HYPERLINK("http://www.eum.go.kr/web/ar/lu/luLandDet.jsp?pnu=4311325031112930000&amp;isNoScr=script&amp;mode=search", "토지이음")</f>
        <v/>
      </c>
      <c r="O1531" s="3" t="inlineStr">
        <is>
          <t>(주)미르</t>
        </is>
      </c>
      <c r="P1531" s="4" t="n">
        <v>2</v>
      </c>
      <c r="Q1531" s="4" t="n">
        <v>413.5</v>
      </c>
      <c r="R1531" s="3" t="inlineStr">
        <is>
          <t>지정되지않음</t>
        </is>
      </c>
      <c r="S1531" s="3" t="inlineStr">
        <is>
          <t>상업기타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중로각지</t>
        </is>
      </c>
    </row>
    <row r="1532">
      <c r="A1532" s="3" t="inlineStr">
        <is>
          <t>오송읍 봉산리 1296</t>
        </is>
      </c>
      <c r="B1532" s="3" t="inlineStr">
        <is>
          <t>준주거지역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162000</v>
      </c>
      <c r="G1532" s="4" t="n">
        <v>411</v>
      </c>
      <c r="H1532" s="4" t="n">
        <v>124</v>
      </c>
      <c r="I1532" s="5" t="n">
        <v>1306.5</v>
      </c>
      <c r="J1532" s="5" t="n">
        <v>624.1</v>
      </c>
      <c r="K1532" s="3" t="inlineStr">
        <is>
          <t>오송역 인근 근생용지 매매, 평당 약 1300만원</t>
        </is>
      </c>
      <c r="L1532" s="6">
        <f>HYPERLINK("https://fin.land.naver.com/articles/2649842662", "매물Link")</f>
        <v/>
      </c>
      <c r="M1532" s="6">
        <f>HYPERLINK("https://map.naver.com/p/search/오송읍 봉산리 1296", "지도Link")</f>
        <v/>
      </c>
      <c r="N1532" s="6">
        <f>HYPERLINK("http://www.eum.go.kr/web/ar/lu/luLandDet.jsp?pnu=4311325031112960000&amp;isNoScr=script&amp;mode=search",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411.7</v>
      </c>
      <c r="R1532" s="3" t="inlineStr">
        <is>
          <t>지정되지않음</t>
        </is>
      </c>
      <c r="S1532" s="3" t="inlineStr">
        <is>
          <t>상업기타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중로각지</t>
        </is>
      </c>
    </row>
    <row r="1533">
      <c r="A1533" s="3" t="inlineStr">
        <is>
          <t>오송읍 봉산리 1297</t>
        </is>
      </c>
      <c r="B1533" s="3" t="inlineStr">
        <is>
          <t>준주거지역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190000</v>
      </c>
      <c r="G1533" s="4" t="n">
        <v>421</v>
      </c>
      <c r="H1533" s="4" t="n">
        <v>127</v>
      </c>
      <c r="I1533" s="5" t="n">
        <v>1496.1</v>
      </c>
      <c r="J1533" s="5" t="n">
        <v>624.1</v>
      </c>
      <c r="K1533" s="3" t="inlineStr">
        <is>
          <t>코너 근생용지 매매, 평당 약 1500만원</t>
        </is>
      </c>
      <c r="L1533" s="6">
        <f>HYPERLINK("https://fin.land.naver.com/articles/2649842980", "매물Link")</f>
        <v/>
      </c>
      <c r="M1533" s="6">
        <f>HYPERLINK("https://map.naver.com/p/search/오송읍 봉산리 1297", "지도Link")</f>
        <v/>
      </c>
      <c r="N1533" s="6">
        <f>HYPERLINK("http://www.eum.go.kr/web/ar/lu/luLandDet.jsp?pnu=4311325031112970000&amp;isNoScr=script&amp;mode=search", "토지이음")</f>
        <v/>
      </c>
      <c r="O1533" s="3" t="inlineStr">
        <is>
          <t>광장</t>
        </is>
      </c>
      <c r="P1533" s="4" t="n">
        <v>1</v>
      </c>
      <c r="Q1533" s="4" t="n">
        <v>421.4</v>
      </c>
      <c r="R1533" s="3" t="inlineStr">
        <is>
          <t>지정되지않음</t>
        </is>
      </c>
      <c r="S1533" s="3" t="inlineStr">
        <is>
          <t>상업기타</t>
        </is>
      </c>
      <c r="T1533" s="3" t="inlineStr">
        <is>
          <t>평지</t>
        </is>
      </c>
      <c r="U1533" s="3" t="inlineStr">
        <is>
          <t>가로장방</t>
        </is>
      </c>
      <c r="V1533" s="3" t="inlineStr">
        <is>
          <t>중로각지</t>
        </is>
      </c>
    </row>
    <row r="1534">
      <c r="A1534" s="3" t="inlineStr">
        <is>
          <t>오송읍 봉산리 1298</t>
        </is>
      </c>
      <c r="B1534" s="3" t="inlineStr">
        <is>
          <t>일반상업지역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420000</v>
      </c>
      <c r="G1534" s="4" t="n">
        <v>1164</v>
      </c>
      <c r="H1534" s="4" t="n">
        <v>352</v>
      </c>
      <c r="I1534" s="5" t="n">
        <v>1193.2</v>
      </c>
      <c r="J1534" s="5" t="n">
        <v>585.5</v>
      </c>
      <c r="K1534" s="3" t="inlineStr">
        <is>
          <t>삼면 코너각지 소송2산단 오송역주변 상권 010 3022 3841</t>
        </is>
      </c>
      <c r="L1534" s="6">
        <f>HYPERLINK("https://fin.land.naver.com/articles/2651087997", "매물Link")</f>
        <v/>
      </c>
      <c r="M1534" s="6">
        <f>HYPERLINK("https://map.naver.com/p/search/오송읍 봉산리 1298", "지도Link")</f>
        <v/>
      </c>
      <c r="N1534" s="6">
        <f>HYPERLINK("http://www.eum.go.kr/web/ar/lu/luLandDet.jsp?pnu=4311325031112980000&amp;isNoScr=script&amp;mode=search", "토지이음")</f>
        <v/>
      </c>
      <c r="O1534" s="3" t="inlineStr">
        <is>
          <t>세종스타</t>
        </is>
      </c>
      <c r="P1534" s="4" t="n">
        <v>3</v>
      </c>
      <c r="Q1534" s="4" t="n">
        <v>1164.1</v>
      </c>
      <c r="R1534" s="3" t="inlineStr">
        <is>
          <t>지정되지않음</t>
        </is>
      </c>
      <c r="S1534" s="3" t="inlineStr">
        <is>
          <t>상업기타</t>
        </is>
      </c>
      <c r="T1534" s="3" t="inlineStr">
        <is>
          <t>평지</t>
        </is>
      </c>
      <c r="U1534" s="3" t="inlineStr">
        <is>
          <t>가로장방</t>
        </is>
      </c>
      <c r="V1534" s="3" t="inlineStr">
        <is>
          <t>중로각지</t>
        </is>
      </c>
    </row>
    <row r="1535">
      <c r="A1535" s="3" t="inlineStr">
        <is>
          <t>오송읍 봉산리 1299</t>
        </is>
      </c>
      <c r="B1535" s="3" t="inlineStr">
        <is>
          <t>일반상업지역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390000</v>
      </c>
      <c r="G1535" s="4" t="n">
        <v>1195</v>
      </c>
      <c r="H1535" s="4" t="n">
        <v>361</v>
      </c>
      <c r="I1535" s="5" t="n">
        <v>1080.3</v>
      </c>
      <c r="J1535" s="5" t="n">
        <v>579.5</v>
      </c>
      <c r="K1535" s="3" t="inlineStr">
        <is>
          <t>근생, 사옥부지 등으로 좋은 오송역세권 상업용지</t>
        </is>
      </c>
      <c r="L1535" s="6">
        <f>HYPERLINK("https://fin.land.naver.com/articles/2653257906", "매물Link")</f>
        <v/>
      </c>
      <c r="M1535" s="6">
        <f>HYPERLINK("https://map.naver.com/p/search/오송읍 봉산리 1299", "지도Link")</f>
        <v/>
      </c>
      <c r="N1535" s="6">
        <f>HYPERLINK("http://www.eum.go.kr/web/ar/lu/luLandDet.jsp?pnu=4311325031112990000&amp;isNoScr=script&amp;mode=search", "토지이음")</f>
        <v/>
      </c>
      <c r="O1535" s="3" t="inlineStr">
        <is>
          <t>프로</t>
        </is>
      </c>
      <c r="P1535" s="4" t="n">
        <v>1</v>
      </c>
      <c r="Q1535" s="4" t="n">
        <v>1195.9</v>
      </c>
      <c r="R1535" s="3" t="inlineStr">
        <is>
          <t>지정되지않음</t>
        </is>
      </c>
      <c r="S1535" s="3" t="inlineStr">
        <is>
          <t>상업기타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중로각지</t>
        </is>
      </c>
    </row>
    <row r="1536">
      <c r="A1536" s="3" t="inlineStr">
        <is>
          <t>오송읍 봉산리 1301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456000</v>
      </c>
      <c r="G1536" s="4" t="n">
        <v>1115</v>
      </c>
      <c r="H1536" s="4" t="n">
        <v>337</v>
      </c>
      <c r="I1536" s="5" t="n">
        <v>1353.1</v>
      </c>
      <c r="J1536" s="5" t="n">
        <v>618.2</v>
      </c>
      <c r="K1536" s="3" t="inlineStr">
        <is>
          <t>연제 저수지 앞 상업용지 호텔 개발 추천부지</t>
        </is>
      </c>
      <c r="L1536" s="6">
        <f>HYPERLINK("https://fin.land.naver.com/articles/2654962140", "매물Link")</f>
        <v/>
      </c>
      <c r="M1536" s="6">
        <f>HYPERLINK("https://map.naver.com/p/search/오송읍 봉산리 1301", "지도Link")</f>
        <v/>
      </c>
      <c r="N1536" s="6">
        <f>HYPERLINK("http://www.eum.go.kr/web/ar/lu/luLandDet.jsp?pnu=4311325031113010000&amp;isNoScr=script&amp;mode=search", "토지이음")</f>
        <v/>
      </c>
      <c r="O1536" s="3" t="inlineStr">
        <is>
          <t>(주)마이다스역삼센터</t>
        </is>
      </c>
      <c r="P1536" s="4" t="n">
        <v>1</v>
      </c>
      <c r="Q1536" s="4" t="n">
        <v>1115.2</v>
      </c>
      <c r="R1536" s="3" t="inlineStr">
        <is>
          <t>지정되지않음</t>
        </is>
      </c>
      <c r="S1536" s="3" t="inlineStr">
        <is>
          <t>상업기타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중로각지</t>
        </is>
      </c>
    </row>
    <row r="1537">
      <c r="A1537" s="3" t="inlineStr">
        <is>
          <t>오송읍 봉산리 1321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466000</v>
      </c>
      <c r="G1537" s="4" t="n">
        <v>1541</v>
      </c>
      <c r="H1537" s="4" t="n">
        <v>466</v>
      </c>
      <c r="I1537" s="5" t="n">
        <v>1000</v>
      </c>
      <c r="J1537" s="5" t="n">
        <v>550.1</v>
      </c>
      <c r="K1537" s="3" t="inlineStr">
        <is>
          <t>오송역 3분 기업 사옥부지 추천 주변 다수 공공기관 포진</t>
        </is>
      </c>
      <c r="L1537" s="6">
        <f>HYPERLINK("https://fin.land.naver.com/articles/2653335494", "매물Link")</f>
        <v/>
      </c>
      <c r="M1537" s="6">
        <f>HYPERLINK("https://map.naver.com/p/search/오송읍 봉산리 1321", "지도Link")</f>
        <v/>
      </c>
      <c r="N1537" s="6">
        <f>HYPERLINK("http://www.eum.go.kr/web/ar/lu/luLandDet.jsp?pnu=4311325031113210000&amp;isNoScr=script&amp;mode=search", "토지이음")</f>
        <v/>
      </c>
      <c r="O1537" s="3" t="inlineStr">
        <is>
          <t>새봄</t>
        </is>
      </c>
      <c r="P1537" s="4" t="n">
        <v>3</v>
      </c>
      <c r="Q1537" s="4" t="n">
        <v>1541.1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중로한면</t>
        </is>
      </c>
    </row>
    <row r="1538">
      <c r="A1538" s="3" t="inlineStr">
        <is>
          <t>오송읍 봉산리 1324</t>
        </is>
      </c>
      <c r="B1538" s="3" t="inlineStr">
        <is>
          <t>일반상업지역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460000</v>
      </c>
      <c r="G1538" s="4" t="n">
        <v>1524</v>
      </c>
      <c r="H1538" s="4" t="n">
        <v>461</v>
      </c>
      <c r="I1538" s="5" t="n">
        <v>997.8</v>
      </c>
      <c r="J1538" s="5" t="n">
        <v>573.2</v>
      </c>
      <c r="K1538" s="3" t="inlineStr">
        <is>
          <t>nan</t>
        </is>
      </c>
      <c r="L1538" s="6">
        <f>HYPERLINK("https://fin.land.naver.com/articles/2652702316", "매물Link")</f>
        <v/>
      </c>
      <c r="M1538" s="6">
        <f>HYPERLINK("https://map.naver.com/p/search/오송읍 봉산리 1324", "지도Link")</f>
        <v/>
      </c>
      <c r="N1538" s="6">
        <f>HYPERLINK("http://www.eum.go.kr/web/ar/lu/luLandDet.jsp?pnu=4311325031113240000&amp;isNoScr=script&amp;mode=search", "토지이음")</f>
        <v/>
      </c>
      <c r="O1538" s="3" t="inlineStr">
        <is>
          <t>365</t>
        </is>
      </c>
      <c r="P1538" s="4" t="n">
        <v>1</v>
      </c>
      <c r="Q1538" s="4" t="n">
        <v>1524.9</v>
      </c>
      <c r="R1538" s="3" t="inlineStr">
        <is>
          <t>지정되지않음</t>
        </is>
      </c>
      <c r="S1538" s="3" t="inlineStr">
        <is>
          <t>상업기타</t>
        </is>
      </c>
      <c r="T1538" s="3" t="inlineStr">
        <is>
          <t>평지</t>
        </is>
      </c>
      <c r="U1538" s="3" t="inlineStr">
        <is>
          <t>정방형</t>
        </is>
      </c>
      <c r="V1538" s="3" t="inlineStr">
        <is>
          <t>중로각지</t>
        </is>
      </c>
    </row>
    <row r="1539">
      <c r="A1539" s="3" t="inlineStr">
        <is>
          <t>오송읍 봉산리 1328</t>
        </is>
      </c>
      <c r="B1539" s="3" t="inlineStr">
        <is>
          <t>일반상업지역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598000</v>
      </c>
      <c r="G1539" s="4" t="n">
        <v>859</v>
      </c>
      <c r="H1539" s="4" t="n">
        <v>260</v>
      </c>
      <c r="I1539" s="5" t="n">
        <v>2300</v>
      </c>
      <c r="J1539" s="5" t="n">
        <v>660.2</v>
      </c>
      <c r="K1539" s="3" t="inlineStr">
        <is>
          <t>오송역 초역세권 4거리코너 급매</t>
        </is>
      </c>
      <c r="L1539" s="6">
        <f>HYPERLINK("https://fin.land.naver.com/articles/2654886627", "매물Link")</f>
        <v/>
      </c>
      <c r="M1539" s="6">
        <f>HYPERLINK("https://map.naver.com/p/search/오송읍 봉산리 1328", "지도Link")</f>
        <v/>
      </c>
      <c r="N1539" s="6">
        <f>HYPERLINK("http://www.eum.go.kr/web/ar/lu/luLandDet.jsp?pnu=4311325031113280000&amp;isNoScr=script&amp;mode=search", "토지이음")</f>
        <v/>
      </c>
      <c r="O1539" s="3" t="inlineStr">
        <is>
          <t>하나</t>
        </is>
      </c>
      <c r="P1539" s="4" t="n">
        <v>1</v>
      </c>
      <c r="Q1539" s="4" t="n">
        <v>858.6</v>
      </c>
      <c r="R1539" s="3" t="inlineStr">
        <is>
          <t>지정되지않음</t>
        </is>
      </c>
      <c r="S1539" s="3" t="inlineStr">
        <is>
          <t>상업기타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광대소각</t>
        </is>
      </c>
    </row>
    <row r="1540">
      <c r="A1540" s="3" t="inlineStr">
        <is>
          <t>오송읍 봉산리 1344</t>
        </is>
      </c>
      <c r="B1540" s="3" t="inlineStr">
        <is>
          <t>준주거지역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136400</v>
      </c>
      <c r="G1540" s="4" t="n">
        <v>408</v>
      </c>
      <c r="H1540" s="4" t="n">
        <v>123</v>
      </c>
      <c r="I1540" s="5" t="n">
        <v>1108.9</v>
      </c>
      <c r="J1540" s="5" t="n">
        <v>624.1</v>
      </c>
      <c r="K1540" s="3" t="inlineStr">
        <is>
          <t>준주거지역 대지, 상가주택사옥 부지 최적</t>
        </is>
      </c>
      <c r="L1540" s="6">
        <f>HYPERLINK("https://fin.land.naver.com/articles/2654791916", "매물Link")</f>
        <v/>
      </c>
      <c r="M1540" s="6">
        <f>HYPERLINK("https://map.naver.com/p/search/오송읍 봉산리 1344", "지도Link")</f>
        <v/>
      </c>
      <c r="N1540" s="6">
        <f>HYPERLINK("http://www.eum.go.kr/web/ar/lu/luLandDet.jsp?pnu=4311325031113440000&amp;isNoScr=script&amp;mode=search", "토지이음")</f>
        <v/>
      </c>
      <c r="O1540" s="3" t="inlineStr">
        <is>
          <t>반석원무소</t>
        </is>
      </c>
      <c r="P1540" s="4" t="n">
        <v>1</v>
      </c>
      <c r="Q1540" s="4" t="n">
        <v>408.9</v>
      </c>
      <c r="R1540" s="3" t="inlineStr">
        <is>
          <t>지정되지않음</t>
        </is>
      </c>
      <c r="S1540" s="3" t="inlineStr">
        <is>
          <t>상업기타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중로각지</t>
        </is>
      </c>
    </row>
    <row r="1541">
      <c r="A1541" s="3" t="inlineStr">
        <is>
          <t>오송읍 봉산리 1367</t>
        </is>
      </c>
      <c r="B1541" s="3" t="inlineStr">
        <is>
          <t>제1종일반주거지역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41500</v>
      </c>
      <c r="G1541" s="4" t="n">
        <v>244</v>
      </c>
      <c r="H1541" s="4" t="n">
        <v>74</v>
      </c>
      <c r="I1541" s="5" t="n">
        <v>560.8</v>
      </c>
      <c r="J1541" s="5" t="n">
        <v>290</v>
      </c>
      <c r="K1541" s="3" t="inlineStr">
        <is>
          <t>급매 오송역 인근 일반주거지역 3거리 코너 각지 위치 좋은 대지입니다</t>
        </is>
      </c>
      <c r="L1541" s="6">
        <f>HYPERLINK("https://fin.land.naver.com/articles/2650741530", "매물Link")</f>
        <v/>
      </c>
      <c r="M1541" s="6">
        <f>HYPERLINK("https://map.naver.com/p/search/오송읍 봉산리 1367", "지도Link")</f>
        <v/>
      </c>
      <c r="N1541" s="6">
        <f>HYPERLINK("http://www.eum.go.kr/web/ar/lu/luLandDet.jsp?pnu=4311325031113670000&amp;isNoScr=script&amp;mode=search", "토지이음")</f>
        <v/>
      </c>
      <c r="O1541" s="3" t="inlineStr">
        <is>
          <t>스마일세종</t>
        </is>
      </c>
      <c r="P1541" s="4" t="n">
        <v>1</v>
      </c>
      <c r="Q1541" s="4" t="n">
        <v>244.4</v>
      </c>
      <c r="R1541" s="3" t="inlineStr">
        <is>
          <t>지정되지않음</t>
        </is>
      </c>
      <c r="S1541" s="3" t="inlineStr">
        <is>
          <t>주상기타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소로각지</t>
        </is>
      </c>
    </row>
    <row r="1542">
      <c r="A1542" s="3" t="inlineStr">
        <is>
          <t>오송읍 봉산리 1375</t>
        </is>
      </c>
      <c r="B1542" s="3" t="inlineStr">
        <is>
          <t>제1종일반주거지역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30000</v>
      </c>
      <c r="G1542" s="4" t="n">
        <v>239</v>
      </c>
      <c r="H1542" s="4" t="n">
        <v>72</v>
      </c>
      <c r="I1542" s="5" t="n">
        <v>416.7</v>
      </c>
      <c r="J1542" s="5" t="n">
        <v>207.9</v>
      </c>
      <c r="K1542" s="3" t="inlineStr">
        <is>
          <t>nan</t>
        </is>
      </c>
      <c r="L1542" s="6">
        <f>HYPERLINK("https://fin.land.naver.com/articles/2652150259", "매물Link")</f>
        <v/>
      </c>
      <c r="M1542" s="6">
        <f>HYPERLINK("https://map.naver.com/p/search/오송읍 봉산리 1375", "지도Link")</f>
        <v/>
      </c>
      <c r="N1542" s="6">
        <f>HYPERLINK("http://www.eum.go.kr/web/ar/lu/luLandDet.jsp?pnu=4311325031113750000&amp;isNoScr=script&amp;mode=search", "토지이음")</f>
        <v/>
      </c>
      <c r="O1542" s="3" t="inlineStr">
        <is>
          <t>뉴스</t>
        </is>
      </c>
      <c r="P1542" s="4" t="n">
        <v>3</v>
      </c>
      <c r="Q1542" s="4" t="n">
        <v>239.5</v>
      </c>
      <c r="R1542" s="3" t="inlineStr">
        <is>
          <t>지정되지않음</t>
        </is>
      </c>
      <c r="S1542" s="3" t="inlineStr">
        <is>
          <t>주거기타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봉산리 1375</t>
        </is>
      </c>
      <c r="B1543" s="3" t="inlineStr">
        <is>
          <t>제1종일반주거지역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30000</v>
      </c>
      <c r="G1543" s="4" t="n">
        <v>239</v>
      </c>
      <c r="H1543" s="4" t="n">
        <v>72</v>
      </c>
      <c r="I1543" s="5" t="n">
        <v>416.7</v>
      </c>
      <c r="J1543" s="5" t="n">
        <v>207.9</v>
      </c>
      <c r="K1543" s="3" t="inlineStr">
        <is>
          <t>오송역세권개발및오송3국가산단조성본격화에따른지가상승기대</t>
        </is>
      </c>
      <c r="L1543" s="6">
        <f>HYPERLINK("https://fin.land.naver.com/articles/2653984111", "매물Link")</f>
        <v/>
      </c>
      <c r="M1543" s="6">
        <f>HYPERLINK("https://map.naver.com/p/search/오송읍 봉산리 1375", "지도Link")</f>
        <v/>
      </c>
      <c r="N1543" s="6">
        <f>HYPERLINK("http://www.eum.go.kr/web/ar/lu/luLandDet.jsp?pnu=4311325031113750000&amp;isNoScr=script&amp;mode=search", "토지이음")</f>
        <v/>
      </c>
      <c r="O1543" s="3" t="inlineStr">
        <is>
          <t>오송스타</t>
        </is>
      </c>
      <c r="P1543" s="4" t="n">
        <v>1</v>
      </c>
      <c r="Q1543" s="4" t="n">
        <v>239.5</v>
      </c>
      <c r="R1543" s="3" t="inlineStr">
        <is>
          <t>지정되지않음</t>
        </is>
      </c>
      <c r="S1543" s="3" t="inlineStr">
        <is>
          <t>주거기타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봉산리 1392</t>
        </is>
      </c>
      <c r="B1544" s="3" t="inlineStr">
        <is>
          <t>제1종일반주거지역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60000</v>
      </c>
      <c r="G1544" s="4" t="n">
        <v>246</v>
      </c>
      <c r="H1544" s="4" t="n">
        <v>74</v>
      </c>
      <c r="I1544" s="5" t="n">
        <v>810.8</v>
      </c>
      <c r="J1544" s="5" t="n">
        <v>250.2</v>
      </c>
      <c r="K1544" s="3" t="inlineStr">
        <is>
          <t>대로변 위치 좋은 코너 각지</t>
        </is>
      </c>
      <c r="L1544" s="6">
        <f>HYPERLINK("https://fin.land.naver.com/articles/2652529296", "매물Link")</f>
        <v/>
      </c>
      <c r="M1544" s="6">
        <f>HYPERLINK("https://map.naver.com/p/search/오송읍 봉산리 1392", "지도Link")</f>
        <v/>
      </c>
      <c r="N1544" s="6">
        <f>HYPERLINK("http://www.eum.go.kr/web/ar/lu/luLandDet.jsp?pnu=4311325031113920000&amp;isNoScr=script&amp;mode=search", "토지이음")</f>
        <v/>
      </c>
      <c r="O1544" s="3" t="inlineStr">
        <is>
          <t>광장</t>
        </is>
      </c>
      <c r="P1544" s="4" t="n">
        <v>1</v>
      </c>
      <c r="Q1544" s="4" t="n">
        <v>246.5</v>
      </c>
      <c r="R1544" s="3" t="inlineStr">
        <is>
          <t>지정되지않음</t>
        </is>
      </c>
      <c r="S1544" s="3" t="inlineStr">
        <is>
          <t>주상기타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소로각지</t>
        </is>
      </c>
    </row>
    <row r="1545">
      <c r="A1545" s="3" t="inlineStr">
        <is>
          <t>오송읍 봉산리 1415</t>
        </is>
      </c>
      <c r="B1545" s="3" t="inlineStr">
        <is>
          <t>제1종일반주거지역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42000</v>
      </c>
      <c r="G1545" s="4" t="n">
        <v>244</v>
      </c>
      <c r="H1545" s="4" t="n">
        <v>74</v>
      </c>
      <c r="I1545" s="5" t="n">
        <v>567.6</v>
      </c>
      <c r="J1545" s="5" t="n">
        <v>207.9</v>
      </c>
      <c r="K1545" s="3" t="inlineStr">
        <is>
          <t>오송2산단 상가 주택부지 입니다 남향</t>
        </is>
      </c>
      <c r="L1545" s="6">
        <f>HYPERLINK("https://fin.land.naver.com/articles/2654526332", "매물Link")</f>
        <v/>
      </c>
      <c r="M1545" s="6">
        <f>HYPERLINK("https://map.naver.com/p/search/오송읍 봉산리 1415", "지도Link")</f>
        <v/>
      </c>
      <c r="N1545" s="6">
        <f>HYPERLINK("http://www.eum.go.kr/web/ar/lu/luLandDet.jsp?pnu=4311325031114150000&amp;isNoScr=script&amp;mode=search", "토지이음")</f>
        <v/>
      </c>
      <c r="O1545" s="3" t="inlineStr">
        <is>
          <t>365</t>
        </is>
      </c>
      <c r="P1545" s="4" t="n">
        <v>1</v>
      </c>
      <c r="Q1545" s="4" t="n">
        <v>244</v>
      </c>
      <c r="R1545" s="3" t="inlineStr">
        <is>
          <t>지정되지않음</t>
        </is>
      </c>
      <c r="S1545" s="3" t="inlineStr">
        <is>
          <t>주거기타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오송읍 봉산리 1419</t>
        </is>
      </c>
      <c r="B1546" s="3" t="inlineStr">
        <is>
          <t>제1종일반주거지역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45000</v>
      </c>
      <c r="G1546" s="4" t="n">
        <v>238</v>
      </c>
      <c r="H1546" s="4" t="n">
        <v>72</v>
      </c>
      <c r="I1546" s="5" t="n">
        <v>625</v>
      </c>
      <c r="J1546" s="5" t="n">
        <v>250.2</v>
      </c>
      <c r="K1546" s="3" t="inlineStr">
        <is>
          <t>오송2산단 다가구 건축 용도 삼면 각지 토지</t>
        </is>
      </c>
      <c r="L1546" s="6">
        <f>HYPERLINK("https://fin.land.naver.com/articles/2652705478", "매물Link")</f>
        <v/>
      </c>
      <c r="M1546" s="6">
        <f>HYPERLINK("https://map.naver.com/p/search/오송읍 봉산리 1419", "지도Link")</f>
        <v/>
      </c>
      <c r="N1546" s="6">
        <f>HYPERLINK("http://www.eum.go.kr/web/ar/lu/luLandDet.jsp?pnu=4311325031114190000&amp;isNoScr=script&amp;mode=search", "토지이음")</f>
        <v/>
      </c>
      <c r="O1546" s="3" t="inlineStr">
        <is>
          <t>365</t>
        </is>
      </c>
      <c r="P1546" s="4" t="n">
        <v>1</v>
      </c>
      <c r="Q1546" s="4" t="n">
        <v>238.1</v>
      </c>
      <c r="R1546" s="3" t="inlineStr">
        <is>
          <t>지정되지않음</t>
        </is>
      </c>
      <c r="S1546" s="3" t="inlineStr">
        <is>
          <t>주상기타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소로각지</t>
        </is>
      </c>
    </row>
    <row r="1547">
      <c r="A1547" s="3" t="inlineStr">
        <is>
          <t>오송읍 봉산리 796</t>
        </is>
      </c>
      <c r="B1547" s="3" t="inlineStr">
        <is>
          <t>제1종일반주거지역</t>
        </is>
      </c>
      <c r="C1547" s="3" t="inlineStr">
        <is>
          <t>주차장</t>
        </is>
      </c>
      <c r="D1547" s="3" t="inlineStr">
        <is>
          <t>주차장</t>
        </is>
      </c>
      <c r="E1547" s="3" t="inlineStr">
        <is>
          <t>매매</t>
        </is>
      </c>
      <c r="F1547" s="4" t="n">
        <v>150000</v>
      </c>
      <c r="G1547" s="4" t="n">
        <v>1039</v>
      </c>
      <c r="H1547" s="4" t="n">
        <v>314</v>
      </c>
      <c r="I1547" s="5" t="n">
        <v>477.7</v>
      </c>
      <c r="J1547" s="5" t="n">
        <v>207.4</v>
      </c>
      <c r="K1547" s="3" t="inlineStr">
        <is>
          <t>아파트 학교옆 인프라좋고 편의시설주변 주차장용지로 모든업종가능</t>
        </is>
      </c>
      <c r="L1547" s="6">
        <f>HYPERLINK("https://fin.land.naver.com/articles/2653291885", "매물Link")</f>
        <v/>
      </c>
      <c r="M1547" s="6">
        <f>HYPERLINK("https://map.naver.com/p/search/오송읍 봉산리 796", "지도Link")</f>
        <v/>
      </c>
      <c r="N1547" s="6">
        <f>HYPERLINK("http://www.eum.go.kr/web/ar/lu/luLandDet.jsp?pnu=4311325031107960000&amp;isNoScr=script&amp;mode=search", "토지이음")</f>
        <v/>
      </c>
      <c r="O1547" s="3" t="inlineStr">
        <is>
          <t>하림</t>
        </is>
      </c>
      <c r="P1547" s="4" t="n">
        <v>1</v>
      </c>
      <c r="Q1547" s="4" t="n">
        <v>1039.2</v>
      </c>
      <c r="R1547" s="3" t="inlineStr">
        <is>
          <t>지정되지않음</t>
        </is>
      </c>
      <c r="S1547" s="3" t="inlineStr">
        <is>
          <t>주차장등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중로각지</t>
        </is>
      </c>
    </row>
    <row r="1548">
      <c r="A1548" s="3" t="inlineStr">
        <is>
          <t>오송읍 봉산리 841</t>
        </is>
      </c>
      <c r="B1548" s="3" t="inlineStr">
        <is>
          <t>제1종일반주거지역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38000</v>
      </c>
      <c r="G1548" s="4" t="n">
        <v>249</v>
      </c>
      <c r="H1548" s="4" t="n">
        <v>75</v>
      </c>
      <c r="I1548" s="5" t="n">
        <v>506.7</v>
      </c>
      <c r="J1548" s="5" t="n">
        <v>342.8</v>
      </c>
      <c r="K1548" s="3" t="inlineStr">
        <is>
          <t>대도로변 토지,상가 입점하기 좋은 위치</t>
        </is>
      </c>
      <c r="L1548" s="6">
        <f>HYPERLINK("https://fin.land.naver.com/articles/2652140009", "매물Link")</f>
        <v/>
      </c>
      <c r="M1548" s="6">
        <f>HYPERLINK("https://map.naver.com/p/search/오송읍 봉산리 841", "지도Link")</f>
        <v/>
      </c>
      <c r="N1548" s="6">
        <f>HYPERLINK("http://www.eum.go.kr/web/ar/lu/luLandDet.jsp?pnu=4311325031108410000&amp;isNoScr=script&amp;mode=search", "토지이음")</f>
        <v/>
      </c>
      <c r="O1548" s="3" t="inlineStr">
        <is>
          <t>오송2단지창조</t>
        </is>
      </c>
      <c r="P1548" s="4" t="n">
        <v>1</v>
      </c>
      <c r="Q1548" s="4" t="n">
        <v>249.4</v>
      </c>
      <c r="R1548" s="3" t="inlineStr">
        <is>
          <t>지정되지않음</t>
        </is>
      </c>
      <c r="S1548" s="3" t="inlineStr">
        <is>
          <t>주상기타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중로각지</t>
        </is>
      </c>
    </row>
    <row r="1549">
      <c r="A1549" s="3" t="inlineStr">
        <is>
          <t>오송읍 봉산리 853</t>
        </is>
      </c>
      <c r="B1549" s="3" t="inlineStr">
        <is>
          <t>제1종일반주거지역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45000</v>
      </c>
      <c r="G1549" s="4" t="n">
        <v>276</v>
      </c>
      <c r="H1549" s="4" t="n">
        <v>83</v>
      </c>
      <c r="I1549" s="5" t="n">
        <v>542.2</v>
      </c>
      <c r="J1549" s="5" t="n">
        <v>205.7</v>
      </c>
      <c r="K1549" s="3" t="inlineStr">
        <is>
          <t>nan</t>
        </is>
      </c>
      <c r="L1549" s="6">
        <f>HYPERLINK("https://fin.land.naver.com/articles/2652690757", "매물Link")</f>
        <v/>
      </c>
      <c r="M1549" s="6">
        <f>HYPERLINK("https://map.naver.com/p/search/오송읍 봉산리 853", "지도Link")</f>
        <v/>
      </c>
      <c r="N1549" s="6">
        <f>HYPERLINK("http://www.eum.go.kr/web/ar/lu/luLandDet.jsp?pnu=4311325031108530000&amp;isNoScr=script&amp;mode=search", "토지이음")</f>
        <v/>
      </c>
      <c r="O1549" s="3" t="inlineStr">
        <is>
          <t>365</t>
        </is>
      </c>
      <c r="P1549" s="4" t="n">
        <v>1</v>
      </c>
      <c r="Q1549" s="4" t="n">
        <v>276.1</v>
      </c>
      <c r="R1549" s="3" t="inlineStr">
        <is>
          <t>지정되지않음</t>
        </is>
      </c>
      <c r="S1549" s="3" t="inlineStr">
        <is>
          <t>주거기타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오송읍 봉산리 853</t>
        </is>
      </c>
      <c r="B1550" s="3" t="inlineStr">
        <is>
          <t>제1종일반주거지역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45000</v>
      </c>
      <c r="G1550" s="4" t="n">
        <v>276</v>
      </c>
      <c r="H1550" s="4" t="n">
        <v>83</v>
      </c>
      <c r="I1550" s="5" t="n">
        <v>542.2</v>
      </c>
      <c r="J1550" s="5" t="n">
        <v>205.7</v>
      </c>
      <c r="K1550" s="3" t="inlineStr">
        <is>
          <t>솔미초 인근 다가구용 토지 매매</t>
        </is>
      </c>
      <c r="L1550" s="6">
        <f>HYPERLINK("https://fin.land.naver.com/articles/2650364095", "매물Link")</f>
        <v/>
      </c>
      <c r="M1550" s="6">
        <f>HYPERLINK("https://map.naver.com/p/search/오송읍 봉산리 853", "지도Link")</f>
        <v/>
      </c>
      <c r="N1550" s="6">
        <f>HYPERLINK("http://www.eum.go.kr/web/ar/lu/luLandDet.jsp?pnu=4311325031108530000&amp;isNoScr=script&amp;mode=search", "토지이음")</f>
        <v/>
      </c>
      <c r="O1550" s="3" t="inlineStr">
        <is>
          <t>광장</t>
        </is>
      </c>
      <c r="P1550" s="4" t="n">
        <v>1</v>
      </c>
      <c r="Q1550" s="4" t="n">
        <v>276.1</v>
      </c>
      <c r="R1550" s="3" t="inlineStr">
        <is>
          <t>지정되지않음</t>
        </is>
      </c>
      <c r="S1550" s="3" t="inlineStr">
        <is>
          <t>주거기타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오송읍 봉산리 859</t>
        </is>
      </c>
      <c r="B1551" s="3" t="inlineStr">
        <is>
          <t>제1종일반주거지역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40000</v>
      </c>
      <c r="G1551" s="4" t="n">
        <v>280</v>
      </c>
      <c r="H1551" s="4" t="n">
        <v>85</v>
      </c>
      <c r="I1551" s="5" t="n">
        <v>470.6</v>
      </c>
      <c r="J1551" s="5" t="n">
        <v>205.7</v>
      </c>
      <c r="K1551" s="3" t="inlineStr">
        <is>
          <t>수익율 좋은 다가구주택 건축하여 건물주님 되어보기</t>
        </is>
      </c>
      <c r="L1551" s="6">
        <f>HYPERLINK("https://fin.land.naver.com/articles/2650859358", "매물Link")</f>
        <v/>
      </c>
      <c r="M1551" s="6">
        <f>HYPERLINK("https://map.naver.com/p/search/오송읍 봉산리 859", "지도Link")</f>
        <v/>
      </c>
      <c r="N1551" s="6">
        <f>HYPERLINK("http://www.eum.go.kr/web/ar/lu/luLandDet.jsp?pnu=4311325031108590000&amp;isNoScr=script&amp;mode=search", "토지이음")</f>
        <v/>
      </c>
      <c r="O1551" s="3" t="inlineStr">
        <is>
          <t>프로</t>
        </is>
      </c>
      <c r="P1551" s="4" t="n">
        <v>1</v>
      </c>
      <c r="Q1551" s="4" t="n">
        <v>280</v>
      </c>
      <c r="R1551" s="3" t="inlineStr">
        <is>
          <t>지정되지않음</t>
        </is>
      </c>
      <c r="S1551" s="3" t="inlineStr">
        <is>
          <t>주거기타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오송읍 봉산리 872</t>
        </is>
      </c>
      <c r="B1552" s="3" t="inlineStr">
        <is>
          <t>제1종일반주거지역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271</v>
      </c>
      <c r="H1552" s="4" t="n">
        <v>82</v>
      </c>
      <c r="I1552" s="5" t="n">
        <v>597.6</v>
      </c>
      <c r="J1552" s="5" t="n">
        <v>236</v>
      </c>
      <c r="K1552" s="3" t="inlineStr">
        <is>
          <t>다가구주택용 대지, 임대세대 구성하기 좋은 면적</t>
        </is>
      </c>
      <c r="L1552" s="6">
        <f>HYPERLINK("https://fin.land.naver.com/articles/2651430081", "매물Link")</f>
        <v/>
      </c>
      <c r="M1552" s="6">
        <f>HYPERLINK("https://map.naver.com/p/search/오송읍 봉산리 872", "지도Link")</f>
        <v/>
      </c>
      <c r="N1552" s="6">
        <f>HYPERLINK("http://www.eum.go.kr/web/ar/lu/luLandDet.jsp?pnu=4311325031108720000&amp;isNoScr=script&amp;mode=search", "토지이음")</f>
        <v/>
      </c>
      <c r="O1552" s="3" t="inlineStr">
        <is>
          <t>광장</t>
        </is>
      </c>
      <c r="P1552" s="4" t="n">
        <v>1</v>
      </c>
      <c r="Q1552" s="4" t="n">
        <v>271.2</v>
      </c>
      <c r="R1552" s="3" t="inlineStr">
        <is>
          <t>지정되지않음</t>
        </is>
      </c>
      <c r="S1552" s="3" t="inlineStr">
        <is>
          <t>주상기타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봉산리 872</t>
        </is>
      </c>
      <c r="B1553" s="3" t="inlineStr">
        <is>
          <t>제1종일반주거지역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39000</v>
      </c>
      <c r="G1553" s="4" t="n">
        <v>271</v>
      </c>
      <c r="H1553" s="4" t="n">
        <v>82</v>
      </c>
      <c r="I1553" s="5" t="n">
        <v>475.6</v>
      </c>
      <c r="J1553" s="5" t="n">
        <v>236</v>
      </c>
      <c r="K1553" s="3" t="inlineStr">
        <is>
          <t>수익율 좋은 다가구주택 건축하여 건물주님 되어보세요</t>
        </is>
      </c>
      <c r="L1553" s="6">
        <f>HYPERLINK("https://fin.land.naver.com/articles/2653487751", "매물Link")</f>
        <v/>
      </c>
      <c r="M1553" s="6">
        <f>HYPERLINK("https://map.naver.com/p/search/오송읍 봉산리 872", "지도Link")</f>
        <v/>
      </c>
      <c r="N1553" s="6">
        <f>HYPERLINK("http://www.eum.go.kr/web/ar/lu/luLandDet.jsp?pnu=4311325031108720000&amp;isNoScr=script&amp;mode=search", "토지이음")</f>
        <v/>
      </c>
      <c r="O1553" s="3" t="inlineStr">
        <is>
          <t>프로</t>
        </is>
      </c>
      <c r="P1553" s="4" t="n">
        <v>1</v>
      </c>
      <c r="Q1553" s="4" t="n">
        <v>271.2</v>
      </c>
      <c r="R1553" s="3" t="inlineStr">
        <is>
          <t>지정되지않음</t>
        </is>
      </c>
      <c r="S1553" s="3" t="inlineStr">
        <is>
          <t>주상기타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오송읍 봉산리 888</t>
        </is>
      </c>
      <c r="B1554" s="3" t="inlineStr">
        <is>
          <t>제1종일반주거지역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252</v>
      </c>
      <c r="H1554" s="4" t="n">
        <v>76</v>
      </c>
      <c r="I1554" s="5" t="n">
        <v>789.5</v>
      </c>
      <c r="J1554" s="5" t="n">
        <v>291</v>
      </c>
      <c r="K1554" s="3" t="inlineStr">
        <is>
          <t>오송 철도국가산단 수혜 핵심 입지</t>
        </is>
      </c>
      <c r="L1554" s="6">
        <f>HYPERLINK("https://fin.land.naver.com/articles/2655160224", "매물Link")</f>
        <v/>
      </c>
      <c r="M1554" s="6">
        <f>HYPERLINK("https://map.naver.com/p/search/오송읍 봉산리 888", "지도Link")</f>
        <v/>
      </c>
      <c r="N1554" s="6">
        <f>HYPERLINK("http://www.eum.go.kr/web/ar/lu/luLandDet.jsp?pnu=4311325031108880000&amp;isNoScr=script&amp;mode=search", "토지이음")</f>
        <v/>
      </c>
      <c r="O1554" s="3" t="inlineStr">
        <is>
          <t>복덩이</t>
        </is>
      </c>
      <c r="P1554" s="4" t="n">
        <v>1</v>
      </c>
      <c r="Q1554" s="4" t="n">
        <v>252.1</v>
      </c>
      <c r="R1554" s="3" t="inlineStr">
        <is>
          <t>지정되지않음</t>
        </is>
      </c>
      <c r="S1554" s="3" t="inlineStr">
        <is>
          <t>주상기타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중로각지</t>
        </is>
      </c>
    </row>
    <row r="1555">
      <c r="A1555" s="3" t="inlineStr">
        <is>
          <t>오송읍 봉산리 949</t>
        </is>
      </c>
      <c r="B1555" s="3" t="inlineStr">
        <is>
          <t>제1종일반주거지역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40000</v>
      </c>
      <c r="G1555" s="4" t="n">
        <v>271</v>
      </c>
      <c r="H1555" s="4" t="n">
        <v>82</v>
      </c>
      <c r="I1555" s="5" t="n">
        <v>487.8</v>
      </c>
      <c r="J1555" s="5" t="n">
        <v>236</v>
      </c>
      <c r="K1555" s="3" t="inlineStr">
        <is>
          <t>수익율 좋은 다가구주택 건축하여 건물주님 되어보기</t>
        </is>
      </c>
      <c r="L1555" s="6">
        <f>HYPERLINK("https://fin.land.naver.com/articles/2653257663", "매물Link")</f>
        <v/>
      </c>
      <c r="M1555" s="6">
        <f>HYPERLINK("https://map.naver.com/p/search/오송읍 봉산리 949", "지도Link")</f>
        <v/>
      </c>
      <c r="N1555" s="6">
        <f>HYPERLINK("http://www.eum.go.kr/web/ar/lu/luLandDet.jsp?pnu=4311325031109490000&amp;isNoScr=script&amp;mode=search", "토지이음")</f>
        <v/>
      </c>
      <c r="O1555" s="3" t="inlineStr">
        <is>
          <t>프로</t>
        </is>
      </c>
      <c r="P1555" s="4" t="n">
        <v>2</v>
      </c>
      <c r="Q1555" s="4" t="n">
        <v>271</v>
      </c>
      <c r="R1555" s="3" t="inlineStr">
        <is>
          <t>지정되지않음</t>
        </is>
      </c>
      <c r="S1555" s="3" t="inlineStr">
        <is>
          <t>주상기타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오송읍 봉산리 954</t>
        </is>
      </c>
      <c r="B1556" s="3" t="inlineStr">
        <is>
          <t>제1종일반주거지역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55000</v>
      </c>
      <c r="G1556" s="4" t="n">
        <v>265</v>
      </c>
      <c r="H1556" s="4" t="n">
        <v>80</v>
      </c>
      <c r="I1556" s="5" t="n">
        <v>687.5</v>
      </c>
      <c r="J1556" s="5" t="n">
        <v>257.5</v>
      </c>
      <c r="K1556" s="3" t="inlineStr">
        <is>
          <t>위치좋은 코너땅 입니다</t>
        </is>
      </c>
      <c r="L1556" s="6">
        <f>HYPERLINK("https://fin.land.naver.com/articles/2652109103", "매물Link")</f>
        <v/>
      </c>
      <c r="M1556" s="6">
        <f>HYPERLINK("https://map.naver.com/p/search/오송읍 봉산리 954", "지도Link")</f>
        <v/>
      </c>
      <c r="N1556" s="6">
        <f>HYPERLINK("http://www.eum.go.kr/web/ar/lu/luLandDet.jsp?pnu=4311325031109540000&amp;isNoScr=script&amp;mode=search", "토지이음")</f>
        <v/>
      </c>
      <c r="O1556" s="3" t="inlineStr">
        <is>
          <t>오송2단지창조</t>
        </is>
      </c>
      <c r="P1556" s="4" t="n">
        <v>1</v>
      </c>
      <c r="Q1556" s="4" t="n">
        <v>265.3</v>
      </c>
      <c r="R1556" s="3" t="inlineStr">
        <is>
          <t>지정되지않음</t>
        </is>
      </c>
      <c r="S1556" s="3" t="inlineStr">
        <is>
          <t>주상기타</t>
        </is>
      </c>
      <c r="T1556" s="3" t="inlineStr">
        <is>
          <t>평지</t>
        </is>
      </c>
      <c r="U1556" s="3" t="inlineStr">
        <is>
          <t>가로장방</t>
        </is>
      </c>
      <c r="V1556" s="3" t="inlineStr">
        <is>
          <t>소로각지</t>
        </is>
      </c>
    </row>
    <row r="1557">
      <c r="A1557" s="3" t="inlineStr">
        <is>
          <t>오송읍 봉산리 978</t>
        </is>
      </c>
      <c r="B1557" s="3" t="inlineStr">
        <is>
          <t>일반상업지역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353000</v>
      </c>
      <c r="G1557" s="4" t="n">
        <v>1295</v>
      </c>
      <c r="H1557" s="4" t="n">
        <v>392</v>
      </c>
      <c r="I1557" s="5" t="n">
        <v>900.5</v>
      </c>
      <c r="J1557" s="5" t="n">
        <v>585.5</v>
      </c>
      <c r="K1557" s="3" t="inlineStr">
        <is>
          <t>오송읍 봉산리 상업용지 매매</t>
        </is>
      </c>
      <c r="L1557" s="6">
        <f>HYPERLINK("https://fin.land.naver.com/articles/2650259873", "매물Link")</f>
        <v/>
      </c>
      <c r="M1557" s="6">
        <f>HYPERLINK("https://map.naver.com/p/search/오송읍 봉산리 978", "지도Link")</f>
        <v/>
      </c>
      <c r="N1557" s="6">
        <f>HYPERLINK("http://www.eum.go.kr/web/ar/lu/luLandDet.jsp?pnu=4311325031109780000&amp;isNoScr=script&amp;mode=search", "토지이음")</f>
        <v/>
      </c>
      <c r="O1557" s="3" t="inlineStr">
        <is>
          <t>일등</t>
        </is>
      </c>
      <c r="P1557" s="4" t="n">
        <v>1</v>
      </c>
      <c r="Q1557" s="4" t="n">
        <v>1295.6</v>
      </c>
      <c r="R1557" s="3" t="inlineStr">
        <is>
          <t>지정되지않음</t>
        </is>
      </c>
      <c r="S1557" s="3" t="inlineStr">
        <is>
          <t>상업기타</t>
        </is>
      </c>
      <c r="T1557" s="3" t="inlineStr">
        <is>
          <t>평지</t>
        </is>
      </c>
      <c r="U1557" s="3" t="inlineStr">
        <is>
          <t>가로장방</t>
        </is>
      </c>
      <c r="V1557" s="3" t="inlineStr">
        <is>
          <t>중로각지</t>
        </is>
      </c>
    </row>
    <row r="1558">
      <c r="A1558" s="3" t="inlineStr">
        <is>
          <t>오송읍 상봉리 114-3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25000</v>
      </c>
      <c r="G1558" s="4" t="n">
        <v>602</v>
      </c>
      <c r="H1558" s="4" t="n">
        <v>182</v>
      </c>
      <c r="I1558" s="5" t="n">
        <v>137.4</v>
      </c>
      <c r="J1558" s="5" t="n">
        <v>48.7</v>
      </c>
      <c r="K1558" s="3" t="inlineStr">
        <is>
          <t>오송읍 전원주택지 매매</t>
        </is>
      </c>
      <c r="L1558" s="6">
        <f>HYPERLINK("https://fin.land.naver.com/articles/2654267342", "매물Link")</f>
        <v/>
      </c>
      <c r="M1558" s="6">
        <f>HYPERLINK("https://map.naver.com/p/search/오송읍 상봉리 114-3", "지도Link")</f>
        <v/>
      </c>
      <c r="N1558" s="6">
        <f>HYPERLINK("http://www.eum.go.kr/web/ar/lu/luLandDet.jsp?pnu=4311325033101140003&amp;isNoScr=script&amp;mode=search", "토지이음")</f>
        <v/>
      </c>
      <c r="O1558" s="3" t="inlineStr">
        <is>
          <t>학사</t>
        </is>
      </c>
      <c r="P1558" s="4" t="n">
        <v>1</v>
      </c>
      <c r="Q1558" s="4" t="n">
        <v>602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상봉리 240-4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200000</v>
      </c>
      <c r="G1559" s="4" t="n">
        <v>1896</v>
      </c>
      <c r="H1559" s="4" t="n">
        <v>574</v>
      </c>
      <c r="I1559" s="5" t="n">
        <v>348.4</v>
      </c>
      <c r="J1559" s="5" t="n">
        <v>45</v>
      </c>
      <c r="K1559" s="3" t="inlineStr">
        <is>
          <t>2차선도로 및 3면이 포장도로에 접한 직사각형 모양의 계획관리지역의 전</t>
        </is>
      </c>
      <c r="L1559" s="6">
        <f>HYPERLINK("https://fin.land.naver.com/articles/2652183903", "매물Link")</f>
        <v/>
      </c>
      <c r="M1559" s="6">
        <f>HYPERLINK("https://map.naver.com/p/search/오송읍 상봉리 240-4", "지도Link")</f>
        <v/>
      </c>
      <c r="N1559" s="6">
        <f>HYPERLINK("http://www.eum.go.kr/web/ar/lu/luLandDet.jsp?pnu=4311325033102400004&amp;isNoScr=script&amp;mode=search", "토지이음")</f>
        <v/>
      </c>
      <c r="O1559" s="3" t="inlineStr">
        <is>
          <t>스마일세종</t>
        </is>
      </c>
      <c r="P1559" s="4" t="n">
        <v>1</v>
      </c>
      <c r="Q1559" s="4" t="n">
        <v>1896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소로한면</t>
        </is>
      </c>
    </row>
    <row r="1560">
      <c r="A1560" s="3" t="inlineStr">
        <is>
          <t>오송읍 상봉리 313</t>
        </is>
      </c>
      <c r="B1560" s="3" t="inlineStr">
        <is>
          <t>보전관리지역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40000</v>
      </c>
      <c r="G1560" s="4" t="n">
        <v>2615</v>
      </c>
      <c r="H1560" s="4" t="n">
        <v>791</v>
      </c>
      <c r="I1560" s="5" t="n">
        <v>50.6</v>
      </c>
      <c r="J1560" s="5" t="n">
        <v>10</v>
      </c>
      <c r="K1560" s="3" t="inlineStr">
        <is>
          <t>세종시 경계부근에 위치 전원주택 주말농지 추천</t>
        </is>
      </c>
      <c r="L1560" s="6">
        <f>HYPERLINK("https://fin.land.naver.com/articles/2652553807", "매물Link")</f>
        <v/>
      </c>
      <c r="M1560" s="6">
        <f>HYPERLINK("https://map.naver.com/p/search/오송읍 상봉리 313", "지도Link")</f>
        <v/>
      </c>
      <c r="N1560" s="6">
        <f>HYPERLINK("http://www.eum.go.kr/web/ar/lu/luLandDet.jsp?pnu=4311325033103130000&amp;isNoScr=script&amp;mode=search", "토지이음")</f>
        <v/>
      </c>
      <c r="O1560" s="3" t="inlineStr">
        <is>
          <t>복수지구</t>
        </is>
      </c>
      <c r="P1560" s="4" t="n">
        <v>1</v>
      </c>
      <c r="Q1560" s="4" t="n">
        <v>2615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상봉리 415-1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26000</v>
      </c>
      <c r="G1561" s="4" t="n">
        <v>1230</v>
      </c>
      <c r="H1561" s="4" t="n">
        <v>372</v>
      </c>
      <c r="I1561" s="5" t="n">
        <v>69.90000000000001</v>
      </c>
      <c r="J1561" s="5" t="n">
        <v>22</v>
      </c>
      <c r="K1561" s="3" t="inlineStr">
        <is>
          <t>매가 조정하여 매2.6억원 오송 산단주변 농림지역 매매</t>
        </is>
      </c>
      <c r="L1561" s="6">
        <f>HYPERLINK("https://fin.land.naver.com/articles/2651395740", "매물Link")</f>
        <v/>
      </c>
      <c r="M1561" s="6">
        <f>HYPERLINK("https://map.naver.com/p/search/오송읍 상봉리 415-1", "지도Link")</f>
        <v/>
      </c>
      <c r="N1561" s="6">
        <f>HYPERLINK("http://www.eum.go.kr/web/ar/lu/luLandDet.jsp?pnu=4311325033104150001&amp;isNoScr=script&amp;mode=search", "토지이음")</f>
        <v/>
      </c>
      <c r="O1561" s="3" t="inlineStr">
        <is>
          <t>로데오상가</t>
        </is>
      </c>
      <c r="P1561" s="4" t="n">
        <v>1</v>
      </c>
      <c r="Q1561" s="4" t="n">
        <v>1230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세로한면(가)</t>
        </is>
      </c>
    </row>
    <row r="1562">
      <c r="A1562" s="3" t="inlineStr">
        <is>
          <t>오송읍 상봉리 415-1</t>
        </is>
      </c>
      <c r="B1562" s="3" t="inlineStr">
        <is>
          <t>농림지역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26000</v>
      </c>
      <c r="G1562" s="4" t="n">
        <v>1230</v>
      </c>
      <c r="H1562" s="4" t="n">
        <v>372</v>
      </c>
      <c r="I1562" s="5" t="n">
        <v>69.90000000000001</v>
      </c>
      <c r="J1562" s="5" t="n">
        <v>22</v>
      </c>
      <c r="K1562" s="3" t="inlineStr">
        <is>
          <t>오송역자동차5분거리.저렴한가격.오송국가산업단지인근.6미터도로접.장기투자</t>
        </is>
      </c>
      <c r="L1562" s="6">
        <f>HYPERLINK("https://fin.land.naver.com/articles/2654871629", "매물Link")</f>
        <v/>
      </c>
      <c r="M1562" s="6">
        <f>HYPERLINK("https://map.naver.com/p/search/오송읍 상봉리 415-1", "지도Link")</f>
        <v/>
      </c>
      <c r="N1562" s="6">
        <f>HYPERLINK("http://www.eum.go.kr/web/ar/lu/luLandDet.jsp?pnu=4311325033104150001&amp;isNoScr=script&amp;mode=search", "토지이음")</f>
        <v/>
      </c>
      <c r="O1562" s="3" t="inlineStr">
        <is>
          <t>돈방석</t>
        </is>
      </c>
      <c r="P1562" s="4" t="n">
        <v>8</v>
      </c>
      <c r="Q1562" s="4" t="n">
        <v>1230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세로한면(가)</t>
        </is>
      </c>
    </row>
    <row r="1563">
      <c r="A1563" s="3" t="inlineStr">
        <is>
          <t>오송읍 상봉리 98-15</t>
        </is>
      </c>
      <c r="B1563" s="3" t="inlineStr">
        <is>
          <t>생산관리지역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35500</v>
      </c>
      <c r="G1563" s="4" t="n">
        <v>1468</v>
      </c>
      <c r="H1563" s="4" t="n">
        <v>444</v>
      </c>
      <c r="I1563" s="5" t="n">
        <v>80</v>
      </c>
      <c r="J1563" s="5" t="n">
        <v>26.4</v>
      </c>
      <c r="K1563" s="3" t="inlineStr">
        <is>
          <t>신축, 경작, 투자하기 좋은 토지</t>
        </is>
      </c>
      <c r="L1563" s="6">
        <f>HYPERLINK("https://fin.land.naver.com/articles/2650650172", "매물Link")</f>
        <v/>
      </c>
      <c r="M1563" s="6">
        <f>HYPERLINK("https://map.naver.com/p/search/오송읍 상봉리 98-15", "지도Link")</f>
        <v/>
      </c>
      <c r="N1563" s="6">
        <f>HYPERLINK("http://www.eum.go.kr/web/ar/lu/luLandDet.jsp?pnu=4311325033100980015&amp;isNoScr=script&amp;mode=search", "토지이음")</f>
        <v/>
      </c>
      <c r="O1563" s="3" t="inlineStr">
        <is>
          <t>학정</t>
        </is>
      </c>
      <c r="P1563" s="4" t="n">
        <v>1</v>
      </c>
      <c r="Q1563" s="4" t="n">
        <v>1468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상봉리 산 49-1</t>
        </is>
      </c>
      <c r="B1564" s="3" t="inlineStr">
        <is>
          <t>농림지역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22000</v>
      </c>
      <c r="G1564" s="4" t="n">
        <v>29256</v>
      </c>
      <c r="H1564" s="4" t="n">
        <v>8850</v>
      </c>
      <c r="I1564" s="5" t="n">
        <v>2.5</v>
      </c>
      <c r="J1564" s="5" t="n">
        <v>2.4</v>
      </c>
      <c r="K1564" s="3" t="inlineStr">
        <is>
          <t>충북 청주 오송읍 상봉리 임야 매매</t>
        </is>
      </c>
      <c r="L1564" s="6">
        <f>HYPERLINK("https://fin.land.naver.com/articles/2652514401", "매물Link")</f>
        <v/>
      </c>
      <c r="M1564" s="6">
        <f>HYPERLINK("https://map.naver.com/p/search/오송읍 상봉리 산 49-1", "지도Link")</f>
        <v/>
      </c>
      <c r="N1564" s="6">
        <f>HYPERLINK("http://www.eum.go.kr/web/ar/lu/luLandDet.jsp?pnu=4311325033200490001&amp;isNoScr=script&amp;mode=search", "토지이음")</f>
        <v/>
      </c>
      <c r="O1564" s="3" t="inlineStr">
        <is>
          <t>리더</t>
        </is>
      </c>
      <c r="P1564" s="4" t="n">
        <v>1</v>
      </c>
      <c r="Q1564" s="4" t="n">
        <v>29256</v>
      </c>
      <c r="R1564" s="3" t="inlineStr">
        <is>
          <t>생산관리지역</t>
        </is>
      </c>
      <c r="S1564" s="3" t="inlineStr">
        <is>
          <t>자연림</t>
        </is>
      </c>
      <c r="T1564" s="3" t="inlineStr">
        <is>
          <t>완경사</t>
        </is>
      </c>
      <c r="U1564" s="3" t="inlineStr">
        <is>
          <t>부정형</t>
        </is>
      </c>
      <c r="V1564" s="3" t="inlineStr">
        <is>
          <t>맹지</t>
        </is>
      </c>
    </row>
    <row r="1565">
      <c r="A1565" s="3" t="inlineStr">
        <is>
          <t>오송읍 상정리 149-1</t>
        </is>
      </c>
      <c r="B1565" s="3" t="inlineStr">
        <is>
          <t>농림지역</t>
        </is>
      </c>
      <c r="C1565" s="3" t="inlineStr">
        <is>
          <t>창고용지</t>
        </is>
      </c>
      <c r="D1565" s="3" t="inlineStr">
        <is>
          <t>창고용지</t>
        </is>
      </c>
      <c r="E1565" s="3" t="inlineStr">
        <is>
          <t>매매</t>
        </is>
      </c>
      <c r="F1565" s="4" t="n">
        <v>91000</v>
      </c>
      <c r="G1565" s="4" t="n">
        <v>3028</v>
      </c>
      <c r="H1565" s="4" t="n">
        <v>916</v>
      </c>
      <c r="I1565" s="5" t="n">
        <v>99.3</v>
      </c>
      <c r="J1565" s="5" t="n">
        <v>27.4</v>
      </c>
      <c r="K1565" s="3" t="inlineStr">
        <is>
          <t>성토된 창고 용지와 창고용지와 답 매도</t>
        </is>
      </c>
      <c r="L1565" s="6">
        <f>HYPERLINK("https://fin.land.naver.com/articles/2651744349", "매물Link")</f>
        <v/>
      </c>
      <c r="M1565" s="6">
        <f>HYPERLINK("https://map.naver.com/p/search/오송읍 상정리 149-1", "지도Link")</f>
        <v/>
      </c>
      <c r="N1565" s="6">
        <f>HYPERLINK("http://www.eum.go.kr/web/ar/lu/luLandDet.jsp?pnu=4311325022101490001&amp;isNoScr=script&amp;mode=search", "토지이음")</f>
        <v/>
      </c>
      <c r="O1565" s="3" t="inlineStr">
        <is>
          <t>현담</t>
        </is>
      </c>
      <c r="P1565" s="4" t="n">
        <v>1</v>
      </c>
      <c r="Q1565" s="4" t="n">
        <v>660</v>
      </c>
      <c r="R1565" s="3" t="inlineStr">
        <is>
          <t>지정되지않음</t>
        </is>
      </c>
      <c r="S1565" s="3" t="inlineStr">
        <is>
          <t>답창고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세로한면(가)</t>
        </is>
      </c>
    </row>
    <row r="1566">
      <c r="A1566" s="3" t="inlineStr">
        <is>
          <t>오송읍 상정리 149-3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90000</v>
      </c>
      <c r="G1566" s="4" t="n">
        <v>3028</v>
      </c>
      <c r="H1566" s="4" t="n">
        <v>916</v>
      </c>
      <c r="I1566" s="5" t="n">
        <v>98.3</v>
      </c>
      <c r="J1566" s="5" t="n">
        <v>23</v>
      </c>
      <c r="K1566" s="3" t="inlineStr">
        <is>
          <t>현재 대지660m2, 창고128m2 임대중, 대토,투자추천</t>
        </is>
      </c>
      <c r="L1566" s="6">
        <f>HYPERLINK("https://fin.land.naver.com/articles/2651061331", "매물Link")</f>
        <v/>
      </c>
      <c r="M1566" s="6">
        <f>HYPERLINK("https://map.naver.com/p/search/오송읍 상정리 149-3", "지도Link")</f>
        <v/>
      </c>
      <c r="N1566" s="6">
        <f>HYPERLINK("http://www.eum.go.kr/web/ar/lu/luLandDet.jsp?pnu=4311325022101490003&amp;isNoScr=script&amp;mode=search", "토지이음")</f>
        <v/>
      </c>
      <c r="O1566" s="3" t="inlineStr">
        <is>
          <t>플러스자이합동</t>
        </is>
      </c>
      <c r="P1566" s="4" t="n">
        <v>1</v>
      </c>
      <c r="Q1566" s="4" t="n">
        <v>2368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세로한면(가)</t>
        </is>
      </c>
    </row>
    <row r="1567">
      <c r="A1567" s="3" t="inlineStr">
        <is>
          <t>오송읍 상정리 174-7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80000</v>
      </c>
      <c r="G1567" s="4" t="n">
        <v>982</v>
      </c>
      <c r="H1567" s="4" t="n">
        <v>297</v>
      </c>
      <c r="I1567" s="5" t="n">
        <v>269.4</v>
      </c>
      <c r="J1567" s="5" t="n">
        <v>43.7</v>
      </c>
      <c r="K1567" s="3" t="inlineStr">
        <is>
          <t>순이네 보리밥 진입로 좌측 직사각형의 용도다양한 토지매매</t>
        </is>
      </c>
      <c r="L1567" s="6">
        <f>HYPERLINK("https://fin.land.naver.com/articles/2652102937", "매물Link")</f>
        <v/>
      </c>
      <c r="M1567" s="6">
        <f>HYPERLINK("https://map.naver.com/p/search/오송읍 상정리 174-7", "지도Link")</f>
        <v/>
      </c>
      <c r="N1567" s="6">
        <f>HYPERLINK("http://www.eum.go.kr/web/ar/lu/luLandDet.jsp?pnu=4311325022101740007&amp;isNoScr=script&amp;mode=search",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982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오송읍 상정리 189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130000</v>
      </c>
      <c r="G1568" s="4" t="n">
        <v>1413</v>
      </c>
      <c r="H1568" s="4" t="n">
        <v>427</v>
      </c>
      <c r="I1568" s="5" t="n">
        <v>304.4</v>
      </c>
      <c r="J1568" s="5" t="n">
        <v>84.3</v>
      </c>
      <c r="K1568" s="3" t="inlineStr">
        <is>
          <t>오송읍 2차선 도로접한 계획관리 토지매매</t>
        </is>
      </c>
      <c r="L1568" s="6">
        <f>HYPERLINK("https://fin.land.naver.com/articles/2653388615", "매물Link")</f>
        <v/>
      </c>
      <c r="M1568" s="6">
        <f>HYPERLINK("https://map.naver.com/p/search/오송읍 상정리 189", "지도Link")</f>
        <v/>
      </c>
      <c r="N1568" s="6">
        <f>HYPERLINK("http://www.eum.go.kr/web/ar/lu/luLandDet.jsp?pnu=4311325022101890000&amp;isNoScr=script&amp;mode=search", "토지이음")</f>
        <v/>
      </c>
      <c r="O1568" s="3" t="inlineStr">
        <is>
          <t>대지</t>
        </is>
      </c>
      <c r="P1568" s="4" t="n">
        <v>1</v>
      </c>
      <c r="Q1568" s="4" t="n">
        <v>733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자루형</t>
        </is>
      </c>
      <c r="V1568" s="3" t="inlineStr">
        <is>
          <t>소로한면</t>
        </is>
      </c>
    </row>
    <row r="1569">
      <c r="A1569" s="3" t="inlineStr">
        <is>
          <t>오송읍 상정리 191-4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24600</v>
      </c>
      <c r="G1569" s="4" t="n">
        <v>367</v>
      </c>
      <c r="H1569" s="4" t="n">
        <v>111</v>
      </c>
      <c r="I1569" s="5" t="n">
        <v>221.6</v>
      </c>
      <c r="J1569" s="5" t="n">
        <v>83.59999999999999</v>
      </c>
      <c r="K1569" s="3" t="inlineStr">
        <is>
          <t>오송 1산단 생명과학단지 인근, 도로 옆, 건축가능, 투자가치 있음</t>
        </is>
      </c>
      <c r="L1569" s="6">
        <f>HYPERLINK("https://fin.land.naver.com/articles/2651744309", "매물Link")</f>
        <v/>
      </c>
      <c r="M1569" s="6">
        <f>HYPERLINK("https://map.naver.com/p/search/오송읍 상정리 191-4", "지도Link")</f>
        <v/>
      </c>
      <c r="N1569" s="6">
        <f>HYPERLINK("http://www.eum.go.kr/web/ar/lu/luLandDet.jsp?pnu=4311325022101910004&amp;isNoScr=script&amp;mode=search", "토지이음")</f>
        <v/>
      </c>
      <c r="O1569" s="3" t="inlineStr">
        <is>
          <t>현담</t>
        </is>
      </c>
      <c r="P1569" s="4" t="n">
        <v>1</v>
      </c>
      <c r="Q1569" s="4" t="n">
        <v>367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오송읍 상정리 261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27000</v>
      </c>
      <c r="G1570" s="4" t="n">
        <v>1083</v>
      </c>
      <c r="H1570" s="4" t="n">
        <v>328</v>
      </c>
      <c r="I1570" s="5" t="n">
        <v>82.3</v>
      </c>
      <c r="J1570" s="5" t="n">
        <v>23.3</v>
      </c>
      <c r="K1570" s="3" t="inlineStr">
        <is>
          <t>농림지역</t>
        </is>
      </c>
      <c r="L1570" s="6">
        <f>HYPERLINK("https://fin.land.naver.com/articles/2654093040", "매물Link")</f>
        <v/>
      </c>
      <c r="M1570" s="6">
        <f>HYPERLINK("https://map.naver.com/p/search/오송읍 상정리 261", "지도Link")</f>
        <v/>
      </c>
      <c r="N1570" s="6">
        <f>HYPERLINK("http://www.eum.go.kr/web/ar/lu/luLandDet.jsp?pnu=4311325022102610000&amp;isNoScr=script&amp;mode=search", "토지이음")</f>
        <v/>
      </c>
      <c r="O1570" s="3" t="inlineStr">
        <is>
          <t>수풀림</t>
        </is>
      </c>
      <c r="P1570" s="4" t="n">
        <v>1</v>
      </c>
      <c r="Q1570" s="4" t="n">
        <v>1083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세로한면(가)</t>
        </is>
      </c>
    </row>
    <row r="1571">
      <c r="A1571" s="3" t="inlineStr">
        <is>
          <t>오송읍 상정리 306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42000</v>
      </c>
      <c r="G1571" s="4" t="n">
        <v>1714</v>
      </c>
      <c r="H1571" s="4" t="n">
        <v>518</v>
      </c>
      <c r="I1571" s="5" t="n">
        <v>81.09999999999999</v>
      </c>
      <c r="J1571" s="5" t="n">
        <v>26.1</v>
      </c>
      <c r="K1571" s="3" t="inlineStr">
        <is>
          <t>농림지역 대토권 최적의 입지 농가 주택 가능한 토지 투자가치 뿜뿜</t>
        </is>
      </c>
      <c r="L1571" s="6">
        <f>HYPERLINK("https://fin.land.naver.com/articles/2654653039", "매물Link")</f>
        <v/>
      </c>
      <c r="M1571" s="6">
        <f>HYPERLINK("https://map.naver.com/p/search/오송읍 상정리 306", "지도Link")</f>
        <v/>
      </c>
      <c r="N1571" s="6">
        <f>HYPERLINK("http://www.eum.go.kr/web/ar/lu/luLandDet.jsp?pnu=4311325022103060000&amp;isNoScr=script&amp;mode=search", "토지이음")</f>
        <v/>
      </c>
      <c r="O1571" s="3" t="inlineStr">
        <is>
          <t>오송퍼스트영웅</t>
        </is>
      </c>
      <c r="P1571" s="4" t="n">
        <v>1</v>
      </c>
      <c r="Q1571" s="4" t="n">
        <v>1714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세로한면(불)</t>
        </is>
      </c>
    </row>
    <row r="1572">
      <c r="A1572" s="3" t="inlineStr">
        <is>
          <t>오송읍 상정리 337</t>
        </is>
      </c>
      <c r="B1572" s="3" t="inlineStr">
        <is>
          <t>계획관리지역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150000</v>
      </c>
      <c r="G1572" s="4" t="n">
        <v>2849</v>
      </c>
      <c r="H1572" s="4" t="n">
        <v>862</v>
      </c>
      <c r="I1572" s="5" t="n">
        <v>174</v>
      </c>
      <c r="J1572" s="5" t="n">
        <v>38.1</v>
      </c>
      <c r="K1572" s="3" t="inlineStr">
        <is>
          <t>서울세종간 제2고속도로이용(오송ic) 2차 지방도접 입지 최고</t>
        </is>
      </c>
      <c r="L1572" s="6">
        <f>HYPERLINK("https://fin.land.naver.com/articles/2652103214", "매물Link")</f>
        <v/>
      </c>
      <c r="M1572" s="6">
        <f>HYPERLINK("https://map.naver.com/p/search/오송읍 상정리 337", "지도Link")</f>
        <v/>
      </c>
      <c r="N1572" s="6">
        <f>HYPERLINK("http://www.eum.go.kr/web/ar/lu/luLandDet.jsp?pnu=4311325022103370000&amp;isNoScr=script&amp;mode=search", "토지이음")</f>
        <v/>
      </c>
      <c r="O1572" s="3" t="inlineStr">
        <is>
          <t>오송k랜드</t>
        </is>
      </c>
      <c r="P1572" s="4" t="n">
        <v>1</v>
      </c>
      <c r="Q1572" s="4" t="n">
        <v>2022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오송읍 상정리 337</t>
        </is>
      </c>
      <c r="B1573" s="3" t="inlineStr">
        <is>
          <t>계획관리지역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138000</v>
      </c>
      <c r="G1573" s="4" t="n">
        <v>2849</v>
      </c>
      <c r="H1573" s="4" t="n">
        <v>862</v>
      </c>
      <c r="I1573" s="5" t="n">
        <v>160.1</v>
      </c>
      <c r="J1573" s="5" t="n">
        <v>38.1</v>
      </c>
      <c r="K1573" s="3" t="inlineStr">
        <is>
          <t>2차선 코너도로접 화장품산단 인접 성토완료</t>
        </is>
      </c>
      <c r="L1573" s="6">
        <f>HYPERLINK("https://fin.land.naver.com/articles/2654059997", "매물Link")</f>
        <v/>
      </c>
      <c r="M1573" s="6">
        <f>HYPERLINK("https://map.naver.com/p/search/오송읍 상정리 337", "지도Link")</f>
        <v/>
      </c>
      <c r="N1573" s="6">
        <f>HYPERLINK("http://www.eum.go.kr/web/ar/lu/luLandDet.jsp?pnu=4311325022103370000&amp;isNoScr=script&amp;mode=search", "토지이음")</f>
        <v/>
      </c>
      <c r="O1573" s="3" t="inlineStr">
        <is>
          <t>플러스태양</t>
        </is>
      </c>
      <c r="P1573" s="4" t="n">
        <v>1</v>
      </c>
      <c r="Q1573" s="4" t="n">
        <v>2022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오송읍 상정리 62-2</t>
        </is>
      </c>
      <c r="B1574" s="3" t="inlineStr">
        <is>
          <t>농림지역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58000</v>
      </c>
      <c r="G1574" s="4" t="n">
        <v>647</v>
      </c>
      <c r="H1574" s="4" t="n">
        <v>196</v>
      </c>
      <c r="I1574" s="5" t="n">
        <v>295.9</v>
      </c>
      <c r="J1574" s="5" t="n">
        <v>53.2</v>
      </c>
      <c r="K1574" s="3" t="inlineStr">
        <is>
          <t>농업용 주택부설창고</t>
        </is>
      </c>
      <c r="L1574" s="6">
        <f>HYPERLINK("https://fin.land.naver.com/articles/2650749483", "매물Link")</f>
        <v/>
      </c>
      <c r="M1574" s="6">
        <f>HYPERLINK("https://map.naver.com/p/search/오송읍 상정리 62-2", "지도Link")</f>
        <v/>
      </c>
      <c r="N1574" s="6">
        <f>HYPERLINK("http://www.eum.go.kr/web/ar/lu/luLandDet.jsp?pnu=4311325022100620002&amp;isNoScr=script&amp;mode=search", "토지이음")</f>
        <v/>
      </c>
      <c r="O1574" s="3" t="inlineStr">
        <is>
          <t>현담</t>
        </is>
      </c>
      <c r="P1574" s="4" t="n">
        <v>1</v>
      </c>
      <c r="Q1574" s="4" t="n">
        <v>647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소로한면</t>
        </is>
      </c>
    </row>
    <row r="1575">
      <c r="A1575" s="3" t="inlineStr">
        <is>
          <t>오송읍 상정리 669</t>
        </is>
      </c>
      <c r="B1575" s="3" t="inlineStr">
        <is>
          <t>계획관리지역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34000</v>
      </c>
      <c r="G1575" s="4" t="n">
        <v>507</v>
      </c>
      <c r="H1575" s="4" t="n">
        <v>153</v>
      </c>
      <c r="I1575" s="5" t="n">
        <v>222.2</v>
      </c>
      <c r="J1575" s="5" t="n">
        <v>80.09999999999999</v>
      </c>
      <c r="K1575" s="3" t="inlineStr">
        <is>
          <t>오송 화장품단지옆 전원주택단지,  작은 전원주택과 507㎡의 대지</t>
        </is>
      </c>
      <c r="L1575" s="6">
        <f>HYPERLINK("https://fin.land.naver.com/articles/2652917534", "매물Link")</f>
        <v/>
      </c>
      <c r="M1575" s="6">
        <f>HYPERLINK("https://map.naver.com/p/search/오송읍 상정리 669", "지도Link")</f>
        <v/>
      </c>
      <c r="N1575" s="6">
        <f>HYPERLINK("http://www.eum.go.kr/web/ar/lu/luLandDet.jsp?pnu=4311325022106690000&amp;isNoScr=script&amp;mode=search", "토지이음")</f>
        <v/>
      </c>
      <c r="O1575" s="3" t="inlineStr">
        <is>
          <t>OK파라곤</t>
        </is>
      </c>
      <c r="P1575" s="4" t="n">
        <v>2</v>
      </c>
      <c r="Q1575" s="4" t="n">
        <v>507.1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완경사</t>
        </is>
      </c>
      <c r="U1575" s="3" t="inlineStr">
        <is>
          <t>세로장방</t>
        </is>
      </c>
      <c r="V1575" s="3" t="inlineStr">
        <is>
          <t>세로한면(가)</t>
        </is>
      </c>
    </row>
    <row r="1576">
      <c r="A1576" s="3" t="inlineStr">
        <is>
          <t>오송읍 상정리 725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33000</v>
      </c>
      <c r="G1576" s="4" t="n">
        <v>541</v>
      </c>
      <c r="H1576" s="4" t="n">
        <v>164</v>
      </c>
      <c r="I1576" s="5" t="n">
        <v>201.2</v>
      </c>
      <c r="J1576" s="5" t="n">
        <v>80.09999999999999</v>
      </c>
      <c r="K1576" s="3" t="inlineStr">
        <is>
          <t>고급 전원주택 단지 계획관리지역 건폐율60 지역 화장품단지 호재</t>
        </is>
      </c>
      <c r="L1576" s="6">
        <f>HYPERLINK("https://fin.land.naver.com/articles/2649903782", "매물Link")</f>
        <v/>
      </c>
      <c r="M1576" s="6">
        <f>HYPERLINK("https://map.naver.com/p/search/오송읍 상정리 725", "지도Link")</f>
        <v/>
      </c>
      <c r="N1576" s="6">
        <f>HYPERLINK("http://www.eum.go.kr/web/ar/lu/luLandDet.jsp?pnu=4311325022107250000&amp;isNoScr=script&amp;mode=search", "토지이음")</f>
        <v/>
      </c>
      <c r="O1576" s="3" t="inlineStr">
        <is>
          <t>프렌즈</t>
        </is>
      </c>
      <c r="P1576" s="4" t="n">
        <v>1</v>
      </c>
      <c r="Q1576" s="4" t="n">
        <v>541.1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완경사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오송읍 상정리 751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29000</v>
      </c>
      <c r="G1577" s="4" t="n">
        <v>535</v>
      </c>
      <c r="H1577" s="4" t="n">
        <v>162</v>
      </c>
      <c r="I1577" s="5" t="n">
        <v>179</v>
      </c>
      <c r="J1577" s="5" t="n">
        <v>80.09999999999999</v>
      </c>
      <c r="K1577" s="3" t="inlineStr">
        <is>
          <t>nan</t>
        </is>
      </c>
      <c r="L1577" s="6">
        <f>HYPERLINK("https://fin.land.naver.com/articles/2651726674", "매물Link")</f>
        <v/>
      </c>
      <c r="M1577" s="6">
        <f>HYPERLINK("https://map.naver.com/p/search/오송읍 상정리 751", "지도Link")</f>
        <v/>
      </c>
      <c r="N1577" s="6">
        <f>HYPERLINK("http://www.eum.go.kr/web/ar/lu/luLandDet.jsp?pnu=4311325022107510000&amp;isNoScr=script&amp;mode=search", "토지이음")</f>
        <v/>
      </c>
      <c r="O1577" s="3" t="inlineStr">
        <is>
          <t>OK파라곤</t>
        </is>
      </c>
      <c r="P1577" s="4" t="n">
        <v>2</v>
      </c>
      <c r="Q1577" s="4" t="n">
        <v>535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완경사</t>
        </is>
      </c>
      <c r="U1577" s="3" t="inlineStr">
        <is>
          <t>가로장방</t>
        </is>
      </c>
      <c r="V1577" s="3" t="inlineStr">
        <is>
          <t>세로한면(가)</t>
        </is>
      </c>
    </row>
    <row r="1578">
      <c r="A1578" s="3" t="inlineStr">
        <is>
          <t>오송읍 상정리 751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29000</v>
      </c>
      <c r="G1578" s="4" t="n">
        <v>535</v>
      </c>
      <c r="H1578" s="4" t="n">
        <v>162</v>
      </c>
      <c r="I1578" s="5" t="n">
        <v>179</v>
      </c>
      <c r="J1578" s="5" t="n">
        <v>80.09999999999999</v>
      </c>
      <c r="K1578" s="3" t="inlineStr">
        <is>
          <t>오송의 1산단 인접지.식약처등 국책기관과 바이오 기관 인접지</t>
        </is>
      </c>
      <c r="L1578" s="6">
        <f>HYPERLINK("https://fin.land.naver.com/articles/2651657266", "매물Link")</f>
        <v/>
      </c>
      <c r="M1578" s="6">
        <f>HYPERLINK("https://map.naver.com/p/search/오송읍 상정리 751", "지도Link")</f>
        <v/>
      </c>
      <c r="N1578" s="6">
        <f>HYPERLINK("http://www.eum.go.kr/web/ar/lu/luLandDet.jsp?pnu=4311325022107510000&amp;isNoScr=script&amp;mode=search", "토지이음")</f>
        <v/>
      </c>
      <c r="O1578" s="3" t="inlineStr">
        <is>
          <t>하나로</t>
        </is>
      </c>
      <c r="P1578" s="4" t="n">
        <v>1</v>
      </c>
      <c r="Q1578" s="4" t="n">
        <v>535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완경사</t>
        </is>
      </c>
      <c r="U1578" s="3" t="inlineStr">
        <is>
          <t>가로장방</t>
        </is>
      </c>
      <c r="V1578" s="3" t="inlineStr">
        <is>
          <t>세로한면(가)</t>
        </is>
      </c>
    </row>
    <row r="1579">
      <c r="A1579" s="3" t="inlineStr">
        <is>
          <t>오송읍 상정리 79</t>
        </is>
      </c>
      <c r="B1579" s="3" t="inlineStr">
        <is>
          <t>생산관리지역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32000</v>
      </c>
      <c r="G1579" s="4" t="n">
        <v>2383</v>
      </c>
      <c r="H1579" s="4" t="n">
        <v>721</v>
      </c>
      <c r="I1579" s="5" t="n">
        <v>44.4</v>
      </c>
      <c r="J1579" s="5" t="n">
        <v>18</v>
      </c>
      <c r="K1579" s="3" t="inlineStr">
        <is>
          <t>여유를 만끽할 수 있는 토지,  인근전원주택지 개발된 오송화장품 산단 옆</t>
        </is>
      </c>
      <c r="L1579" s="6">
        <f>HYPERLINK("https://fin.land.naver.com/articles/2649495113", "매물Link")</f>
        <v/>
      </c>
      <c r="M1579" s="6">
        <f>HYPERLINK("https://map.naver.com/p/search/오송읍 상정리 79", "지도Link")</f>
        <v/>
      </c>
      <c r="N1579" s="6">
        <f>HYPERLINK("http://www.eum.go.kr/web/ar/lu/luLandDet.jsp?pnu=4311325022100790000&amp;isNoScr=script&amp;mode=search", "토지이음")</f>
        <v/>
      </c>
      <c r="O1579" s="3" t="inlineStr">
        <is>
          <t>OK파라곤</t>
        </is>
      </c>
      <c r="P1579" s="4" t="n">
        <v>1</v>
      </c>
      <c r="Q1579" s="4" t="n">
        <v>2383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세로한면(불)</t>
        </is>
      </c>
    </row>
    <row r="1580">
      <c r="A1580" s="3" t="inlineStr">
        <is>
          <t>오송읍 상정리 산55-3</t>
        </is>
      </c>
      <c r="B1580" s="3" t="inlineStr">
        <is>
          <t>보전관리지역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30000</v>
      </c>
      <c r="G1580" s="4" t="n">
        <v>555</v>
      </c>
      <c r="H1580" s="4" t="n">
        <v>168</v>
      </c>
      <c r="I1580" s="5" t="n">
        <v>178.6</v>
      </c>
      <c r="J1580" s="5" t="n">
        <v>78.3</v>
      </c>
      <c r="K1580" s="3" t="inlineStr">
        <is>
          <t>도심과 가까운 마당있는 전원주택 짓기 딱 좋은땅.추천매물</t>
        </is>
      </c>
      <c r="L1580" s="6">
        <f>HYPERLINK("https://fin.land.naver.com/articles/2653493810", "매물Link")</f>
        <v/>
      </c>
      <c r="M1580" s="6">
        <f>HYPERLINK("https://map.naver.com/p/search/오송읍 상정리 산55-3", "지도Link")</f>
        <v/>
      </c>
      <c r="N1580" s="6">
        <f>HYPERLINK("http://www.eum.go.kr/web/ar/lu/luLandDet.jsp?pnu=4311325022200550003&amp;isNoScr=script&amp;mode=search", "토지이음")</f>
        <v/>
      </c>
      <c r="O1580" s="3" t="inlineStr">
        <is>
          <t>오송2단지창조</t>
        </is>
      </c>
      <c r="P1580" s="4" t="n">
        <v>2</v>
      </c>
      <c r="Q1580" s="4" t="n">
        <v>555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완경사</t>
        </is>
      </c>
      <c r="U1580" s="3" t="inlineStr">
        <is>
          <t>사다리형</t>
        </is>
      </c>
      <c r="V1580" s="3" t="inlineStr">
        <is>
          <t>세로한면(가)</t>
        </is>
      </c>
    </row>
    <row r="1581">
      <c r="A1581" s="3" t="inlineStr">
        <is>
          <t>오송읍 서평리 127</t>
        </is>
      </c>
      <c r="B1581" s="3" t="inlineStr">
        <is>
          <t>농림지역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153000</v>
      </c>
      <c r="G1581" s="4" t="n">
        <v>4225</v>
      </c>
      <c r="H1581" s="4" t="n">
        <v>1278</v>
      </c>
      <c r="I1581" s="5" t="n">
        <v>119.7</v>
      </c>
      <c r="J1581" s="5" t="n">
        <v>59.4</v>
      </c>
      <c r="K1581" s="3" t="inlineStr">
        <is>
          <t>오송제3국가산업단지 개발예정지 도로에 접한 토지</t>
        </is>
      </c>
      <c r="L1581" s="6">
        <f>HYPERLINK("https://fin.land.naver.com/articles/2655169475", "매물Link")</f>
        <v/>
      </c>
      <c r="M1581" s="6">
        <f>HYPERLINK("https://map.naver.com/p/search/오송읍 서평리 127", "지도Link")</f>
        <v/>
      </c>
      <c r="N1581" s="6">
        <f>HYPERLINK("http://www.eum.go.kr/web/ar/lu/luLandDet.jsp?pnu=4311325030101270000&amp;isNoScr=script&amp;mode=search", "토지이음")</f>
        <v/>
      </c>
      <c r="O1581" s="3" t="inlineStr">
        <is>
          <t>세종대박</t>
        </is>
      </c>
      <c r="P1581" s="4" t="n">
        <v>1</v>
      </c>
      <c r="Q1581" s="4" t="n">
        <v>4225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소로각지</t>
        </is>
      </c>
    </row>
    <row r="1582">
      <c r="A1582" s="3" t="inlineStr">
        <is>
          <t>오송읍 서평리 128</t>
        </is>
      </c>
      <c r="B1582" s="3" t="inlineStr">
        <is>
          <t>농림지역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144000</v>
      </c>
      <c r="G1582" s="4" t="n">
        <v>3967</v>
      </c>
      <c r="H1582" s="4" t="n">
        <v>1200</v>
      </c>
      <c r="I1582" s="5" t="n">
        <v>120</v>
      </c>
      <c r="J1582" s="5" t="n">
        <v>55.5</v>
      </c>
      <c r="K1582" s="3" t="inlineStr">
        <is>
          <t>오송 제3생명과학 국가산업단지 인접 2차선에 접한 접근성좋은 호재높은토지</t>
        </is>
      </c>
      <c r="L1582" s="6">
        <f>HYPERLINK("https://fin.land.naver.com/articles/2651386258", "매물Link")</f>
        <v/>
      </c>
      <c r="M1582" s="6">
        <f>HYPERLINK("https://map.naver.com/p/search/오송읍 서평리 128", "지도Link")</f>
        <v/>
      </c>
      <c r="N1582" s="6">
        <f>HYPERLINK("http://www.eum.go.kr/web/ar/lu/luLandDet.jsp?pnu=4311325030101280000&amp;isNoScr=script&amp;mode=search", "토지이음")</f>
        <v/>
      </c>
      <c r="O1582" s="3" t="inlineStr">
        <is>
          <t>명지</t>
        </is>
      </c>
      <c r="P1582" s="4" t="n">
        <v>1</v>
      </c>
      <c r="Q1582" s="4" t="n">
        <v>3967</v>
      </c>
      <c r="R1582" s="3" t="inlineStr">
        <is>
          <t>지정되지않음</t>
        </is>
      </c>
      <c r="S1582" s="3" t="inlineStr">
        <is>
          <t>답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오송읍 서평리 129</t>
        </is>
      </c>
      <c r="B1583" s="3" t="inlineStr">
        <is>
          <t>농림지역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170000</v>
      </c>
      <c r="G1583" s="4" t="n">
        <v>5088</v>
      </c>
      <c r="H1583" s="4" t="n">
        <v>1539</v>
      </c>
      <c r="I1583" s="5" t="n">
        <v>110.5</v>
      </c>
      <c r="J1583" s="5" t="n">
        <v>55.5</v>
      </c>
      <c r="K1583" s="3" t="inlineStr">
        <is>
          <t>오송 제3생명과학 국가산업단지 인근토지, 2차선도로에 접함,두필지,절충</t>
        </is>
      </c>
      <c r="L1583" s="6">
        <f>HYPERLINK("https://fin.land.naver.com/articles/2651207738", "매물Link")</f>
        <v/>
      </c>
      <c r="M1583" s="6">
        <f>HYPERLINK("https://map.naver.com/p/search/오송읍 서평리 129", "지도Link")</f>
        <v/>
      </c>
      <c r="N1583" s="6">
        <f>HYPERLINK("http://www.eum.go.kr/web/ar/lu/luLandDet.jsp?pnu=4311325030101290000&amp;isNoScr=script&amp;mode=search", "토지이음")</f>
        <v/>
      </c>
      <c r="O1583" s="3" t="inlineStr">
        <is>
          <t>금호무소</t>
        </is>
      </c>
      <c r="P1583" s="4" t="n">
        <v>1</v>
      </c>
      <c r="Q1583" s="4" t="n">
        <v>4116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오송읍 서평리 129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170000</v>
      </c>
      <c r="G1584" s="4" t="n">
        <v>5088</v>
      </c>
      <c r="H1584" s="4" t="n">
        <v>1539</v>
      </c>
      <c r="I1584" s="5" t="n">
        <v>110.5</v>
      </c>
      <c r="J1584" s="5" t="n">
        <v>55.5</v>
      </c>
      <c r="K1584" s="3" t="inlineStr">
        <is>
          <t>오송3산단 배후지 및 토지거래허가 해제로 지가 상승중인 유망 투자지역</t>
        </is>
      </c>
      <c r="L1584" s="6">
        <f>HYPERLINK("https://fin.land.naver.com/articles/2653326517", "매물Link")</f>
        <v/>
      </c>
      <c r="M1584" s="6">
        <f>HYPERLINK("https://map.naver.com/p/search/오송읍 서평리 129", "지도Link")</f>
        <v/>
      </c>
      <c r="N1584" s="6">
        <f>HYPERLINK("http://www.eum.go.kr/web/ar/lu/luLandDet.jsp?pnu=4311325030101290000&amp;isNoScr=script&amp;mode=search", "토지이음")</f>
        <v/>
      </c>
      <c r="O1584" s="3" t="inlineStr">
        <is>
          <t>청주모충사모1/2LH트릴로채명성</t>
        </is>
      </c>
      <c r="P1584" s="4" t="n">
        <v>1</v>
      </c>
      <c r="Q1584" s="4" t="n">
        <v>4116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오송읍 서평리 180-6</t>
        </is>
      </c>
      <c r="B1585" s="3" t="inlineStr">
        <is>
          <t>농림지역</t>
        </is>
      </c>
      <c r="C1585" s="3" t="inlineStr">
        <is>
          <t>창고용지</t>
        </is>
      </c>
      <c r="D1585" s="3" t="inlineStr">
        <is>
          <t>답</t>
        </is>
      </c>
      <c r="E1585" s="3" t="inlineStr">
        <is>
          <t>매매</t>
        </is>
      </c>
      <c r="F1585" s="4" t="n">
        <v>360000</v>
      </c>
      <c r="G1585" s="4" t="n">
        <v>2866</v>
      </c>
      <c r="H1585" s="4" t="n">
        <v>867</v>
      </c>
      <c r="I1585" s="5" t="n">
        <v>415.2</v>
      </c>
      <c r="J1585" s="5" t="n">
        <v>128.3</v>
      </c>
      <c r="K1585" s="3" t="inlineStr">
        <is>
          <t>매물 특징</t>
        </is>
      </c>
      <c r="L1585" s="6">
        <f>HYPERLINK("https://fin.land.naver.com/articles/2653143304", "매물Link")</f>
        <v/>
      </c>
      <c r="M1585" s="6">
        <f>HYPERLINK("https://map.naver.com/p/search/오송읍 서평리 180-6", "지도Link")</f>
        <v/>
      </c>
      <c r="N1585" s="6">
        <f>HYPERLINK("http://www.eum.go.kr/web/ar/lu/luLandDet.jsp?pnu=4311325030101800006&amp;isNoScr=script&amp;mode=search", "토지이음")</f>
        <v/>
      </c>
      <c r="O1585" s="3" t="inlineStr">
        <is>
          <t>오송궁평마을</t>
        </is>
      </c>
      <c r="P1585" s="4" t="n">
        <v>1</v>
      </c>
      <c r="Q1585" s="4" t="n">
        <v>769</v>
      </c>
      <c r="R1585" s="3" t="inlineStr">
        <is>
          <t>지정되지않음</t>
        </is>
      </c>
      <c r="S1585" s="3" t="inlineStr">
        <is>
          <t>답창고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광대로한면</t>
        </is>
      </c>
    </row>
    <row r="1586">
      <c r="A1586" s="3" t="inlineStr">
        <is>
          <t>오송읍 서평리 180-6</t>
        </is>
      </c>
      <c r="B1586" s="3" t="inlineStr">
        <is>
          <t>농림지역</t>
        </is>
      </c>
      <c r="C1586" s="3" t="inlineStr">
        <is>
          <t>창고용지</t>
        </is>
      </c>
      <c r="D1586" s="3" t="inlineStr">
        <is>
          <t>창고용지</t>
        </is>
      </c>
      <c r="E1586" s="3" t="inlineStr">
        <is>
          <t>매매</t>
        </is>
      </c>
      <c r="F1586" s="4" t="n">
        <v>360000</v>
      </c>
      <c r="G1586" s="4" t="n">
        <v>2866</v>
      </c>
      <c r="H1586" s="4" t="n">
        <v>867</v>
      </c>
      <c r="I1586" s="5" t="n">
        <v>415.2</v>
      </c>
      <c r="J1586" s="5" t="n">
        <v>128.3</v>
      </c>
      <c r="K1586" s="3" t="inlineStr">
        <is>
          <t>nan</t>
        </is>
      </c>
      <c r="L1586" s="6">
        <f>HYPERLINK("https://fin.land.naver.com/articles/2650862822", "매물Link")</f>
        <v/>
      </c>
      <c r="M1586" s="6">
        <f>HYPERLINK("https://map.naver.com/p/search/오송읍 서평리 180-6", "지도Link")</f>
        <v/>
      </c>
      <c r="N1586" s="6">
        <f>HYPERLINK("http://www.eum.go.kr/web/ar/lu/luLandDet.jsp?pnu=4311325030101800006&amp;isNoScr=script&amp;mode=search", "토지이음")</f>
        <v/>
      </c>
      <c r="O1586" s="3" t="inlineStr">
        <is>
          <t>프로</t>
        </is>
      </c>
      <c r="P1586" s="4" t="n">
        <v>1</v>
      </c>
      <c r="Q1586" s="4" t="n">
        <v>769</v>
      </c>
      <c r="R1586" s="3" t="inlineStr">
        <is>
          <t>지정되지않음</t>
        </is>
      </c>
      <c r="S1586" s="3" t="inlineStr">
        <is>
          <t>답창고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광대로한면</t>
        </is>
      </c>
    </row>
    <row r="1587">
      <c r="A1587" s="3" t="inlineStr">
        <is>
          <t>오송읍 서평리 183-2</t>
        </is>
      </c>
      <c r="B1587" s="3" t="inlineStr">
        <is>
          <t>농림지역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115000</v>
      </c>
      <c r="G1587" s="4" t="n">
        <v>3977</v>
      </c>
      <c r="H1587" s="4" t="n">
        <v>1203</v>
      </c>
      <c r="I1587" s="5" t="n">
        <v>95.59999999999999</v>
      </c>
      <c r="J1587" s="5" t="n">
        <v>51.4</v>
      </c>
      <c r="K1587" s="3" t="inlineStr">
        <is>
          <t>3산단 인근물건중 단연  최고의 위치,가격, 투자 추천물건</t>
        </is>
      </c>
      <c r="L1587" s="6">
        <f>HYPERLINK("https://fin.land.naver.com/articles/2652104069", "매물Link")</f>
        <v/>
      </c>
      <c r="M1587" s="6">
        <f>HYPERLINK("https://map.naver.com/p/search/오송읍 서평리 183-2", "지도Link")</f>
        <v/>
      </c>
      <c r="N1587" s="6">
        <f>HYPERLINK("http://www.eum.go.kr/web/ar/lu/luLandDet.jsp?pnu=4311325030101830002&amp;isNoScr=script&amp;mode=search", "토지이음")</f>
        <v/>
      </c>
      <c r="O1587" s="3" t="inlineStr">
        <is>
          <t>오송k랜드</t>
        </is>
      </c>
      <c r="P1587" s="4" t="n">
        <v>1</v>
      </c>
      <c r="Q1587" s="4" t="n">
        <v>3977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세로한면(가)</t>
        </is>
      </c>
    </row>
    <row r="1588">
      <c r="A1588" s="3" t="inlineStr">
        <is>
          <t>오송읍 서평리 194-2</t>
        </is>
      </c>
      <c r="B1588" s="3" t="inlineStr">
        <is>
          <t>농림지역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100000</v>
      </c>
      <c r="G1588" s="4" t="n">
        <v>2182</v>
      </c>
      <c r="H1588" s="4" t="n">
        <v>660</v>
      </c>
      <c r="I1588" s="5" t="n">
        <v>151.5</v>
      </c>
      <c r="J1588" s="5" t="n">
        <v>54.7</v>
      </c>
      <c r="K1588" s="3" t="inlineStr">
        <is>
          <t>복숭아등 과일 노상 판매장용도 추천</t>
        </is>
      </c>
      <c r="L1588" s="6">
        <f>HYPERLINK("https://fin.land.naver.com/articles/2649950268", "매물Link")</f>
        <v/>
      </c>
      <c r="M1588" s="6">
        <f>HYPERLINK("https://map.naver.com/p/search/오송읍 서평리 194-2", "지도Link")</f>
        <v/>
      </c>
      <c r="N1588" s="6">
        <f>HYPERLINK("http://www.eum.go.kr/web/ar/lu/luLandDet.jsp?pnu=4311325030101940002&amp;isNoScr=script&amp;mode=search", "토지이음")</f>
        <v/>
      </c>
      <c r="O1588" s="3" t="inlineStr">
        <is>
          <t>오송k랜드</t>
        </is>
      </c>
      <c r="P1588" s="4" t="n">
        <v>1</v>
      </c>
      <c r="Q1588" s="4" t="n">
        <v>2182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오송읍 서평리 196-3</t>
        </is>
      </c>
      <c r="B1589" s="3" t="inlineStr">
        <is>
          <t>농림지역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86100</v>
      </c>
      <c r="G1589" s="4" t="n">
        <v>2033</v>
      </c>
      <c r="H1589" s="4" t="n">
        <v>615</v>
      </c>
      <c r="I1589" s="5" t="n">
        <v>140</v>
      </c>
      <c r="J1589" s="5" t="n">
        <v>54.7</v>
      </c>
      <c r="K1589" s="3" t="inlineStr">
        <is>
          <t>오송제3산업단지인근 도로접한 토지</t>
        </is>
      </c>
      <c r="L1589" s="6">
        <f>HYPERLINK("https://fin.land.naver.com/articles/2655086091", "매물Link")</f>
        <v/>
      </c>
      <c r="M1589" s="6">
        <f>HYPERLINK("https://map.naver.com/p/search/오송읍 서평리 196-3", "지도Link")</f>
        <v/>
      </c>
      <c r="N1589" s="6">
        <f>HYPERLINK("http://www.eum.go.kr/web/ar/lu/luLandDet.jsp?pnu=4311325030101960003&amp;isNoScr=script&amp;mode=search", "토지이음")</f>
        <v/>
      </c>
      <c r="O1589" s="3" t="inlineStr">
        <is>
          <t>세종대박</t>
        </is>
      </c>
      <c r="P1589" s="4" t="n">
        <v>2</v>
      </c>
      <c r="Q1589" s="4" t="n">
        <v>2033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소로한면</t>
        </is>
      </c>
    </row>
    <row r="1590">
      <c r="A1590" s="3" t="inlineStr">
        <is>
          <t>오송읍 서평리 210-1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44700</v>
      </c>
      <c r="G1590" s="4" t="n">
        <v>1477</v>
      </c>
      <c r="H1590" s="4" t="n">
        <v>447</v>
      </c>
      <c r="I1590" s="5" t="n">
        <v>100</v>
      </c>
      <c r="J1590" s="5" t="n">
        <v>54.7</v>
      </c>
      <c r="K1590" s="3" t="inlineStr">
        <is>
          <t>nan</t>
        </is>
      </c>
      <c r="L1590" s="6">
        <f>HYPERLINK("https://fin.land.naver.com/articles/2653731006", "매물Link")</f>
        <v/>
      </c>
      <c r="M1590" s="6">
        <f>HYPERLINK("https://map.naver.com/p/search/오송읍 서평리 210-1", "지도Link")</f>
        <v/>
      </c>
      <c r="N1590" s="6">
        <f>HYPERLINK("http://www.eum.go.kr/web/ar/lu/luLandDet.jsp?pnu=4311325030102100001&amp;isNoScr=script&amp;mode=search", "토지이음")</f>
        <v/>
      </c>
      <c r="O1590" s="3" t="inlineStr">
        <is>
          <t>세종큰길</t>
        </is>
      </c>
      <c r="P1590" s="4" t="n">
        <v>1</v>
      </c>
      <c r="Q1590" s="4" t="n">
        <v>1373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오송읍 서평리 214-10</t>
        </is>
      </c>
      <c r="B1591" s="3" t="inlineStr">
        <is>
          <t>농림지역</t>
        </is>
      </c>
      <c r="C1591" s="3" t="inlineStr">
        <is>
          <t>과수원</t>
        </is>
      </c>
      <c r="D1591" s="3" t="inlineStr">
        <is>
          <t>과수원</t>
        </is>
      </c>
      <c r="E1591" s="3" t="inlineStr">
        <is>
          <t>매매</t>
        </is>
      </c>
      <c r="F1591" s="4" t="n">
        <v>198720</v>
      </c>
      <c r="G1591" s="4" t="n">
        <v>4564</v>
      </c>
      <c r="H1591" s="4" t="n">
        <v>1381</v>
      </c>
      <c r="I1591" s="5" t="n">
        <v>143.9</v>
      </c>
      <c r="J1591" s="5" t="n">
        <v>54.7</v>
      </c>
      <c r="K1591" s="3" t="inlineStr">
        <is>
          <t>오송3산단 배후지, 토지거래허가 해제로 대토용지로 지가상승 유망 투자지역</t>
        </is>
      </c>
      <c r="L1591" s="6">
        <f>HYPERLINK("https://fin.land.naver.com/articles/2650412996", "매물Link")</f>
        <v/>
      </c>
      <c r="M1591" s="6">
        <f>HYPERLINK("https://map.naver.com/p/search/오송읍 서평리 214-10", "지도Link")</f>
        <v/>
      </c>
      <c r="N1591" s="6">
        <f>HYPERLINK("http://www.eum.go.kr/web/ar/lu/luLandDet.jsp?pnu=4311325030102140010&amp;isNoScr=script&amp;mode=search", "토지이음")</f>
        <v/>
      </c>
      <c r="O1591" s="3" t="inlineStr">
        <is>
          <t>청주모충사모1/2LH트릴로채명성</t>
        </is>
      </c>
      <c r="P1591" s="4" t="n">
        <v>1</v>
      </c>
      <c r="Q1591" s="4" t="n">
        <v>4213</v>
      </c>
      <c r="R1591" s="3" t="inlineStr">
        <is>
          <t>지정되지않음</t>
        </is>
      </c>
      <c r="S1591" s="3" t="inlineStr">
        <is>
          <t>과수원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오송읍 서평리 214-4</t>
        </is>
      </c>
      <c r="B1592" s="3" t="inlineStr">
        <is>
          <t>농림지역</t>
        </is>
      </c>
      <c r="C1592" s="3" t="inlineStr">
        <is>
          <t>전</t>
        </is>
      </c>
      <c r="D1592" s="3" t="inlineStr">
        <is>
          <t>과수원</t>
        </is>
      </c>
      <c r="E1592" s="3" t="inlineStr">
        <is>
          <t>매매</t>
        </is>
      </c>
      <c r="F1592" s="4" t="n">
        <v>122000</v>
      </c>
      <c r="G1592" s="4" t="n">
        <v>3080</v>
      </c>
      <c r="H1592" s="4" t="n">
        <v>932</v>
      </c>
      <c r="I1592" s="5" t="n">
        <v>130.9</v>
      </c>
      <c r="J1592" s="5" t="n">
        <v>54.7</v>
      </c>
      <c r="K1592" s="3" t="inlineStr">
        <is>
          <t>2차선 도로접한 토지</t>
        </is>
      </c>
      <c r="L1592" s="6">
        <f>HYPERLINK("https://fin.land.naver.com/articles/2650856660", "매물Link")</f>
        <v/>
      </c>
      <c r="M1592" s="6">
        <f>HYPERLINK("https://map.naver.com/p/search/오송읍 서평리 214-4", "지도Link")</f>
        <v/>
      </c>
      <c r="N1592" s="6">
        <f>HYPERLINK("http://www.eum.go.kr/web/ar/lu/luLandDet.jsp?pnu=4311325030102140004&amp;isNoScr=script&amp;mode=search", "토지이음")</f>
        <v/>
      </c>
      <c r="O1592" s="3" t="inlineStr">
        <is>
          <t>세종대박</t>
        </is>
      </c>
      <c r="P1592" s="4" t="n">
        <v>1</v>
      </c>
      <c r="Q1592" s="4" t="n">
        <v>3080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세로장방</t>
        </is>
      </c>
      <c r="V1592" s="3" t="inlineStr">
        <is>
          <t>소로한면</t>
        </is>
      </c>
    </row>
    <row r="1593">
      <c r="A1593" s="3" t="inlineStr">
        <is>
          <t>오송읍 서평리 281-1</t>
        </is>
      </c>
      <c r="B1593" s="3" t="inlineStr">
        <is>
          <t>농림지역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105000</v>
      </c>
      <c r="G1593" s="4" t="n">
        <v>2827</v>
      </c>
      <c r="H1593" s="4" t="n">
        <v>855</v>
      </c>
      <c r="I1593" s="5" t="n">
        <v>122.8</v>
      </c>
      <c r="J1593" s="5" t="n">
        <v>29.5</v>
      </c>
      <c r="K1593" s="3" t="inlineStr">
        <is>
          <t>하우스시설이 완비된 토지,주변 토지와 일괄 매매</t>
        </is>
      </c>
      <c r="L1593" s="6">
        <f>HYPERLINK("https://fin.land.naver.com/articles/2653865751", "매물Link")</f>
        <v/>
      </c>
      <c r="M1593" s="6">
        <f>HYPERLINK("https://map.naver.com/p/search/오송읍 서평리 281-1", "지도Link")</f>
        <v/>
      </c>
      <c r="N1593" s="6">
        <f>HYPERLINK("http://www.eum.go.kr/web/ar/lu/luLandDet.jsp?pnu=4311325030102810001&amp;isNoScr=script&amp;mode=search", "토지이음")</f>
        <v/>
      </c>
      <c r="O1593" s="3" t="inlineStr">
        <is>
          <t>오송2단지창조</t>
        </is>
      </c>
      <c r="P1593" s="4" t="n">
        <v>1</v>
      </c>
      <c r="Q1593" s="4" t="n">
        <v>2827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서평리 296-4</t>
        </is>
      </c>
      <c r="B1594" s="3" t="inlineStr">
        <is>
          <t>농림지역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42000</v>
      </c>
      <c r="G1594" s="4" t="n">
        <v>2340</v>
      </c>
      <c r="H1594" s="4" t="n">
        <v>708</v>
      </c>
      <c r="I1594" s="5" t="n">
        <v>59.3</v>
      </c>
      <c r="J1594" s="5" t="n">
        <v>29.5</v>
      </c>
      <c r="K1594" s="3" t="inlineStr">
        <is>
          <t>오송3산업단지 공용수용지 인근가격대비 최적의 대토 투자용 토지임</t>
        </is>
      </c>
      <c r="L1594" s="6">
        <f>HYPERLINK("https://fin.land.naver.com/articles/2652103543", "매물Link")</f>
        <v/>
      </c>
      <c r="M1594" s="6">
        <f>HYPERLINK("https://map.naver.com/p/search/오송읍 서평리 296-4", "지도Link")</f>
        <v/>
      </c>
      <c r="N1594" s="6">
        <f>HYPERLINK("http://www.eum.go.kr/web/ar/lu/luLandDet.jsp?pnu=4311325030102960004&amp;isNoScr=script&amp;mode=search", "토지이음")</f>
        <v/>
      </c>
      <c r="O1594" s="3" t="inlineStr">
        <is>
          <t>오송k랜드</t>
        </is>
      </c>
      <c r="P1594" s="4" t="n">
        <v>1</v>
      </c>
      <c r="Q1594" s="4" t="n">
        <v>2340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세로한면(가)</t>
        </is>
      </c>
    </row>
    <row r="1595">
      <c r="A1595" s="3" t="inlineStr">
        <is>
          <t>오송읍 서평리 356</t>
        </is>
      </c>
      <c r="B1595" s="3" t="inlineStr">
        <is>
          <t>농림지역</t>
        </is>
      </c>
      <c r="C1595" s="3" t="inlineStr">
        <is>
          <t>창고용지</t>
        </is>
      </c>
      <c r="D1595" s="3" t="inlineStr">
        <is>
          <t>답</t>
        </is>
      </c>
      <c r="E1595" s="3" t="inlineStr">
        <is>
          <t>매매</t>
        </is>
      </c>
      <c r="F1595" s="4" t="n">
        <v>110000</v>
      </c>
      <c r="G1595" s="4" t="n">
        <v>2423</v>
      </c>
      <c r="H1595" s="4" t="n">
        <v>733</v>
      </c>
      <c r="I1595" s="5" t="n">
        <v>150.1</v>
      </c>
      <c r="J1595" s="5" t="n">
        <v>49.6</v>
      </c>
      <c r="K1595" s="3" t="inlineStr">
        <is>
          <t>2차선도로접한3필지일괄매매,창고는 현재 임대중,그리고 복숭아밭으로이용중</t>
        </is>
      </c>
      <c r="L1595" s="6">
        <f>HYPERLINK("https://fin.land.naver.com/articles/2652138120", "매물Link")</f>
        <v/>
      </c>
      <c r="M1595" s="6">
        <f>HYPERLINK("https://map.naver.com/p/search/오송읍 서평리 356", "지도Link")</f>
        <v/>
      </c>
      <c r="N1595" s="6">
        <f>HYPERLINK("http://www.eum.go.kr/web/ar/lu/luLandDet.jsp?pnu=4311325030103560000&amp;isNoScr=script&amp;mode=search", "토지이음")</f>
        <v/>
      </c>
      <c r="O1595" s="3" t="inlineStr">
        <is>
          <t>담뜰</t>
        </is>
      </c>
      <c r="P1595" s="4" t="n">
        <v>1</v>
      </c>
      <c r="Q1595" s="4" t="n">
        <v>900</v>
      </c>
      <c r="R1595" s="3" t="inlineStr">
        <is>
          <t>지정되지않음</t>
        </is>
      </c>
      <c r="S1595" s="3" t="inlineStr">
        <is>
          <t>답창고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소로한면</t>
        </is>
      </c>
    </row>
    <row r="1596">
      <c r="A1596" s="3" t="inlineStr">
        <is>
          <t>오송읍 서평리 356</t>
        </is>
      </c>
      <c r="B1596" s="3" t="inlineStr">
        <is>
          <t>농림지역</t>
        </is>
      </c>
      <c r="C1596" s="3" t="inlineStr">
        <is>
          <t>창고용지</t>
        </is>
      </c>
      <c r="D1596" s="3" t="inlineStr">
        <is>
          <t>창고용지</t>
        </is>
      </c>
      <c r="E1596" s="3" t="inlineStr">
        <is>
          <t>매매</t>
        </is>
      </c>
      <c r="F1596" s="4" t="n">
        <v>120000</v>
      </c>
      <c r="G1596" s="4" t="n">
        <v>2423</v>
      </c>
      <c r="H1596" s="4" t="n">
        <v>733</v>
      </c>
      <c r="I1596" s="5" t="n">
        <v>163.7</v>
      </c>
      <c r="J1596" s="5" t="n">
        <v>49.6</v>
      </c>
      <c r="K1596" s="3" t="inlineStr">
        <is>
          <t>오송제3산업단지 인근 2차선도로에 접한 창고 및 과수원 급매합니다</t>
        </is>
      </c>
      <c r="L1596" s="6">
        <f>HYPERLINK("https://fin.land.naver.com/articles/2653607197", "매물Link")</f>
        <v/>
      </c>
      <c r="M1596" s="6">
        <f>HYPERLINK("https://map.naver.com/p/search/오송읍 서평리 356", "지도Link")</f>
        <v/>
      </c>
      <c r="N1596" s="6">
        <f>HYPERLINK("http://www.eum.go.kr/web/ar/lu/luLandDet.jsp?pnu=4311325030103560000&amp;isNoScr=script&amp;mode=search", "토지이음")</f>
        <v/>
      </c>
      <c r="O1596" s="3" t="inlineStr">
        <is>
          <t>스마일세종</t>
        </is>
      </c>
      <c r="P1596" s="4" t="n">
        <v>3</v>
      </c>
      <c r="Q1596" s="4" t="n">
        <v>900</v>
      </c>
      <c r="R1596" s="3" t="inlineStr">
        <is>
          <t>지정되지않음</t>
        </is>
      </c>
      <c r="S1596" s="3" t="inlineStr">
        <is>
          <t>답창고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오송읍 서평리 381-8</t>
        </is>
      </c>
      <c r="B1597" s="3" t="inlineStr">
        <is>
          <t>생산관리지역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124000</v>
      </c>
      <c r="G1597" s="4" t="n">
        <v>4100</v>
      </c>
      <c r="H1597" s="4" t="n">
        <v>1240</v>
      </c>
      <c r="I1597" s="5" t="n">
        <v>100</v>
      </c>
      <c r="J1597" s="5" t="n">
        <v>39.1</v>
      </c>
      <c r="K1597" s="3" t="inlineStr">
        <is>
          <t>nan</t>
        </is>
      </c>
      <c r="L1597" s="6">
        <f>HYPERLINK("https://fin.land.naver.com/articles/2651729251", "매물Link")</f>
        <v/>
      </c>
      <c r="M1597" s="6">
        <f>HYPERLINK("https://map.naver.com/p/search/오송읍 서평리 381-8", "지도Link")</f>
        <v/>
      </c>
      <c r="N1597" s="6">
        <f>HYPERLINK("http://www.eum.go.kr/web/ar/lu/luLandDet.jsp?pnu=4311325030103810008&amp;isNoScr=script&amp;mode=search", "토지이음")</f>
        <v/>
      </c>
      <c r="O1597" s="3" t="inlineStr">
        <is>
          <t>세종땅전문</t>
        </is>
      </c>
      <c r="P1597" s="4" t="n">
        <v>1</v>
      </c>
      <c r="Q1597" s="4" t="n">
        <v>4100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세로한면(불)</t>
        </is>
      </c>
    </row>
    <row r="1598">
      <c r="A1598" s="3" t="inlineStr">
        <is>
          <t>오송읍 서평리 56-9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57400</v>
      </c>
      <c r="G1598" s="4" t="n">
        <v>542</v>
      </c>
      <c r="H1598" s="4" t="n">
        <v>164</v>
      </c>
      <c r="I1598" s="5" t="n">
        <v>350</v>
      </c>
      <c r="J1598" s="5" t="n">
        <v>195.9</v>
      </c>
      <c r="K1598" s="3" t="inlineStr">
        <is>
          <t>오송읍 서평리 주거개발진흥지구내 다가구 .상가.상가주택등 신축 추천</t>
        </is>
      </c>
      <c r="L1598" s="6">
        <f>HYPERLINK("https://fin.land.naver.com/articles/2655086997", "매물Link")</f>
        <v/>
      </c>
      <c r="M1598" s="6">
        <f>HYPERLINK("https://map.naver.com/p/search/오송읍 서평리 56-9", "지도Link")</f>
        <v/>
      </c>
      <c r="N1598" s="6">
        <f>HYPERLINK("http://www.eum.go.kr/web/ar/lu/luLandDet.jsp?pnu=4311325030100560009&amp;isNoScr=script&amp;mode=search", "토지이음")</f>
        <v/>
      </c>
      <c r="O1598" s="3" t="inlineStr">
        <is>
          <t>그린</t>
        </is>
      </c>
      <c r="P1598" s="4" t="n">
        <v>1</v>
      </c>
      <c r="Q1598" s="4" t="n">
        <v>542</v>
      </c>
      <c r="R1598" s="3" t="inlineStr">
        <is>
          <t>지정되지않음</t>
        </is>
      </c>
      <c r="S1598" s="3" t="inlineStr">
        <is>
          <t>주상기타</t>
        </is>
      </c>
      <c r="T1598" s="3" t="inlineStr">
        <is>
          <t>평지</t>
        </is>
      </c>
      <c r="U1598" s="3" t="inlineStr">
        <is>
          <t>부정형</t>
        </is>
      </c>
      <c r="V1598" s="3" t="inlineStr">
        <is>
          <t>중로한면</t>
        </is>
      </c>
    </row>
    <row r="1599">
      <c r="A1599" s="3" t="inlineStr">
        <is>
          <t>오송읍 서평리 664-97</t>
        </is>
      </c>
      <c r="B1599" s="3" t="inlineStr">
        <is>
          <t>농림지역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23000</v>
      </c>
      <c r="G1599" s="4" t="n">
        <v>591</v>
      </c>
      <c r="H1599" s="4" t="n">
        <v>179</v>
      </c>
      <c r="I1599" s="5" t="n">
        <v>128.5</v>
      </c>
      <c r="J1599" s="5" t="n">
        <v>38</v>
      </c>
      <c r="K1599" s="3" t="inlineStr">
        <is>
          <t>도로접한 토지</t>
        </is>
      </c>
      <c r="L1599" s="6">
        <f>HYPERLINK("https://fin.land.naver.com/articles/2650856659", "매물Link")</f>
        <v/>
      </c>
      <c r="M1599" s="6">
        <f>HYPERLINK("https://map.naver.com/p/search/오송읍 서평리 664-97", "지도Link")</f>
        <v/>
      </c>
      <c r="N1599" s="6">
        <f>HYPERLINK("http://www.eum.go.kr/web/ar/lu/luLandDet.jsp?pnu=4311325030106640097&amp;isNoScr=script&amp;mode=search", "토지이음")</f>
        <v/>
      </c>
      <c r="O1599" s="3" t="inlineStr">
        <is>
          <t>세종대박</t>
        </is>
      </c>
      <c r="P1599" s="4" t="n">
        <v>1</v>
      </c>
      <c r="Q1599" s="4" t="n">
        <v>591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오송읍 서평리 80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대</t>
        </is>
      </c>
      <c r="E1600" s="3" t="inlineStr">
        <is>
          <t>매매</t>
        </is>
      </c>
      <c r="F1600" s="4" t="n">
        <v>100000</v>
      </c>
      <c r="G1600" s="4" t="n">
        <v>4548</v>
      </c>
      <c r="H1600" s="4" t="n">
        <v>1376</v>
      </c>
      <c r="I1600" s="5" t="n">
        <v>72.7</v>
      </c>
      <c r="J1600" s="5" t="n">
        <v>36.9</v>
      </c>
      <c r="K1600" s="3" t="inlineStr">
        <is>
          <t>nan</t>
        </is>
      </c>
      <c r="L1600" s="6">
        <f>HYPERLINK("https://fin.land.naver.com/articles/2654025226", "매물Link")</f>
        <v/>
      </c>
      <c r="M1600" s="6">
        <f>HYPERLINK("https://map.naver.com/p/search/오송읍 서평리 80", "지도Link")</f>
        <v/>
      </c>
      <c r="N1600" s="6">
        <f>HYPERLINK("http://www.eum.go.kr/web/ar/lu/luLandDet.jsp?pnu=4311325030100800000&amp;isNoScr=script&amp;mode=search", "토지이음")</f>
        <v/>
      </c>
      <c r="O1600" s="3" t="inlineStr">
        <is>
          <t>오송랜드</t>
        </is>
      </c>
      <c r="P1600" s="4" t="n">
        <v>1</v>
      </c>
      <c r="Q1600" s="4" t="n">
        <v>3848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세로한면(가)</t>
        </is>
      </c>
    </row>
    <row r="1601">
      <c r="A1601" s="3" t="inlineStr">
        <is>
          <t>오송읍 서평리 88-1</t>
        </is>
      </c>
      <c r="B1601" s="3" t="inlineStr">
        <is>
          <t>농림지역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39000</v>
      </c>
      <c r="G1601" s="4" t="n">
        <v>1289</v>
      </c>
      <c r="H1601" s="4" t="n">
        <v>390</v>
      </c>
      <c r="I1601" s="5" t="n">
        <v>100</v>
      </c>
      <c r="J1601" s="5" t="n">
        <v>38.8</v>
      </c>
      <c r="K1601" s="3" t="inlineStr">
        <is>
          <t>농사짓기 좋은 우량 농지 매매</t>
        </is>
      </c>
      <c r="L1601" s="6">
        <f>HYPERLINK("https://fin.land.naver.com/articles/2655174151", "매물Link")</f>
        <v/>
      </c>
      <c r="M1601" s="6">
        <f>HYPERLINK("https://map.naver.com/p/search/오송읍 서평리 88-1", "지도Link")</f>
        <v/>
      </c>
      <c r="N1601" s="6">
        <f>HYPERLINK("http://www.eum.go.kr/web/ar/lu/luLandDet.jsp?pnu=4311325030100880001&amp;isNoScr=script&amp;mode=search", "토지이음")</f>
        <v/>
      </c>
      <c r="O1601" s="3" t="inlineStr">
        <is>
          <t>오송2단지창조</t>
        </is>
      </c>
      <c r="P1601" s="4" t="n">
        <v>1</v>
      </c>
      <c r="Q1601" s="4" t="n">
        <v>1289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세로각지(가)</t>
        </is>
      </c>
    </row>
    <row r="1602">
      <c r="A1602" s="3" t="inlineStr">
        <is>
          <t>오송읍 서평리 88-2</t>
        </is>
      </c>
      <c r="B1602" s="3" t="inlineStr">
        <is>
          <t>농림지역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80700</v>
      </c>
      <c r="G1602" s="4" t="n">
        <v>2668</v>
      </c>
      <c r="H1602" s="4" t="n">
        <v>807</v>
      </c>
      <c r="I1602" s="5" t="n">
        <v>100</v>
      </c>
      <c r="J1602" s="5" t="n">
        <v>37.3</v>
      </c>
      <c r="K1602" s="3" t="inlineStr">
        <is>
          <t>경지정리 완료 농기계 진입 편리, 바로 농사 가능한 우량 농지 매매</t>
        </is>
      </c>
      <c r="L1602" s="6">
        <f>HYPERLINK("https://fin.land.naver.com/articles/2655173861", "매물Link")</f>
        <v/>
      </c>
      <c r="M1602" s="6">
        <f>HYPERLINK("https://map.naver.com/p/search/오송읍 서평리 88-2", "지도Link")</f>
        <v/>
      </c>
      <c r="N1602" s="6">
        <f>HYPERLINK("http://www.eum.go.kr/web/ar/lu/luLandDet.jsp?pnu=4311325030100880002&amp;isNoScr=script&amp;mode=search", "토지이음")</f>
        <v/>
      </c>
      <c r="O1602" s="3" t="inlineStr">
        <is>
          <t>오송2단지창조</t>
        </is>
      </c>
      <c r="P1602" s="4" t="n">
        <v>1</v>
      </c>
      <c r="Q1602" s="4" t="n">
        <v>2668</v>
      </c>
      <c r="R1602" s="3" t="inlineStr">
        <is>
          <t>지정되지않음</t>
        </is>
      </c>
      <c r="S1602" s="3" t="inlineStr">
        <is>
          <t>답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세로한면(가)</t>
        </is>
      </c>
    </row>
    <row r="1603">
      <c r="A1603" s="3" t="inlineStr">
        <is>
          <t>오송읍 서평리 94-2</t>
        </is>
      </c>
      <c r="B1603" s="3" t="inlineStr">
        <is>
          <t>농림지역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57300</v>
      </c>
      <c r="G1603" s="4" t="n">
        <v>1975</v>
      </c>
      <c r="H1603" s="4" t="n">
        <v>597</v>
      </c>
      <c r="I1603" s="5" t="n">
        <v>96</v>
      </c>
      <c r="J1603" s="5" t="n">
        <v>54.7</v>
      </c>
      <c r="K1603" s="3" t="inlineStr">
        <is>
          <t>오송제3산업단지(27.하반기 보상예정)인접하고 4차로 확장예정도로접함.</t>
        </is>
      </c>
      <c r="L1603" s="6">
        <f>HYPERLINK("https://fin.land.naver.com/articles/2650557460", "매물Link")</f>
        <v/>
      </c>
      <c r="M1603" s="6">
        <f>HYPERLINK("https://map.naver.com/p/search/오송읍 서평리 94-2", "지도Link")</f>
        <v/>
      </c>
      <c r="N1603" s="6">
        <f>HYPERLINK("http://www.eum.go.kr/web/ar/lu/luLandDet.jsp?pnu=4311325030100940002&amp;isNoScr=script&amp;mode=search", "토지이음")</f>
        <v/>
      </c>
      <c r="O1603" s="3" t="inlineStr">
        <is>
          <t>오송k랜드</t>
        </is>
      </c>
      <c r="P1603" s="4" t="n">
        <v>1</v>
      </c>
      <c r="Q1603" s="4" t="n">
        <v>1975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가로장방</t>
        </is>
      </c>
      <c r="V1603" s="3" t="inlineStr">
        <is>
          <t>소로한면</t>
        </is>
      </c>
    </row>
    <row r="1604">
      <c r="A1604" s="3" t="inlineStr">
        <is>
          <t>오송읍 쌍청리 107-1</t>
        </is>
      </c>
      <c r="B1604" s="3" t="inlineStr">
        <is>
          <t>계획관리지역</t>
        </is>
      </c>
      <c r="C1604" s="3" t="inlineStr">
        <is>
          <t>임야</t>
        </is>
      </c>
      <c r="D1604" s="3" t="inlineStr">
        <is>
          <t>임야</t>
        </is>
      </c>
      <c r="E1604" s="3" t="inlineStr">
        <is>
          <t>매매</t>
        </is>
      </c>
      <c r="F1604" s="4" t="n">
        <v>210000</v>
      </c>
      <c r="G1604" s="4" t="n">
        <v>7659</v>
      </c>
      <c r="H1604" s="4" t="n">
        <v>2317</v>
      </c>
      <c r="I1604" s="5" t="n">
        <v>90.59999999999999</v>
      </c>
      <c r="J1604" s="5" t="n">
        <v>23.8</v>
      </c>
      <c r="K1604" s="3" t="inlineStr">
        <is>
          <t>nan</t>
        </is>
      </c>
      <c r="L1604" s="6">
        <f>HYPERLINK("https://fin.land.naver.com/articles/2654622065", "매물Link")</f>
        <v/>
      </c>
      <c r="M1604" s="6">
        <f>HYPERLINK("https://map.naver.com/p/search/오송읍 쌍청리 107-1", "지도Link")</f>
        <v/>
      </c>
      <c r="N1604" s="6">
        <f>HYPERLINK("http://www.eum.go.kr/web/ar/lu/luLandDet.jsp?pnu=4311325024101070001&amp;isNoScr=script&amp;mode=search", "토지이음")</f>
        <v/>
      </c>
      <c r="O1604" s="3" t="inlineStr">
        <is>
          <t>프렌즈</t>
        </is>
      </c>
      <c r="P1604" s="4" t="n">
        <v>1</v>
      </c>
      <c r="Q1604" s="4" t="n">
        <v>4268</v>
      </c>
      <c r="R1604" s="3" t="inlineStr">
        <is>
          <t>지정되지않음</t>
        </is>
      </c>
      <c r="S1604" s="3" t="inlineStr">
        <is>
          <t>자연림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맹지</t>
        </is>
      </c>
    </row>
    <row r="1605">
      <c r="A1605" s="3" t="inlineStr">
        <is>
          <t>오송읍 쌍청리 108-1</t>
        </is>
      </c>
      <c r="B1605" s="3" t="inlineStr">
        <is>
          <t>계획관리지역</t>
        </is>
      </c>
      <c r="C1605" s="3" t="inlineStr">
        <is>
          <t>대</t>
        </is>
      </c>
      <c r="D1605" s="3" t="inlineStr">
        <is>
          <t>공장용지</t>
        </is>
      </c>
      <c r="E1605" s="3" t="inlineStr">
        <is>
          <t>매매</t>
        </is>
      </c>
      <c r="F1605" s="4" t="n">
        <v>145000</v>
      </c>
      <c r="G1605" s="4" t="n">
        <v>2382</v>
      </c>
      <c r="H1605" s="4" t="n">
        <v>721</v>
      </c>
      <c r="I1605" s="5" t="n">
        <v>201.1</v>
      </c>
      <c r="J1605" s="5" t="n">
        <v>70.09999999999999</v>
      </c>
      <c r="K1605" s="3" t="inlineStr">
        <is>
          <t>nan</t>
        </is>
      </c>
      <c r="L1605" s="6">
        <f>HYPERLINK("https://fin.land.naver.com/articles/2653729537", "매물Link")</f>
        <v/>
      </c>
      <c r="M1605" s="6">
        <f>HYPERLINK("https://map.naver.com/p/search/오송읍 쌍청리 108-1", "지도Link")</f>
        <v/>
      </c>
      <c r="N1605" s="6">
        <f>HYPERLINK("http://www.eum.go.kr/web/ar/lu/luLandDet.jsp?pnu=4311325024101080001&amp;isNoScr=script&amp;mode=search", "토지이음")</f>
        <v/>
      </c>
      <c r="O1605" s="3" t="inlineStr">
        <is>
          <t>세종큰길</t>
        </is>
      </c>
      <c r="P1605" s="4" t="n">
        <v>1</v>
      </c>
      <c r="Q1605" s="4" t="n">
        <v>456</v>
      </c>
      <c r="R1605" s="3" t="inlineStr">
        <is>
          <t>지정되지않음</t>
        </is>
      </c>
      <c r="S1605" s="3" t="inlineStr">
        <is>
          <t>공업용</t>
        </is>
      </c>
      <c r="T1605" s="3" t="inlineStr">
        <is>
          <t>평지</t>
        </is>
      </c>
      <c r="U1605" s="3" t="inlineStr">
        <is>
          <t>사다리형</t>
        </is>
      </c>
      <c r="V1605" s="3" t="inlineStr">
        <is>
          <t>세로한면(가)</t>
        </is>
      </c>
    </row>
    <row r="1606">
      <c r="A1606" s="3" t="inlineStr">
        <is>
          <t>오송읍 쌍청리 108-31</t>
        </is>
      </c>
      <c r="B1606" s="3" t="inlineStr">
        <is>
          <t>계획관리지역</t>
        </is>
      </c>
      <c r="C1606" s="3" t="inlineStr">
        <is>
          <t>공장용지</t>
        </is>
      </c>
      <c r="D1606" s="3" t="inlineStr">
        <is>
          <t>공장용지</t>
        </is>
      </c>
      <c r="E1606" s="3" t="inlineStr">
        <is>
          <t>매매</t>
        </is>
      </c>
      <c r="F1606" s="4" t="n">
        <v>30800</v>
      </c>
      <c r="G1606" s="4" t="n">
        <v>566</v>
      </c>
      <c r="H1606" s="4" t="n">
        <v>171</v>
      </c>
      <c r="I1606" s="5" t="n">
        <v>180.1</v>
      </c>
      <c r="J1606" s="5" t="n">
        <v>61</v>
      </c>
      <c r="K1606" s="3" t="inlineStr">
        <is>
          <t>접근성 좋은 토지,활용하기 좋은 토지 입니다</t>
        </is>
      </c>
      <c r="L1606" s="6">
        <f>HYPERLINK("https://fin.land.naver.com/articles/2652264870", "매물Link")</f>
        <v/>
      </c>
      <c r="M1606" s="6">
        <f>HYPERLINK("https://map.naver.com/p/search/오송읍 쌍청리 108-31", "지도Link")</f>
        <v/>
      </c>
      <c r="N1606" s="6">
        <f>HYPERLINK("http://www.eum.go.kr/web/ar/lu/luLandDet.jsp?pnu=4311325024101080031&amp;isNoScr=script&amp;mode=search", "토지이음")</f>
        <v/>
      </c>
      <c r="O1606" s="3" t="inlineStr">
        <is>
          <t>오송2단지창조</t>
        </is>
      </c>
      <c r="P1606" s="4" t="n">
        <v>1</v>
      </c>
      <c r="Q1606" s="4" t="n">
        <v>566</v>
      </c>
      <c r="R1606" s="3" t="inlineStr">
        <is>
          <t>지정되지않음</t>
        </is>
      </c>
      <c r="S1606" s="3" t="inlineStr">
        <is>
          <t>공업나지</t>
        </is>
      </c>
      <c r="T1606" s="3" t="inlineStr">
        <is>
          <t>완경사</t>
        </is>
      </c>
      <c r="U1606" s="3" t="inlineStr">
        <is>
          <t>사다리형</t>
        </is>
      </c>
      <c r="V1606" s="3" t="inlineStr">
        <is>
          <t>세로한면(가)</t>
        </is>
      </c>
    </row>
    <row r="1607">
      <c r="A1607" s="3" t="inlineStr">
        <is>
          <t>오송읍 쌍청리 117-16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100000</v>
      </c>
      <c r="G1607" s="4" t="n">
        <v>1701</v>
      </c>
      <c r="H1607" s="4" t="n">
        <v>515</v>
      </c>
      <c r="I1607" s="5" t="n">
        <v>194.2</v>
      </c>
      <c r="J1607" s="5" t="n">
        <v>59.3</v>
      </c>
      <c r="K1607" s="3" t="inlineStr">
        <is>
          <t>오송신도시의 계획관리지역으로 투자가치가 좋음</t>
        </is>
      </c>
      <c r="L1607" s="6">
        <f>HYPERLINK("https://fin.land.naver.com/articles/2653540623", "매물Link")</f>
        <v/>
      </c>
      <c r="M1607" s="6">
        <f>HYPERLINK("https://map.naver.com/p/search/오송읍 쌍청리 117-16", "지도Link")</f>
        <v/>
      </c>
      <c r="N1607" s="6">
        <f>HYPERLINK("http://www.eum.go.kr/web/ar/lu/luLandDet.jsp?pnu=4311325024101170016&amp;isNoScr=script&amp;mode=search", "토지이음")</f>
        <v/>
      </c>
      <c r="O1607" s="3" t="inlineStr">
        <is>
          <t>가람</t>
        </is>
      </c>
      <c r="P1607" s="4" t="n">
        <v>1</v>
      </c>
      <c r="Q1607" s="4" t="n">
        <v>1701</v>
      </c>
      <c r="R1607" s="3" t="inlineStr">
        <is>
          <t>지정되지않음</t>
        </is>
      </c>
      <c r="S1607" s="3" t="inlineStr">
        <is>
          <t>전기타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쌍청리 124-3</t>
        </is>
      </c>
      <c r="B1608" s="3" t="inlineStr">
        <is>
          <t>계획관리지역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23100</v>
      </c>
      <c r="G1608" s="4" t="n">
        <v>362</v>
      </c>
      <c r="H1608" s="4" t="n">
        <v>110</v>
      </c>
      <c r="I1608" s="5" t="n">
        <v>210</v>
      </c>
      <c r="J1608" s="5" t="n">
        <v>69</v>
      </c>
      <c r="K1608" s="3" t="inlineStr">
        <is>
          <t>오송 제1 생명과학단지 내주변 토지 매매</t>
        </is>
      </c>
      <c r="L1608" s="6">
        <f>HYPERLINK("https://fin.land.naver.com/articles/2654526681", "매물Link")</f>
        <v/>
      </c>
      <c r="M1608" s="6">
        <f>HYPERLINK("https://map.naver.com/p/search/오송읍 쌍청리 124-3", "지도Link")</f>
        <v/>
      </c>
      <c r="N1608" s="6">
        <f>HYPERLINK("http://www.eum.go.kr/web/ar/lu/luLandDet.jsp?pnu=4311325024101240003&amp;isNoScr=script&amp;mode=search", "토지이음")</f>
        <v/>
      </c>
      <c r="O1608" s="3" t="inlineStr">
        <is>
          <t>365</t>
        </is>
      </c>
      <c r="P1608" s="4" t="n">
        <v>1</v>
      </c>
      <c r="Q1608" s="4" t="n">
        <v>362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쌍청리 165-3</t>
        </is>
      </c>
      <c r="B1609" s="3" t="inlineStr">
        <is>
          <t>계획관리지역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53000</v>
      </c>
      <c r="G1609" s="4" t="n">
        <v>751</v>
      </c>
      <c r="H1609" s="4" t="n">
        <v>227</v>
      </c>
      <c r="I1609" s="5" t="n">
        <v>233.5</v>
      </c>
      <c r="J1609" s="5" t="n">
        <v>48.6</v>
      </c>
      <c r="K1609" s="3" t="inlineStr">
        <is>
          <t>매매. 임대. 2가지 선택지 임대 임차인 원하면 근린생활시설 신축</t>
        </is>
      </c>
      <c r="L1609" s="6">
        <f>HYPERLINK("https://fin.land.naver.com/articles/2651280466", "매물Link")</f>
        <v/>
      </c>
      <c r="M1609" s="6">
        <f>HYPERLINK("https://map.naver.com/p/search/오송읍 쌍청리 165-3", "지도Link")</f>
        <v/>
      </c>
      <c r="N1609" s="6">
        <f>HYPERLINK("http://www.eum.go.kr/web/ar/lu/luLandDet.jsp?pnu=4311325024101650003&amp;isNoScr=script&amp;mode=search", "토지이음")</f>
        <v/>
      </c>
      <c r="O1609" s="3" t="inlineStr">
        <is>
          <t>오송퍼스트영웅</t>
        </is>
      </c>
      <c r="P1609" s="4" t="n">
        <v>1</v>
      </c>
      <c r="Q1609" s="4" t="n">
        <v>751</v>
      </c>
      <c r="R1609" s="3" t="inlineStr">
        <is>
          <t>지정되지않음</t>
        </is>
      </c>
      <c r="S1609" s="3" t="inlineStr">
        <is>
          <t>전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세로한면(가)</t>
        </is>
      </c>
    </row>
    <row r="1610">
      <c r="A1610" s="3" t="inlineStr">
        <is>
          <t>오송읍 쌍청리 29-1</t>
        </is>
      </c>
      <c r="B1610" s="3" t="inlineStr">
        <is>
          <t>농림지역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2266</v>
      </c>
      <c r="H1610" s="4" t="n">
        <v>685</v>
      </c>
      <c r="I1610" s="5" t="n">
        <v>78.09999999999999</v>
      </c>
      <c r="J1610" s="5" t="n">
        <v>31.9</v>
      </c>
      <c r="K1610" s="3" t="inlineStr">
        <is>
          <t>대한제지 인근 오송역 근거리 농림지역 토지 급매  도로접함  대토에 적합</t>
        </is>
      </c>
      <c r="L1610" s="6">
        <f>HYPERLINK("https://fin.land.naver.com/articles/2654653082", "매물Link")</f>
        <v/>
      </c>
      <c r="M1610" s="6">
        <f>HYPERLINK("https://map.naver.com/p/search/오송읍 쌍청리 29-1", "지도Link")</f>
        <v/>
      </c>
      <c r="N1610" s="6">
        <f>HYPERLINK("http://www.eum.go.kr/web/ar/lu/luLandDet.jsp?pnu=4311325024100290001&amp;isNoScr=script&amp;mode=search", "토지이음")</f>
        <v/>
      </c>
      <c r="O1610" s="3" t="inlineStr">
        <is>
          <t>오송퍼스트영웅</t>
        </is>
      </c>
      <c r="P1610" s="4" t="n">
        <v>1</v>
      </c>
      <c r="Q1610" s="4" t="n">
        <v>2266</v>
      </c>
      <c r="R1610" s="3" t="inlineStr">
        <is>
          <t>지정되지않음</t>
        </is>
      </c>
      <c r="S1610" s="3" t="inlineStr">
        <is>
          <t>전</t>
        </is>
      </c>
      <c r="T1610" s="3" t="inlineStr">
        <is>
          <t>평지</t>
        </is>
      </c>
      <c r="U1610" s="3" t="inlineStr">
        <is>
          <t>세로장방</t>
        </is>
      </c>
      <c r="V1610" s="3" t="inlineStr">
        <is>
          <t>소로한면</t>
        </is>
      </c>
    </row>
    <row r="1611">
      <c r="A1611" s="3" t="inlineStr">
        <is>
          <t>오송읍 쌍청리 317-7</t>
        </is>
      </c>
      <c r="B1611" s="3" t="inlineStr">
        <is>
          <t>계획관리지역</t>
        </is>
      </c>
      <c r="C1611" s="3" t="inlineStr">
        <is>
          <t>전</t>
        </is>
      </c>
      <c r="D1611" s="3" t="inlineStr">
        <is>
          <t>전</t>
        </is>
      </c>
      <c r="E1611" s="3" t="inlineStr">
        <is>
          <t>매매</t>
        </is>
      </c>
      <c r="F1611" s="4" t="n">
        <v>118000</v>
      </c>
      <c r="G1611" s="4" t="n">
        <v>1297</v>
      </c>
      <c r="H1611" s="4" t="n">
        <v>392</v>
      </c>
      <c r="I1611" s="5" t="n">
        <v>301</v>
      </c>
      <c r="J1611" s="5" t="n">
        <v>111.3</v>
      </c>
      <c r="K1611" s="3" t="inlineStr">
        <is>
          <t>식약청인접한 2차선 지방도접 사옥부지 또는 근생 용지 추천물건</t>
        </is>
      </c>
      <c r="L1611" s="6">
        <f>HYPERLINK("https://fin.land.naver.com/articles/2654114599", "매물Link")</f>
        <v/>
      </c>
      <c r="M1611" s="6">
        <f>HYPERLINK("https://map.naver.com/p/search/오송읍 쌍청리 317-7", "지도Link")</f>
        <v/>
      </c>
      <c r="N1611" s="6">
        <f>HYPERLINK("http://www.eum.go.kr/web/ar/lu/luLandDet.jsp?pnu=4311325024103170007&amp;isNoScr=script&amp;mode=search", "토지이음")</f>
        <v/>
      </c>
      <c r="O1611" s="3" t="inlineStr">
        <is>
          <t>오송k랜드</t>
        </is>
      </c>
      <c r="P1611" s="4" t="n">
        <v>1</v>
      </c>
      <c r="Q1611" s="4" t="n">
        <v>441</v>
      </c>
      <c r="R1611" s="3" t="inlineStr">
        <is>
          <t>지정되지않음</t>
        </is>
      </c>
      <c r="S1611" s="3" t="inlineStr">
        <is>
          <t>전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소로한면</t>
        </is>
      </c>
    </row>
    <row r="1612">
      <c r="A1612" s="3" t="inlineStr">
        <is>
          <t>오송읍 쌍청리 429-4</t>
        </is>
      </c>
      <c r="B1612" s="3" t="inlineStr">
        <is>
          <t>농림지역</t>
        </is>
      </c>
      <c r="C1612" s="3" t="inlineStr">
        <is>
          <t>과수원</t>
        </is>
      </c>
      <c r="D1612" s="3" t="inlineStr">
        <is>
          <t>과수원</t>
        </is>
      </c>
      <c r="E1612" s="3" t="inlineStr">
        <is>
          <t>매매</t>
        </is>
      </c>
      <c r="F1612" s="4" t="n">
        <v>73800</v>
      </c>
      <c r="G1612" s="4" t="n">
        <v>2440</v>
      </c>
      <c r="H1612" s="4" t="n">
        <v>738</v>
      </c>
      <c r="I1612" s="5" t="n">
        <v>100</v>
      </c>
      <c r="J1612" s="5" t="n">
        <v>35.7</v>
      </c>
      <c r="K1612" s="3" t="inlineStr">
        <is>
          <t>꿀배 꿀사과 전용 과수원 정사각으로 예쁜땅 오송의 최적의 투자 요충지</t>
        </is>
      </c>
      <c r="L1612" s="6">
        <f>HYPERLINK("https://fin.land.naver.com/articles/2651743273", "매물Link")</f>
        <v/>
      </c>
      <c r="M1612" s="6">
        <f>HYPERLINK("https://map.naver.com/p/search/오송읍 쌍청리 429-4", "지도Link")</f>
        <v/>
      </c>
      <c r="N1612" s="6">
        <f>HYPERLINK("http://www.eum.go.kr/web/ar/lu/luLandDet.jsp?pnu=4311325024104290004&amp;isNoScr=script&amp;mode=search", "토지이음")</f>
        <v/>
      </c>
      <c r="O1612" s="3" t="inlineStr">
        <is>
          <t>대한</t>
        </is>
      </c>
      <c r="P1612" s="4" t="n">
        <v>1</v>
      </c>
      <c r="Q1612" s="4" t="n">
        <v>2440</v>
      </c>
      <c r="R1612" s="3" t="inlineStr">
        <is>
          <t>지정되지않음</t>
        </is>
      </c>
      <c r="S1612" s="3" t="inlineStr">
        <is>
          <t>과수원</t>
        </is>
      </c>
      <c r="T1612" s="3" t="inlineStr">
        <is>
          <t>평지</t>
        </is>
      </c>
      <c r="U1612" s="3" t="inlineStr">
        <is>
          <t>사다리형</t>
        </is>
      </c>
      <c r="V1612" s="3" t="inlineStr">
        <is>
          <t>세로한면(가)</t>
        </is>
      </c>
    </row>
    <row r="1613">
      <c r="A1613" s="3" t="inlineStr">
        <is>
          <t>오송읍 쌍청리 451-2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80000</v>
      </c>
      <c r="G1613" s="4" t="n">
        <v>3273</v>
      </c>
      <c r="H1613" s="4" t="n">
        <v>990</v>
      </c>
      <c r="I1613" s="5" t="n">
        <v>80.8</v>
      </c>
      <c r="J1613" s="5" t="n">
        <v>35.7</v>
      </c>
      <c r="K1613" s="3" t="inlineStr">
        <is>
          <t>투자가치있는 곳에 위치한 토지</t>
        </is>
      </c>
      <c r="L1613" s="6">
        <f>HYPERLINK("https://fin.land.naver.com/articles/2650865239", "매물Link")</f>
        <v/>
      </c>
      <c r="M1613" s="6">
        <f>HYPERLINK("https://map.naver.com/p/search/오송읍 쌍청리 451-2", "지도Link")</f>
        <v/>
      </c>
      <c r="N1613" s="6">
        <f>HYPERLINK("http://www.eum.go.kr/web/ar/lu/luLandDet.jsp?pnu=4311325024104510002&amp;isNoScr=script&amp;mode=search", "토지이음")</f>
        <v/>
      </c>
      <c r="O1613" s="3" t="inlineStr">
        <is>
          <t>굿모닝</t>
        </is>
      </c>
      <c r="P1613" s="4" t="n">
        <v>1</v>
      </c>
      <c r="Q1613" s="4" t="n">
        <v>3273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세로한면(가)</t>
        </is>
      </c>
    </row>
    <row r="1614">
      <c r="A1614" s="3" t="inlineStr">
        <is>
          <t>오송읍 쌍청리 454</t>
        </is>
      </c>
      <c r="B1614" s="3" t="inlineStr">
        <is>
          <t>농림지역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121200</v>
      </c>
      <c r="G1614" s="4" t="n">
        <v>4000</v>
      </c>
      <c r="H1614" s="4" t="n">
        <v>1210</v>
      </c>
      <c r="I1614" s="5" t="n">
        <v>100.2</v>
      </c>
      <c r="J1614" s="5" t="n">
        <v>35.7</v>
      </c>
      <c r="K1614" s="3" t="inlineStr">
        <is>
          <t>오송읍 쌍청리에 있는 토지로 현재 답으로 이용중임</t>
        </is>
      </c>
      <c r="L1614" s="6">
        <f>HYPERLINK("https://fin.land.naver.com/articles/2652419853", "매물Link")</f>
        <v/>
      </c>
      <c r="M1614" s="6">
        <f>HYPERLINK("https://map.naver.com/p/search/오송읍 쌍청리 454", "지도Link")</f>
        <v/>
      </c>
      <c r="N1614" s="6">
        <f>HYPERLINK("http://www.eum.go.kr/web/ar/lu/luLandDet.jsp?pnu=4311325024104540000&amp;isNoScr=script&amp;mode=search", "토지이음")</f>
        <v/>
      </c>
      <c r="O1614" s="3" t="inlineStr">
        <is>
          <t>산성</t>
        </is>
      </c>
      <c r="P1614" s="4" t="n">
        <v>1</v>
      </c>
      <c r="Q1614" s="4" t="n">
        <v>4000</v>
      </c>
      <c r="R1614" s="3" t="inlineStr">
        <is>
          <t>지정되지않음</t>
        </is>
      </c>
      <c r="S1614" s="3" t="inlineStr">
        <is>
          <t>답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세로한면(가)</t>
        </is>
      </c>
    </row>
    <row r="1615">
      <c r="A1615" s="3" t="inlineStr">
        <is>
          <t>오송읍 쌍청리 463</t>
        </is>
      </c>
      <c r="B1615" s="3" t="inlineStr">
        <is>
          <t>농림지역</t>
        </is>
      </c>
      <c r="C1615" s="3" t="inlineStr">
        <is>
          <t>과수원</t>
        </is>
      </c>
      <c r="D1615" s="3" t="inlineStr">
        <is>
          <t>과수원</t>
        </is>
      </c>
      <c r="E1615" s="3" t="inlineStr">
        <is>
          <t>매매</t>
        </is>
      </c>
      <c r="F1615" s="4" t="n">
        <v>105000</v>
      </c>
      <c r="G1615" s="4" t="n">
        <v>4182</v>
      </c>
      <c r="H1615" s="4" t="n">
        <v>1265</v>
      </c>
      <c r="I1615" s="5" t="n">
        <v>83</v>
      </c>
      <c r="J1615" s="5" t="n">
        <v>35.7</v>
      </c>
      <c r="K1615" s="3" t="inlineStr">
        <is>
          <t>nan</t>
        </is>
      </c>
      <c r="L1615" s="6">
        <f>HYPERLINK("https://fin.land.naver.com/articles/2654653133", "매물Link")</f>
        <v/>
      </c>
      <c r="M1615" s="6">
        <f>HYPERLINK("https://map.naver.com/p/search/오송읍 쌍청리 463", "지도Link")</f>
        <v/>
      </c>
      <c r="N1615" s="6">
        <f>HYPERLINK("http://www.eum.go.kr/web/ar/lu/luLandDet.jsp?pnu=4311325024104630000&amp;isNoScr=script&amp;mode=search", "토지이음")</f>
        <v/>
      </c>
      <c r="O1615" s="3" t="inlineStr">
        <is>
          <t>오송퍼스트영웅</t>
        </is>
      </c>
      <c r="P1615" s="4" t="n">
        <v>1</v>
      </c>
      <c r="Q1615" s="4" t="n">
        <v>4182</v>
      </c>
      <c r="R1615" s="3" t="inlineStr">
        <is>
          <t>지정되지않음</t>
        </is>
      </c>
      <c r="S1615" s="3" t="inlineStr">
        <is>
          <t>과수원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세로한면(가)</t>
        </is>
      </c>
    </row>
    <row r="1616">
      <c r="A1616" s="3" t="inlineStr">
        <is>
          <t>오송읍 쌍청리 498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172000</v>
      </c>
      <c r="G1616" s="4" t="n">
        <v>2188</v>
      </c>
      <c r="H1616" s="4" t="n">
        <v>662</v>
      </c>
      <c r="I1616" s="5" t="n">
        <v>259.8</v>
      </c>
      <c r="J1616" s="5" t="n">
        <v>67.5</v>
      </c>
      <c r="K1616" s="3" t="inlineStr">
        <is>
          <t>계획관리 성장관리 계획 구역 오송역 인근 오스크 컨벤션 오픈 중</t>
        </is>
      </c>
      <c r="L1616" s="6">
        <f>HYPERLINK("https://fin.land.naver.com/articles/2651280120", "매물Link")</f>
        <v/>
      </c>
      <c r="M1616" s="6">
        <f>HYPERLINK("https://map.naver.com/p/search/오송읍 쌍청리 498", "지도Link")</f>
        <v/>
      </c>
      <c r="N1616" s="6">
        <f>HYPERLINK("http://www.eum.go.kr/web/ar/lu/luLandDet.jsp?pnu=4311325024104980000&amp;isNoScr=script&amp;mode=search", "토지이음")</f>
        <v/>
      </c>
      <c r="O1616" s="3" t="inlineStr">
        <is>
          <t>오송퍼스트영웅</t>
        </is>
      </c>
      <c r="P1616" s="4" t="n">
        <v>1</v>
      </c>
      <c r="Q1616" s="4" t="n">
        <v>2099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자루형</t>
        </is>
      </c>
      <c r="V1616" s="3" t="inlineStr">
        <is>
          <t>세로한면(불)</t>
        </is>
      </c>
    </row>
    <row r="1617">
      <c r="A1617" s="3" t="inlineStr">
        <is>
          <t>오송읍 쌍청리 539-2</t>
        </is>
      </c>
      <c r="B1617" s="3" t="inlineStr">
        <is>
          <t>농림지역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30000</v>
      </c>
      <c r="G1617" s="4" t="n">
        <v>4122</v>
      </c>
      <c r="H1617" s="4" t="n">
        <v>1247</v>
      </c>
      <c r="I1617" s="5" t="n">
        <v>24.1</v>
      </c>
      <c r="J1617" s="5" t="n">
        <v>18</v>
      </c>
      <c r="K1617" s="3" t="inlineStr">
        <is>
          <t>오송읍 쌍청리 농지 급매 농지원부 대토 투자 장기보유등 추천</t>
        </is>
      </c>
      <c r="L1617" s="6">
        <f>HYPERLINK("https://fin.land.naver.com/articles/2651258350", "매물Link")</f>
        <v/>
      </c>
      <c r="M1617" s="6">
        <f>HYPERLINK("https://map.naver.com/p/search/오송읍 쌍청리 539-2", "지도Link")</f>
        <v/>
      </c>
      <c r="N1617" s="6">
        <f>HYPERLINK("http://www.eum.go.kr/web/ar/lu/luLandDet.jsp?pnu=4311325024105390002&amp;isNoScr=script&amp;mode=search", "토지이음")</f>
        <v/>
      </c>
      <c r="O1617" s="3" t="inlineStr">
        <is>
          <t>그린</t>
        </is>
      </c>
      <c r="P1617" s="4" t="n">
        <v>1</v>
      </c>
      <c r="Q1617" s="4" t="n">
        <v>2208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맹지</t>
        </is>
      </c>
    </row>
    <row r="1618">
      <c r="A1618" s="3" t="inlineStr">
        <is>
          <t>오송읍 쌍청리 8-1</t>
        </is>
      </c>
      <c r="B1618" s="3" t="inlineStr">
        <is>
          <t>생산관리지역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61000</v>
      </c>
      <c r="G1618" s="4" t="n">
        <v>1613</v>
      </c>
      <c r="H1618" s="4" t="n">
        <v>488</v>
      </c>
      <c r="I1618" s="5" t="n">
        <v>125</v>
      </c>
      <c r="J1618" s="5" t="n">
        <v>46.5</v>
      </c>
      <c r="K1618" s="3" t="inlineStr">
        <is>
          <t>2차선 도로접  분할매매 가능</t>
        </is>
      </c>
      <c r="L1618" s="6">
        <f>HYPERLINK("https://fin.land.naver.com/articles/2650758461", "매물Link")</f>
        <v/>
      </c>
      <c r="M1618" s="6">
        <f>HYPERLINK("https://map.naver.com/p/search/오송읍 쌍청리 8-1", "지도Link")</f>
        <v/>
      </c>
      <c r="N1618" s="6">
        <f>HYPERLINK("http://www.eum.go.kr/web/ar/lu/luLandDet.jsp?pnu=4311325024100080001&amp;isNoScr=script&amp;mode=search", "토지이음")</f>
        <v/>
      </c>
      <c r="O1618" s="3" t="inlineStr">
        <is>
          <t>김창수</t>
        </is>
      </c>
      <c r="P1618" s="4" t="n">
        <v>1</v>
      </c>
      <c r="Q1618" s="4" t="n">
        <v>1613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오송읍 연제리 527-1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88000</v>
      </c>
      <c r="G1619" s="4" t="n">
        <v>1825</v>
      </c>
      <c r="H1619" s="4" t="n">
        <v>552</v>
      </c>
      <c r="I1619" s="5" t="n">
        <v>159.4</v>
      </c>
      <c r="J1619" s="5" t="n">
        <v>59.4</v>
      </c>
      <c r="K1619" s="3" t="inlineStr">
        <is>
          <t>지금 잡아야 할 핵심 입지 매물</t>
        </is>
      </c>
      <c r="L1619" s="6">
        <f>HYPERLINK("https://fin.land.naver.com/articles/2651283863", "매물Link")</f>
        <v/>
      </c>
      <c r="M1619" s="6">
        <f>HYPERLINK("https://map.naver.com/p/search/오송읍 연제리 527-1", "지도Link")</f>
        <v/>
      </c>
      <c r="N1619" s="6">
        <f>HYPERLINK("http://www.eum.go.kr/web/ar/lu/luLandDet.jsp?pnu=4311325026105270001&amp;isNoScr=script&amp;mode=search", "토지이음")</f>
        <v/>
      </c>
      <c r="O1619" s="3" t="inlineStr">
        <is>
          <t>오송퍼스트영웅</t>
        </is>
      </c>
      <c r="P1619" s="4" t="n">
        <v>2</v>
      </c>
      <c r="Q1619" s="4" t="n">
        <v>1825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연제리 540-20</t>
        </is>
      </c>
      <c r="B1620" s="3" t="inlineStr">
        <is>
          <t>계획관리지역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300000</v>
      </c>
      <c r="G1620" s="4" t="n">
        <v>1608</v>
      </c>
      <c r="H1620" s="4" t="n">
        <v>486</v>
      </c>
      <c r="I1620" s="5" t="n">
        <v>617.3</v>
      </c>
      <c r="J1620" s="5" t="n">
        <v>189.7</v>
      </c>
      <c r="K1620" s="3" t="inlineStr">
        <is>
          <t>오송 내 최고의 위치 호수공원 품은 토지로서 미래가치 높은 토지</t>
        </is>
      </c>
      <c r="L1620" s="6">
        <f>HYPERLINK("https://fin.land.naver.com/articles/2651576082", "매물Link")</f>
        <v/>
      </c>
      <c r="M1620" s="6">
        <f>HYPERLINK("https://map.naver.com/p/search/오송읍 연제리 540-20", "지도Link")</f>
        <v/>
      </c>
      <c r="N1620" s="6">
        <f>HYPERLINK("http://www.eum.go.kr/web/ar/lu/luLandDet.jsp?pnu=4311325026105400020&amp;isNoScr=script&amp;mode=search", "토지이음")</f>
        <v/>
      </c>
      <c r="O1620" s="3" t="inlineStr">
        <is>
          <t>여기로</t>
        </is>
      </c>
      <c r="P1620" s="4" t="n">
        <v>1</v>
      </c>
      <c r="Q1620" s="4" t="n">
        <v>1332</v>
      </c>
      <c r="R1620" s="3" t="inlineStr">
        <is>
          <t>지정되지않음</t>
        </is>
      </c>
      <c r="S1620" s="3" t="inlineStr">
        <is>
          <t>상업용</t>
        </is>
      </c>
      <c r="T1620" s="3" t="inlineStr">
        <is>
          <t>평지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오송읍 연제리 540-37</t>
        </is>
      </c>
      <c r="B1621" s="3" t="inlineStr">
        <is>
          <t>계획관리지역</t>
        </is>
      </c>
      <c r="C1621" s="3" t="inlineStr">
        <is>
          <t>공장용지</t>
        </is>
      </c>
      <c r="D1621" s="3" t="inlineStr">
        <is>
          <t>공장용지</t>
        </is>
      </c>
      <c r="E1621" s="3" t="inlineStr">
        <is>
          <t>매매</t>
        </is>
      </c>
      <c r="F1621" s="4" t="n">
        <v>70000</v>
      </c>
      <c r="G1621" s="4" t="n">
        <v>500</v>
      </c>
      <c r="H1621" s="4" t="n">
        <v>151</v>
      </c>
      <c r="I1621" s="5" t="n">
        <v>463.6</v>
      </c>
      <c r="J1621" s="5" t="n">
        <v>161.4</v>
      </c>
      <c r="K1621" s="3" t="inlineStr">
        <is>
          <t>호수공원 인접, 다용도 건축 가능,가격협의 가능</t>
        </is>
      </c>
      <c r="L1621" s="6">
        <f>HYPERLINK("https://fin.land.naver.com/articles/2651622199", "매물Link")</f>
        <v/>
      </c>
      <c r="M1621" s="6">
        <f>HYPERLINK("https://map.naver.com/p/search/오송읍 연제리 540-37", "지도Link")</f>
        <v/>
      </c>
      <c r="N1621" s="6">
        <f>HYPERLINK("http://www.eum.go.kr/web/ar/lu/luLandDet.jsp?pnu=4311325026105400037&amp;isNoScr=script&amp;mode=search", "토지이음")</f>
        <v/>
      </c>
      <c r="O1621" s="3" t="inlineStr">
        <is>
          <t>테크노힐데스한빛사무소</t>
        </is>
      </c>
      <c r="P1621" s="4" t="n">
        <v>1</v>
      </c>
      <c r="Q1621" s="4" t="n">
        <v>500</v>
      </c>
      <c r="R1621" s="3" t="inlineStr">
        <is>
          <t>지정되지않음</t>
        </is>
      </c>
      <c r="S1621" s="3" t="inlineStr">
        <is>
          <t>주상나지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오송읍 연제리 664-2</t>
        </is>
      </c>
      <c r="B1622" s="3" t="inlineStr">
        <is>
          <t>준공업지역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2000000</v>
      </c>
      <c r="G1622" s="4" t="n">
        <v>9917</v>
      </c>
      <c r="H1622" s="4" t="n">
        <v>3000</v>
      </c>
      <c r="I1622" s="5" t="n">
        <v>666.7</v>
      </c>
      <c r="J1622" s="5" t="n">
        <v>199.2</v>
      </c>
      <c r="K1622" s="3" t="inlineStr">
        <is>
          <t>현재 가치는 물론 오송 개발과 산업 인프라 확장에 따른 미래가치까지 기대</t>
        </is>
      </c>
      <c r="L1622" s="6">
        <f>HYPERLINK("https://fin.land.naver.com/articles/2650115117", "매물Link")</f>
        <v/>
      </c>
      <c r="M1622" s="6">
        <f>HYPERLINK("https://map.naver.com/p/search/오송읍 연제리 664-2", "지도Link")</f>
        <v/>
      </c>
      <c r="N1622" s="6">
        <f>HYPERLINK("http://www.eum.go.kr/web/ar/lu/luLandDet.jsp?pnu=4311325026106640002&amp;isNoScr=script&amp;mode=search", "토지이음")</f>
        <v/>
      </c>
      <c r="O1622" s="3" t="inlineStr">
        <is>
          <t>대한</t>
        </is>
      </c>
      <c r="P1622" s="4" t="n">
        <v>1</v>
      </c>
      <c r="Q1622" s="4" t="n">
        <v>4958.7</v>
      </c>
      <c r="R1622" s="3" t="inlineStr">
        <is>
          <t>지정되지않음</t>
        </is>
      </c>
      <c r="S1622" s="3" t="inlineStr">
        <is>
          <t>상업용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중로한면</t>
        </is>
      </c>
    </row>
    <row r="1623">
      <c r="A1623" s="3" t="inlineStr">
        <is>
          <t>오송읍 연제리 668</t>
        </is>
      </c>
      <c r="B1623" s="3" t="inlineStr">
        <is>
          <t>일반상업지역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820000</v>
      </c>
      <c r="G1623" s="4" t="n">
        <v>1593</v>
      </c>
      <c r="H1623" s="4" t="n">
        <v>482</v>
      </c>
      <c r="I1623" s="5" t="n">
        <v>1701.2</v>
      </c>
      <c r="J1623" s="5" t="n">
        <v>619.8</v>
      </c>
      <c r="K1623" s="3" t="inlineStr">
        <is>
          <t>nan</t>
        </is>
      </c>
      <c r="L1623" s="6">
        <f>HYPERLINK("https://fin.land.naver.com/articles/2651794517", "매물Link")</f>
        <v/>
      </c>
      <c r="M1623" s="6">
        <f>HYPERLINK("https://map.naver.com/p/search/오송읍 연제리 668", "지도Link")</f>
        <v/>
      </c>
      <c r="N1623" s="6">
        <f>HYPERLINK("http://www.eum.go.kr/web/ar/lu/luLandDet.jsp?pnu=4311325026106680000&amp;isNoScr=script&amp;mode=search", "토지이음")</f>
        <v/>
      </c>
      <c r="O1623" s="3" t="inlineStr">
        <is>
          <t>바른</t>
        </is>
      </c>
      <c r="P1623" s="4" t="n">
        <v>1</v>
      </c>
      <c r="Q1623" s="4" t="n">
        <v>803.1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가로장방</t>
        </is>
      </c>
      <c r="V1623" s="3" t="inlineStr">
        <is>
          <t>광대소각</t>
        </is>
      </c>
    </row>
    <row r="1624">
      <c r="A1624" s="3" t="inlineStr">
        <is>
          <t>오송읍 연제리 668</t>
        </is>
      </c>
      <c r="B1624" s="3" t="inlineStr">
        <is>
          <t>일반상업지역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820000</v>
      </c>
      <c r="G1624" s="4" t="n">
        <v>1593</v>
      </c>
      <c r="H1624" s="4" t="n">
        <v>482</v>
      </c>
      <c r="I1624" s="5" t="n">
        <v>1701.2</v>
      </c>
      <c r="J1624" s="5" t="n">
        <v>619.8</v>
      </c>
      <c r="K1624" s="3" t="inlineStr">
        <is>
          <t>외1필지 호텔이나 오피스텔로 투자 적합</t>
        </is>
      </c>
      <c r="L1624" s="6">
        <f>HYPERLINK("https://fin.land.naver.com/articles/2650139636", "매물Link")</f>
        <v/>
      </c>
      <c r="M1624" s="6">
        <f>HYPERLINK("https://map.naver.com/p/search/오송읍 연제리 668", "지도Link")</f>
        <v/>
      </c>
      <c r="N1624" s="6">
        <f>HYPERLINK("http://www.eum.go.kr/web/ar/lu/luLandDet.jsp?pnu=4311325026106680000&amp;isNoScr=script&amp;mode=search", "토지이음")</f>
        <v/>
      </c>
      <c r="O1624" s="3" t="inlineStr">
        <is>
          <t>옥산하늘채 주식회사</t>
        </is>
      </c>
      <c r="P1624" s="4" t="n">
        <v>1</v>
      </c>
      <c r="Q1624" s="4" t="n">
        <v>803.1</v>
      </c>
      <c r="R1624" s="3" t="inlineStr">
        <is>
          <t>지정되지않음</t>
        </is>
      </c>
      <c r="S1624" s="3" t="inlineStr">
        <is>
          <t>상업나지</t>
        </is>
      </c>
      <c r="T1624" s="3" t="inlineStr">
        <is>
          <t>평지</t>
        </is>
      </c>
      <c r="U1624" s="3" t="inlineStr">
        <is>
          <t>가로장방</t>
        </is>
      </c>
      <c r="V1624" s="3" t="inlineStr">
        <is>
          <t>광대소각</t>
        </is>
      </c>
    </row>
    <row r="1625">
      <c r="A1625" s="3" t="inlineStr">
        <is>
          <t>오송읍 연제리 692</t>
        </is>
      </c>
      <c r="B1625" s="3" t="inlineStr">
        <is>
          <t>일반상업지역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135000</v>
      </c>
      <c r="G1625" s="4" t="n">
        <v>593</v>
      </c>
      <c r="H1625" s="4" t="n">
        <v>179</v>
      </c>
      <c r="I1625" s="5" t="n">
        <v>754.2</v>
      </c>
      <c r="J1625" s="5" t="n">
        <v>301.3</v>
      </c>
      <c r="K1625" s="3" t="inlineStr">
        <is>
          <t>nan</t>
        </is>
      </c>
      <c r="L1625" s="6">
        <f>HYPERLINK("https://fin.land.naver.com/articles/2654375790", "매물Link")</f>
        <v/>
      </c>
      <c r="M1625" s="6">
        <f>HYPERLINK("https://map.naver.com/p/search/오송읍 연제리 692", "지도Link")</f>
        <v/>
      </c>
      <c r="N1625" s="6">
        <f>HYPERLINK("http://www.eum.go.kr/web/ar/lu/luLandDet.jsp?pnu=4311325026106920000&amp;isNoScr=script&amp;mode=search", "토지이음")</f>
        <v/>
      </c>
      <c r="O1625" s="3" t="inlineStr">
        <is>
          <t>오송퍼스트영웅</t>
        </is>
      </c>
      <c r="P1625" s="4" t="n">
        <v>1</v>
      </c>
      <c r="Q1625" s="4" t="n">
        <v>593.3</v>
      </c>
      <c r="R1625" s="3" t="inlineStr">
        <is>
          <t>지정되지않음</t>
        </is>
      </c>
      <c r="S1625" s="3" t="inlineStr">
        <is>
          <t>상업나지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광대소각</t>
        </is>
      </c>
    </row>
    <row r="1626">
      <c r="A1626" s="3" t="inlineStr">
        <is>
          <t>오송읍 연제리 703</t>
        </is>
      </c>
      <c r="B1626" s="3" t="inlineStr">
        <is>
          <t>일반상업지역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270000</v>
      </c>
      <c r="G1626" s="4" t="n">
        <v>690</v>
      </c>
      <c r="H1626" s="4" t="n">
        <v>209</v>
      </c>
      <c r="I1626" s="5" t="n">
        <v>1291.9</v>
      </c>
      <c r="J1626" s="5" t="n">
        <v>809.3</v>
      </c>
      <c r="K1626" s="3" t="inlineStr">
        <is>
          <t>일반 상업지역, 상업 나지</t>
        </is>
      </c>
      <c r="L1626" s="6">
        <f>HYPERLINK("https://fin.land.naver.com/articles/2653363832", "매물Link")</f>
        <v/>
      </c>
      <c r="M1626" s="6">
        <f>HYPERLINK("https://map.naver.com/p/search/오송읍 연제리 703", "지도Link")</f>
        <v/>
      </c>
      <c r="N1626" s="6">
        <f>HYPERLINK("http://www.eum.go.kr/web/ar/lu/luLandDet.jsp?pnu=4311325026107030000&amp;isNoScr=script&amp;mode=search", "토지이음")</f>
        <v/>
      </c>
      <c r="O1626" s="3" t="inlineStr">
        <is>
          <t>딜  중개</t>
        </is>
      </c>
      <c r="P1626" s="4" t="n">
        <v>1</v>
      </c>
      <c r="Q1626" s="4" t="n">
        <v>690.3</v>
      </c>
      <c r="R1626" s="3" t="inlineStr">
        <is>
          <t>지정되지않음</t>
        </is>
      </c>
      <c r="S1626" s="3" t="inlineStr">
        <is>
          <t>상업나지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광대소각</t>
        </is>
      </c>
    </row>
    <row r="1627">
      <c r="A1627" s="3" t="inlineStr">
        <is>
          <t>오송읍 연제리 산24-15</t>
        </is>
      </c>
      <c r="B1627" s="3" t="inlineStr">
        <is>
          <t>계획관리지역</t>
        </is>
      </c>
      <c r="C1627" s="3" t="inlineStr">
        <is>
          <t>임야</t>
        </is>
      </c>
      <c r="D1627" s="3" t="inlineStr">
        <is>
          <t>임야</t>
        </is>
      </c>
      <c r="E1627" s="3" t="inlineStr">
        <is>
          <t>매매</t>
        </is>
      </c>
      <c r="F1627" s="4" t="n">
        <v>140000</v>
      </c>
      <c r="G1627" s="4" t="n">
        <v>1076</v>
      </c>
      <c r="H1627" s="4" t="n">
        <v>325</v>
      </c>
      <c r="I1627" s="5" t="n">
        <v>430.8</v>
      </c>
      <c r="J1627" s="5" t="n">
        <v>16.8</v>
      </c>
      <c r="K1627" s="3" t="inlineStr">
        <is>
          <t>호수공원뷰,미래상승가치높은</t>
        </is>
      </c>
      <c r="L1627" s="6">
        <f>HYPERLINK("https://fin.land.naver.com/articles/2651124726", "매물Link")</f>
        <v/>
      </c>
      <c r="M1627" s="6">
        <f>HYPERLINK("https://map.naver.com/p/search/오송읍 연제리 산24-15", "지도Link")</f>
        <v/>
      </c>
      <c r="N1627" s="6">
        <f>HYPERLINK("http://www.eum.go.kr/web/ar/lu/luLandDet.jsp?pnu=4311325026200240015&amp;isNoScr=script&amp;mode=search", "토지이음")</f>
        <v/>
      </c>
      <c r="O1627" s="3" t="inlineStr">
        <is>
          <t>노블</t>
        </is>
      </c>
      <c r="P1627" s="4" t="n">
        <v>1</v>
      </c>
      <c r="Q1627" s="4" t="n">
        <v>1076</v>
      </c>
      <c r="R1627" s="3" t="inlineStr">
        <is>
          <t>지정되지않음</t>
        </is>
      </c>
      <c r="S1627" s="3" t="inlineStr">
        <is>
          <t>자연림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오송읍 오송리 146-29</t>
        </is>
      </c>
      <c r="B1628" s="3" t="inlineStr">
        <is>
          <t>계획관리지역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85000</v>
      </c>
      <c r="G1628" s="4" t="n">
        <v>372</v>
      </c>
      <c r="H1628" s="4" t="n">
        <v>113</v>
      </c>
      <c r="I1628" s="5" t="n">
        <v>752.2</v>
      </c>
      <c r="J1628" s="5" t="n">
        <v>166.3</v>
      </c>
      <c r="K1628" s="3" t="inlineStr">
        <is>
          <t>흥덕구 오송읍 오송역 부근에 위치한 대지로 향후 지가 상승 예상됨</t>
        </is>
      </c>
      <c r="L1628" s="6">
        <f>HYPERLINK("https://fin.land.naver.com/articles/2652419828", "매물Link")</f>
        <v/>
      </c>
      <c r="M1628" s="6">
        <f>HYPERLINK("https://map.naver.com/p/search/오송읍 오송리 146-29", "지도Link")</f>
        <v/>
      </c>
      <c r="N1628" s="6">
        <f>HYPERLINK("http://www.eum.go.kr/web/ar/lu/luLandDet.jsp?pnu=4311325028101460029&amp;isNoScr=script&amp;mode=search", "토지이음")</f>
        <v/>
      </c>
      <c r="O1628" s="3" t="inlineStr">
        <is>
          <t>산성</t>
        </is>
      </c>
      <c r="P1628" s="4" t="n">
        <v>1</v>
      </c>
      <c r="Q1628" s="4" t="n">
        <v>372</v>
      </c>
      <c r="R1628" s="3" t="inlineStr">
        <is>
          <t>지정되지않음</t>
        </is>
      </c>
      <c r="S1628" s="3" t="inlineStr">
        <is>
          <t>단독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오송읍 오송리 206-3</t>
        </is>
      </c>
      <c r="B1629" s="3" t="inlineStr">
        <is>
          <t>계획관리지역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96000</v>
      </c>
      <c r="G1629" s="4" t="n">
        <v>635</v>
      </c>
      <c r="H1629" s="4" t="n">
        <v>192</v>
      </c>
      <c r="I1629" s="5" t="n">
        <v>500</v>
      </c>
      <c r="J1629" s="5" t="n">
        <v>159.6</v>
      </c>
      <c r="K1629" s="3" t="inlineStr">
        <is>
          <t>힐스테이트 오송역퍼스트 앞 토지 매매</t>
        </is>
      </c>
      <c r="L1629" s="6">
        <f>HYPERLINK("https://fin.land.naver.com/articles/2654525718", "매물Link")</f>
        <v/>
      </c>
      <c r="M1629" s="6">
        <f>HYPERLINK("https://map.naver.com/p/search/오송읍 오송리 206-3", "지도Link")</f>
        <v/>
      </c>
      <c r="N1629" s="6">
        <f>HYPERLINK("http://www.eum.go.kr/web/ar/lu/luLandDet.jsp?pnu=4311325028102060003&amp;isNoScr=script&amp;mode=search", "토지이음")</f>
        <v/>
      </c>
      <c r="O1629" s="3" t="inlineStr">
        <is>
          <t>365</t>
        </is>
      </c>
      <c r="P1629" s="4" t="n">
        <v>1</v>
      </c>
      <c r="Q1629" s="4" t="n">
        <v>295</v>
      </c>
      <c r="R1629" s="3" t="inlineStr">
        <is>
          <t>지정되지않음</t>
        </is>
      </c>
      <c r="S1629" s="3" t="inlineStr">
        <is>
          <t>단독</t>
        </is>
      </c>
      <c r="T1629" s="3" t="inlineStr">
        <is>
          <t>평지</t>
        </is>
      </c>
      <c r="U1629" s="3" t="inlineStr">
        <is>
          <t>부정형</t>
        </is>
      </c>
      <c r="V1629" s="3" t="inlineStr">
        <is>
          <t>세로각지(가)</t>
        </is>
      </c>
    </row>
    <row r="1630">
      <c r="A1630" s="3" t="inlineStr">
        <is>
          <t>오송읍 오송리 224-2</t>
        </is>
      </c>
      <c r="B1630" s="3" t="inlineStr">
        <is>
          <t>계획관리지역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81500</v>
      </c>
      <c r="G1630" s="4" t="n">
        <v>538</v>
      </c>
      <c r="H1630" s="4" t="n">
        <v>163</v>
      </c>
      <c r="I1630" s="5" t="n">
        <v>500</v>
      </c>
      <c r="J1630" s="5" t="n">
        <v>136.5</v>
      </c>
      <c r="K1630" s="3" t="inlineStr">
        <is>
          <t>3산단초입 투자물건 2필지</t>
        </is>
      </c>
      <c r="L1630" s="6">
        <f>HYPERLINK("https://fin.land.naver.com/articles/2649702680", "매물Link")</f>
        <v/>
      </c>
      <c r="M1630" s="6">
        <f>HYPERLINK("https://map.naver.com/p/search/오송읍 오송리 224-2", "지도Link")</f>
        <v/>
      </c>
      <c r="N1630" s="6">
        <f>HYPERLINK("http://www.eum.go.kr/web/ar/lu/luLandDet.jsp?pnu=4311325028102240002&amp;isNoScr=script&amp;mode=search", "토지이음")</f>
        <v/>
      </c>
      <c r="O1630" s="3" t="inlineStr">
        <is>
          <t>금송</t>
        </is>
      </c>
      <c r="P1630" s="4" t="n">
        <v>1</v>
      </c>
      <c r="Q1630" s="4" t="n">
        <v>182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오송읍 오송리 242-2</t>
        </is>
      </c>
      <c r="B1631" s="3" t="inlineStr">
        <is>
          <t>계획관리지역</t>
        </is>
      </c>
      <c r="C1631" s="3" t="inlineStr">
        <is>
          <t>주유소용지</t>
        </is>
      </c>
      <c r="D1631" s="3" t="inlineStr">
        <is>
          <t>주유소용지</t>
        </is>
      </c>
      <c r="E1631" s="3" t="inlineStr">
        <is>
          <t>매매</t>
        </is>
      </c>
      <c r="F1631" s="4" t="n">
        <v>245000</v>
      </c>
      <c r="G1631" s="4" t="n">
        <v>810</v>
      </c>
      <c r="H1631" s="4" t="n">
        <v>245</v>
      </c>
      <c r="I1631" s="5" t="n">
        <v>1000</v>
      </c>
      <c r="J1631" s="5" t="n">
        <v>313.2</v>
      </c>
      <c r="K1631" s="3" t="inlineStr">
        <is>
          <t>6차선변 주유소현 휴업중 매매</t>
        </is>
      </c>
      <c r="L1631" s="6">
        <f>HYPERLINK("https://fin.land.naver.com/articles/2654551158", "매물Link")</f>
        <v/>
      </c>
      <c r="M1631" s="6">
        <f>HYPERLINK("https://map.naver.com/p/search/오송읍 오송리 242-2", "지도Link")</f>
        <v/>
      </c>
      <c r="N1631" s="6">
        <f>HYPERLINK("http://www.eum.go.kr/web/ar/lu/luLandDet.jsp?pnu=4311325028102420002&amp;isNoScr=script&amp;mode=search", "토지이음")</f>
        <v/>
      </c>
      <c r="O1631" s="3" t="inlineStr">
        <is>
          <t>한국토지중개</t>
        </is>
      </c>
      <c r="P1631" s="4" t="n">
        <v>1</v>
      </c>
      <c r="Q1631" s="4" t="n">
        <v>810</v>
      </c>
      <c r="R1631" s="3" t="inlineStr">
        <is>
          <t>지정되지않음</t>
        </is>
      </c>
      <c r="S1631" s="3" t="inlineStr">
        <is>
          <t>주상용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광대로한면</t>
        </is>
      </c>
    </row>
    <row r="1632">
      <c r="A1632" s="3" t="inlineStr">
        <is>
          <t>오송읍 오송리 242-2</t>
        </is>
      </c>
      <c r="B1632" s="3" t="inlineStr">
        <is>
          <t>계획관리지역</t>
        </is>
      </c>
      <c r="C1632" s="3" t="inlineStr">
        <is>
          <t>주유소용지</t>
        </is>
      </c>
      <c r="D1632" s="3" t="inlineStr">
        <is>
          <t>주유소용지</t>
        </is>
      </c>
      <c r="E1632" s="3" t="inlineStr">
        <is>
          <t>매매</t>
        </is>
      </c>
      <c r="F1632" s="4" t="n">
        <v>250000</v>
      </c>
      <c r="G1632" s="4" t="n">
        <v>809</v>
      </c>
      <c r="H1632" s="4" t="n">
        <v>245</v>
      </c>
      <c r="I1632" s="5" t="n">
        <v>1020.4</v>
      </c>
      <c r="J1632" s="5" t="n">
        <v>313.2</v>
      </c>
      <c r="K1632" s="3" t="inlineStr">
        <is>
          <t>배후시장 탄탄한 6차선 대로변 토지</t>
        </is>
      </c>
      <c r="L1632" s="6">
        <f>HYPERLINK("https://fin.land.naver.com/articles/2651523803", "매물Link")</f>
        <v/>
      </c>
      <c r="M1632" s="6">
        <f>HYPERLINK("https://map.naver.com/p/search/오송읍 오송리 242-2", "지도Link")</f>
        <v/>
      </c>
      <c r="N1632" s="6">
        <f>HYPERLINK("http://www.eum.go.kr/web/ar/lu/luLandDet.jsp?pnu=4311325028102420002&amp;isNoScr=script&amp;mode=search", "토지이음")</f>
        <v/>
      </c>
      <c r="O1632" s="3" t="inlineStr">
        <is>
          <t>한국토지중개</t>
        </is>
      </c>
      <c r="P1632" s="4" t="n">
        <v>1</v>
      </c>
      <c r="Q1632" s="4" t="n">
        <v>810</v>
      </c>
      <c r="R1632" s="3" t="inlineStr">
        <is>
          <t>지정되지않음</t>
        </is>
      </c>
      <c r="S1632" s="3" t="inlineStr">
        <is>
          <t>주상용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광대로한면</t>
        </is>
      </c>
    </row>
    <row r="1633">
      <c r="A1633" s="3" t="inlineStr">
        <is>
          <t>오송읍 오송리 242-21</t>
        </is>
      </c>
      <c r="B1633" s="3" t="inlineStr">
        <is>
          <t>계획관리지역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32000</v>
      </c>
      <c r="G1633" s="4" t="n">
        <v>300</v>
      </c>
      <c r="H1633" s="4" t="n">
        <v>91</v>
      </c>
      <c r="I1633" s="5" t="n">
        <v>351.6</v>
      </c>
      <c r="J1633" s="5" t="n">
        <v>84.5</v>
      </c>
      <c r="K1633" s="3" t="inlineStr">
        <is>
          <t>3산단 예정지 배후, 임대수익형 다가구 자리
3산단 배후지, 임대수익형</t>
        </is>
      </c>
      <c r="L1633" s="6">
        <f>HYPERLINK("https://fin.land.naver.com/articles/2649702126", "매물Link")</f>
        <v/>
      </c>
      <c r="M1633" s="6">
        <f>HYPERLINK("https://map.naver.com/p/search/오송읍 오송리 242-21", "지도Link")</f>
        <v/>
      </c>
      <c r="N1633" s="6">
        <f>HYPERLINK("http://www.eum.go.kr/web/ar/lu/luLandDet.jsp?pnu=4311325028102420021&amp;isNoScr=script&amp;mode=search", "토지이음")</f>
        <v/>
      </c>
      <c r="O1633" s="3" t="inlineStr">
        <is>
          <t>금송</t>
        </is>
      </c>
      <c r="P1633" s="4" t="n">
        <v>1</v>
      </c>
      <c r="Q1633" s="4" t="n">
        <v>165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오송읍 오송리 246-52</t>
        </is>
      </c>
      <c r="B1634" s="3" t="inlineStr">
        <is>
          <t>계획관리지역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150000</v>
      </c>
      <c r="G1634" s="4" t="n">
        <v>911</v>
      </c>
      <c r="H1634" s="4" t="n">
        <v>276</v>
      </c>
      <c r="I1634" s="5" t="n">
        <v>543.5</v>
      </c>
      <c r="J1634" s="5" t="n">
        <v>163.6</v>
      </c>
      <c r="K1634" s="3" t="inlineStr">
        <is>
          <t>현재 나대지 3산단개발 호재로 투자가치 최고의땅</t>
        </is>
      </c>
      <c r="L1634" s="6">
        <f>HYPERLINK("https://fin.land.naver.com/articles/2651378175", "매물Link")</f>
        <v/>
      </c>
      <c r="M1634" s="6">
        <f>HYPERLINK("https://map.naver.com/p/search/오송읍 오송리 246-52", "지도Link")</f>
        <v/>
      </c>
      <c r="N1634" s="6">
        <f>HYPERLINK("http://www.eum.go.kr/web/ar/lu/luLandDet.jsp?pnu=4311325028102460052&amp;isNoScr=script&amp;mode=search", "토지이음")</f>
        <v/>
      </c>
      <c r="O1634" s="3" t="inlineStr">
        <is>
          <t>오송올래</t>
        </is>
      </c>
      <c r="P1634" s="4" t="n">
        <v>1</v>
      </c>
      <c r="Q1634" s="4" t="n">
        <v>667</v>
      </c>
      <c r="R1634" s="3" t="inlineStr">
        <is>
          <t>지정되지않음</t>
        </is>
      </c>
      <c r="S1634" s="3" t="inlineStr">
        <is>
          <t>공업용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오송읍 오송리 60-104</t>
        </is>
      </c>
      <c r="B1635" s="3" t="inlineStr">
        <is>
          <t>계획관리지역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70000</v>
      </c>
      <c r="G1635" s="4" t="n">
        <v>286</v>
      </c>
      <c r="H1635" s="4" t="n">
        <v>87</v>
      </c>
      <c r="I1635" s="5" t="n">
        <v>804.6</v>
      </c>
      <c r="J1635" s="5" t="n">
        <v>234</v>
      </c>
      <c r="K1635" s="3" t="inlineStr">
        <is>
          <t>힐스테이트 맞은편 대 매매</t>
        </is>
      </c>
      <c r="L1635" s="6">
        <f>HYPERLINK("https://fin.land.naver.com/articles/2649964725", "매물Link")</f>
        <v/>
      </c>
      <c r="M1635" s="6">
        <f>HYPERLINK("https://map.naver.com/p/search/오송읍 오송리 60-104", "지도Link")</f>
        <v/>
      </c>
      <c r="N1635" s="6">
        <f>HYPERLINK("http://www.eum.go.kr/web/ar/lu/luLandDet.jsp?pnu=4311325028100600104&amp;isNoScr=script&amp;mode=search", "토지이음")</f>
        <v/>
      </c>
      <c r="O1635" s="3" t="inlineStr">
        <is>
          <t>광장</t>
        </is>
      </c>
      <c r="P1635" s="4" t="n">
        <v>1</v>
      </c>
      <c r="Q1635" s="4" t="n">
        <v>286</v>
      </c>
      <c r="R1635" s="3" t="inlineStr">
        <is>
          <t>지정되지않음</t>
        </is>
      </c>
      <c r="S1635" s="3" t="inlineStr">
        <is>
          <t>단독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오송읍 정중리 206-5</t>
        </is>
      </c>
      <c r="B1636" s="3" t="inlineStr">
        <is>
          <t>계획관리지역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15000</v>
      </c>
      <c r="G1636" s="4" t="n">
        <v>278</v>
      </c>
      <c r="H1636" s="4" t="n">
        <v>84</v>
      </c>
      <c r="I1636" s="5" t="n">
        <v>178.6</v>
      </c>
      <c r="J1636" s="5" t="n">
        <v>62.7</v>
      </c>
      <c r="K1636" s="3" t="inlineStr">
        <is>
          <t>강추 매물 계획관리지역, 땅 소액투자, 미래가치성 좋음</t>
        </is>
      </c>
      <c r="L1636" s="6">
        <f>HYPERLINK("https://fin.land.naver.com/articles/2650556418", "매물Link")</f>
        <v/>
      </c>
      <c r="M1636" s="6">
        <f>HYPERLINK("https://map.naver.com/p/search/오송읍 정중리 206-5", "지도Link")</f>
        <v/>
      </c>
      <c r="N1636" s="6">
        <f>HYPERLINK("http://www.eum.go.kr/web/ar/lu/luLandDet.jsp?pnu=4311325032102060005&amp;isNoScr=script&amp;mode=search", "토지이음")</f>
        <v/>
      </c>
      <c r="O1636" s="3" t="inlineStr">
        <is>
          <t>현담</t>
        </is>
      </c>
      <c r="P1636" s="4" t="n">
        <v>1</v>
      </c>
      <c r="Q1636" s="4" t="n">
        <v>278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오송읍 정중리 317-1</t>
        </is>
      </c>
      <c r="B1637" s="3" t="inlineStr">
        <is>
          <t>농림지역</t>
        </is>
      </c>
      <c r="C1637" s="3" t="inlineStr">
        <is>
          <t>잡종지</t>
        </is>
      </c>
      <c r="D1637" s="3" t="inlineStr">
        <is>
          <t>잡종지</t>
        </is>
      </c>
      <c r="E1637" s="3" t="inlineStr">
        <is>
          <t>매매</t>
        </is>
      </c>
      <c r="F1637" s="4" t="n">
        <v>180000</v>
      </c>
      <c r="G1637" s="4" t="n">
        <v>11497</v>
      </c>
      <c r="H1637" s="4" t="n">
        <v>3478</v>
      </c>
      <c r="I1637" s="5" t="n">
        <v>51.8</v>
      </c>
      <c r="J1637" s="5" t="n">
        <v>25.2</v>
      </c>
      <c r="K1637" s="3" t="inlineStr">
        <is>
          <t>오송KTX역 및 오송바이오2산단 인근  2차선 도로접한 창고 및 토지</t>
        </is>
      </c>
      <c r="L1637" s="6">
        <f>HYPERLINK("https://fin.land.naver.com/articles/2652679648", "매물Link")</f>
        <v/>
      </c>
      <c r="M1637" s="6">
        <f>HYPERLINK("https://map.naver.com/p/search/오송읍 정중리 317-1", "지도Link")</f>
        <v/>
      </c>
      <c r="N1637" s="6">
        <f>HYPERLINK("http://www.eum.go.kr/web/ar/lu/luLandDet.jsp?pnu=4311325032103170001&amp;isNoScr=script&amp;mode=search", "토지이음")</f>
        <v/>
      </c>
      <c r="O1637" s="3" t="inlineStr">
        <is>
          <t>번영</t>
        </is>
      </c>
      <c r="P1637" s="4" t="n">
        <v>1</v>
      </c>
      <c r="Q1637" s="4" t="n">
        <v>237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세로한면(가)</t>
        </is>
      </c>
    </row>
    <row r="1638">
      <c r="A1638" s="3" t="inlineStr">
        <is>
          <t>오송읍 정중리 569-1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25000</v>
      </c>
      <c r="G1638" s="4" t="n">
        <v>171</v>
      </c>
      <c r="H1638" s="4" t="n">
        <v>52</v>
      </c>
      <c r="I1638" s="5" t="n">
        <v>480.8</v>
      </c>
      <c r="J1638" s="5" t="n">
        <v>138.1</v>
      </c>
      <c r="K1638" s="3" t="inlineStr">
        <is>
          <t>구옥있는 2필지 함께 매도예정입니다.</t>
        </is>
      </c>
      <c r="L1638" s="6">
        <f>HYPERLINK("https://fin.land.naver.com/articles/2653268033", "매물Link")</f>
        <v/>
      </c>
      <c r="M1638" s="6">
        <f>HYPERLINK("https://map.naver.com/p/search/오송읍 정중리 569-1", "지도Link")</f>
        <v/>
      </c>
      <c r="N1638" s="6">
        <f>HYPERLINK("http://www.eum.go.kr/web/ar/lu/luLandDet.jsp?pnu=4311325032105690001&amp;isNoScr=script&amp;mode=search", "토지이음")</f>
        <v/>
      </c>
      <c r="O1638" s="3" t="inlineStr">
        <is>
          <t>프로</t>
        </is>
      </c>
      <c r="P1638" s="4" t="n">
        <v>1</v>
      </c>
      <c r="Q1638" s="4" t="n">
        <v>142</v>
      </c>
      <c r="R1638" s="3" t="inlineStr">
        <is>
          <t>지정되지않음</t>
        </is>
      </c>
      <c r="S1638" s="3" t="inlineStr">
        <is>
          <t>단독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세로한면(가)</t>
        </is>
      </c>
    </row>
    <row r="1639">
      <c r="A1639" s="3" t="inlineStr">
        <is>
          <t>오송읍 정중리 634</t>
        </is>
      </c>
      <c r="B1639" s="3" t="inlineStr">
        <is>
          <t>일반공업지역</t>
        </is>
      </c>
      <c r="C1639" s="3" t="inlineStr">
        <is>
          <t>공장용지</t>
        </is>
      </c>
      <c r="D1639" s="3" t="inlineStr">
        <is>
          <t>공장용지</t>
        </is>
      </c>
      <c r="E1639" s="3" t="inlineStr">
        <is>
          <t>매매</t>
        </is>
      </c>
      <c r="F1639" s="4" t="n">
        <v>1416100</v>
      </c>
      <c r="G1639" s="4" t="n">
        <v>27537</v>
      </c>
      <c r="H1639" s="4" t="n">
        <v>8330</v>
      </c>
      <c r="I1639" s="5" t="n">
        <v>170</v>
      </c>
      <c r="J1639" s="5" t="n">
        <v>74.40000000000001</v>
      </c>
      <c r="K1639" s="3" t="inlineStr">
        <is>
          <t>nan</t>
        </is>
      </c>
      <c r="L1639" s="6">
        <f>HYPERLINK("https://fin.land.naver.com/articles/2653126420", "매물Link")</f>
        <v/>
      </c>
      <c r="M1639" s="6">
        <f>HYPERLINK("https://map.naver.com/p/search/오송읍 정중리 634", "지도Link")</f>
        <v/>
      </c>
      <c r="N1639" s="6">
        <f>HYPERLINK("http://www.eum.go.kr/web/ar/lu/luLandDet.jsp?pnu=4311325032106340000&amp;isNoScr=script&amp;mode=search", "토지이음")</f>
        <v/>
      </c>
      <c r="O1639" s="3" t="inlineStr">
        <is>
          <t>스마트랜드</t>
        </is>
      </c>
      <c r="P1639" s="4" t="n">
        <v>1</v>
      </c>
      <c r="Q1639" s="4" t="n">
        <v>27537.3</v>
      </c>
      <c r="R1639" s="3" t="inlineStr">
        <is>
          <t>지정되지않음</t>
        </is>
      </c>
      <c r="S1639" s="3" t="inlineStr">
        <is>
          <t>공업기타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광대소각</t>
        </is>
      </c>
    </row>
    <row r="1640">
      <c r="A1640" s="3" t="inlineStr">
        <is>
          <t>오송읍 정중리 698</t>
        </is>
      </c>
      <c r="B1640" s="3" t="inlineStr">
        <is>
          <t>준공업지역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220000</v>
      </c>
      <c r="G1640" s="4" t="n">
        <v>660</v>
      </c>
      <c r="H1640" s="4" t="n">
        <v>200</v>
      </c>
      <c r="I1640" s="5" t="n">
        <v>1100</v>
      </c>
      <c r="J1640" s="5" t="n">
        <v>361</v>
      </c>
      <c r="K1640" s="3" t="inlineStr">
        <is>
          <t>오송2산단 대형평수 음식점 학원 가능한 토지</t>
        </is>
      </c>
      <c r="L1640" s="6">
        <f>HYPERLINK("https://fin.land.naver.com/articles/2652527577", "매물Link")</f>
        <v/>
      </c>
      <c r="M1640" s="6">
        <f>HYPERLINK("https://map.naver.com/p/search/오송읍 정중리 698", "지도Link")</f>
        <v/>
      </c>
      <c r="N1640" s="6">
        <f>HYPERLINK("http://www.eum.go.kr/web/ar/lu/luLandDet.jsp?pnu=4311325032106980000&amp;isNoScr=script&amp;mode=search", "토지이음")</f>
        <v/>
      </c>
      <c r="O1640" s="3" t="inlineStr">
        <is>
          <t>오송명품</t>
        </is>
      </c>
      <c r="P1640" s="4" t="n">
        <v>1</v>
      </c>
      <c r="Q1640" s="4" t="n">
        <v>660</v>
      </c>
      <c r="R1640" s="3" t="inlineStr">
        <is>
          <t>지정되지않음</t>
        </is>
      </c>
      <c r="S1640" s="3" t="inlineStr">
        <is>
          <t>상업기타</t>
        </is>
      </c>
      <c r="T1640" s="3" t="inlineStr">
        <is>
          <t>평지</t>
        </is>
      </c>
      <c r="U1640" s="3" t="inlineStr">
        <is>
          <t>가로장방</t>
        </is>
      </c>
      <c r="V1640" s="3" t="inlineStr">
        <is>
          <t>중로각지</t>
        </is>
      </c>
    </row>
    <row r="1641">
      <c r="A1641" s="3" t="inlineStr">
        <is>
          <t>오송읍 정중리 699</t>
        </is>
      </c>
      <c r="B1641" s="3" t="inlineStr">
        <is>
          <t>준공업지역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152000</v>
      </c>
      <c r="G1641" s="4" t="n">
        <v>678</v>
      </c>
      <c r="H1641" s="4" t="n">
        <v>205</v>
      </c>
      <c r="I1641" s="5" t="n">
        <v>741.5</v>
      </c>
      <c r="J1641" s="5" t="n">
        <v>361</v>
      </c>
      <c r="K1641" s="3" t="inlineStr">
        <is>
          <t>대형평수 음식점 사무실 학원 추천자리</t>
        </is>
      </c>
      <c r="L1641" s="6">
        <f>HYPERLINK("https://fin.land.naver.com/articles/2652527439", "매물Link")</f>
        <v/>
      </c>
      <c r="M1641" s="6">
        <f>HYPERLINK("https://map.naver.com/p/search/오송읍 정중리 699", "지도Link")</f>
        <v/>
      </c>
      <c r="N1641" s="6">
        <f>HYPERLINK("http://www.eum.go.kr/web/ar/lu/luLandDet.jsp?pnu=4311325032106990000&amp;isNoScr=script&amp;mode=search", "토지이음")</f>
        <v/>
      </c>
      <c r="O1641" s="3" t="inlineStr">
        <is>
          <t>오송명품</t>
        </is>
      </c>
      <c r="P1641" s="4" t="n">
        <v>1</v>
      </c>
      <c r="Q1641" s="4" t="n">
        <v>678.2</v>
      </c>
      <c r="R1641" s="3" t="inlineStr">
        <is>
          <t>지정되지않음</t>
        </is>
      </c>
      <c r="S1641" s="3" t="inlineStr">
        <is>
          <t>상업기타</t>
        </is>
      </c>
      <c r="T1641" s="3" t="inlineStr">
        <is>
          <t>평지</t>
        </is>
      </c>
      <c r="U1641" s="3" t="inlineStr">
        <is>
          <t>가로장방</t>
        </is>
      </c>
      <c r="V1641" s="3" t="inlineStr">
        <is>
          <t>중로각지</t>
        </is>
      </c>
    </row>
    <row r="1642">
      <c r="A1642" s="3" t="inlineStr">
        <is>
          <t>오송읍 정중리 704</t>
        </is>
      </c>
      <c r="B1642" s="3" t="inlineStr">
        <is>
          <t>준공업지역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166000</v>
      </c>
      <c r="G1642" s="4" t="n">
        <v>548</v>
      </c>
      <c r="H1642" s="4" t="n">
        <v>166</v>
      </c>
      <c r="I1642" s="5" t="n">
        <v>1000</v>
      </c>
      <c r="J1642" s="5" t="n">
        <v>347.1</v>
      </c>
      <c r="K1642" s="3" t="inlineStr">
        <is>
          <t>오송 2산단 지원시설용지  아파트 인접한 대로변 토지 근생 건물등 가능</t>
        </is>
      </c>
      <c r="L1642" s="6">
        <f>HYPERLINK("https://fin.land.naver.com/articles/2652625205", "매물Link")</f>
        <v/>
      </c>
      <c r="M1642" s="6">
        <f>HYPERLINK("https://map.naver.com/p/search/오송읍 정중리 704", "지도Link")</f>
        <v/>
      </c>
      <c r="N1642" s="6">
        <f>HYPERLINK("http://www.eum.go.kr/web/ar/lu/luLandDet.jsp?pnu=4311325032107040000&amp;isNoScr=script&amp;mode=search", "토지이음")</f>
        <v/>
      </c>
      <c r="O1642" s="3" t="inlineStr">
        <is>
          <t>더원</t>
        </is>
      </c>
      <c r="P1642" s="4" t="n">
        <v>3</v>
      </c>
      <c r="Q1642" s="4" t="n">
        <v>548.8</v>
      </c>
      <c r="R1642" s="3" t="inlineStr">
        <is>
          <t>지정되지않음</t>
        </is>
      </c>
      <c r="S1642" s="3" t="inlineStr">
        <is>
          <t>상업기타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중로각지</t>
        </is>
      </c>
    </row>
    <row r="1643">
      <c r="A1643" s="3" t="inlineStr">
        <is>
          <t>오송읍 정중리 704</t>
        </is>
      </c>
      <c r="B1643" s="3" t="inlineStr">
        <is>
          <t>준공업지역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140000</v>
      </c>
      <c r="G1643" s="4" t="n">
        <v>548</v>
      </c>
      <c r="H1643" s="4" t="n">
        <v>166</v>
      </c>
      <c r="I1643" s="5" t="n">
        <v>843.4</v>
      </c>
      <c r="J1643" s="5" t="n">
        <v>347.1</v>
      </c>
      <c r="K1643" s="3" t="inlineStr">
        <is>
          <t>급매, 오송 국민체육센터 인근 토지 매매</t>
        </is>
      </c>
      <c r="L1643" s="6">
        <f>HYPERLINK("https://fin.land.naver.com/articles/2653824329", "매물Link")</f>
        <v/>
      </c>
      <c r="M1643" s="6">
        <f>HYPERLINK("https://map.naver.com/p/search/오송읍 정중리 704", "지도Link")</f>
        <v/>
      </c>
      <c r="N1643" s="6">
        <f>HYPERLINK("http://www.eum.go.kr/web/ar/lu/luLandDet.jsp?pnu=4311325032107040000&amp;isNoScr=script&amp;mode=search", "토지이음")</f>
        <v/>
      </c>
      <c r="O1643" s="3" t="inlineStr">
        <is>
          <t>광장</t>
        </is>
      </c>
      <c r="P1643" s="4" t="n">
        <v>1</v>
      </c>
      <c r="Q1643" s="4" t="n">
        <v>548.8</v>
      </c>
      <c r="R1643" s="3" t="inlineStr">
        <is>
          <t>지정되지않음</t>
        </is>
      </c>
      <c r="S1643" s="3" t="inlineStr">
        <is>
          <t>상업기타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중로각지</t>
        </is>
      </c>
    </row>
    <row r="1644">
      <c r="A1644" s="3" t="inlineStr">
        <is>
          <t>오송읍 정중리 707</t>
        </is>
      </c>
      <c r="B1644" s="3" t="inlineStr">
        <is>
          <t>준공업지역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218000</v>
      </c>
      <c r="G1644" s="4" t="n">
        <v>1143</v>
      </c>
      <c r="H1644" s="4" t="n">
        <v>346</v>
      </c>
      <c r="I1644" s="5" t="n">
        <v>630.1</v>
      </c>
      <c r="J1644" s="5" t="n">
        <v>407.6</v>
      </c>
      <c r="K1644" s="3" t="inlineStr">
        <is>
          <t>코너땅,현재나대지,지원시설용지</t>
        </is>
      </c>
      <c r="L1644" s="6">
        <f>HYPERLINK("https://fin.land.naver.com/articles/2653153996", "매물Link")</f>
        <v/>
      </c>
      <c r="M1644" s="6">
        <f>HYPERLINK("https://map.naver.com/p/search/오송읍 정중리 707", "지도Link")</f>
        <v/>
      </c>
      <c r="N1644" s="6">
        <f>HYPERLINK("http://www.eum.go.kr/web/ar/lu/luLandDet.jsp?pnu=4311325032107070000&amp;isNoScr=script&amp;mode=search", "토지이음")</f>
        <v/>
      </c>
      <c r="O1644" s="3" t="inlineStr">
        <is>
          <t>오송올래</t>
        </is>
      </c>
      <c r="P1644" s="4" t="n">
        <v>1</v>
      </c>
      <c r="Q1644" s="4" t="n">
        <v>558.8</v>
      </c>
      <c r="R1644" s="3" t="inlineStr">
        <is>
          <t>지정되지않음</t>
        </is>
      </c>
      <c r="S1644" s="3" t="inlineStr">
        <is>
          <t>상업기타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광대소각</t>
        </is>
      </c>
    </row>
    <row r="1645">
      <c r="A1645" s="3" t="inlineStr">
        <is>
          <t>오송읍 정중리 707</t>
        </is>
      </c>
      <c r="B1645" s="3" t="inlineStr">
        <is>
          <t>준공업지역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380000</v>
      </c>
      <c r="G1645" s="4" t="n">
        <v>1143</v>
      </c>
      <c r="H1645" s="4" t="n">
        <v>346</v>
      </c>
      <c r="I1645" s="5" t="n">
        <v>1098.3</v>
      </c>
      <c r="J1645" s="5" t="n">
        <v>407.6</v>
      </c>
      <c r="K1645" s="3" t="inlineStr">
        <is>
          <t>산업단지 시작 코너 자리, 아파트 세대 배후.</t>
        </is>
      </c>
      <c r="L1645" s="6">
        <f>HYPERLINK("https://fin.land.naver.com/articles/2652526004", "매물Link")</f>
        <v/>
      </c>
      <c r="M1645" s="6">
        <f>HYPERLINK("https://map.naver.com/p/search/오송읍 정중리 707", "지도Link")</f>
        <v/>
      </c>
      <c r="N1645" s="6">
        <f>HYPERLINK("http://www.eum.go.kr/web/ar/lu/luLandDet.jsp?pnu=4311325032107070000&amp;isNoScr=script&amp;mode=search", "토지이음")</f>
        <v/>
      </c>
      <c r="O1645" s="3" t="inlineStr">
        <is>
          <t>대한민국</t>
        </is>
      </c>
      <c r="P1645" s="4" t="n">
        <v>1</v>
      </c>
      <c r="Q1645" s="4" t="n">
        <v>558.8</v>
      </c>
      <c r="R1645" s="3" t="inlineStr">
        <is>
          <t>지정되지않음</t>
        </is>
      </c>
      <c r="S1645" s="3" t="inlineStr">
        <is>
          <t>상업기타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광대소각</t>
        </is>
      </c>
    </row>
    <row r="1646">
      <c r="A1646" s="3" t="inlineStr">
        <is>
          <t>오송읍 정중리 707</t>
        </is>
      </c>
      <c r="B1646" s="3" t="inlineStr">
        <is>
          <t>준공업지역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380000</v>
      </c>
      <c r="G1646" s="4" t="n">
        <v>1143</v>
      </c>
      <c r="H1646" s="4" t="n">
        <v>346</v>
      </c>
      <c r="I1646" s="5" t="n">
        <v>1098.3</v>
      </c>
      <c r="J1646" s="5" t="n">
        <v>407.6</v>
      </c>
      <c r="K1646" s="3" t="inlineStr">
        <is>
          <t>4차선 메인 코너토지 대단지아파트들을 끼고있음</t>
        </is>
      </c>
      <c r="L1646" s="6">
        <f>HYPERLINK("https://fin.land.naver.com/articles/2652380240", "매물Link")</f>
        <v/>
      </c>
      <c r="M1646" s="6">
        <f>HYPERLINK("https://map.naver.com/p/search/오송읍 정중리 707", "지도Link")</f>
        <v/>
      </c>
      <c r="N1646" s="6">
        <f>HYPERLINK("http://www.eum.go.kr/web/ar/lu/luLandDet.jsp?pnu=4311325032107070000&amp;isNoScr=script&amp;mode=search", "토지이음")</f>
        <v/>
      </c>
      <c r="O1646" s="3" t="inlineStr">
        <is>
          <t>조은</t>
        </is>
      </c>
      <c r="P1646" s="4" t="n">
        <v>1</v>
      </c>
      <c r="Q1646" s="4" t="n">
        <v>558.8</v>
      </c>
      <c r="R1646" s="3" t="inlineStr">
        <is>
          <t>지정되지않음</t>
        </is>
      </c>
      <c r="S1646" s="3" t="inlineStr">
        <is>
          <t>상업기타</t>
        </is>
      </c>
      <c r="T1646" s="3" t="inlineStr">
        <is>
          <t>평지</t>
        </is>
      </c>
      <c r="U1646" s="3" t="inlineStr">
        <is>
          <t>가로장방</t>
        </is>
      </c>
      <c r="V1646" s="3" t="inlineStr">
        <is>
          <t>광대소각</t>
        </is>
      </c>
    </row>
    <row r="1647">
      <c r="A1647" s="3" t="inlineStr">
        <is>
          <t>오송읍 정중리 707</t>
        </is>
      </c>
      <c r="B1647" s="3" t="inlineStr">
        <is>
          <t>준공업지역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380000</v>
      </c>
      <c r="G1647" s="4" t="n">
        <v>1143</v>
      </c>
      <c r="H1647" s="4" t="n">
        <v>346</v>
      </c>
      <c r="I1647" s="5" t="n">
        <v>1098.3</v>
      </c>
      <c r="J1647" s="5" t="n">
        <v>407.6</v>
      </c>
      <c r="K1647" s="3" t="inlineStr">
        <is>
          <t>대로변토지매매 도시지역 대단지아파트인접</t>
        </is>
      </c>
      <c r="L1647" s="6">
        <f>HYPERLINK("https://fin.land.naver.com/articles/2653366604", "매물Link")</f>
        <v/>
      </c>
      <c r="M1647" s="6">
        <f>HYPERLINK("https://map.naver.com/p/search/오송읍 정중리 707", "지도Link")</f>
        <v/>
      </c>
      <c r="N1647" s="6">
        <f>HYPERLINK("http://www.eum.go.kr/web/ar/lu/luLandDet.jsp?pnu=4311325032107070000&amp;isNoScr=script&amp;mode=search", "토지이음")</f>
        <v/>
      </c>
      <c r="O1647" s="3" t="inlineStr">
        <is>
          <t>오송원</t>
        </is>
      </c>
      <c r="P1647" s="4" t="n">
        <v>1</v>
      </c>
      <c r="Q1647" s="4" t="n">
        <v>558.8</v>
      </c>
      <c r="R1647" s="3" t="inlineStr">
        <is>
          <t>지정되지않음</t>
        </is>
      </c>
      <c r="S1647" s="3" t="inlineStr">
        <is>
          <t>상업기타</t>
        </is>
      </c>
      <c r="T1647" s="3" t="inlineStr">
        <is>
          <t>평지</t>
        </is>
      </c>
      <c r="U1647" s="3" t="inlineStr">
        <is>
          <t>가로장방</t>
        </is>
      </c>
      <c r="V1647" s="3" t="inlineStr">
        <is>
          <t>광대소각</t>
        </is>
      </c>
    </row>
    <row r="1648">
      <c r="A1648" s="3" t="inlineStr">
        <is>
          <t>오송읍 정중리 707</t>
        </is>
      </c>
      <c r="B1648" s="3" t="inlineStr">
        <is>
          <t>준공업지역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380000</v>
      </c>
      <c r="G1648" s="4" t="n">
        <v>1143</v>
      </c>
      <c r="H1648" s="4" t="n">
        <v>346</v>
      </c>
      <c r="I1648" s="5" t="n">
        <v>1098.3</v>
      </c>
      <c r="J1648" s="5" t="n">
        <v>407.6</v>
      </c>
      <c r="K1648" s="3" t="inlineStr">
        <is>
          <t>오송 2산단 사거리 코너자리 지원시설용지</t>
        </is>
      </c>
      <c r="L1648" s="6">
        <f>HYPERLINK("https://fin.land.naver.com/articles/2653176360", "매물Link")</f>
        <v/>
      </c>
      <c r="M1648" s="6">
        <f>HYPERLINK("https://map.naver.com/p/search/오송읍 정중리 707", "지도Link")</f>
        <v/>
      </c>
      <c r="N1648" s="6">
        <f>HYPERLINK("http://www.eum.go.kr/web/ar/lu/luLandDet.jsp?pnu=4311325032107070000&amp;isNoScr=script&amp;mode=search", "토지이음")</f>
        <v/>
      </c>
      <c r="O1648" s="3" t="inlineStr">
        <is>
          <t>아임</t>
        </is>
      </c>
      <c r="P1648" s="4" t="n">
        <v>3</v>
      </c>
      <c r="Q1648" s="4" t="n">
        <v>558.8</v>
      </c>
      <c r="R1648" s="3" t="inlineStr">
        <is>
          <t>지정되지않음</t>
        </is>
      </c>
      <c r="S1648" s="3" t="inlineStr">
        <is>
          <t>상업기타</t>
        </is>
      </c>
      <c r="T1648" s="3" t="inlineStr">
        <is>
          <t>평지</t>
        </is>
      </c>
      <c r="U1648" s="3" t="inlineStr">
        <is>
          <t>가로장방</t>
        </is>
      </c>
      <c r="V1648" s="3" t="inlineStr">
        <is>
          <t>광대소각</t>
        </is>
      </c>
    </row>
    <row r="1649">
      <c r="A1649" s="3" t="inlineStr">
        <is>
          <t>오송읍 정중리 746</t>
        </is>
      </c>
      <c r="B1649" s="3" t="inlineStr">
        <is>
          <t>준공업지역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215000</v>
      </c>
      <c r="G1649" s="4" t="n">
        <v>639</v>
      </c>
      <c r="H1649" s="4" t="n">
        <v>193</v>
      </c>
      <c r="I1649" s="5" t="n">
        <v>1114</v>
      </c>
      <c r="J1649" s="5" t="n">
        <v>388.1</v>
      </c>
      <c r="K1649" s="3" t="inlineStr">
        <is>
          <t>3면코너 입지 입지 최상 건폐율70 6층이하 건축가능</t>
        </is>
      </c>
      <c r="L1649" s="6">
        <f>HYPERLINK("https://fin.land.naver.com/articles/2649903725", "매물Link")</f>
        <v/>
      </c>
      <c r="M1649" s="6">
        <f>HYPERLINK("https://map.naver.com/p/search/오송읍 정중리 746", "지도Link")</f>
        <v/>
      </c>
      <c r="N1649" s="6">
        <f>HYPERLINK("http://www.eum.go.kr/web/ar/lu/luLandDet.jsp?pnu=4311325032107460000&amp;isNoScr=script&amp;mode=search", "토지이음")</f>
        <v/>
      </c>
      <c r="O1649" s="3" t="inlineStr">
        <is>
          <t>프렌즈</t>
        </is>
      </c>
      <c r="P1649" s="4" t="n">
        <v>1</v>
      </c>
      <c r="Q1649" s="4" t="n">
        <v>639</v>
      </c>
      <c r="R1649" s="3" t="inlineStr">
        <is>
          <t>지정되지않음</t>
        </is>
      </c>
      <c r="S1649" s="3" t="inlineStr">
        <is>
          <t>상업기타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광대소각</t>
        </is>
      </c>
    </row>
    <row r="1650">
      <c r="A1650" s="3" t="inlineStr">
        <is>
          <t>오송읍 정중리 755</t>
        </is>
      </c>
      <c r="B1650" s="3" t="inlineStr">
        <is>
          <t>준공업지역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240000</v>
      </c>
      <c r="G1650" s="4" t="n">
        <v>668</v>
      </c>
      <c r="H1650" s="4" t="n">
        <v>202</v>
      </c>
      <c r="I1650" s="5" t="n">
        <v>1188.1</v>
      </c>
      <c r="J1650" s="5" t="n">
        <v>361</v>
      </c>
      <c r="K1650" s="3" t="inlineStr">
        <is>
          <t>오송2산단내 지원시설용지,바로앞 아파트대단지 입주예정,</t>
        </is>
      </c>
      <c r="L1650" s="6">
        <f>HYPERLINK("https://fin.land.naver.com/articles/2651054162", "매물Link")</f>
        <v/>
      </c>
      <c r="M1650" s="6">
        <f>HYPERLINK("https://map.naver.com/p/search/오송읍 정중리 755", "지도Link")</f>
        <v/>
      </c>
      <c r="N1650" s="6">
        <f>HYPERLINK("http://www.eum.go.kr/web/ar/lu/luLandDet.jsp?pnu=4311325032107550000&amp;isNoScr=script&amp;mode=search", "토지이음")</f>
        <v/>
      </c>
      <c r="O1650" s="3" t="inlineStr">
        <is>
          <t>담뜰</t>
        </is>
      </c>
      <c r="P1650" s="4" t="n">
        <v>1</v>
      </c>
      <c r="Q1650" s="4" t="n">
        <v>668.8</v>
      </c>
      <c r="R1650" s="3" t="inlineStr">
        <is>
          <t>지정되지않음</t>
        </is>
      </c>
      <c r="S1650" s="3" t="inlineStr">
        <is>
          <t>상업기타</t>
        </is>
      </c>
      <c r="T1650" s="3" t="inlineStr">
        <is>
          <t>평지</t>
        </is>
      </c>
      <c r="U1650" s="3" t="inlineStr">
        <is>
          <t>가로장방</t>
        </is>
      </c>
      <c r="V1650" s="3" t="inlineStr">
        <is>
          <t>중로각지</t>
        </is>
      </c>
    </row>
    <row r="1651">
      <c r="A1651" s="3" t="inlineStr">
        <is>
          <t>오송읍 정중리 768</t>
        </is>
      </c>
      <c r="B1651" s="3" t="inlineStr">
        <is>
          <t>준공업지역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105000</v>
      </c>
      <c r="G1651" s="4" t="n">
        <v>590</v>
      </c>
      <c r="H1651" s="4" t="n">
        <v>178</v>
      </c>
      <c r="I1651" s="5" t="n">
        <v>589.9</v>
      </c>
      <c r="J1651" s="5" t="n">
        <v>256.4</v>
      </c>
      <c r="K1651" s="3" t="inlineStr">
        <is>
          <t>nan</t>
        </is>
      </c>
      <c r="L1651" s="6">
        <f>HYPERLINK("https://fin.land.naver.com/articles/2651733349", "매물Link")</f>
        <v/>
      </c>
      <c r="M1651" s="6">
        <f>HYPERLINK("https://map.naver.com/p/search/오송읍 정중리 768", "지도Link")</f>
        <v/>
      </c>
      <c r="N1651" s="6">
        <f>HYPERLINK("http://www.eum.go.kr/web/ar/lu/luLandDet.jsp?pnu=4311325032107680000&amp;isNoScr=script&amp;mode=search", "토지이음")</f>
        <v/>
      </c>
      <c r="O1651" s="3" t="inlineStr">
        <is>
          <t>동행사무소</t>
        </is>
      </c>
      <c r="P1651" s="4" t="n">
        <v>1</v>
      </c>
      <c r="Q1651" s="4" t="n">
        <v>590.3</v>
      </c>
      <c r="R1651" s="3" t="inlineStr">
        <is>
          <t>지정되지않음</t>
        </is>
      </c>
      <c r="S1651" s="3" t="inlineStr">
        <is>
          <t>상업나지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중로한면</t>
        </is>
      </c>
    </row>
    <row r="1652">
      <c r="A1652" s="3" t="inlineStr">
        <is>
          <t>오송읍 정중리 768</t>
        </is>
      </c>
      <c r="B1652" s="3" t="inlineStr">
        <is>
          <t>준공업지역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125000</v>
      </c>
      <c r="G1652" s="4" t="n">
        <v>590</v>
      </c>
      <c r="H1652" s="4" t="n">
        <v>178</v>
      </c>
      <c r="I1652" s="5" t="n">
        <v>702.2</v>
      </c>
      <c r="J1652" s="5" t="n">
        <v>256.4</v>
      </c>
      <c r="K1652" s="3" t="inlineStr">
        <is>
          <t>지원시설용지 매매</t>
        </is>
      </c>
      <c r="L1652" s="6">
        <f>HYPERLINK("https://fin.land.naver.com/articles/2652685303", "매물Link")</f>
        <v/>
      </c>
      <c r="M1652" s="6">
        <f>HYPERLINK("https://map.naver.com/p/search/오송읍 정중리 768", "지도Link")</f>
        <v/>
      </c>
      <c r="N1652" s="6">
        <f>HYPERLINK("http://www.eum.go.kr/web/ar/lu/luLandDet.jsp?pnu=4311325032107680000&amp;isNoScr=script&amp;mode=search", "토지이음")</f>
        <v/>
      </c>
      <c r="O1652" s="3" t="inlineStr">
        <is>
          <t>대한민국</t>
        </is>
      </c>
      <c r="P1652" s="4" t="n">
        <v>1</v>
      </c>
      <c r="Q1652" s="4" t="n">
        <v>590.3</v>
      </c>
      <c r="R1652" s="3" t="inlineStr">
        <is>
          <t>지정되지않음</t>
        </is>
      </c>
      <c r="S1652" s="3" t="inlineStr">
        <is>
          <t>상업나지</t>
        </is>
      </c>
      <c r="T1652" s="3" t="inlineStr">
        <is>
          <t>평지</t>
        </is>
      </c>
      <c r="U1652" s="3" t="inlineStr">
        <is>
          <t>정방형</t>
        </is>
      </c>
      <c r="V1652" s="3" t="inlineStr">
        <is>
          <t>중로한면</t>
        </is>
      </c>
    </row>
    <row r="1653">
      <c r="A1653" s="3" t="inlineStr">
        <is>
          <t>오송읍 정중리 768</t>
        </is>
      </c>
      <c r="B1653" s="3" t="inlineStr">
        <is>
          <t>준공업지역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143000</v>
      </c>
      <c r="G1653" s="4" t="n">
        <v>590</v>
      </c>
      <c r="H1653" s="4" t="n">
        <v>178</v>
      </c>
      <c r="I1653" s="5" t="n">
        <v>803.4</v>
      </c>
      <c r="J1653" s="5" t="n">
        <v>256.4</v>
      </c>
      <c r="K1653" s="3" t="inlineStr">
        <is>
          <t>신도시 대단지아파트인접  지원시설용지</t>
        </is>
      </c>
      <c r="L1653" s="6">
        <f>HYPERLINK("https://fin.land.naver.com/articles/2651351013", "매물Link")</f>
        <v/>
      </c>
      <c r="M1653" s="6">
        <f>HYPERLINK("https://map.naver.com/p/search/오송읍 정중리 768", "지도Link")</f>
        <v/>
      </c>
      <c r="N1653" s="6">
        <f>HYPERLINK("http://www.eum.go.kr/web/ar/lu/luLandDet.jsp?pnu=4311325032107680000&amp;isNoScr=script&amp;mode=search", "토지이음")</f>
        <v/>
      </c>
      <c r="O1653" s="3" t="inlineStr">
        <is>
          <t>오송원</t>
        </is>
      </c>
      <c r="P1653" s="4" t="n">
        <v>1</v>
      </c>
      <c r="Q1653" s="4" t="n">
        <v>590.3</v>
      </c>
      <c r="R1653" s="3" t="inlineStr">
        <is>
          <t>지정되지않음</t>
        </is>
      </c>
      <c r="S1653" s="3" t="inlineStr">
        <is>
          <t>상업나지</t>
        </is>
      </c>
      <c r="T1653" s="3" t="inlineStr">
        <is>
          <t>평지</t>
        </is>
      </c>
      <c r="U1653" s="3" t="inlineStr">
        <is>
          <t>정방형</t>
        </is>
      </c>
      <c r="V1653" s="3" t="inlineStr">
        <is>
          <t>중로한면</t>
        </is>
      </c>
    </row>
    <row r="1654">
      <c r="A1654" s="3" t="inlineStr">
        <is>
          <t>오송읍 정중리 768</t>
        </is>
      </c>
      <c r="B1654" s="3" t="inlineStr">
        <is>
          <t>준공업지역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125000</v>
      </c>
      <c r="G1654" s="4" t="n">
        <v>590</v>
      </c>
      <c r="H1654" s="4" t="n">
        <v>178</v>
      </c>
      <c r="I1654" s="5" t="n">
        <v>702.2</v>
      </c>
      <c r="J1654" s="5" t="n">
        <v>256.4</v>
      </c>
      <c r="K1654" s="3" t="inlineStr">
        <is>
          <t>오송2산단내 지원시설용지 급매, 바로앞 대단지 아파트,가격조율가능</t>
        </is>
      </c>
      <c r="L1654" s="6">
        <f>HYPERLINK("https://fin.land.naver.com/articles/2654853566", "매물Link")</f>
        <v/>
      </c>
      <c r="M1654" s="6">
        <f>HYPERLINK("https://map.naver.com/p/search/오송읍 정중리 768", "지도Link")</f>
        <v/>
      </c>
      <c r="N1654" s="6">
        <f>HYPERLINK("http://www.eum.go.kr/web/ar/lu/luLandDet.jsp?pnu=4311325032107680000&amp;isNoScr=script&amp;mode=search", "토지이음")</f>
        <v/>
      </c>
      <c r="O1654" s="3" t="inlineStr">
        <is>
          <t>담뜰</t>
        </is>
      </c>
      <c r="P1654" s="4" t="n">
        <v>6</v>
      </c>
      <c r="Q1654" s="4" t="n">
        <v>590.3</v>
      </c>
      <c r="R1654" s="3" t="inlineStr">
        <is>
          <t>지정되지않음</t>
        </is>
      </c>
      <c r="S1654" s="3" t="inlineStr">
        <is>
          <t>상업나지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중로한면</t>
        </is>
      </c>
    </row>
    <row r="1655">
      <c r="A1655" s="3" t="inlineStr">
        <is>
          <t>오송읍 정중리 773</t>
        </is>
      </c>
      <c r="B1655" s="3" t="inlineStr">
        <is>
          <t>준공업지역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95000</v>
      </c>
      <c r="G1655" s="4" t="n">
        <v>580</v>
      </c>
      <c r="H1655" s="4" t="n">
        <v>175</v>
      </c>
      <c r="I1655" s="5" t="n">
        <v>542.9</v>
      </c>
      <c r="J1655" s="5" t="n">
        <v>258.9</v>
      </c>
      <c r="K1655" s="3" t="inlineStr">
        <is>
          <t>저렴한기회 지원시설용지 차량진출입 용이한 근생상가 추천</t>
        </is>
      </c>
      <c r="L1655" s="6">
        <f>HYPERLINK("https://fin.land.naver.com/articles/2650862161", "매물Link")</f>
        <v/>
      </c>
      <c r="M1655" s="6">
        <f>HYPERLINK("https://map.naver.com/p/search/오송읍 정중리 773", "지도Link")</f>
        <v/>
      </c>
      <c r="N1655" s="6">
        <f>HYPERLINK("http://www.eum.go.kr/web/ar/lu/luLandDet.jsp?pnu=4311325032107730000&amp;isNoScr=script&amp;mode=search", "토지이음")</f>
        <v/>
      </c>
      <c r="O1655" s="3" t="inlineStr">
        <is>
          <t>프로</t>
        </is>
      </c>
      <c r="P1655" s="4" t="n">
        <v>1</v>
      </c>
      <c r="Q1655" s="4" t="n">
        <v>580.4</v>
      </c>
      <c r="R1655" s="3" t="inlineStr">
        <is>
          <t>지정되지않음</t>
        </is>
      </c>
      <c r="S1655" s="3" t="inlineStr">
        <is>
          <t>상업기타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중로각지</t>
        </is>
      </c>
    </row>
    <row r="1656">
      <c r="A1656" s="3" t="inlineStr">
        <is>
          <t>오송읍 정중리 산13-1</t>
        </is>
      </c>
      <c r="B1656" s="3" t="inlineStr">
        <is>
          <t>계획관리지역</t>
        </is>
      </c>
      <c r="C1656" s="3" t="inlineStr">
        <is>
          <t>임야</t>
        </is>
      </c>
      <c r="D1656" s="3" t="inlineStr">
        <is>
          <t>임야</t>
        </is>
      </c>
      <c r="E1656" s="3" t="inlineStr">
        <is>
          <t>매매</t>
        </is>
      </c>
      <c r="F1656" s="4" t="n">
        <v>120000</v>
      </c>
      <c r="G1656" s="4" t="n">
        <v>6437</v>
      </c>
      <c r="H1656" s="4" t="n">
        <v>1947</v>
      </c>
      <c r="I1656" s="5" t="n">
        <v>61.6</v>
      </c>
      <c r="J1656" s="5" t="n">
        <v>16.7</v>
      </c>
      <c r="K1656" s="3" t="inlineStr">
        <is>
          <t>nan</t>
        </is>
      </c>
      <c r="L1656" s="6">
        <f>HYPERLINK("https://fin.land.naver.com/articles/2653265945", "매물Link")</f>
        <v/>
      </c>
      <c r="M1656" s="6">
        <f>HYPERLINK("https://map.naver.com/p/search/오송읍 정중리 산13-1", "지도Link")</f>
        <v/>
      </c>
      <c r="N1656" s="6">
        <f>HYPERLINK("http://www.eum.go.kr/web/ar/lu/luLandDet.jsp?pnu=4311325032200130001&amp;isNoScr=script&amp;mode=search", "토지이음")</f>
        <v/>
      </c>
      <c r="O1656" s="3" t="inlineStr">
        <is>
          <t>프로</t>
        </is>
      </c>
      <c r="P1656" s="4" t="n">
        <v>1</v>
      </c>
      <c r="Q1656" s="4" t="n">
        <v>6437</v>
      </c>
      <c r="R1656" s="3" t="inlineStr">
        <is>
          <t>지정되지않음</t>
        </is>
      </c>
      <c r="S1656" s="3" t="inlineStr">
        <is>
          <t>자연림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세로한면(불)</t>
        </is>
      </c>
    </row>
    <row r="1657">
      <c r="A1657" s="3" t="inlineStr">
        <is>
          <t>오송읍 호계리 143-1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39845</v>
      </c>
      <c r="G1657" s="4" t="n">
        <v>2026</v>
      </c>
      <c r="H1657" s="4" t="n">
        <v>613</v>
      </c>
      <c r="I1657" s="5" t="n">
        <v>65</v>
      </c>
      <c r="J1657" s="5" t="n">
        <v>30.4</v>
      </c>
      <c r="K1657" s="3" t="inlineStr">
        <is>
          <t>도로에 접해 주말농장 최상, 개발호재 핫한 오송시 위치 투자가치 최상</t>
        </is>
      </c>
      <c r="L1657" s="6">
        <f>HYPERLINK("https://fin.land.naver.com/articles/2650397039", "매물Link")</f>
        <v/>
      </c>
      <c r="M1657" s="6">
        <f>HYPERLINK("https://map.naver.com/p/search/오송읍 호계리 143-1", "지도Link")</f>
        <v/>
      </c>
      <c r="N1657" s="6">
        <f>HYPERLINK("http://www.eum.go.kr/web/ar/lu/luLandDet.jsp?pnu=4311325021101430001&amp;isNoScr=script&amp;mode=search", "토지이음")</f>
        <v/>
      </c>
      <c r="O1657" s="3" t="inlineStr">
        <is>
          <t>대한</t>
        </is>
      </c>
      <c r="P1657" s="4" t="n">
        <v>1</v>
      </c>
      <c r="Q1657" s="4" t="n">
        <v>2059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오송읍 호계리 152-1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53500</v>
      </c>
      <c r="G1658" s="4" t="n">
        <v>1359</v>
      </c>
      <c r="H1658" s="4" t="n">
        <v>411</v>
      </c>
      <c r="I1658" s="5" t="n">
        <v>130.2</v>
      </c>
      <c r="J1658" s="5" t="n">
        <v>39.1</v>
      </c>
      <c r="K1658" s="3" t="inlineStr">
        <is>
          <t>급매, 시세 대비 매우 저렴, 4미터 도로에 접하고 있는 계획관리 토지</t>
        </is>
      </c>
      <c r="L1658" s="6">
        <f>HYPERLINK("https://fin.land.naver.com/articles/2653224458", "매물Link")</f>
        <v/>
      </c>
      <c r="M1658" s="6">
        <f>HYPERLINK("https://map.naver.com/p/search/오송읍 호계리 152-1", "지도Link")</f>
        <v/>
      </c>
      <c r="N1658" s="6">
        <f>HYPERLINK("http://www.eum.go.kr/web/ar/lu/luLandDet.jsp?pnu=4311325021101520001&amp;isNoScr=script&amp;mode=search", "토지이음")</f>
        <v/>
      </c>
      <c r="O1658" s="3" t="inlineStr">
        <is>
          <t>제이</t>
        </is>
      </c>
      <c r="P1658" s="4" t="n">
        <v>1</v>
      </c>
      <c r="Q1658" s="4" t="n">
        <v>962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세로각지(가)</t>
        </is>
      </c>
    </row>
    <row r="1659">
      <c r="A1659" s="3" t="inlineStr">
        <is>
          <t>오송읍 호계리 153-1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53500</v>
      </c>
      <c r="G1659" s="4" t="n">
        <v>1359</v>
      </c>
      <c r="H1659" s="4" t="n">
        <v>411</v>
      </c>
      <c r="I1659" s="5" t="n">
        <v>130.2</v>
      </c>
      <c r="J1659" s="5" t="n">
        <v>40.1</v>
      </c>
      <c r="K1659" s="3" t="inlineStr">
        <is>
          <t>4M도로에 접함 투자및 공장추천 2필지</t>
        </is>
      </c>
      <c r="L1659" s="6">
        <f>HYPERLINK("https://fin.land.naver.com/articles/2650428790", "매물Link")</f>
        <v/>
      </c>
      <c r="M1659" s="6">
        <f>HYPERLINK("https://map.naver.com/p/search/오송읍 호계리 153-1", "지도Link")</f>
        <v/>
      </c>
      <c r="N1659" s="6">
        <f>HYPERLINK("http://www.eum.go.kr/web/ar/lu/luLandDet.jsp?pnu=4311325021101530001&amp;isNoScr=script&amp;mode=search", "토지이음")</f>
        <v/>
      </c>
      <c r="O1659" s="3" t="inlineStr">
        <is>
          <t>플러스태양</t>
        </is>
      </c>
      <c r="P1659" s="4" t="n">
        <v>1</v>
      </c>
      <c r="Q1659" s="4" t="n">
        <v>397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오송읍 호계리 155-1</t>
        </is>
      </c>
      <c r="B1660" s="3" t="inlineStr">
        <is>
          <t>계획관리지역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195800</v>
      </c>
      <c r="G1660" s="4" t="n">
        <v>2943</v>
      </c>
      <c r="H1660" s="4" t="n">
        <v>890</v>
      </c>
      <c r="I1660" s="5" t="n">
        <v>220</v>
      </c>
      <c r="J1660" s="5" t="n">
        <v>38.1</v>
      </c>
      <c r="K1660" s="3" t="inlineStr">
        <is>
          <t>오송읍, 호계리, 계획관리지역, 5m 도로 접한 토지</t>
        </is>
      </c>
      <c r="L1660" s="6">
        <f>HYPERLINK("https://fin.land.naver.com/articles/2652670142", "매물Link")</f>
        <v/>
      </c>
      <c r="M1660" s="6">
        <f>HYPERLINK("https://map.naver.com/p/search/오송읍 호계리 155-1", "지도Link")</f>
        <v/>
      </c>
      <c r="N1660" s="6">
        <f>HYPERLINK("http://www.eum.go.kr/web/ar/lu/luLandDet.jsp?pnu=4311325021101550001&amp;isNoScr=script&amp;mode=search", "토지이음")</f>
        <v/>
      </c>
      <c r="O1660" s="3" t="inlineStr">
        <is>
          <t>올바른</t>
        </is>
      </c>
      <c r="P1660" s="4" t="n">
        <v>1</v>
      </c>
      <c r="Q1660" s="4" t="n">
        <v>2943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오송읍 호계리 224-2</t>
        </is>
      </c>
      <c r="B1661" s="3" t="inlineStr">
        <is>
          <t>생산관리지역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49000</v>
      </c>
      <c r="G1661" s="4" t="n">
        <v>899</v>
      </c>
      <c r="H1661" s="4" t="n">
        <v>272</v>
      </c>
      <c r="I1661" s="5" t="n">
        <v>180.1</v>
      </c>
      <c r="J1661" s="5" t="n">
        <v>51.1</v>
      </c>
      <c r="K1661" s="3" t="inlineStr">
        <is>
          <t>2 배의 가치 2 배의 넓은 땅 사용 가능 토지  생산 관리 지역</t>
        </is>
      </c>
      <c r="L1661" s="6">
        <f>HYPERLINK("https://fin.land.naver.com/articles/2654653071", "매물Link")</f>
        <v/>
      </c>
      <c r="M1661" s="6">
        <f>HYPERLINK("https://map.naver.com/p/search/오송읍 호계리 224-2", "지도Link")</f>
        <v/>
      </c>
      <c r="N1661" s="6">
        <f>HYPERLINK("http://www.eum.go.kr/web/ar/lu/luLandDet.jsp?pnu=4311325021102240002&amp;isNoScr=script&amp;mode=search", "토지이음")</f>
        <v/>
      </c>
      <c r="O1661" s="3" t="inlineStr">
        <is>
          <t>오송퍼스트영웅</t>
        </is>
      </c>
      <c r="P1661" s="4" t="n">
        <v>1</v>
      </c>
      <c r="Q1661" s="4" t="n">
        <v>899</v>
      </c>
      <c r="R1661" s="3" t="inlineStr">
        <is>
          <t>지정되지않음</t>
        </is>
      </c>
      <c r="S1661" s="3" t="inlineStr">
        <is>
          <t>답기타</t>
        </is>
      </c>
      <c r="T1661" s="3" t="inlineStr">
        <is>
          <t>평지</t>
        </is>
      </c>
      <c r="U1661" s="3" t="inlineStr">
        <is>
          <t>세로장방</t>
        </is>
      </c>
      <c r="V1661" s="3" t="inlineStr">
        <is>
          <t>중로한면</t>
        </is>
      </c>
    </row>
    <row r="1662">
      <c r="A1662" s="3" t="inlineStr">
        <is>
          <t>오송읍 호계리 230-3</t>
        </is>
      </c>
      <c r="B1662" s="3" t="inlineStr">
        <is>
          <t>농림지역</t>
        </is>
      </c>
      <c r="C1662" s="3" t="inlineStr">
        <is>
          <t>답</t>
        </is>
      </c>
      <c r="D1662" s="3" t="inlineStr">
        <is>
          <t>답</t>
        </is>
      </c>
      <c r="E1662" s="3" t="inlineStr">
        <is>
          <t>매매</t>
        </is>
      </c>
      <c r="F1662" s="4" t="n">
        <v>29000</v>
      </c>
      <c r="G1662" s="4" t="n">
        <v>1595</v>
      </c>
      <c r="H1662" s="4" t="n">
        <v>482</v>
      </c>
      <c r="I1662" s="5" t="n">
        <v>60.2</v>
      </c>
      <c r="J1662" s="5" t="n">
        <v>32.4</v>
      </c>
      <c r="K1662" s="3" t="inlineStr">
        <is>
          <t>호계리 토지 매매.</t>
        </is>
      </c>
      <c r="L1662" s="6">
        <f>HYPERLINK("https://fin.land.naver.com/articles/2652685771", "매물Link")</f>
        <v/>
      </c>
      <c r="M1662" s="6">
        <f>HYPERLINK("https://map.naver.com/p/search/오송읍 호계리 230-3", "지도Link")</f>
        <v/>
      </c>
      <c r="N1662" s="6">
        <f>HYPERLINK("http://www.eum.go.kr/web/ar/lu/luLandDet.jsp?pnu=4311325021102300003&amp;isNoScr=script&amp;mode=search", "토지이음")</f>
        <v/>
      </c>
      <c r="O1662" s="3" t="inlineStr">
        <is>
          <t>대한민국</t>
        </is>
      </c>
      <c r="P1662" s="4" t="n">
        <v>1</v>
      </c>
      <c r="Q1662" s="4" t="n">
        <v>1595</v>
      </c>
      <c r="R1662" s="3" t="inlineStr">
        <is>
          <t>지정되지않음</t>
        </is>
      </c>
      <c r="S1662" s="3" t="inlineStr">
        <is>
          <t>답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오송읍 호계리 3-2</t>
        </is>
      </c>
      <c r="B1663" s="3" t="inlineStr">
        <is>
          <t>계획관리지역</t>
        </is>
      </c>
      <c r="C1663" s="3" t="inlineStr">
        <is>
          <t>전</t>
        </is>
      </c>
      <c r="D1663" s="3" t="inlineStr">
        <is>
          <t>전</t>
        </is>
      </c>
      <c r="E1663" s="3" t="inlineStr">
        <is>
          <t>매매</t>
        </is>
      </c>
      <c r="F1663" s="4" t="n">
        <v>90400</v>
      </c>
      <c r="G1663" s="4" t="n">
        <v>1494</v>
      </c>
      <c r="H1663" s="4" t="n">
        <v>452</v>
      </c>
      <c r="I1663" s="5" t="n">
        <v>200</v>
      </c>
      <c r="J1663" s="5" t="n">
        <v>33.6</v>
      </c>
      <c r="K1663" s="3" t="inlineStr">
        <is>
          <t>공장이나 창고부지 적격</t>
        </is>
      </c>
      <c r="L1663" s="6">
        <f>HYPERLINK("https://fin.land.naver.com/articles/2652471712", "매물Link")</f>
        <v/>
      </c>
      <c r="M1663" s="6">
        <f>HYPERLINK("https://map.naver.com/p/search/오송읍 호계리 3-2", "지도Link")</f>
        <v/>
      </c>
      <c r="N1663" s="6">
        <f>HYPERLINK("http://www.eum.go.kr/web/ar/lu/luLandDet.jsp?pnu=4311325021100030002&amp;isNoScr=script&amp;mode=search", "토지이음")</f>
        <v/>
      </c>
      <c r="O1663" s="3" t="inlineStr">
        <is>
          <t>천석</t>
        </is>
      </c>
      <c r="P1663" s="4" t="n">
        <v>1</v>
      </c>
      <c r="Q1663" s="4" t="n">
        <v>1494</v>
      </c>
      <c r="R1663" s="3" t="inlineStr">
        <is>
          <t>지정되지않음</t>
        </is>
      </c>
      <c r="S1663" s="3" t="inlineStr">
        <is>
          <t>전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맹지</t>
        </is>
      </c>
    </row>
    <row r="1664">
      <c r="A1664" s="3" t="inlineStr">
        <is>
          <t>오송읍 호계리 50</t>
        </is>
      </c>
      <c r="B1664" s="3" t="inlineStr">
        <is>
          <t>계획관리지역</t>
        </is>
      </c>
      <c r="C1664" s="3" t="inlineStr">
        <is>
          <t>전</t>
        </is>
      </c>
      <c r="D1664" s="3" t="inlineStr">
        <is>
          <t>전</t>
        </is>
      </c>
      <c r="E1664" s="3" t="inlineStr">
        <is>
          <t>매매</t>
        </is>
      </c>
      <c r="F1664" s="4" t="n">
        <v>90000</v>
      </c>
      <c r="G1664" s="4" t="n">
        <v>1927</v>
      </c>
      <c r="H1664" s="4" t="n">
        <v>583</v>
      </c>
      <c r="I1664" s="5" t="n">
        <v>154.4</v>
      </c>
      <c r="J1664" s="5" t="n">
        <v>40.1</v>
      </c>
      <c r="K1664" s="3" t="inlineStr">
        <is>
          <t>오송읍 호계리 산과 인접한 전원주택부지</t>
        </is>
      </c>
      <c r="L1664" s="6">
        <f>HYPERLINK("https://fin.land.naver.com/articles/2654451662", "매물Link")</f>
        <v/>
      </c>
      <c r="M1664" s="6">
        <f>HYPERLINK("https://map.naver.com/p/search/오송읍 호계리 50", "지도Link")</f>
        <v/>
      </c>
      <c r="N1664" s="6">
        <f>HYPERLINK("http://www.eum.go.kr/web/ar/lu/luLandDet.jsp?pnu=4311325021100500000&amp;isNoScr=script&amp;mode=search", "토지이음")</f>
        <v/>
      </c>
      <c r="O1664" s="3" t="inlineStr">
        <is>
          <t>새벽무소</t>
        </is>
      </c>
      <c r="P1664" s="4" t="n">
        <v>1</v>
      </c>
      <c r="Q1664" s="4" t="n">
        <v>1927</v>
      </c>
      <c r="R1664" s="3" t="inlineStr">
        <is>
          <t>지정되지않음</t>
        </is>
      </c>
      <c r="S1664" s="3" t="inlineStr">
        <is>
          <t>전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세로한면(가)</t>
        </is>
      </c>
    </row>
    <row r="1665">
      <c r="A1665" s="3" t="inlineStr">
        <is>
          <t>오송읍 호계리 7-6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28500</v>
      </c>
      <c r="G1665" s="4" t="n">
        <v>627</v>
      </c>
      <c r="H1665" s="4" t="n">
        <v>190</v>
      </c>
      <c r="I1665" s="5" t="n">
        <v>150</v>
      </c>
      <c r="J1665" s="5" t="n">
        <v>39</v>
      </c>
      <c r="K1665" s="3" t="inlineStr">
        <is>
          <t>전원주택지</t>
        </is>
      </c>
      <c r="L1665" s="6">
        <f>HYPERLINK("https://fin.land.naver.com/articles/2649702438", "매물Link")</f>
        <v/>
      </c>
      <c r="M1665" s="6">
        <f>HYPERLINK("https://map.naver.com/p/search/오송읍 호계리 7-6", "지도Link")</f>
        <v/>
      </c>
      <c r="N1665" s="6">
        <f>HYPERLINK("http://www.eum.go.kr/web/ar/lu/luLandDet.jsp?pnu=4311325021100070006&amp;isNoScr=script&amp;mode=search", "토지이음")</f>
        <v/>
      </c>
      <c r="O1665" s="3" t="inlineStr">
        <is>
          <t>금송</t>
        </is>
      </c>
      <c r="P1665" s="4" t="n">
        <v>1</v>
      </c>
      <c r="Q1665" s="4" t="n">
        <v>627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조치원읍 교리 16-5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40000</v>
      </c>
      <c r="G1666" s="4" t="n">
        <v>207</v>
      </c>
      <c r="H1666" s="4" t="n">
        <v>63</v>
      </c>
      <c r="I1666" s="5" t="n">
        <v>634.9</v>
      </c>
      <c r="J1666" s="5" t="n">
        <v>206.5</v>
      </c>
      <c r="K1666" s="3" t="inlineStr">
        <is>
          <t>조치원역 가까운 주거지역 토지매매</t>
        </is>
      </c>
      <c r="L1666" s="6">
        <f>HYPERLINK("https://fin.land.naver.com/articles/2654530676", "매물Link")</f>
        <v/>
      </c>
      <c r="M1666" s="6">
        <f>HYPERLINK("https://map.naver.com/p/search/조치원읍 교리 16-5", "지도Link")</f>
        <v/>
      </c>
      <c r="N1666" s="6">
        <f>HYPERLINK("http://www.eum.go.kr/web/ar/lu/luLandDet.jsp?pnu=3611025024100160005&amp;isNoScr=script&amp;mode=search", "토지이음")</f>
        <v/>
      </c>
      <c r="O1666" s="3" t="inlineStr">
        <is>
          <t>김준희</t>
        </is>
      </c>
      <c r="P1666" s="4" t="n">
        <v>1</v>
      </c>
      <c r="Q1666" s="4" t="n">
        <v>103.5</v>
      </c>
      <c r="R1666" s="3" t="inlineStr">
        <is>
          <t>지정되지않음</t>
        </is>
      </c>
      <c r="S1666" s="3" t="inlineStr">
        <is>
          <t>단독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세로한면(가)</t>
        </is>
      </c>
    </row>
    <row r="1667">
      <c r="A1667" s="3" t="inlineStr">
        <is>
          <t>조치원읍 교리 18-11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42000</v>
      </c>
      <c r="G1667" s="4" t="n">
        <v>179</v>
      </c>
      <c r="H1667" s="4" t="n">
        <v>54</v>
      </c>
      <c r="I1667" s="5" t="n">
        <v>777.8</v>
      </c>
      <c r="J1667" s="5" t="n">
        <v>274.9</v>
      </c>
      <c r="K1667" s="3" t="inlineStr">
        <is>
          <t>nan</t>
        </is>
      </c>
      <c r="L1667" s="6">
        <f>HYPERLINK("https://fin.land.naver.com/articles/2653462749", "매물Link")</f>
        <v/>
      </c>
      <c r="M1667" s="6">
        <f>HYPERLINK("https://map.naver.com/p/search/조치원읍 교리 18-11", "지도Link")</f>
        <v/>
      </c>
      <c r="N1667" s="6">
        <f>HYPERLINK("http://www.eum.go.kr/web/ar/lu/luLandDet.jsp?pnu=3611025024100180011&amp;isNoScr=script&amp;mode=search", "토지이음")</f>
        <v/>
      </c>
      <c r="O1667" s="3" t="inlineStr">
        <is>
          <t>정인</t>
        </is>
      </c>
      <c r="P1667" s="4" t="n">
        <v>1</v>
      </c>
      <c r="Q1667" s="4" t="n">
        <v>179.5</v>
      </c>
      <c r="R1667" s="3" t="inlineStr">
        <is>
          <t>지정되지않음</t>
        </is>
      </c>
      <c r="S1667" s="3" t="inlineStr">
        <is>
          <t>주상기타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중로한면</t>
        </is>
      </c>
    </row>
    <row r="1668">
      <c r="A1668" s="3" t="inlineStr">
        <is>
          <t>조치원읍 교리 22-20</t>
        </is>
      </c>
      <c r="B1668" s="3" t="inlineStr">
        <is>
          <t>일반상업지역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100000</v>
      </c>
      <c r="G1668" s="4" t="n">
        <v>387</v>
      </c>
      <c r="H1668" s="4" t="n">
        <v>117</v>
      </c>
      <c r="I1668" s="5" t="n">
        <v>854.7</v>
      </c>
      <c r="J1668" s="5" t="n">
        <v>452.2</v>
      </c>
      <c r="K1668" s="3" t="inlineStr">
        <is>
          <t>nan</t>
        </is>
      </c>
      <c r="L1668" s="6">
        <f>HYPERLINK("https://fin.land.naver.com/articles/2652123797", "매물Link")</f>
        <v/>
      </c>
      <c r="M1668" s="6">
        <f>HYPERLINK("https://map.naver.com/p/search/조치원읍 교리 22-20", "지도Link")</f>
        <v/>
      </c>
      <c r="N1668" s="6">
        <f>HYPERLINK("http://www.eum.go.kr/web/ar/lu/luLandDet.jsp?pnu=3611025024100220020&amp;isNoScr=script&amp;mode=search", "토지이음")</f>
        <v/>
      </c>
      <c r="O1668" s="3" t="inlineStr">
        <is>
          <t>미스터홈즈강남지사</t>
        </is>
      </c>
      <c r="P1668" s="4" t="n">
        <v>1</v>
      </c>
      <c r="Q1668" s="4" t="n">
        <v>185.8</v>
      </c>
      <c r="R1668" s="3" t="inlineStr">
        <is>
          <t>지정되지않음</t>
        </is>
      </c>
      <c r="S1668" s="3" t="inlineStr">
        <is>
          <t>상업용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소로한면</t>
        </is>
      </c>
    </row>
    <row r="1669">
      <c r="A1669" s="3" t="inlineStr">
        <is>
          <t>조치원읍 남리 103-68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49000</v>
      </c>
      <c r="G1669" s="4" t="n">
        <v>396</v>
      </c>
      <c r="H1669" s="4" t="n">
        <v>120</v>
      </c>
      <c r="I1669" s="5" t="n">
        <v>408.3</v>
      </c>
      <c r="J1669" s="5" t="n">
        <v>166.9</v>
      </c>
      <c r="K1669" s="3" t="inlineStr">
        <is>
          <t>2차선변, 조치원역 도보권, 조치원도시재생뉴딜지역 근거리, 동서연결도로</t>
        </is>
      </c>
      <c r="L1669" s="6">
        <f>HYPERLINK("https://fin.land.naver.com/articles/2653295631", "매물Link")</f>
        <v/>
      </c>
      <c r="M1669" s="6">
        <f>HYPERLINK("https://map.naver.com/p/search/조치원읍 남리 103-68", "지도Link")</f>
        <v/>
      </c>
      <c r="N1669" s="6">
        <f>HYPERLINK("http://www.eum.go.kr/web/ar/lu/luLandDet.jsp?pnu=3611025027101030068&amp;isNoScr=script&amp;mode=search", "토지이음")</f>
        <v/>
      </c>
      <c r="O1669" s="3" t="inlineStr">
        <is>
          <t>세종공감</t>
        </is>
      </c>
      <c r="P1669" s="4" t="n">
        <v>4</v>
      </c>
      <c r="Q1669" s="4" t="n">
        <v>396</v>
      </c>
      <c r="R1669" s="3" t="inlineStr">
        <is>
          <t>지정되지않음</t>
        </is>
      </c>
      <c r="S1669" s="3" t="inlineStr">
        <is>
          <t>단독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조치원읍 남리 307-2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250000</v>
      </c>
      <c r="G1670" s="4" t="n">
        <v>788</v>
      </c>
      <c r="H1670" s="4" t="n">
        <v>238</v>
      </c>
      <c r="I1670" s="5" t="n">
        <v>1050.4</v>
      </c>
      <c r="J1670" s="5" t="n">
        <v>366.6</v>
      </c>
      <c r="K1670" s="3" t="inlineStr">
        <is>
          <t>조치원 4차선 코너,대지238P,통건물 3동포함,사옥 병원등 추천</t>
        </is>
      </c>
      <c r="L1670" s="6">
        <f>HYPERLINK("https://fin.land.naver.com/articles/2650483987", "매물Link")</f>
        <v/>
      </c>
      <c r="M1670" s="6">
        <f>HYPERLINK("https://map.naver.com/p/search/조치원읍 남리 307-2", "지도Link")</f>
        <v/>
      </c>
      <c r="N1670" s="6">
        <f>HYPERLINK("http://www.eum.go.kr/web/ar/lu/luLandDet.jsp?pnu=3611025027103070002&amp;isNoScr=script&amp;mode=search", "토지이음")</f>
        <v/>
      </c>
      <c r="O1670" s="3" t="inlineStr">
        <is>
          <t>광장</t>
        </is>
      </c>
      <c r="P1670" s="4" t="n">
        <v>1</v>
      </c>
      <c r="Q1670" s="4" t="n">
        <v>211.4</v>
      </c>
      <c r="R1670" s="3" t="inlineStr">
        <is>
          <t>지정되지않음</t>
        </is>
      </c>
      <c r="S1670" s="3" t="inlineStr">
        <is>
          <t>상업용</t>
        </is>
      </c>
      <c r="T1670" s="3" t="inlineStr">
        <is>
          <t>평지</t>
        </is>
      </c>
      <c r="U1670" s="3" t="inlineStr">
        <is>
          <t>자루형</t>
        </is>
      </c>
      <c r="V1670" s="3" t="inlineStr">
        <is>
          <t>중로각지</t>
        </is>
      </c>
    </row>
    <row r="1671">
      <c r="A1671" s="3" t="inlineStr">
        <is>
          <t>조치원읍 남리 347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33250</v>
      </c>
      <c r="G1671" s="4" t="n">
        <v>315</v>
      </c>
      <c r="H1671" s="4" t="n">
        <v>95</v>
      </c>
      <c r="I1671" s="5" t="n">
        <v>350</v>
      </c>
      <c r="J1671" s="5" t="n">
        <v>263.5</v>
      </c>
      <c r="K1671" s="3" t="inlineStr">
        <is>
          <t>남리 예쁜땅모양 주택및원룸 추천</t>
        </is>
      </c>
      <c r="L1671" s="6">
        <f>HYPERLINK("https://fin.land.naver.com/articles/2651708417", "매물Link")</f>
        <v/>
      </c>
      <c r="M1671" s="6">
        <f>HYPERLINK("https://map.naver.com/p/search/조치원읍 남리 347", "지도Link")</f>
        <v/>
      </c>
      <c r="N1671" s="6">
        <f>HYPERLINK("http://www.eum.go.kr/web/ar/lu/luLandDet.jsp?pnu=3611025027103470000&amp;isNoScr=script&amp;mode=search", "토지이음")</f>
        <v/>
      </c>
      <c r="O1671" s="3" t="inlineStr">
        <is>
          <t>OK수</t>
        </is>
      </c>
      <c r="P1671" s="4" t="n">
        <v>1</v>
      </c>
      <c r="Q1671" s="4" t="n">
        <v>315.7</v>
      </c>
      <c r="R1671" s="3" t="inlineStr">
        <is>
          <t>지정되지않음</t>
        </is>
      </c>
      <c r="S1671" s="3" t="inlineStr">
        <is>
          <t>주상기타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세로한면(가)</t>
        </is>
      </c>
    </row>
    <row r="1672">
      <c r="A1672" s="3" t="inlineStr">
        <is>
          <t>조치원읍 남리 419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38000</v>
      </c>
      <c r="G1672" s="4" t="n">
        <v>353</v>
      </c>
      <c r="H1672" s="4" t="n">
        <v>107</v>
      </c>
      <c r="I1672" s="5" t="n">
        <v>355.1</v>
      </c>
      <c r="J1672" s="5" t="n">
        <v>170.3</v>
      </c>
      <c r="K1672" s="3" t="inlineStr">
        <is>
          <t>남리 저렴한 토지 다가구원룸,사옥,상가 추천</t>
        </is>
      </c>
      <c r="L1672" s="6">
        <f>HYPERLINK("https://fin.land.naver.com/articles/2655142624", "매물Link")</f>
        <v/>
      </c>
      <c r="M1672" s="6">
        <f>HYPERLINK("https://map.naver.com/p/search/조치원읍 남리 419", "지도Link")</f>
        <v/>
      </c>
      <c r="N1672" s="6">
        <f>HYPERLINK("http://www.eum.go.kr/web/ar/lu/luLandDet.jsp?pnu=3611025027104190000&amp;isNoScr=script&amp;mode=search", "토지이음")</f>
        <v/>
      </c>
      <c r="O1672" s="3" t="inlineStr">
        <is>
          <t>OK수</t>
        </is>
      </c>
      <c r="P1672" s="4" t="n">
        <v>1</v>
      </c>
      <c r="Q1672" s="4" t="n">
        <v>352.6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정방형</t>
        </is>
      </c>
      <c r="V1672" s="3" t="inlineStr">
        <is>
          <t>세로한면(가)</t>
        </is>
      </c>
    </row>
    <row r="1673">
      <c r="A1673" s="3" t="inlineStr">
        <is>
          <t>조치원읍 남리 436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23800</v>
      </c>
      <c r="G1673" s="4" t="n">
        <v>225</v>
      </c>
      <c r="H1673" s="4" t="n">
        <v>68</v>
      </c>
      <c r="I1673" s="5" t="n">
        <v>350</v>
      </c>
      <c r="J1673" s="5" t="n">
        <v>321.7</v>
      </c>
      <c r="K1673" s="3" t="inlineStr">
        <is>
          <t>10m 도로 접, 공영주차장 접, 나대지. 착한가격의 투자매물</t>
        </is>
      </c>
      <c r="L1673" s="6">
        <f>HYPERLINK("https://fin.land.naver.com/articles/2651339564", "매물Link")</f>
        <v/>
      </c>
      <c r="M1673" s="6">
        <f>HYPERLINK("https://map.naver.com/p/search/조치원읍 남리 436", "지도Link")</f>
        <v/>
      </c>
      <c r="N1673" s="6">
        <f>HYPERLINK("http://www.eum.go.kr/web/ar/lu/luLandDet.jsp?pnu=3611025027104360000&amp;isNoScr=script&amp;mode=search", "토지이음")</f>
        <v/>
      </c>
      <c r="O1673" s="3" t="inlineStr">
        <is>
          <t>오송3산단  사무소</t>
        </is>
      </c>
      <c r="P1673" s="4" t="n">
        <v>2</v>
      </c>
      <c r="Q1673" s="4" t="n">
        <v>225.8</v>
      </c>
      <c r="R1673" s="3" t="inlineStr">
        <is>
          <t>지정되지않음</t>
        </is>
      </c>
      <c r="S1673" s="3" t="inlineStr">
        <is>
          <t>상업나지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소로한면</t>
        </is>
      </c>
    </row>
    <row r="1674">
      <c r="A1674" s="3" t="inlineStr">
        <is>
          <t>조치원읍 번암리 121-4</t>
        </is>
      </c>
      <c r="B1674" s="3" t="inlineStr">
        <is>
          <t>일반공업지역</t>
        </is>
      </c>
      <c r="C1674" s="3" t="inlineStr">
        <is>
          <t>잡종지</t>
        </is>
      </c>
      <c r="D1674" s="3" t="inlineStr">
        <is>
          <t>잡종지</t>
        </is>
      </c>
      <c r="E1674" s="3" t="inlineStr">
        <is>
          <t>매매</t>
        </is>
      </c>
      <c r="F1674" s="4" t="n">
        <v>280000</v>
      </c>
      <c r="G1674" s="4" t="n">
        <v>1531</v>
      </c>
      <c r="H1674" s="4" t="n">
        <v>463</v>
      </c>
      <c r="I1674" s="5" t="n">
        <v>604.8</v>
      </c>
      <c r="J1674" s="5" t="n">
        <v>201.1</v>
      </c>
      <c r="K1674" s="3" t="inlineStr">
        <is>
          <t>세종산단과 오송산단을 잇는 대로 접, 광고 시인성 뛰어남, 적극조율</t>
        </is>
      </c>
      <c r="L1674" s="6">
        <f>HYPERLINK("https://fin.land.naver.com/articles/2654135487", "매물Link")</f>
        <v/>
      </c>
      <c r="M1674" s="6">
        <f>HYPERLINK("https://map.naver.com/p/search/조치원읍 번암리 121-4", "지도Link")</f>
        <v/>
      </c>
      <c r="N1674" s="6">
        <f>HYPERLINK("http://www.eum.go.kr/web/ar/lu/luLandDet.jsp?pnu=3611025031101210004&amp;isNoScr=script&amp;mode=search", "토지이음")</f>
        <v/>
      </c>
      <c r="O1674" s="3" t="inlineStr">
        <is>
          <t>새롬시티</t>
        </is>
      </c>
      <c r="P1674" s="4" t="n">
        <v>1</v>
      </c>
      <c r="Q1674" s="4" t="n">
        <v>1531</v>
      </c>
      <c r="R1674" s="3" t="inlineStr">
        <is>
          <t>지정되지않음</t>
        </is>
      </c>
      <c r="S1674" s="3" t="inlineStr">
        <is>
          <t>상업용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광대세각</t>
        </is>
      </c>
    </row>
    <row r="1675">
      <c r="A1675" s="3" t="inlineStr">
        <is>
          <t>조치원읍 번암리 133</t>
        </is>
      </c>
      <c r="B1675" s="3" t="inlineStr">
        <is>
          <t>제2종일반주거지역</t>
        </is>
      </c>
      <c r="C1675" s="3" t="inlineStr">
        <is>
          <t>주유소용지</t>
        </is>
      </c>
      <c r="D1675" s="3" t="inlineStr">
        <is>
          <t>주유소용지</t>
        </is>
      </c>
      <c r="E1675" s="3" t="inlineStr">
        <is>
          <t>매매</t>
        </is>
      </c>
      <c r="F1675" s="4" t="n">
        <v>170000</v>
      </c>
      <c r="G1675" s="4" t="n">
        <v>542</v>
      </c>
      <c r="H1675" s="4" t="n">
        <v>164</v>
      </c>
      <c r="I1675" s="5" t="n">
        <v>1036.6</v>
      </c>
      <c r="J1675" s="5" t="n">
        <v>380.8</v>
      </c>
      <c r="K1675" s="3" t="inlineStr">
        <is>
          <t>최고의 입지, 대도로 접합, 진입로 있음, 명당,현재 주유소부지.</t>
        </is>
      </c>
      <c r="L1675" s="6">
        <f>HYPERLINK("https://fin.land.naver.com/articles/2653735754", "매물Link")</f>
        <v/>
      </c>
      <c r="M1675" s="6">
        <f>HYPERLINK("https://map.naver.com/p/search/조치원읍 번암리 133", "지도Link")</f>
        <v/>
      </c>
      <c r="N1675" s="6">
        <f>HYPERLINK("http://www.eum.go.kr/web/ar/lu/luLandDet.jsp?pnu=3611025031101330000&amp;isNoScr=script&amp;mode=search", "토지이음")</f>
        <v/>
      </c>
      <c r="O1675" s="3" t="inlineStr">
        <is>
          <t>송죽</t>
        </is>
      </c>
      <c r="P1675" s="4" t="n">
        <v>1</v>
      </c>
      <c r="Q1675" s="4" t="n">
        <v>542</v>
      </c>
      <c r="R1675" s="3" t="inlineStr">
        <is>
          <t>지정되지않음</t>
        </is>
      </c>
      <c r="S1675" s="3" t="inlineStr">
        <is>
          <t>상업용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광대로한면</t>
        </is>
      </c>
    </row>
    <row r="1676">
      <c r="A1676" s="3" t="inlineStr">
        <is>
          <t>조치원읍 번암리 171-48</t>
        </is>
      </c>
      <c r="B1676" s="3" t="inlineStr">
        <is>
          <t>일반공업지역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158400</v>
      </c>
      <c r="G1676" s="4" t="n">
        <v>1007</v>
      </c>
      <c r="H1676" s="4" t="n">
        <v>305</v>
      </c>
      <c r="I1676" s="5" t="n">
        <v>519.3</v>
      </c>
      <c r="J1676" s="5" t="n">
        <v>49.5</v>
      </c>
      <c r="K1676" s="3" t="inlineStr">
        <is>
          <t>조율가,대도로인접,소방포장도로 접,노출효과 좋음,근린상가,소형공장등 추천</t>
        </is>
      </c>
      <c r="L1676" s="6">
        <f>HYPERLINK("https://fin.land.naver.com/articles/2650121496", "매물Link")</f>
        <v/>
      </c>
      <c r="M1676" s="6">
        <f>HYPERLINK("https://map.naver.com/p/search/조치원읍 번암리 171-48", "지도Link")</f>
        <v/>
      </c>
      <c r="N1676" s="6">
        <f>HYPERLINK("http://www.eum.go.kr/web/ar/lu/luLandDet.jsp?pnu=3611025031101710048&amp;isNoScr=script&amp;mode=search", "토지이음")</f>
        <v/>
      </c>
      <c r="O1676" s="3" t="inlineStr">
        <is>
          <t>세종지원</t>
        </is>
      </c>
      <c r="P1676" s="4" t="n">
        <v>1</v>
      </c>
      <c r="Q1676" s="4" t="n">
        <v>598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완경사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번암리 171-48</t>
        </is>
      </c>
      <c r="B1677" s="3" t="inlineStr">
        <is>
          <t>일반공업지역</t>
        </is>
      </c>
      <c r="C1677" s="3" t="inlineStr">
        <is>
          <t>과수원</t>
        </is>
      </c>
      <c r="D1677" s="3" t="inlineStr">
        <is>
          <t>과수원</t>
        </is>
      </c>
      <c r="E1677" s="3" t="inlineStr">
        <is>
          <t>매매</t>
        </is>
      </c>
      <c r="F1677" s="4" t="n">
        <v>121800</v>
      </c>
      <c r="G1677" s="4" t="n">
        <v>1007</v>
      </c>
      <c r="H1677" s="4" t="n">
        <v>305</v>
      </c>
      <c r="I1677" s="5" t="n">
        <v>399.3</v>
      </c>
      <c r="J1677" s="5" t="n">
        <v>49.5</v>
      </c>
      <c r="K1677" s="3" t="inlineStr">
        <is>
          <t>대로변 광고효과 소로1류1012m접함 일반공업지역 공장 근생적합</t>
        </is>
      </c>
      <c r="L1677" s="6">
        <f>HYPERLINK("https://fin.land.naver.com/articles/2651927674", "매물Link")</f>
        <v/>
      </c>
      <c r="M1677" s="6">
        <f>HYPERLINK("https://map.naver.com/p/search/조치원읍 번암리 171-48", "지도Link")</f>
        <v/>
      </c>
      <c r="N1677" s="6">
        <f>HYPERLINK("http://www.eum.go.kr/web/ar/lu/luLandDet.jsp?pnu=3611025031101710048&amp;isNoScr=script&amp;mode=search", "토지이음")</f>
        <v/>
      </c>
      <c r="O1677" s="3" t="inlineStr">
        <is>
          <t>세종이룸</t>
        </is>
      </c>
      <c r="P1677" s="4" t="n">
        <v>1</v>
      </c>
      <c r="Q1677" s="4" t="n">
        <v>598</v>
      </c>
      <c r="R1677" s="3" t="inlineStr">
        <is>
          <t>지정되지않음</t>
        </is>
      </c>
      <c r="S1677" s="3" t="inlineStr">
        <is>
          <t>과수원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세로한면(불)</t>
        </is>
      </c>
    </row>
    <row r="1678">
      <c r="A1678" s="3" t="inlineStr">
        <is>
          <t>조치원읍 번암리 171-49</t>
        </is>
      </c>
      <c r="B1678" s="3" t="inlineStr">
        <is>
          <t>일반공업지역</t>
        </is>
      </c>
      <c r="C1678" s="3" t="inlineStr">
        <is>
          <t>과수원</t>
        </is>
      </c>
      <c r="D1678" s="3" t="inlineStr">
        <is>
          <t>과수원</t>
        </is>
      </c>
      <c r="E1678" s="3" t="inlineStr">
        <is>
          <t>매매</t>
        </is>
      </c>
      <c r="F1678" s="4" t="n">
        <v>178880</v>
      </c>
      <c r="G1678" s="4" t="n">
        <v>1137</v>
      </c>
      <c r="H1678" s="4" t="n">
        <v>344</v>
      </c>
      <c r="I1678" s="5" t="n">
        <v>520</v>
      </c>
      <c r="J1678" s="5" t="n">
        <v>44</v>
      </c>
      <c r="K1678" s="3" t="inlineStr">
        <is>
          <t>조율가,대도로근접,소방포장도로 접,노출효과 좋음,근린상가,소형공장등 추천</t>
        </is>
      </c>
      <c r="L1678" s="6">
        <f>HYPERLINK("https://fin.land.naver.com/articles/2650121155", "매물Link")</f>
        <v/>
      </c>
      <c r="M1678" s="6">
        <f>HYPERLINK("https://map.naver.com/p/search/조치원읍 번암리 171-49", "지도Link")</f>
        <v/>
      </c>
      <c r="N1678" s="6">
        <f>HYPERLINK("http://www.eum.go.kr/web/ar/lu/luLandDet.jsp?pnu=3611025031101710049&amp;isNoScr=script&amp;mode=search", "토지이음")</f>
        <v/>
      </c>
      <c r="O1678" s="3" t="inlineStr">
        <is>
          <t>어반통</t>
        </is>
      </c>
      <c r="P1678" s="4" t="n">
        <v>1</v>
      </c>
      <c r="Q1678" s="4" t="n">
        <v>1137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맹지</t>
        </is>
      </c>
    </row>
    <row r="1679">
      <c r="A1679" s="3" t="inlineStr">
        <is>
          <t>조치원읍 번암리 2-4</t>
        </is>
      </c>
      <c r="B1679" s="3" t="inlineStr">
        <is>
          <t>보전녹지지역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186000</v>
      </c>
      <c r="G1679" s="4" t="n">
        <v>15410</v>
      </c>
      <c r="H1679" s="4" t="n">
        <v>4662</v>
      </c>
      <c r="I1679" s="5" t="n">
        <v>39.9</v>
      </c>
      <c r="J1679" s="5" t="n">
        <v>59.8</v>
      </c>
      <c r="K1679" s="3" t="inlineStr">
        <is>
          <t>급매, 번암리 산업시설,공장다수,향후 활용가능성 높은토지</t>
        </is>
      </c>
      <c r="L1679" s="6">
        <f>HYPERLINK("https://fin.land.naver.com/articles/2651070894", "매물Link")</f>
        <v/>
      </c>
      <c r="M1679" s="6">
        <f>HYPERLINK("https://map.naver.com/p/search/조치원읍 번암리 2-4", "지도Link")</f>
        <v/>
      </c>
      <c r="N1679" s="6">
        <f>HYPERLINK("http://www.eum.go.kr/web/ar/lu/luLandDet.jsp?pnu=3611025031100020004&amp;isNoScr=script&amp;mode=search", "토지이음")</f>
        <v/>
      </c>
      <c r="O1679" s="3" t="inlineStr">
        <is>
          <t>다옴</t>
        </is>
      </c>
      <c r="P1679" s="4" t="n">
        <v>1</v>
      </c>
      <c r="Q1679" s="4" t="n">
        <v>10154</v>
      </c>
      <c r="R1679" s="3" t="inlineStr">
        <is>
          <t>지정되지않음</t>
        </is>
      </c>
      <c r="S1679" s="3" t="inlineStr">
        <is>
          <t>과수원</t>
        </is>
      </c>
      <c r="T1679" s="3" t="inlineStr">
        <is>
          <t>완경사</t>
        </is>
      </c>
      <c r="U1679" s="3" t="inlineStr">
        <is>
          <t>자루형</t>
        </is>
      </c>
      <c r="V1679" s="3" t="inlineStr">
        <is>
          <t>세로한면(가)</t>
        </is>
      </c>
    </row>
    <row r="1680">
      <c r="A1680" s="3" t="inlineStr">
        <is>
          <t>조치원읍 번암리 2-4</t>
        </is>
      </c>
      <c r="B1680" s="3" t="inlineStr">
        <is>
          <t>보전녹지지역</t>
        </is>
      </c>
      <c r="C1680" s="3" t="inlineStr">
        <is>
          <t>임야</t>
        </is>
      </c>
      <c r="D1680" s="3" t="inlineStr">
        <is>
          <t>임야</t>
        </is>
      </c>
      <c r="E1680" s="3" t="inlineStr">
        <is>
          <t>매매</t>
        </is>
      </c>
      <c r="F1680" s="4" t="n">
        <v>180000</v>
      </c>
      <c r="G1680" s="4" t="n">
        <v>15025</v>
      </c>
      <c r="H1680" s="4" t="n">
        <v>4545</v>
      </c>
      <c r="I1680" s="5" t="n">
        <v>39.6</v>
      </c>
      <c r="J1680" s="5" t="n">
        <v>59.8</v>
      </c>
      <c r="K1680" s="3" t="inlineStr">
        <is>
          <t>도로접근선 우수 여러용도 활용가능</t>
        </is>
      </c>
      <c r="L1680" s="6">
        <f>HYPERLINK("https://fin.land.naver.com/articles/2650788390", "매물Link")</f>
        <v/>
      </c>
      <c r="M1680" s="6">
        <f>HYPERLINK("https://map.naver.com/p/search/조치원읍 번암리 2-4", "지도Link")</f>
        <v/>
      </c>
      <c r="N1680" s="6">
        <f>HYPERLINK("http://www.eum.go.kr/web/ar/lu/luLandDet.jsp?pnu=3611025031100020004&amp;isNoScr=script&amp;mode=search", "토지이음")</f>
        <v/>
      </c>
      <c r="O1680" s="3" t="inlineStr">
        <is>
          <t>신두정리치</t>
        </is>
      </c>
      <c r="P1680" s="4" t="n">
        <v>1</v>
      </c>
      <c r="Q1680" s="4" t="n">
        <v>10154</v>
      </c>
      <c r="R1680" s="3" t="inlineStr">
        <is>
          <t>지정되지않음</t>
        </is>
      </c>
      <c r="S1680" s="3" t="inlineStr">
        <is>
          <t>과수원</t>
        </is>
      </c>
      <c r="T1680" s="3" t="inlineStr">
        <is>
          <t>완경사</t>
        </is>
      </c>
      <c r="U1680" s="3" t="inlineStr">
        <is>
          <t>자루형</t>
        </is>
      </c>
      <c r="V1680" s="3" t="inlineStr">
        <is>
          <t>세로한면(가)</t>
        </is>
      </c>
    </row>
    <row r="1681">
      <c r="A1681" s="3" t="inlineStr">
        <is>
          <t>조치원읍 번암리 2-4</t>
        </is>
      </c>
      <c r="B1681" s="3" t="inlineStr">
        <is>
          <t>보전녹지지역</t>
        </is>
      </c>
      <c r="C1681" s="3" t="inlineStr">
        <is>
          <t>임야</t>
        </is>
      </c>
      <c r="D1681" s="3" t="inlineStr">
        <is>
          <t>임야</t>
        </is>
      </c>
      <c r="E1681" s="3" t="inlineStr">
        <is>
          <t>매매</t>
        </is>
      </c>
      <c r="F1681" s="4" t="n">
        <v>186400</v>
      </c>
      <c r="G1681" s="4" t="n">
        <v>15410</v>
      </c>
      <c r="H1681" s="4" t="n">
        <v>4662</v>
      </c>
      <c r="I1681" s="5" t="n">
        <v>40</v>
      </c>
      <c r="J1681" s="5" t="n">
        <v>59.8</v>
      </c>
      <c r="K1681" s="3" t="inlineStr">
        <is>
          <t>오송역 10분대국가산단 배후, 완경사 대형토지</t>
        </is>
      </c>
      <c r="L1681" s="6">
        <f>HYPERLINK("https://fin.land.naver.com/articles/2653296345", "매물Link")</f>
        <v/>
      </c>
      <c r="M1681" s="6">
        <f>HYPERLINK("https://map.naver.com/p/search/조치원읍 번암리 2-4", "지도Link")</f>
        <v/>
      </c>
      <c r="N1681" s="6">
        <f>HYPERLINK("http://www.eum.go.kr/web/ar/lu/luLandDet.jsp?pnu=3611025031100020004&amp;isNoScr=script&amp;mode=search", "토지이음")</f>
        <v/>
      </c>
      <c r="O1681" s="3" t="inlineStr">
        <is>
          <t>세종소담황금</t>
        </is>
      </c>
      <c r="P1681" s="4" t="n">
        <v>1</v>
      </c>
      <c r="Q1681" s="4" t="n">
        <v>10154</v>
      </c>
      <c r="R1681" s="3" t="inlineStr">
        <is>
          <t>지정되지않음</t>
        </is>
      </c>
      <c r="S1681" s="3" t="inlineStr">
        <is>
          <t>과수원</t>
        </is>
      </c>
      <c r="T1681" s="3" t="inlineStr">
        <is>
          <t>완경사</t>
        </is>
      </c>
      <c r="U1681" s="3" t="inlineStr">
        <is>
          <t>자루형</t>
        </is>
      </c>
      <c r="V1681" s="3" t="inlineStr">
        <is>
          <t>세로한면(가)</t>
        </is>
      </c>
    </row>
    <row r="1682">
      <c r="A1682" s="3" t="inlineStr">
        <is>
          <t>조치원읍 번암리 66-1</t>
        </is>
      </c>
      <c r="B1682" s="3" t="inlineStr">
        <is>
          <t>제2종일반주거지역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100000</v>
      </c>
      <c r="G1682" s="4" t="n">
        <v>1084</v>
      </c>
      <c r="H1682" s="4" t="n">
        <v>328</v>
      </c>
      <c r="I1682" s="5" t="n">
        <v>304.9</v>
      </c>
      <c r="J1682" s="5" t="n">
        <v>120.7</v>
      </c>
      <c r="K1682" s="3" t="inlineStr">
        <is>
          <t>죽림리 2차선 접한 저렴한토지 상업용건물 추천</t>
        </is>
      </c>
      <c r="L1682" s="6">
        <f>HYPERLINK("https://fin.land.naver.com/articles/2651708138", "매물Link")</f>
        <v/>
      </c>
      <c r="M1682" s="6">
        <f>HYPERLINK("https://map.naver.com/p/search/조치원읍 번암리 66-1", "지도Link")</f>
        <v/>
      </c>
      <c r="N1682" s="6">
        <f>HYPERLINK("http://www.eum.go.kr/web/ar/lu/luLandDet.jsp?pnu=3611025031100660001&amp;isNoScr=script&amp;mode=search", "토지이음")</f>
        <v/>
      </c>
      <c r="O1682" s="3" t="inlineStr">
        <is>
          <t>OK수</t>
        </is>
      </c>
      <c r="P1682" s="4" t="n">
        <v>1</v>
      </c>
      <c r="Q1682" s="4" t="n">
        <v>500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소로한면</t>
        </is>
      </c>
    </row>
    <row r="1683">
      <c r="A1683" s="3" t="inlineStr">
        <is>
          <t>조치원읍 번암리 86-1</t>
        </is>
      </c>
      <c r="B1683" s="3" t="inlineStr">
        <is>
          <t>제2종일반주거지역</t>
        </is>
      </c>
      <c r="C1683" s="3" t="inlineStr">
        <is>
          <t>과수원</t>
        </is>
      </c>
      <c r="D1683" s="3" t="inlineStr">
        <is>
          <t>대</t>
        </is>
      </c>
      <c r="E1683" s="3" t="inlineStr">
        <is>
          <t>매매</t>
        </is>
      </c>
      <c r="F1683" s="4" t="n">
        <v>50000</v>
      </c>
      <c r="G1683" s="4" t="n">
        <v>331</v>
      </c>
      <c r="H1683" s="4" t="n">
        <v>100</v>
      </c>
      <c r="I1683" s="5" t="n">
        <v>500</v>
      </c>
      <c r="J1683" s="5" t="n">
        <v>190.1</v>
      </c>
      <c r="K1683" s="3" t="inlineStr">
        <is>
          <t>초기 투자 부담 적고 활용도 높은 규모</t>
        </is>
      </c>
      <c r="L1683" s="6">
        <f>HYPERLINK("https://fin.land.naver.com/articles/2655184087", "매물Link")</f>
        <v/>
      </c>
      <c r="M1683" s="6">
        <f>HYPERLINK("https://map.naver.com/p/search/조치원읍 번암리 86-1", "지도Link")</f>
        <v/>
      </c>
      <c r="N1683" s="6">
        <f>HYPERLINK("http://www.eum.go.kr/web/ar/lu/luLandDet.jsp?pnu=3611025031100860001&amp;isNoScr=script&amp;mode=search", "토지이음")</f>
        <v/>
      </c>
      <c r="O1683" s="3" t="inlineStr">
        <is>
          <t>더KEY</t>
        </is>
      </c>
      <c r="P1683" s="4" t="n">
        <v>1</v>
      </c>
      <c r="Q1683" s="4" t="n">
        <v>331</v>
      </c>
      <c r="R1683" s="3" t="inlineStr">
        <is>
          <t>지정되지않음</t>
        </is>
      </c>
      <c r="S1683" s="3" t="inlineStr">
        <is>
          <t>과수원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조치원읍 번암리 86-3</t>
        </is>
      </c>
      <c r="B1684" s="3" t="inlineStr">
        <is>
          <t>제2종일반주거지역</t>
        </is>
      </c>
      <c r="C1684" s="3" t="inlineStr">
        <is>
          <t>과수원</t>
        </is>
      </c>
      <c r="D1684" s="3" t="inlineStr">
        <is>
          <t>과수원</t>
        </is>
      </c>
      <c r="E1684" s="3" t="inlineStr">
        <is>
          <t>매매</t>
        </is>
      </c>
      <c r="F1684" s="4" t="n">
        <v>356000</v>
      </c>
      <c r="G1684" s="4" t="n">
        <v>2934</v>
      </c>
      <c r="H1684" s="4" t="n">
        <v>888</v>
      </c>
      <c r="I1684" s="5" t="n">
        <v>400.9</v>
      </c>
      <c r="J1684" s="5" t="n">
        <v>181.1</v>
      </c>
      <c r="K1684" s="3" t="inlineStr">
        <is>
          <t>도로접도 우수한 조치원 제2종주거 2,934㎡ 일괄부지</t>
        </is>
      </c>
      <c r="L1684" s="6">
        <f>HYPERLINK("https://fin.land.naver.com/articles/2653049898", "매물Link")</f>
        <v/>
      </c>
      <c r="M1684" s="6">
        <f>HYPERLINK("https://map.naver.com/p/search/조치원읍 번암리 86-3", "지도Link")</f>
        <v/>
      </c>
      <c r="N1684" s="6">
        <f>HYPERLINK("http://www.eum.go.kr/web/ar/lu/luLandDet.jsp?pnu=3611025031100860003&amp;isNoScr=script&amp;mode=search", "토지이음")</f>
        <v/>
      </c>
      <c r="O1684" s="3" t="inlineStr">
        <is>
          <t>세종소담황금</t>
        </is>
      </c>
      <c r="P1684" s="4" t="n">
        <v>1</v>
      </c>
      <c r="Q1684" s="4" t="n">
        <v>980</v>
      </c>
      <c r="R1684" s="3" t="inlineStr">
        <is>
          <t>지정되지않음</t>
        </is>
      </c>
      <c r="S1684" s="3" t="inlineStr">
        <is>
          <t>과수원</t>
        </is>
      </c>
      <c r="T1684" s="3" t="inlineStr">
        <is>
          <t>완경사</t>
        </is>
      </c>
      <c r="U1684" s="3" t="inlineStr">
        <is>
          <t>부정형</t>
        </is>
      </c>
      <c r="V1684" s="3" t="inlineStr">
        <is>
          <t>소로한면</t>
        </is>
      </c>
    </row>
    <row r="1685">
      <c r="A1685" s="3" t="inlineStr">
        <is>
          <t>조치원읍 번암리 96-2</t>
        </is>
      </c>
      <c r="B1685" s="3" t="inlineStr">
        <is>
          <t>제2종일반주거지역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180000</v>
      </c>
      <c r="G1685" s="4" t="n">
        <v>943</v>
      </c>
      <c r="H1685" s="4" t="n">
        <v>285</v>
      </c>
      <c r="I1685" s="5" t="n">
        <v>631.6</v>
      </c>
      <c r="J1685" s="5" t="n">
        <v>222.5</v>
      </c>
      <c r="K1685" s="3" t="inlineStr">
        <is>
          <t>도시지역내 2종일반주거지역 토지</t>
        </is>
      </c>
      <c r="L1685" s="6">
        <f>HYPERLINK("https://fin.land.naver.com/articles/2650856620", "매물Link")</f>
        <v/>
      </c>
      <c r="M1685" s="6">
        <f>HYPERLINK("https://map.naver.com/p/search/조치원읍 번암리 96-2", "지도Link")</f>
        <v/>
      </c>
      <c r="N1685" s="6">
        <f>HYPERLINK("http://www.eum.go.kr/web/ar/lu/luLandDet.jsp?pnu=3611025031100960002&amp;isNoScr=script&amp;mode=search", "토지이음")</f>
        <v/>
      </c>
      <c r="O1685" s="3" t="inlineStr">
        <is>
          <t>세종대박</t>
        </is>
      </c>
      <c r="P1685" s="4" t="n">
        <v>1</v>
      </c>
      <c r="Q1685" s="4" t="n">
        <v>943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중로한면</t>
        </is>
      </c>
    </row>
    <row r="1686">
      <c r="A1686" s="3" t="inlineStr">
        <is>
          <t>조치원읍 봉산리 108-1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245000</v>
      </c>
      <c r="G1686" s="4" t="n">
        <v>2188</v>
      </c>
      <c r="H1686" s="4" t="n">
        <v>662</v>
      </c>
      <c r="I1686" s="5" t="n">
        <v>370.1</v>
      </c>
      <c r="J1686" s="5" t="n">
        <v>153.9</v>
      </c>
      <c r="K1686" s="3" t="inlineStr">
        <is>
          <t>추천. 조치원 근생용지 추천</t>
        </is>
      </c>
      <c r="L1686" s="6">
        <f>HYPERLINK("https://fin.land.naver.com/articles/2651923205", "매물Link")</f>
        <v/>
      </c>
      <c r="M1686" s="6">
        <f>HYPERLINK("https://map.naver.com/p/search/조치원읍 봉산리 108-1", "지도Link")</f>
        <v/>
      </c>
      <c r="N1686" s="6">
        <f>HYPERLINK("http://www.eum.go.kr/web/ar/lu/luLandDet.jsp?pnu=3611025033101080001&amp;isNoScr=script&amp;mode=search", "토지이음")</f>
        <v/>
      </c>
      <c r="O1686" s="3" t="inlineStr">
        <is>
          <t>강아지풀</t>
        </is>
      </c>
      <c r="P1686" s="4" t="n">
        <v>1</v>
      </c>
      <c r="Q1686" s="4" t="n">
        <v>2188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봉산리 171-3</t>
        </is>
      </c>
      <c r="B1687" s="3" t="inlineStr">
        <is>
          <t>자연녹지지역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210000</v>
      </c>
      <c r="G1687" s="4" t="n">
        <v>2313</v>
      </c>
      <c r="H1687" s="4" t="n">
        <v>700</v>
      </c>
      <c r="I1687" s="5" t="n">
        <v>300</v>
      </c>
      <c r="J1687" s="5" t="n">
        <v>129.9</v>
      </c>
      <c r="K1687" s="3" t="inlineStr">
        <is>
          <t>세종시 조치원 도심 700,  중로접 토지, 코너위치, 투자 1순위</t>
        </is>
      </c>
      <c r="L1687" s="6">
        <f>HYPERLINK("https://fin.land.naver.com/articles/2650315346", "매물Link")</f>
        <v/>
      </c>
      <c r="M1687" s="6">
        <f>HYPERLINK("https://map.naver.com/p/search/조치원읍 봉산리 171-3", "지도Link")</f>
        <v/>
      </c>
      <c r="N1687" s="6">
        <f>HYPERLINK("http://www.eum.go.kr/web/ar/lu/luLandDet.jsp?pnu=3611025033101710003&amp;isNoScr=script&amp;mode=search", "토지이음")</f>
        <v/>
      </c>
      <c r="O1687" s="3" t="inlineStr">
        <is>
          <t>세종공감</t>
        </is>
      </c>
      <c r="P1687" s="4" t="n">
        <v>1</v>
      </c>
      <c r="Q1687" s="4" t="n">
        <v>2313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중로각지</t>
        </is>
      </c>
    </row>
    <row r="1688">
      <c r="A1688" s="3" t="inlineStr">
        <is>
          <t>조치원읍 봉산리 171-5</t>
        </is>
      </c>
      <c r="B1688" s="3" t="inlineStr">
        <is>
          <t>자연녹지지역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140000</v>
      </c>
      <c r="G1688" s="4" t="n">
        <v>1695</v>
      </c>
      <c r="H1688" s="4" t="n">
        <v>513</v>
      </c>
      <c r="I1688" s="5" t="n">
        <v>272.9</v>
      </c>
      <c r="J1688" s="5" t="n">
        <v>135.2</v>
      </c>
      <c r="K1688" s="3" t="inlineStr">
        <is>
          <t>세종시 조치원읍 봉산리 토지 2필지 일괄매매입니다.</t>
        </is>
      </c>
      <c r="L1688" s="6">
        <f>HYPERLINK("https://fin.land.naver.com/articles/2654882877", "매물Link")</f>
        <v/>
      </c>
      <c r="M1688" s="6">
        <f>HYPERLINK("https://map.naver.com/p/search/조치원읍 봉산리 171-5", "지도Link")</f>
        <v/>
      </c>
      <c r="N1688" s="6">
        <f>HYPERLINK("http://www.eum.go.kr/web/ar/lu/luLandDet.jsp?pnu=3611025033101710005&amp;isNoScr=script&amp;mode=search", "토지이음")</f>
        <v/>
      </c>
      <c r="O1688" s="3" t="inlineStr">
        <is>
          <t>세종공감</t>
        </is>
      </c>
      <c r="P1688" s="4" t="n">
        <v>1</v>
      </c>
      <c r="Q1688" s="4" t="n">
        <v>499</v>
      </c>
      <c r="R1688" s="3" t="inlineStr">
        <is>
          <t>지정되지않음</t>
        </is>
      </c>
      <c r="S1688" s="3" t="inlineStr">
        <is>
          <t>답창고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중로한면</t>
        </is>
      </c>
    </row>
    <row r="1689">
      <c r="A1689" s="3" t="inlineStr">
        <is>
          <t>조치원읍 봉산리 224</t>
        </is>
      </c>
      <c r="B1689" s="3" t="inlineStr">
        <is>
          <t>자연녹지지역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70000</v>
      </c>
      <c r="G1689" s="4" t="n">
        <v>1756</v>
      </c>
      <c r="H1689" s="4" t="n">
        <v>531</v>
      </c>
      <c r="I1689" s="5" t="n">
        <v>131.8</v>
      </c>
      <c r="J1689" s="5" t="n">
        <v>70.90000000000001</v>
      </c>
      <c r="K1689" s="3" t="inlineStr">
        <is>
          <t>위치가 곧 미래입니다 가격 협상 빠르게 해 주신데요</t>
        </is>
      </c>
      <c r="L1689" s="6">
        <f>HYPERLINK("https://fin.land.naver.com/articles/2654324247", "매물Link")</f>
        <v/>
      </c>
      <c r="M1689" s="6">
        <f>HYPERLINK("https://map.naver.com/p/search/조치원읍 봉산리 224", "지도Link")</f>
        <v/>
      </c>
      <c r="N1689" s="6">
        <f>HYPERLINK("http://www.eum.go.kr/web/ar/lu/luLandDet.jsp?pnu=3611025033102240000&amp;isNoScr=script&amp;mode=search", "토지이음")</f>
        <v/>
      </c>
      <c r="O1689" s="3" t="inlineStr">
        <is>
          <t>세종시삼성래미안</t>
        </is>
      </c>
      <c r="P1689" s="4" t="n">
        <v>1</v>
      </c>
      <c r="Q1689" s="4" t="n">
        <v>1756</v>
      </c>
      <c r="R1689" s="3" t="inlineStr">
        <is>
          <t>지정되지않음</t>
        </is>
      </c>
      <c r="S1689" s="3" t="inlineStr">
        <is>
          <t>전기타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조치원읍 봉산리 262-5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50000</v>
      </c>
      <c r="G1690" s="4" t="n">
        <v>760</v>
      </c>
      <c r="H1690" s="4" t="n">
        <v>230</v>
      </c>
      <c r="I1690" s="5" t="n">
        <v>217.4</v>
      </c>
      <c r="J1690" s="5" t="n">
        <v>95.5</v>
      </c>
      <c r="K1690" s="3" t="inlineStr">
        <is>
          <t>투자가치가 높은 세종시 조치원읍 봉산리 토지매매</t>
        </is>
      </c>
      <c r="L1690" s="6">
        <f>HYPERLINK("https://fin.land.naver.com/articles/2653218031", "매물Link")</f>
        <v/>
      </c>
      <c r="M1690" s="6">
        <f>HYPERLINK("https://map.naver.com/p/search/조치원읍 봉산리 262-5", "지도Link")</f>
        <v/>
      </c>
      <c r="N1690" s="6">
        <f>HYPERLINK("http://www.eum.go.kr/web/ar/lu/luLandDet.jsp?pnu=3611025033102620005&amp;isNoScr=script&amp;mode=search", "토지이음")</f>
        <v/>
      </c>
      <c r="O1690" s="3" t="inlineStr">
        <is>
          <t>비전</t>
        </is>
      </c>
      <c r="P1690" s="4" t="n">
        <v>1</v>
      </c>
      <c r="Q1690" s="4" t="n">
        <v>760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소로각지</t>
        </is>
      </c>
    </row>
    <row r="1691">
      <c r="A1691" s="3" t="inlineStr">
        <is>
          <t>조치원읍 봉산리 270-2</t>
        </is>
      </c>
      <c r="B1691" s="3" t="inlineStr">
        <is>
          <t>자연녹지지역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110000</v>
      </c>
      <c r="G1691" s="4" t="n">
        <v>774</v>
      </c>
      <c r="H1691" s="4" t="n">
        <v>234</v>
      </c>
      <c r="I1691" s="5" t="n">
        <v>470.1</v>
      </c>
      <c r="J1691" s="5" t="n">
        <v>169.9</v>
      </c>
      <c r="K1691" s="3" t="inlineStr">
        <is>
          <t>가격협의가능,2차선도로접, 개발호재지역근접, 투자용추천</t>
        </is>
      </c>
      <c r="L1691" s="6">
        <f>HYPERLINK("https://fin.land.naver.com/articles/2653555232", "매물Link")</f>
        <v/>
      </c>
      <c r="M1691" s="6">
        <f>HYPERLINK("https://map.naver.com/p/search/조치원읍 봉산리 270-2", "지도Link")</f>
        <v/>
      </c>
      <c r="N1691" s="6">
        <f>HYPERLINK("http://www.eum.go.kr/web/ar/lu/luLandDet.jsp?pnu=3611025033102700002&amp;isNoScr=script&amp;mode=search", "토지이음")</f>
        <v/>
      </c>
      <c r="O1691" s="3" t="inlineStr">
        <is>
          <t>현대아이파크</t>
        </is>
      </c>
      <c r="P1691" s="4" t="n">
        <v>1</v>
      </c>
      <c r="Q1691" s="4" t="n">
        <v>774</v>
      </c>
      <c r="R1691" s="3" t="inlineStr">
        <is>
          <t>지정되지않음</t>
        </is>
      </c>
      <c r="S1691" s="3" t="inlineStr">
        <is>
          <t>주거기타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소로각지</t>
        </is>
      </c>
    </row>
    <row r="1692">
      <c r="A1692" s="3" t="inlineStr">
        <is>
          <t>조치원읍 봉산리 273</t>
        </is>
      </c>
      <c r="B1692" s="3" t="inlineStr">
        <is>
          <t>계획관리지역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76000</v>
      </c>
      <c r="G1692" s="4" t="n">
        <v>1009</v>
      </c>
      <c r="H1692" s="4" t="n">
        <v>305</v>
      </c>
      <c r="I1692" s="5" t="n">
        <v>249.2</v>
      </c>
      <c r="J1692" s="5" t="n">
        <v>75.8</v>
      </c>
      <c r="K1692" s="3" t="inlineStr"/>
      <c r="L1692" s="6">
        <f>HYPERLINK("https://fin.land.naver.com/articles/2650829738", "매물Link")</f>
        <v/>
      </c>
      <c r="M1692" s="6">
        <f>HYPERLINK("https://map.naver.com/p/search/조치원읍 봉산리 273", "지도Link")</f>
        <v/>
      </c>
      <c r="N1692" s="6">
        <f>HYPERLINK("http://www.eum.go.kr/web/ar/lu/luLandDet.jsp?pnu=3611025033102730000&amp;isNoScr=script&amp;mode=search", "토지이음")</f>
        <v/>
      </c>
      <c r="O1692" s="3" t="inlineStr">
        <is>
          <t>세종지평</t>
        </is>
      </c>
      <c r="P1692" s="4" t="n">
        <v>1</v>
      </c>
      <c r="Q1692" s="4" t="n">
        <v>1010</v>
      </c>
      <c r="R1692" s="3" t="inlineStr">
        <is>
          <t>자연녹지지역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소로한면</t>
        </is>
      </c>
    </row>
    <row r="1693">
      <c r="A1693" s="3" t="inlineStr">
        <is>
          <t>조치원읍 봉산리 273-2</t>
        </is>
      </c>
      <c r="B1693" s="3" t="inlineStr">
        <is>
          <t>계획관리지역</t>
        </is>
      </c>
      <c r="C1693" s="3" t="inlineStr">
        <is>
          <t>답</t>
        </is>
      </c>
      <c r="D1693" s="3" t="inlineStr">
        <is>
          <t>답</t>
        </is>
      </c>
      <c r="E1693" s="3" t="inlineStr">
        <is>
          <t>매매</t>
        </is>
      </c>
      <c r="F1693" s="4" t="n">
        <v>180000</v>
      </c>
      <c r="G1693" s="4" t="n">
        <v>1949</v>
      </c>
      <c r="H1693" s="4" t="n">
        <v>590</v>
      </c>
      <c r="I1693" s="5" t="n">
        <v>305.1</v>
      </c>
      <c r="J1693" s="5" t="n">
        <v>74.40000000000001</v>
      </c>
      <c r="K1693" s="3" t="inlineStr">
        <is>
          <t>봉산리  귀한 계획관리지역  2차선도로 접.토지거래허가구역. 투자추천매물</t>
        </is>
      </c>
      <c r="L1693" s="6">
        <f>HYPERLINK("https://fin.land.naver.com/articles/2652950737", "매물Link")</f>
        <v/>
      </c>
      <c r="M1693" s="6">
        <f>HYPERLINK("https://map.naver.com/p/search/조치원읍 봉산리 273-2", "지도Link")</f>
        <v/>
      </c>
      <c r="N1693" s="6">
        <f>HYPERLINK("http://www.eum.go.kr/web/ar/lu/luLandDet.jsp?pnu=3611025033102730002&amp;isNoScr=script&amp;mode=search", "토지이음")</f>
        <v/>
      </c>
      <c r="O1693" s="3" t="inlineStr">
        <is>
          <t>세종보물</t>
        </is>
      </c>
      <c r="P1693" s="4" t="n">
        <v>1</v>
      </c>
      <c r="Q1693" s="4" t="n">
        <v>1949</v>
      </c>
      <c r="R1693" s="3" t="inlineStr">
        <is>
          <t>지정되지않음</t>
        </is>
      </c>
      <c r="S1693" s="3" t="inlineStr">
        <is>
          <t>답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소로한면</t>
        </is>
      </c>
    </row>
    <row r="1694">
      <c r="A1694" s="3" t="inlineStr">
        <is>
          <t>조치원읍 봉산리 295</t>
        </is>
      </c>
      <c r="B1694" s="3" t="inlineStr">
        <is>
          <t>계획관리지역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329200</v>
      </c>
      <c r="G1694" s="4" t="n">
        <v>4353</v>
      </c>
      <c r="H1694" s="4" t="n">
        <v>1317</v>
      </c>
      <c r="I1694" s="5" t="n">
        <v>250</v>
      </c>
      <c r="J1694" s="5" t="n">
        <v>70.7</v>
      </c>
      <c r="K1694" s="3" t="inlineStr">
        <is>
          <t>nan</t>
        </is>
      </c>
      <c r="L1694" s="6">
        <f>HYPERLINK("https://fin.land.naver.com/articles/2655149236", "매물Link")</f>
        <v/>
      </c>
      <c r="M1694" s="6">
        <f>HYPERLINK("https://map.naver.com/p/search/조치원읍 봉산리 295", "지도Link")</f>
        <v/>
      </c>
      <c r="N1694" s="6">
        <f>HYPERLINK("http://www.eum.go.kr/web/ar/lu/luLandDet.jsp?pnu=3611025033102950000&amp;isNoScr=script&amp;mode=search", "토지이음")</f>
        <v/>
      </c>
      <c r="O1694" s="3" t="inlineStr">
        <is>
          <t>오송랜드</t>
        </is>
      </c>
      <c r="P1694" s="4" t="n">
        <v>1</v>
      </c>
      <c r="Q1694" s="4" t="n">
        <v>2226</v>
      </c>
      <c r="R1694" s="3" t="inlineStr">
        <is>
          <t>지정되지않음</t>
        </is>
      </c>
      <c r="S1694" s="3" t="inlineStr">
        <is>
          <t>전기타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조치원읍 봉산리 303</t>
        </is>
      </c>
      <c r="B1695" s="3" t="inlineStr">
        <is>
          <t>계획관리지역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151580</v>
      </c>
      <c r="G1695" s="4" t="n">
        <v>2277</v>
      </c>
      <c r="H1695" s="4" t="n">
        <v>689</v>
      </c>
      <c r="I1695" s="5" t="n">
        <v>220</v>
      </c>
      <c r="J1695" s="5" t="n">
        <v>62.3</v>
      </c>
      <c r="K1695" s="3" t="inlineStr">
        <is>
          <t>nan</t>
        </is>
      </c>
      <c r="L1695" s="6">
        <f>HYPERLINK("https://fin.land.naver.com/articles/2655148684", "매물Link")</f>
        <v/>
      </c>
      <c r="M1695" s="6">
        <f>HYPERLINK("https://map.naver.com/p/search/조치원읍 봉산리 303", "지도Link")</f>
        <v/>
      </c>
      <c r="N1695" s="6">
        <f>HYPERLINK("http://www.eum.go.kr/web/ar/lu/luLandDet.jsp?pnu=3611025033103030000&amp;isNoScr=script&amp;mode=search", "토지이음")</f>
        <v/>
      </c>
      <c r="O1695" s="3" t="inlineStr">
        <is>
          <t>오송랜드</t>
        </is>
      </c>
      <c r="P1695" s="4" t="n">
        <v>1</v>
      </c>
      <c r="Q1695" s="4" t="n">
        <v>2278</v>
      </c>
      <c r="R1695" s="3" t="inlineStr">
        <is>
          <t>지정되지않음</t>
        </is>
      </c>
      <c r="S1695" s="3" t="inlineStr">
        <is>
          <t>전기타</t>
        </is>
      </c>
      <c r="T1695" s="3" t="inlineStr">
        <is>
          <t>완경사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봉산리 365</t>
        </is>
      </c>
      <c r="B1696" s="3" t="inlineStr">
        <is>
          <t>준주거지역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1300000</v>
      </c>
      <c r="G1696" s="4" t="n">
        <v>4444</v>
      </c>
      <c r="H1696" s="4" t="n">
        <v>1344</v>
      </c>
      <c r="I1696" s="5" t="n">
        <v>967.3</v>
      </c>
      <c r="J1696" s="5" t="n">
        <v>256</v>
      </c>
      <c r="K1696" s="3" t="inlineStr">
        <is>
          <t>최고의 입지조건 토지 입니다.</t>
        </is>
      </c>
      <c r="L1696" s="6">
        <f>HYPERLINK("https://fin.land.naver.com/articles/2654394177", "매물Link")</f>
        <v/>
      </c>
      <c r="M1696" s="6">
        <f>HYPERLINK("https://map.naver.com/p/search/조치원읍 봉산리 365", "지도Link")</f>
        <v/>
      </c>
      <c r="N1696" s="6">
        <f>HYPERLINK("http://www.eum.go.kr/web/ar/lu/luLandDet.jsp?pnu=3611025033103650000&amp;isNoScr=script&amp;mode=search", "토지이음")</f>
        <v/>
      </c>
      <c r="O1696" s="3" t="inlineStr">
        <is>
          <t>척척</t>
        </is>
      </c>
      <c r="P1696" s="4" t="n">
        <v>1</v>
      </c>
      <c r="Q1696" s="4" t="n">
        <v>4444</v>
      </c>
      <c r="R1696" s="3" t="inlineStr">
        <is>
          <t>지정되지않음</t>
        </is>
      </c>
      <c r="S1696" s="3" t="inlineStr">
        <is>
          <t>상업나지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중로각지</t>
        </is>
      </c>
    </row>
    <row r="1697">
      <c r="A1697" s="3" t="inlineStr">
        <is>
          <t>조치원읍 봉산리 393</t>
        </is>
      </c>
      <c r="B1697" s="3" t="inlineStr">
        <is>
          <t>준주거지역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450000</v>
      </c>
      <c r="G1697" s="4" t="n">
        <v>828</v>
      </c>
      <c r="H1697" s="4" t="n">
        <v>250</v>
      </c>
      <c r="I1697" s="5" t="n">
        <v>1800</v>
      </c>
      <c r="J1697" s="5" t="n">
        <v>274.4</v>
      </c>
      <c r="K1697" s="3" t="inlineStr">
        <is>
          <t>조치원 서북부지구 아파트 앞 중심상권 토지</t>
        </is>
      </c>
      <c r="L1697" s="6">
        <f>HYPERLINK("https://fin.land.naver.com/articles/2650856619", "매물Link")</f>
        <v/>
      </c>
      <c r="M1697" s="6">
        <f>HYPERLINK("https://map.naver.com/p/search/조치원읍 봉산리 393", "지도Link")</f>
        <v/>
      </c>
      <c r="N1697" s="6">
        <f>HYPERLINK("http://www.eum.go.kr/web/ar/lu/luLandDet.jsp?pnu=3611025033103930000&amp;isNoScr=script&amp;mode=search", "토지이음")</f>
        <v/>
      </c>
      <c r="O1697" s="3" t="inlineStr">
        <is>
          <t>세종대박</t>
        </is>
      </c>
      <c r="P1697" s="4" t="n">
        <v>1</v>
      </c>
      <c r="Q1697" s="4" t="n">
        <v>828.7</v>
      </c>
      <c r="R1697" s="3" t="inlineStr">
        <is>
          <t>지정되지않음</t>
        </is>
      </c>
      <c r="S1697" s="3" t="inlineStr">
        <is>
          <t>상업나지</t>
        </is>
      </c>
      <c r="T1697" s="3" t="inlineStr">
        <is>
          <t>평지</t>
        </is>
      </c>
      <c r="U1697" s="3" t="inlineStr">
        <is>
          <t>가로장방</t>
        </is>
      </c>
      <c r="V1697" s="3" t="inlineStr">
        <is>
          <t>중로각지</t>
        </is>
      </c>
    </row>
    <row r="1698">
      <c r="A1698" s="3" t="inlineStr">
        <is>
          <t>조치원읍 봉산리 393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375000</v>
      </c>
      <c r="G1698" s="4" t="n">
        <v>828</v>
      </c>
      <c r="H1698" s="4" t="n">
        <v>250</v>
      </c>
      <c r="I1698" s="5" t="n">
        <v>1500</v>
      </c>
      <c r="J1698" s="5" t="n">
        <v>274.4</v>
      </c>
      <c r="K1698" s="3" t="inlineStr">
        <is>
          <t>준주거 대지</t>
        </is>
      </c>
      <c r="L1698" s="6">
        <f>HYPERLINK("https://fin.land.naver.com/articles/2649750743", "매물Link")</f>
        <v/>
      </c>
      <c r="M1698" s="6">
        <f>HYPERLINK("https://map.naver.com/p/search/조치원읍 봉산리 393", "지도Link")</f>
        <v/>
      </c>
      <c r="N1698" s="6">
        <f>HYPERLINK("http://www.eum.go.kr/web/ar/lu/luLandDet.jsp?pnu=3611025033103930000&amp;isNoScr=script&amp;mode=search", "토지이음")</f>
        <v/>
      </c>
      <c r="O1698" s="3" t="inlineStr">
        <is>
          <t>세종몽땅</t>
        </is>
      </c>
      <c r="P1698" s="4" t="n">
        <v>1</v>
      </c>
      <c r="Q1698" s="4" t="n">
        <v>828.7</v>
      </c>
      <c r="R1698" s="3" t="inlineStr">
        <is>
          <t>지정되지않음</t>
        </is>
      </c>
      <c r="S1698" s="3" t="inlineStr">
        <is>
          <t>상업나지</t>
        </is>
      </c>
      <c r="T1698" s="3" t="inlineStr">
        <is>
          <t>평지</t>
        </is>
      </c>
      <c r="U1698" s="3" t="inlineStr">
        <is>
          <t>가로장방</t>
        </is>
      </c>
      <c r="V1698" s="3" t="inlineStr">
        <is>
          <t>중로각지</t>
        </is>
      </c>
    </row>
    <row r="1699">
      <c r="A1699" s="3" t="inlineStr">
        <is>
          <t>조치원읍 봉산리 산20-15</t>
        </is>
      </c>
      <c r="B1699" s="3" t="inlineStr">
        <is>
          <t>보전녹지지역</t>
        </is>
      </c>
      <c r="C1699" s="3" t="inlineStr">
        <is>
          <t>임야</t>
        </is>
      </c>
      <c r="D1699" s="3" t="inlineStr">
        <is>
          <t>임야</t>
        </is>
      </c>
      <c r="E1699" s="3" t="inlineStr">
        <is>
          <t>매매</t>
        </is>
      </c>
      <c r="F1699" s="4" t="n">
        <v>16084</v>
      </c>
      <c r="G1699" s="4" t="n">
        <v>13291</v>
      </c>
      <c r="H1699" s="4" t="n">
        <v>4021</v>
      </c>
      <c r="I1699" s="5" t="n">
        <v>4</v>
      </c>
      <c r="J1699" s="5" t="n">
        <v>4.1</v>
      </c>
      <c r="K1699" s="3" t="inlineStr">
        <is>
          <t>맹지 빠른매도원함 조치원읍  주변 땅 발전성 높고요 매물 가치 좋아요</t>
        </is>
      </c>
      <c r="L1699" s="6">
        <f>HYPERLINK("https://fin.land.naver.com/articles/2654866870", "매물Link")</f>
        <v/>
      </c>
      <c r="M1699" s="6">
        <f>HYPERLINK("https://map.naver.com/p/search/조치원읍 봉산리 산20-15", "지도Link")</f>
        <v/>
      </c>
      <c r="N1699" s="6">
        <f>HYPERLINK("http://www.eum.go.kr/web/ar/lu/luLandDet.jsp?pnu=3611025033200200015&amp;isNoScr=script&amp;mode=search", "토지이음")</f>
        <v/>
      </c>
      <c r="O1699" s="3" t="inlineStr">
        <is>
          <t>삼성래미안</t>
        </is>
      </c>
      <c r="P1699" s="4" t="n">
        <v>3</v>
      </c>
      <c r="Q1699" s="4" t="n">
        <v>13291</v>
      </c>
      <c r="R1699" s="3" t="inlineStr">
        <is>
          <t>자연녹지지역</t>
        </is>
      </c>
      <c r="S1699" s="3" t="inlineStr">
        <is>
          <t>자연림</t>
        </is>
      </c>
      <c r="T1699" s="3" t="inlineStr">
        <is>
          <t>급경사</t>
        </is>
      </c>
      <c r="U1699" s="3" t="inlineStr">
        <is>
          <t>부정형</t>
        </is>
      </c>
      <c r="V1699" s="3" t="inlineStr">
        <is>
          <t>맹지</t>
        </is>
      </c>
    </row>
    <row r="1700">
      <c r="A1700" s="3" t="inlineStr">
        <is>
          <t>조치원읍 상리 98</t>
        </is>
      </c>
      <c r="B1700" s="3" t="inlineStr">
        <is>
          <t>일반상업지역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90000</v>
      </c>
      <c r="G1700" s="4" t="n">
        <v>427</v>
      </c>
      <c r="H1700" s="4" t="n">
        <v>129</v>
      </c>
      <c r="I1700" s="5" t="n">
        <v>697.7</v>
      </c>
      <c r="J1700" s="5" t="n">
        <v>478</v>
      </c>
      <c r="K1700" s="3" t="inlineStr">
        <is>
          <t>급매 조치원 터미널 인근 도시지역 일반상업지역 지목 대</t>
        </is>
      </c>
      <c r="L1700" s="6">
        <f>HYPERLINK("https://fin.land.naver.com/articles/2654653194", "매물Link")</f>
        <v/>
      </c>
      <c r="M1700" s="6">
        <f>HYPERLINK("https://map.naver.com/p/search/조치원읍 상리 98", "지도Link")</f>
        <v/>
      </c>
      <c r="N1700" s="6">
        <f>HYPERLINK("http://www.eum.go.kr/web/ar/lu/luLandDet.jsp?pnu=3611025022100980000&amp;isNoScr=script&amp;mode=search", "토지이음")</f>
        <v/>
      </c>
      <c r="O1700" s="3" t="inlineStr">
        <is>
          <t>오송퍼스트영웅</t>
        </is>
      </c>
      <c r="P1700" s="4" t="n">
        <v>1</v>
      </c>
      <c r="Q1700" s="4" t="n">
        <v>427</v>
      </c>
      <c r="R1700" s="3" t="inlineStr">
        <is>
          <t>지정되지않음</t>
        </is>
      </c>
      <c r="S1700" s="3" t="inlineStr">
        <is>
          <t>주상나지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소로한면</t>
        </is>
      </c>
    </row>
    <row r="1701">
      <c r="A1701" s="3" t="inlineStr">
        <is>
          <t>조치원읍 서창리 105-10</t>
        </is>
      </c>
      <c r="B1701" s="3" t="inlineStr">
        <is>
          <t>제1종일반주거지역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185000</v>
      </c>
      <c r="G1701" s="4" t="n">
        <v>1685</v>
      </c>
      <c r="H1701" s="4" t="n">
        <v>510</v>
      </c>
      <c r="I1701" s="5" t="n">
        <v>362.7</v>
      </c>
      <c r="J1701" s="5" t="n">
        <v>228.2</v>
      </c>
      <c r="K1701" s="3" t="inlineStr">
        <is>
          <t>4차선 대로접, 물류 및 자동차 관련시설 추천</t>
        </is>
      </c>
      <c r="L1701" s="6">
        <f>HYPERLINK("https://fin.land.naver.com/articles/2654787719", "매물Link")</f>
        <v/>
      </c>
      <c r="M1701" s="6">
        <f>HYPERLINK("https://map.naver.com/p/search/조치원읍 서창리 105-10", "지도Link")</f>
        <v/>
      </c>
      <c r="N1701" s="6">
        <f>HYPERLINK("http://www.eum.go.kr/web/ar/lu/luLandDet.jsp?pnu=3611025034101050010&amp;isNoScr=script&amp;mode=search", "토지이음")</f>
        <v/>
      </c>
      <c r="O1701" s="3" t="inlineStr">
        <is>
          <t>세종소담114</t>
        </is>
      </c>
      <c r="P1701" s="4" t="n">
        <v>1</v>
      </c>
      <c r="Q1701" s="4" t="n">
        <v>1685</v>
      </c>
      <c r="R1701" s="3" t="inlineStr">
        <is>
          <t>자연녹지지역</t>
        </is>
      </c>
      <c r="S1701" s="3" t="inlineStr">
        <is>
          <t>주상나지</t>
        </is>
      </c>
      <c r="T1701" s="3" t="inlineStr">
        <is>
          <t>평지</t>
        </is>
      </c>
      <c r="U1701" s="3" t="inlineStr">
        <is>
          <t>사다리형</t>
        </is>
      </c>
      <c r="V1701" s="3" t="inlineStr">
        <is>
          <t>중로한면</t>
        </is>
      </c>
    </row>
    <row r="1702">
      <c r="A1702" s="3" t="inlineStr">
        <is>
          <t>조치원읍 서창리 106-4</t>
        </is>
      </c>
      <c r="B1702" s="3" t="inlineStr">
        <is>
          <t>제1종일반주거지역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60000</v>
      </c>
      <c r="G1702" s="4" t="n">
        <v>540</v>
      </c>
      <c r="H1702" s="4" t="n">
        <v>163</v>
      </c>
      <c r="I1702" s="5" t="n">
        <v>368.1</v>
      </c>
      <c r="J1702" s="5" t="n">
        <v>194.8</v>
      </c>
      <c r="K1702" s="3" t="inlineStr">
        <is>
          <t>카센타 세차장 등으로 활용하면 좋을 근생시설과 단독주택을 일괄매매합니다</t>
        </is>
      </c>
      <c r="L1702" s="6">
        <f>HYPERLINK("https://fin.land.naver.com/articles/2650939295", "매물Link")</f>
        <v/>
      </c>
      <c r="M1702" s="6">
        <f>HYPERLINK("https://map.naver.com/p/search/조치원읍 서창리 106-4", "지도Link")</f>
        <v/>
      </c>
      <c r="N1702" s="6">
        <f>HYPERLINK("http://www.eum.go.kr/web/ar/lu/luLandDet.jsp?pnu=3611025034101060004&amp;isNoScr=script&amp;mode=search", "토지이음")</f>
        <v/>
      </c>
      <c r="O1702" s="3" t="inlineStr">
        <is>
          <t>스마일세종</t>
        </is>
      </c>
      <c r="P1702" s="4" t="n">
        <v>1</v>
      </c>
      <c r="Q1702" s="4" t="n">
        <v>540.1</v>
      </c>
      <c r="R1702" s="3" t="inlineStr">
        <is>
          <t>지정되지않음</t>
        </is>
      </c>
      <c r="S1702" s="3" t="inlineStr">
        <is>
          <t>주상용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조치원읍 서창리 124-2</t>
        </is>
      </c>
      <c r="B1703" s="3" t="inlineStr">
        <is>
          <t>자연녹지지역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98700</v>
      </c>
      <c r="G1703" s="4" t="n">
        <v>1086</v>
      </c>
      <c r="H1703" s="4" t="n">
        <v>329</v>
      </c>
      <c r="I1703" s="5" t="n">
        <v>300</v>
      </c>
      <c r="J1703" s="5" t="n">
        <v>108</v>
      </c>
      <c r="K1703" s="3" t="inlineStr">
        <is>
          <t>도시지역.자연녹지지역.공공청사</t>
        </is>
      </c>
      <c r="L1703" s="6">
        <f>HYPERLINK("https://fin.land.naver.com/articles/2651200819", "매물Link")</f>
        <v/>
      </c>
      <c r="M1703" s="6">
        <f>HYPERLINK("https://map.naver.com/p/search/조치원읍 서창리 124-2", "지도Link")</f>
        <v/>
      </c>
      <c r="N1703" s="6">
        <f>HYPERLINK("http://www.eum.go.kr/web/ar/lu/luLandDet.jsp?pnu=3611025034101240002&amp;isNoScr=script&amp;mode=search", "토지이음")</f>
        <v/>
      </c>
      <c r="O1703" s="3" t="inlineStr">
        <is>
          <t>광주역포스코</t>
        </is>
      </c>
      <c r="P1703" s="4" t="n">
        <v>1</v>
      </c>
      <c r="Q1703" s="4" t="n">
        <v>1086</v>
      </c>
      <c r="R1703" s="3" t="inlineStr">
        <is>
          <t>지정되지않음</t>
        </is>
      </c>
      <c r="S1703" s="3" t="inlineStr">
        <is>
          <t>전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중로각지</t>
        </is>
      </c>
    </row>
    <row r="1704">
      <c r="A1704" s="3" t="inlineStr">
        <is>
          <t>조치원읍 서창리 138-2</t>
        </is>
      </c>
      <c r="B1704" s="3" t="inlineStr">
        <is>
          <t>제2종일반주거지역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85000</v>
      </c>
      <c r="G1704" s="4" t="n">
        <v>620</v>
      </c>
      <c r="H1704" s="4" t="n">
        <v>188</v>
      </c>
      <c r="I1704" s="5" t="n">
        <v>452.1</v>
      </c>
      <c r="J1704" s="5" t="n">
        <v>178.5</v>
      </c>
      <c r="K1704" s="3" t="inlineStr">
        <is>
          <t>서창리 토지 매매</t>
        </is>
      </c>
      <c r="L1704" s="6">
        <f>HYPERLINK("https://fin.land.naver.com/articles/2654528622", "매물Link")</f>
        <v/>
      </c>
      <c r="M1704" s="6">
        <f>HYPERLINK("https://map.naver.com/p/search/조치원읍 서창리 138-2", "지도Link")</f>
        <v/>
      </c>
      <c r="N1704" s="6">
        <f>HYPERLINK("http://www.eum.go.kr/web/ar/lu/luLandDet.jsp?pnu=3611025034101380002&amp;isNoScr=script&amp;mode=search", "토지이음")</f>
        <v/>
      </c>
      <c r="O1704" s="3" t="inlineStr">
        <is>
          <t>김준희</t>
        </is>
      </c>
      <c r="P1704" s="4" t="n">
        <v>1</v>
      </c>
      <c r="Q1704" s="4" t="n">
        <v>289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사다리형</t>
        </is>
      </c>
      <c r="V1704" s="3" t="inlineStr">
        <is>
          <t>소로한면</t>
        </is>
      </c>
    </row>
    <row r="1705">
      <c r="A1705" s="3" t="inlineStr">
        <is>
          <t>조치원읍 서창리 138-2</t>
        </is>
      </c>
      <c r="B1705" s="3" t="inlineStr">
        <is>
          <t>제2종일반주거지역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84960</v>
      </c>
      <c r="G1705" s="4" t="n">
        <v>620</v>
      </c>
      <c r="H1705" s="4" t="n">
        <v>188</v>
      </c>
      <c r="I1705" s="5" t="n">
        <v>451.9</v>
      </c>
      <c r="J1705" s="5" t="n">
        <v>178.5</v>
      </c>
      <c r="K1705" s="3" t="inlineStr">
        <is>
          <t>세종시 조치원읍 서창리 토지 급매 고려대,세종여고옆 제2종주거620㎡급매</t>
        </is>
      </c>
      <c r="L1705" s="6">
        <f>HYPERLINK("https://fin.land.naver.com/articles/2650379617", "매물Link")</f>
        <v/>
      </c>
      <c r="M1705" s="6">
        <f>HYPERLINK("https://map.naver.com/p/search/조치원읍 서창리 138-2", "지도Link")</f>
        <v/>
      </c>
      <c r="N1705" s="6">
        <f>HYPERLINK("http://www.eum.go.kr/web/ar/lu/luLandDet.jsp?pnu=3611025034101380002&amp;isNoScr=script&amp;mode=search", "토지이음")</f>
        <v/>
      </c>
      <c r="O1705" s="3" t="inlineStr">
        <is>
          <t>세종</t>
        </is>
      </c>
      <c r="P1705" s="4" t="n">
        <v>2</v>
      </c>
      <c r="Q1705" s="4" t="n">
        <v>289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소로한면</t>
        </is>
      </c>
    </row>
    <row r="1706">
      <c r="A1706" s="3" t="inlineStr">
        <is>
          <t>조치원읍 서창리 138-2</t>
        </is>
      </c>
      <c r="B1706" s="3" t="inlineStr">
        <is>
          <t>제2종일반주거지역</t>
        </is>
      </c>
      <c r="C1706" s="3" t="inlineStr">
        <is>
          <t>전</t>
        </is>
      </c>
      <c r="D1706" s="3" t="inlineStr">
        <is>
          <t>전</t>
        </is>
      </c>
      <c r="E1706" s="3" t="inlineStr">
        <is>
          <t>매매</t>
        </is>
      </c>
      <c r="F1706" s="4" t="n">
        <v>85000</v>
      </c>
      <c r="G1706" s="4" t="n">
        <v>620</v>
      </c>
      <c r="H1706" s="4" t="n">
        <v>188</v>
      </c>
      <c r="I1706" s="5" t="n">
        <v>452.1</v>
      </c>
      <c r="J1706" s="5" t="n">
        <v>178.5</v>
      </c>
      <c r="K1706" s="3" t="inlineStr">
        <is>
          <t>서창리 2종일반주거,2차선접 코너 나대지 급매,원룸신축 추천</t>
        </is>
      </c>
      <c r="L1706" s="6">
        <f>HYPERLINK("https://fin.land.naver.com/articles/2655068847", "매물Link")</f>
        <v/>
      </c>
      <c r="M1706" s="6">
        <f>HYPERLINK("https://map.naver.com/p/search/조치원읍 서창리 138-2", "지도Link")</f>
        <v/>
      </c>
      <c r="N1706" s="6">
        <f>HYPERLINK("http://www.eum.go.kr/web/ar/lu/luLandDet.jsp?pnu=3611025034101380002&amp;isNoScr=script&amp;mode=search", "토지이음")</f>
        <v/>
      </c>
      <c r="O1706" s="3" t="inlineStr">
        <is>
          <t>광장</t>
        </is>
      </c>
      <c r="P1706" s="4" t="n">
        <v>1</v>
      </c>
      <c r="Q1706" s="4" t="n">
        <v>289</v>
      </c>
      <c r="R1706" s="3" t="inlineStr">
        <is>
          <t>지정되지않음</t>
        </is>
      </c>
      <c r="S1706" s="3" t="inlineStr">
        <is>
          <t>전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소로한면</t>
        </is>
      </c>
    </row>
    <row r="1707">
      <c r="A1707" s="3" t="inlineStr">
        <is>
          <t>조치원읍 서창리 138-5</t>
        </is>
      </c>
      <c r="B1707" s="3" t="inlineStr">
        <is>
          <t>제2종일반주거지역</t>
        </is>
      </c>
      <c r="C1707" s="3" t="inlineStr">
        <is>
          <t>전</t>
        </is>
      </c>
      <c r="D1707" s="3" t="inlineStr">
        <is>
          <t>전</t>
        </is>
      </c>
      <c r="E1707" s="3" t="inlineStr">
        <is>
          <t>매매</t>
        </is>
      </c>
      <c r="F1707" s="4" t="n">
        <v>85000</v>
      </c>
      <c r="G1707" s="4" t="n">
        <v>620</v>
      </c>
      <c r="H1707" s="4" t="n">
        <v>188</v>
      </c>
      <c r="I1707" s="5" t="n">
        <v>452.1</v>
      </c>
      <c r="J1707" s="5" t="n">
        <v>178.5</v>
      </c>
      <c r="K1707" s="3" t="inlineStr">
        <is>
          <t>2차선도로 및 후면도로에도 접한 제2종일반주거지역의 근린생활시설 상가부지</t>
        </is>
      </c>
      <c r="L1707" s="6">
        <f>HYPERLINK("https://fin.land.naver.com/articles/2650732863", "매물Link")</f>
        <v/>
      </c>
      <c r="M1707" s="6">
        <f>HYPERLINK("https://map.naver.com/p/search/조치원읍 서창리 138-5", "지도Link")</f>
        <v/>
      </c>
      <c r="N1707" s="6">
        <f>HYPERLINK("http://www.eum.go.kr/web/ar/lu/luLandDet.jsp?pnu=3611025034101380005&amp;isNoScr=script&amp;mode=search", "토지이음")</f>
        <v/>
      </c>
      <c r="O1707" s="3" t="inlineStr">
        <is>
          <t>스마일세종</t>
        </is>
      </c>
      <c r="P1707" s="4" t="n">
        <v>2</v>
      </c>
      <c r="Q1707" s="4" t="n">
        <v>331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소로한면</t>
        </is>
      </c>
    </row>
    <row r="1708">
      <c r="A1708" s="3" t="inlineStr">
        <is>
          <t>조치원읍 서창리 152-2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63000</v>
      </c>
      <c r="G1708" s="4" t="n">
        <v>328</v>
      </c>
      <c r="H1708" s="4" t="n">
        <v>99</v>
      </c>
      <c r="I1708" s="5" t="n">
        <v>636.4</v>
      </c>
      <c r="J1708" s="5" t="n">
        <v>237.3</v>
      </c>
      <c r="K1708" s="3" t="inlineStr">
        <is>
          <t>급매,고려대학교 인근,도로접 도시.2종일반주거지역,다용도 건축가능</t>
        </is>
      </c>
      <c r="L1708" s="6">
        <f>HYPERLINK("https://fin.land.naver.com/articles/2649493845", "매물Link")</f>
        <v/>
      </c>
      <c r="M1708" s="6">
        <f>HYPERLINK("https://map.naver.com/p/search/조치원읍 서창리 152-2", "지도Link")</f>
        <v/>
      </c>
      <c r="N1708" s="6">
        <f>HYPERLINK("http://www.eum.go.kr/web/ar/lu/luLandDet.jsp?pnu=3611025034101520002&amp;isNoScr=script&amp;mode=search", "토지이음")</f>
        <v/>
      </c>
      <c r="O1708" s="3" t="inlineStr">
        <is>
          <t>고운맘</t>
        </is>
      </c>
      <c r="P1708" s="4" t="n">
        <v>1</v>
      </c>
      <c r="Q1708" s="4" t="n">
        <v>328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사다리형</t>
        </is>
      </c>
      <c r="V1708" s="3" t="inlineStr">
        <is>
          <t>소로한면</t>
        </is>
      </c>
    </row>
    <row r="1709">
      <c r="A1709" s="3" t="inlineStr">
        <is>
          <t>조치원읍 서창리 168-2</t>
        </is>
      </c>
      <c r="B1709" s="3" t="inlineStr">
        <is>
          <t>준주거지역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120000</v>
      </c>
      <c r="G1709" s="4" t="n">
        <v>732</v>
      </c>
      <c r="H1709" s="4" t="n">
        <v>221</v>
      </c>
      <c r="I1709" s="5" t="n">
        <v>543</v>
      </c>
      <c r="J1709" s="5" t="n">
        <v>320.9</v>
      </c>
      <c r="K1709" s="3" t="inlineStr">
        <is>
          <t>준주거지역 추천매물 고대 정문근처</t>
        </is>
      </c>
      <c r="L1709" s="6">
        <f>HYPERLINK("https://fin.land.naver.com/articles/2653992281", "매물Link")</f>
        <v/>
      </c>
      <c r="M1709" s="6">
        <f>HYPERLINK("https://map.naver.com/p/search/조치원읍 서창리 168-2", "지도Link")</f>
        <v/>
      </c>
      <c r="N1709" s="6">
        <f>HYPERLINK("http://www.eum.go.kr/web/ar/lu/luLandDet.jsp?pnu=3611025034101680002&amp;isNoScr=script&amp;mode=search", "토지이음")</f>
        <v/>
      </c>
      <c r="O1709" s="3" t="inlineStr">
        <is>
          <t>김준희</t>
        </is>
      </c>
      <c r="P1709" s="4" t="n">
        <v>1</v>
      </c>
      <c r="Q1709" s="4" t="n">
        <v>732</v>
      </c>
      <c r="R1709" s="3" t="inlineStr">
        <is>
          <t>지정되지않음</t>
        </is>
      </c>
      <c r="S1709" s="3" t="inlineStr">
        <is>
          <t>주거기타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소로한면</t>
        </is>
      </c>
    </row>
    <row r="1710">
      <c r="A1710" s="3" t="inlineStr">
        <is>
          <t>조치원읍 서창리 168-2</t>
        </is>
      </c>
      <c r="B1710" s="3" t="inlineStr">
        <is>
          <t>준주거지역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120000</v>
      </c>
      <c r="G1710" s="4" t="n">
        <v>732</v>
      </c>
      <c r="H1710" s="4" t="n">
        <v>221</v>
      </c>
      <c r="I1710" s="5" t="n">
        <v>543</v>
      </c>
      <c r="J1710" s="5" t="n">
        <v>320.9</v>
      </c>
      <c r="K1710" s="3" t="inlineStr">
        <is>
          <t>근생부지로 좋은 고려대학교 인근 3거리 코너 각지에 있는 준주거지역 대지</t>
        </is>
      </c>
      <c r="L1710" s="6">
        <f>HYPERLINK("https://fin.land.naver.com/articles/2652409745", "매물Link")</f>
        <v/>
      </c>
      <c r="M1710" s="6">
        <f>HYPERLINK("https://map.naver.com/p/search/조치원읍 서창리 168-2", "지도Link")</f>
        <v/>
      </c>
      <c r="N1710" s="6">
        <f>HYPERLINK("http://www.eum.go.kr/web/ar/lu/luLandDet.jsp?pnu=3611025034101680002&amp;isNoScr=script&amp;mode=search", "토지이음")</f>
        <v/>
      </c>
      <c r="O1710" s="3" t="inlineStr">
        <is>
          <t>스마일세종</t>
        </is>
      </c>
      <c r="P1710" s="4" t="n">
        <v>1</v>
      </c>
      <c r="Q1710" s="4" t="n">
        <v>732</v>
      </c>
      <c r="R1710" s="3" t="inlineStr">
        <is>
          <t>지정되지않음</t>
        </is>
      </c>
      <c r="S1710" s="3" t="inlineStr">
        <is>
          <t>주거기타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소로한면</t>
        </is>
      </c>
    </row>
    <row r="1711">
      <c r="A1711" s="3" t="inlineStr">
        <is>
          <t>조치원읍 서창리 168-31</t>
        </is>
      </c>
      <c r="B1711" s="3" t="inlineStr">
        <is>
          <t>준주거지역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30000</v>
      </c>
      <c r="G1711" s="4" t="n">
        <v>148</v>
      </c>
      <c r="H1711" s="4" t="n">
        <v>45</v>
      </c>
      <c r="I1711" s="5" t="n">
        <v>666.7</v>
      </c>
      <c r="J1711" s="5" t="n">
        <v>307.9</v>
      </c>
      <c r="K1711" s="3" t="inlineStr">
        <is>
          <t>급매, 서창리 준주거지역 토지</t>
        </is>
      </c>
      <c r="L1711" s="6">
        <f>HYPERLINK("https://fin.land.naver.com/articles/2653950500", "매물Link")</f>
        <v/>
      </c>
      <c r="M1711" s="6">
        <f>HYPERLINK("https://map.naver.com/p/search/조치원읍 서창리 168-31", "지도Link")</f>
        <v/>
      </c>
      <c r="N1711" s="6">
        <f>HYPERLINK("http://www.eum.go.kr/web/ar/lu/luLandDet.jsp?pnu=3611025034101680031&amp;isNoScr=script&amp;mode=search", "토지이음")</f>
        <v/>
      </c>
      <c r="O1711" s="3" t="inlineStr">
        <is>
          <t>KB세종</t>
        </is>
      </c>
      <c r="P1711" s="4" t="n">
        <v>1</v>
      </c>
      <c r="Q1711" s="4" t="n">
        <v>148</v>
      </c>
      <c r="R1711" s="3" t="inlineStr">
        <is>
          <t>지정되지않음</t>
        </is>
      </c>
      <c r="S1711" s="3" t="inlineStr">
        <is>
          <t>단독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소로한면</t>
        </is>
      </c>
    </row>
    <row r="1712">
      <c r="A1712" s="3" t="inlineStr">
        <is>
          <t>조치원읍 서창리 182-16</t>
        </is>
      </c>
      <c r="B1712" s="3" t="inlineStr">
        <is>
          <t>제1종일반주거지역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29000</v>
      </c>
      <c r="G1712" s="4" t="n">
        <v>446</v>
      </c>
      <c r="H1712" s="4" t="n">
        <v>135</v>
      </c>
      <c r="I1712" s="5" t="n">
        <v>214.8</v>
      </c>
      <c r="J1712" s="5" t="n">
        <v>201.7</v>
      </c>
      <c r="K1712" s="3" t="inlineStr">
        <is>
          <t>nan</t>
        </is>
      </c>
      <c r="L1712" s="6">
        <f>HYPERLINK("https://fin.land.naver.com/articles/2650246902", "매물Link")</f>
        <v/>
      </c>
      <c r="M1712" s="6">
        <f>HYPERLINK("https://map.naver.com/p/search/조치원읍 서창리 182-16", "지도Link")</f>
        <v/>
      </c>
      <c r="N1712" s="6">
        <f>HYPERLINK("http://www.eum.go.kr/web/ar/lu/luLandDet.jsp?pnu=3611025034101820016&amp;isNoScr=script&amp;mode=search", "토지이음")</f>
        <v/>
      </c>
      <c r="O1712" s="3" t="inlineStr">
        <is>
          <t>찬스</t>
        </is>
      </c>
      <c r="P1712" s="4" t="n">
        <v>1</v>
      </c>
      <c r="Q1712" s="4" t="n">
        <v>446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세로한면(가)</t>
        </is>
      </c>
    </row>
    <row r="1713">
      <c r="A1713" s="3" t="inlineStr">
        <is>
          <t>조치원읍 서창리 248-18</t>
        </is>
      </c>
      <c r="B1713" s="3" t="inlineStr">
        <is>
          <t>자연녹지지역</t>
        </is>
      </c>
      <c r="C1713" s="3" t="inlineStr">
        <is>
          <t>과수원</t>
        </is>
      </c>
      <c r="D1713" s="3" t="inlineStr">
        <is>
          <t>과수원</t>
        </is>
      </c>
      <c r="E1713" s="3" t="inlineStr">
        <is>
          <t>매매</t>
        </is>
      </c>
      <c r="F1713" s="4" t="n">
        <v>58000</v>
      </c>
      <c r="G1713" s="4" t="n">
        <v>713</v>
      </c>
      <c r="H1713" s="4" t="n">
        <v>216</v>
      </c>
      <c r="I1713" s="5" t="n">
        <v>268.5</v>
      </c>
      <c r="J1713" s="5" t="n">
        <v>103.3</v>
      </c>
      <c r="K1713" s="3" t="inlineStr">
        <is>
          <t>세종여고 인근 토지매매</t>
        </is>
      </c>
      <c r="L1713" s="6">
        <f>HYPERLINK("https://fin.land.naver.com/articles/2654530627", "매물Link")</f>
        <v/>
      </c>
      <c r="M1713" s="6">
        <f>HYPERLINK("https://map.naver.com/p/search/조치원읍 서창리 248-18", "지도Link")</f>
        <v/>
      </c>
      <c r="N1713" s="6">
        <f>HYPERLINK("http://www.eum.go.kr/web/ar/lu/luLandDet.jsp?pnu=3611025034102480018&amp;isNoScr=script&amp;mode=search", "토지이음")</f>
        <v/>
      </c>
      <c r="O1713" s="3" t="inlineStr">
        <is>
          <t>김준희</t>
        </is>
      </c>
      <c r="P1713" s="4" t="n">
        <v>1</v>
      </c>
      <c r="Q1713" s="4" t="n">
        <v>377</v>
      </c>
      <c r="R1713" s="3" t="inlineStr">
        <is>
          <t>지정되지않음</t>
        </is>
      </c>
      <c r="S1713" s="3" t="inlineStr">
        <is>
          <t>과수원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소로한면</t>
        </is>
      </c>
    </row>
    <row r="1714">
      <c r="A1714" s="3" t="inlineStr">
        <is>
          <t>조치원읍 서창리 250</t>
        </is>
      </c>
      <c r="B1714" s="3" t="inlineStr">
        <is>
          <t>제2종일반주거지역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90000</v>
      </c>
      <c r="G1714" s="4" t="n">
        <v>540</v>
      </c>
      <c r="H1714" s="4" t="n">
        <v>163</v>
      </c>
      <c r="I1714" s="5" t="n">
        <v>552.1</v>
      </c>
      <c r="J1714" s="5" t="n">
        <v>184.3</v>
      </c>
      <c r="K1714" s="3" t="inlineStr">
        <is>
          <t>조치원 서창리 제2종일반주거지역 코너각지 토지매매</t>
        </is>
      </c>
      <c r="L1714" s="6">
        <f>HYPERLINK("https://fin.land.naver.com/articles/2654445705", "매물Link")</f>
        <v/>
      </c>
      <c r="M1714" s="6">
        <f>HYPERLINK("https://map.naver.com/p/search/조치원읍 서창리 250", "지도Link")</f>
        <v/>
      </c>
      <c r="N1714" s="6">
        <f>HYPERLINK("http://www.eum.go.kr/web/ar/lu/luLandDet.jsp?pnu=3611025034102500000&amp;isNoScr=script&amp;mode=search", "토지이음")</f>
        <v/>
      </c>
      <c r="O1714" s="3" t="inlineStr">
        <is>
          <t>the다올</t>
        </is>
      </c>
      <c r="P1714" s="4" t="n">
        <v>2</v>
      </c>
      <c r="Q1714" s="4" t="n">
        <v>540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완경사</t>
        </is>
      </c>
      <c r="U1714" s="3" t="inlineStr">
        <is>
          <t>사다리형</t>
        </is>
      </c>
      <c r="V1714" s="3" t="inlineStr">
        <is>
          <t>소로각지</t>
        </is>
      </c>
    </row>
    <row r="1715">
      <c r="A1715" s="3" t="inlineStr">
        <is>
          <t>조치원읍 서창리 26-3</t>
        </is>
      </c>
      <c r="B1715" s="3" t="inlineStr">
        <is>
          <t>자연녹지지역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76650</v>
      </c>
      <c r="G1715" s="4" t="n">
        <v>724</v>
      </c>
      <c r="H1715" s="4" t="n">
        <v>219</v>
      </c>
      <c r="I1715" s="5" t="n">
        <v>350</v>
      </c>
      <c r="J1715" s="5" t="n">
        <v>148.7</v>
      </c>
      <c r="K1715" s="3" t="inlineStr">
        <is>
          <t>시세보다 저렴하며,
근생 및 단독주택, 월세 90만원</t>
        </is>
      </c>
      <c r="L1715" s="6">
        <f>HYPERLINK("https://fin.land.naver.com/articles/2652026776", "매물Link")</f>
        <v/>
      </c>
      <c r="M1715" s="6">
        <f>HYPERLINK("https://map.naver.com/p/search/조치원읍 서창리 26-3", "지도Link")</f>
        <v/>
      </c>
      <c r="N1715" s="6">
        <f>HYPERLINK("http://www.eum.go.kr/web/ar/lu/luLandDet.jsp?pnu=3611025034100260003&amp;isNoScr=script&amp;mode=search", "토지이음")</f>
        <v/>
      </c>
      <c r="O1715" s="3" t="inlineStr">
        <is>
          <t>세종땅전문</t>
        </is>
      </c>
      <c r="P1715" s="4" t="n">
        <v>1</v>
      </c>
      <c r="Q1715" s="4" t="n">
        <v>724</v>
      </c>
      <c r="R1715" s="3" t="inlineStr">
        <is>
          <t>지정되지않음</t>
        </is>
      </c>
      <c r="S1715" s="3" t="inlineStr">
        <is>
          <t>주거기타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소로한면</t>
        </is>
      </c>
    </row>
    <row r="1716">
      <c r="A1716" s="3" t="inlineStr">
        <is>
          <t>조치원읍 서창리 291-8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55000</v>
      </c>
      <c r="G1716" s="4" t="n">
        <v>299</v>
      </c>
      <c r="H1716" s="4" t="n">
        <v>90</v>
      </c>
      <c r="I1716" s="5" t="n">
        <v>611.1</v>
      </c>
      <c r="J1716" s="5" t="n">
        <v>348.4</v>
      </c>
      <c r="K1716" s="3" t="inlineStr">
        <is>
          <t>서창리 다가구주택이나 상가를 지을수 있는 제2종일반주거지역의 대지입니다</t>
        </is>
      </c>
      <c r="L1716" s="6">
        <f>HYPERLINK("https://fin.land.naver.com/articles/2653589519", "매물Link")</f>
        <v/>
      </c>
      <c r="M1716" s="6">
        <f>HYPERLINK("https://map.naver.com/p/search/조치원읍 서창리 291-8", "지도Link")</f>
        <v/>
      </c>
      <c r="N1716" s="6">
        <f>HYPERLINK("http://www.eum.go.kr/web/ar/lu/luLandDet.jsp?pnu=3611025034102910008&amp;isNoScr=script&amp;mode=search",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299</v>
      </c>
      <c r="R1716" s="3" t="inlineStr">
        <is>
          <t>지정되지않음</t>
        </is>
      </c>
      <c r="S1716" s="3" t="inlineStr">
        <is>
          <t>주상기타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소로각지</t>
        </is>
      </c>
    </row>
    <row r="1717">
      <c r="A1717" s="3" t="inlineStr">
        <is>
          <t>조치원읍 서창리 293-4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24638</v>
      </c>
      <c r="G1717" s="4" t="n">
        <v>181</v>
      </c>
      <c r="H1717" s="4" t="n">
        <v>55</v>
      </c>
      <c r="I1717" s="5" t="n">
        <v>448</v>
      </c>
      <c r="J1717" s="5" t="n">
        <v>289.3</v>
      </c>
      <c r="K1717" s="3" t="inlineStr">
        <is>
          <t>nan</t>
        </is>
      </c>
      <c r="L1717" s="6">
        <f>HYPERLINK("https://fin.land.naver.com/articles/2652217321", "매물Link")</f>
        <v/>
      </c>
      <c r="M1717" s="6">
        <f>HYPERLINK("https://map.naver.com/p/search/조치원읍 서창리 293-4", "지도Link")</f>
        <v/>
      </c>
      <c r="N1717" s="6">
        <f>HYPERLINK("http://www.eum.go.kr/web/ar/lu/luLandDet.jsp?pnu=3611025034102930004&amp;isNoScr=script&amp;mode=search", "토지이음")</f>
        <v/>
      </c>
      <c r="O1717" s="3" t="inlineStr">
        <is>
          <t>한일</t>
        </is>
      </c>
      <c r="P1717" s="4" t="n">
        <v>1</v>
      </c>
      <c r="Q1717" s="4" t="n">
        <v>181</v>
      </c>
      <c r="R1717" s="3" t="inlineStr">
        <is>
          <t>지정되지않음</t>
        </is>
      </c>
      <c r="S1717" s="3" t="inlineStr">
        <is>
          <t>주거나지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세로한면(가)</t>
        </is>
      </c>
    </row>
    <row r="1718">
      <c r="A1718" s="3" t="inlineStr">
        <is>
          <t>조치원읍 서창리 306</t>
        </is>
      </c>
      <c r="B1718" s="3" t="inlineStr">
        <is>
          <t>준주거지역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221000</v>
      </c>
      <c r="G1718" s="4" t="n">
        <v>731</v>
      </c>
      <c r="H1718" s="4" t="n">
        <v>221</v>
      </c>
      <c r="I1718" s="5" t="n">
        <v>1000</v>
      </c>
      <c r="J1718" s="5" t="n">
        <v>274.4</v>
      </c>
      <c r="K1718" s="3" t="inlineStr">
        <is>
          <t>조치원서북부지구 가치상승. 투자가치 우수.</t>
        </is>
      </c>
      <c r="L1718" s="6">
        <f>HYPERLINK("https://fin.land.naver.com/articles/2652222097", "매물Link")</f>
        <v/>
      </c>
      <c r="M1718" s="6">
        <f>HYPERLINK("https://map.naver.com/p/search/조치원읍 서창리 306", "지도Link")</f>
        <v/>
      </c>
      <c r="N1718" s="6">
        <f>HYPERLINK("http://www.eum.go.kr/web/ar/lu/luLandDet.jsp?pnu=3611025034103060000&amp;isNoScr=script&amp;mode=search", "토지이음")</f>
        <v/>
      </c>
      <c r="O1718" s="3" t="inlineStr">
        <is>
          <t>진행</t>
        </is>
      </c>
      <c r="P1718" s="4" t="n">
        <v>1</v>
      </c>
      <c r="Q1718" s="4" t="n">
        <v>731</v>
      </c>
      <c r="R1718" s="3" t="inlineStr">
        <is>
          <t>지정되지않음</t>
        </is>
      </c>
      <c r="S1718" s="3" t="inlineStr">
        <is>
          <t>상업나지</t>
        </is>
      </c>
      <c r="T1718" s="3" t="inlineStr">
        <is>
          <t>평지</t>
        </is>
      </c>
      <c r="U1718" s="3" t="inlineStr">
        <is>
          <t>가로장방</t>
        </is>
      </c>
      <c r="V1718" s="3" t="inlineStr">
        <is>
          <t>중로각지</t>
        </is>
      </c>
    </row>
    <row r="1719">
      <c r="A1719" s="3" t="inlineStr">
        <is>
          <t>조치원읍 서창리 42-254</t>
        </is>
      </c>
      <c r="B1719" s="3" t="inlineStr">
        <is>
          <t>제1종일반주거지역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25000</v>
      </c>
      <c r="G1719" s="4" t="n">
        <v>330</v>
      </c>
      <c r="H1719" s="4" t="n">
        <v>100</v>
      </c>
      <c r="I1719" s="5" t="n">
        <v>250</v>
      </c>
      <c r="J1719" s="5" t="n">
        <v>133.2</v>
      </c>
      <c r="K1719" s="3" t="inlineStr">
        <is>
          <t>북쪽과 동쪽으로 도로를 낀 코너토지. 주택지추천</t>
        </is>
      </c>
      <c r="L1719" s="6">
        <f>HYPERLINK("https://fin.land.naver.com/articles/2649914344", "매물Link")</f>
        <v/>
      </c>
      <c r="M1719" s="6">
        <f>HYPERLINK("https://map.naver.com/p/search/조치원읍 서창리 42-254", "지도Link")</f>
        <v/>
      </c>
      <c r="N1719" s="6">
        <f>HYPERLINK("http://www.eum.go.kr/web/ar/lu/luLandDet.jsp?pnu=3611025034100420254&amp;isNoScr=script&amp;mode=search", "토지이음")</f>
        <v/>
      </c>
      <c r="O1719" s="3" t="inlineStr">
        <is>
          <t>미스터홈즈강남지사</t>
        </is>
      </c>
      <c r="P1719" s="4" t="n">
        <v>1</v>
      </c>
      <c r="Q1719" s="4" t="n">
        <v>330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세로각지(가)</t>
        </is>
      </c>
    </row>
    <row r="1720">
      <c r="A1720" s="3" t="inlineStr">
        <is>
          <t>조치원읍 서창리 54-1</t>
        </is>
      </c>
      <c r="B1720" s="3" t="inlineStr">
        <is>
          <t>자연녹지지역</t>
        </is>
      </c>
      <c r="C1720" s="3" t="inlineStr">
        <is>
          <t>답</t>
        </is>
      </c>
      <c r="D1720" s="3" t="inlineStr">
        <is>
          <t>답</t>
        </is>
      </c>
      <c r="E1720" s="3" t="inlineStr">
        <is>
          <t>매매</t>
        </is>
      </c>
      <c r="F1720" s="4" t="n">
        <v>165000</v>
      </c>
      <c r="G1720" s="4" t="n">
        <v>915</v>
      </c>
      <c r="H1720" s="4" t="n">
        <v>277</v>
      </c>
      <c r="I1720" s="5" t="n">
        <v>595.7</v>
      </c>
      <c r="J1720" s="5" t="n">
        <v>113.6</v>
      </c>
      <c r="K1720" s="3" t="inlineStr">
        <is>
          <t>nan</t>
        </is>
      </c>
      <c r="L1720" s="6">
        <f>HYPERLINK("https://fin.land.naver.com/articles/2651060447", "매물Link")</f>
        <v/>
      </c>
      <c r="M1720" s="6">
        <f>HYPERLINK("https://map.naver.com/p/search/조치원읍 서창리 54-1", "지도Link")</f>
        <v/>
      </c>
      <c r="N1720" s="6">
        <f>HYPERLINK("http://www.eum.go.kr/web/ar/lu/luLandDet.jsp?pnu=3611025034100540001&amp;isNoScr=script&amp;mode=search", "토지이음")</f>
        <v/>
      </c>
      <c r="O1720" s="3" t="inlineStr">
        <is>
          <t>세종문화길</t>
        </is>
      </c>
      <c r="P1720" s="4" t="n">
        <v>1</v>
      </c>
      <c r="Q1720" s="4" t="n">
        <v>915</v>
      </c>
      <c r="R1720" s="3" t="inlineStr">
        <is>
          <t>지정되지않음</t>
        </is>
      </c>
      <c r="S1720" s="3" t="inlineStr">
        <is>
          <t>답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광대로한면</t>
        </is>
      </c>
    </row>
    <row r="1721">
      <c r="A1721" s="3" t="inlineStr">
        <is>
          <t>조치원읍 서창리 93-20</t>
        </is>
      </c>
      <c r="B1721" s="3" t="inlineStr">
        <is>
          <t>자연녹지지역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150000</v>
      </c>
      <c r="G1721" s="4" t="n">
        <v>2920</v>
      </c>
      <c r="H1721" s="4" t="n">
        <v>883</v>
      </c>
      <c r="I1721" s="5" t="n">
        <v>169.9</v>
      </c>
      <c r="J1721" s="5" t="n">
        <v>59.7</v>
      </c>
      <c r="K1721" s="3" t="inlineStr">
        <is>
          <t>nan</t>
        </is>
      </c>
      <c r="L1721" s="6">
        <f>HYPERLINK("https://fin.land.naver.com/articles/2650423179", "매물Link")</f>
        <v/>
      </c>
      <c r="M1721" s="6">
        <f>HYPERLINK("https://map.naver.com/p/search/조치원읍 서창리 93-20", "지도Link")</f>
        <v/>
      </c>
      <c r="N1721" s="6">
        <f>HYPERLINK("http://www.eum.go.kr/web/ar/lu/luLandDet.jsp?pnu=3611025034100930020&amp;isNoScr=script&amp;mode=search", "토지이음")</f>
        <v/>
      </c>
      <c r="O1721" s="3" t="inlineStr">
        <is>
          <t>현대</t>
        </is>
      </c>
      <c r="P1721" s="4" t="n">
        <v>1</v>
      </c>
      <c r="Q1721" s="4" t="n">
        <v>2575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맹지</t>
        </is>
      </c>
    </row>
    <row r="1722">
      <c r="A1722" s="3" t="inlineStr">
        <is>
          <t>조치원읍 서창리 93-20</t>
        </is>
      </c>
      <c r="B1722" s="3" t="inlineStr">
        <is>
          <t>자연녹지지역</t>
        </is>
      </c>
      <c r="C1722" s="3" t="inlineStr">
        <is>
          <t>답</t>
        </is>
      </c>
      <c r="D1722" s="3" t="inlineStr">
        <is>
          <t>답</t>
        </is>
      </c>
      <c r="E1722" s="3" t="inlineStr">
        <is>
          <t>매매</t>
        </is>
      </c>
      <c r="F1722" s="4" t="n">
        <v>150000</v>
      </c>
      <c r="G1722" s="4" t="n">
        <v>2921</v>
      </c>
      <c r="H1722" s="4" t="n">
        <v>884</v>
      </c>
      <c r="I1722" s="5" t="n">
        <v>169.7</v>
      </c>
      <c r="J1722" s="5" t="n">
        <v>59.7</v>
      </c>
      <c r="K1722" s="3" t="inlineStr">
        <is>
          <t>토지급매 조치원역 인근 대규모 부지 정비소, 세차장, 요양원 추천</t>
        </is>
      </c>
      <c r="L1722" s="6">
        <f>HYPERLINK("https://fin.land.naver.com/articles/2652108627", "매물Link")</f>
        <v/>
      </c>
      <c r="M1722" s="6">
        <f>HYPERLINK("https://map.naver.com/p/search/조치원읍 서창리 93-20", "지도Link")</f>
        <v/>
      </c>
      <c r="N1722" s="6">
        <f>HYPERLINK("http://www.eum.go.kr/web/ar/lu/luLandDet.jsp?pnu=3611025034100930020&amp;isNoScr=script&amp;mode=search", "토지이음")</f>
        <v/>
      </c>
      <c r="O1722" s="3" t="inlineStr">
        <is>
          <t>다모아</t>
        </is>
      </c>
      <c r="P1722" s="4" t="n">
        <v>1</v>
      </c>
      <c r="Q1722" s="4" t="n">
        <v>2575</v>
      </c>
      <c r="R1722" s="3" t="inlineStr">
        <is>
          <t>지정되지않음</t>
        </is>
      </c>
      <c r="S1722" s="3" t="inlineStr">
        <is>
          <t>답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맹지</t>
        </is>
      </c>
    </row>
    <row r="1723">
      <c r="A1723" s="3" t="inlineStr">
        <is>
          <t>조치원읍 서창리 93-20</t>
        </is>
      </c>
      <c r="B1723" s="3" t="inlineStr">
        <is>
          <t>자연녹지지역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150000</v>
      </c>
      <c r="G1723" s="4" t="n">
        <v>2921</v>
      </c>
      <c r="H1723" s="4" t="n">
        <v>884</v>
      </c>
      <c r="I1723" s="5" t="n">
        <v>169.7</v>
      </c>
      <c r="J1723" s="5" t="n">
        <v>59.7</v>
      </c>
      <c r="K1723" s="3" t="inlineStr">
        <is>
          <t>조치원 생활권 평탄 대형부지 소형창고 차량보관시설 검토</t>
        </is>
      </c>
      <c r="L1723" s="6">
        <f>HYPERLINK("https://fin.land.naver.com/articles/2650423353", "매물Link")</f>
        <v/>
      </c>
      <c r="M1723" s="6">
        <f>HYPERLINK("https://map.naver.com/p/search/조치원읍 서창리 93-20", "지도Link")</f>
        <v/>
      </c>
      <c r="N1723" s="6">
        <f>HYPERLINK("http://www.eum.go.kr/web/ar/lu/luLandDet.jsp?pnu=3611025034100930020&amp;isNoScr=script&amp;mode=search", "토지이음")</f>
        <v/>
      </c>
      <c r="O1723" s="3" t="inlineStr">
        <is>
          <t>세종소담황금</t>
        </is>
      </c>
      <c r="P1723" s="4" t="n">
        <v>1</v>
      </c>
      <c r="Q1723" s="4" t="n">
        <v>2575</v>
      </c>
      <c r="R1723" s="3" t="inlineStr">
        <is>
          <t>지정되지않음</t>
        </is>
      </c>
      <c r="S1723" s="3" t="inlineStr">
        <is>
          <t>답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조치원읍 서창리 93-20</t>
        </is>
      </c>
      <c r="B1724" s="3" t="inlineStr">
        <is>
          <t>자연녹지지역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150000</v>
      </c>
      <c r="G1724" s="4" t="n">
        <v>2921</v>
      </c>
      <c r="H1724" s="4" t="n">
        <v>884</v>
      </c>
      <c r="I1724" s="5" t="n">
        <v>169.7</v>
      </c>
      <c r="J1724" s="5" t="n">
        <v>59.7</v>
      </c>
      <c r="K1724" s="3" t="inlineStr">
        <is>
          <t>서창리 자연녹지 883P,창고 고물상 차량정비소등 추천,조율</t>
        </is>
      </c>
      <c r="L1724" s="6">
        <f>HYPERLINK("https://fin.land.naver.com/articles/2654115439", "매물Link")</f>
        <v/>
      </c>
      <c r="M1724" s="6">
        <f>HYPERLINK("https://map.naver.com/p/search/조치원읍 서창리 93-20", "지도Link")</f>
        <v/>
      </c>
      <c r="N1724" s="6">
        <f>HYPERLINK("http://www.eum.go.kr/web/ar/lu/luLandDet.jsp?pnu=3611025034100930020&amp;isNoScr=script&amp;mode=search", "토지이음")</f>
        <v/>
      </c>
      <c r="O1724" s="3" t="inlineStr">
        <is>
          <t>광장</t>
        </is>
      </c>
      <c r="P1724" s="4" t="n">
        <v>3</v>
      </c>
      <c r="Q1724" s="4" t="n">
        <v>2575</v>
      </c>
      <c r="R1724" s="3" t="inlineStr">
        <is>
          <t>지정되지않음</t>
        </is>
      </c>
      <c r="S1724" s="3" t="inlineStr">
        <is>
          <t>답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맹지</t>
        </is>
      </c>
    </row>
    <row r="1725">
      <c r="A1725" s="3" t="inlineStr">
        <is>
          <t>조치원읍 서창리 93-20</t>
        </is>
      </c>
      <c r="B1725" s="3" t="inlineStr">
        <is>
          <t>자연녹지지역</t>
        </is>
      </c>
      <c r="C1725" s="3" t="inlineStr">
        <is>
          <t>답</t>
        </is>
      </c>
      <c r="D1725" s="3" t="inlineStr">
        <is>
          <t>답</t>
        </is>
      </c>
      <c r="E1725" s="3" t="inlineStr">
        <is>
          <t>매매</t>
        </is>
      </c>
      <c r="F1725" s="4" t="n">
        <v>180000</v>
      </c>
      <c r="G1725" s="4" t="n">
        <v>2921</v>
      </c>
      <c r="H1725" s="4" t="n">
        <v>884</v>
      </c>
      <c r="I1725" s="5" t="n">
        <v>203.6</v>
      </c>
      <c r="J1725" s="5" t="n">
        <v>59.7</v>
      </c>
      <c r="K1725" s="3" t="inlineStr">
        <is>
          <t>3필지 일괄매매</t>
        </is>
      </c>
      <c r="L1725" s="6">
        <f>HYPERLINK("https://fin.land.naver.com/articles/2652420151", "매물Link")</f>
        <v/>
      </c>
      <c r="M1725" s="6">
        <f>HYPERLINK("https://map.naver.com/p/search/조치원읍 서창리 93-20", "지도Link")</f>
        <v/>
      </c>
      <c r="N1725" s="6">
        <f>HYPERLINK("http://www.eum.go.kr/web/ar/lu/luLandDet.jsp?pnu=3611025034100930020&amp;isNoScr=script&amp;mode=search", "토지이음")</f>
        <v/>
      </c>
      <c r="O1725" s="3" t="inlineStr">
        <is>
          <t>오송좋은날</t>
        </is>
      </c>
      <c r="P1725" s="4" t="n">
        <v>1</v>
      </c>
      <c r="Q1725" s="4" t="n">
        <v>2575</v>
      </c>
      <c r="R1725" s="3" t="inlineStr">
        <is>
          <t>지정되지않음</t>
        </is>
      </c>
      <c r="S1725" s="3" t="inlineStr">
        <is>
          <t>답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맹지</t>
        </is>
      </c>
    </row>
    <row r="1726">
      <c r="A1726" s="3" t="inlineStr">
        <is>
          <t>조치원읍 서창리 95-3</t>
        </is>
      </c>
      <c r="B1726" s="3" t="inlineStr">
        <is>
          <t>자연녹지지역</t>
        </is>
      </c>
      <c r="C1726" s="3" t="inlineStr">
        <is>
          <t>답</t>
        </is>
      </c>
      <c r="D1726" s="3" t="inlineStr">
        <is>
          <t>답</t>
        </is>
      </c>
      <c r="E1726" s="3" t="inlineStr">
        <is>
          <t>매매</t>
        </is>
      </c>
      <c r="F1726" s="4" t="n">
        <v>120000</v>
      </c>
      <c r="G1726" s="4" t="n">
        <v>1293</v>
      </c>
      <c r="H1726" s="4" t="n">
        <v>391</v>
      </c>
      <c r="I1726" s="5" t="n">
        <v>306.9</v>
      </c>
      <c r="J1726" s="5" t="n">
        <v>157.6</v>
      </c>
      <c r="K1726" s="3" t="inlineStr">
        <is>
          <t>서창리 토지 매매 자연녹지</t>
        </is>
      </c>
      <c r="L1726" s="6">
        <f>HYPERLINK("https://fin.land.naver.com/articles/2653992204", "매물Link")</f>
        <v/>
      </c>
      <c r="M1726" s="6">
        <f>HYPERLINK("https://map.naver.com/p/search/조치원읍 서창리 95-3", "지도Link")</f>
        <v/>
      </c>
      <c r="N1726" s="6">
        <f>HYPERLINK("http://www.eum.go.kr/web/ar/lu/luLandDet.jsp?pnu=3611025034100950003&amp;isNoScr=script&amp;mode=search", "토지이음")</f>
        <v/>
      </c>
      <c r="O1726" s="3" t="inlineStr">
        <is>
          <t>김준희</t>
        </is>
      </c>
      <c r="P1726" s="4" t="n">
        <v>1</v>
      </c>
      <c r="Q1726" s="4" t="n">
        <v>255</v>
      </c>
      <c r="R1726" s="3" t="inlineStr">
        <is>
          <t>제1종일반주거지역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중로한면</t>
        </is>
      </c>
    </row>
    <row r="1727">
      <c r="A1727" s="3" t="inlineStr">
        <is>
          <t>조치원읍 신안리 171-7</t>
        </is>
      </c>
      <c r="B1727" s="3" t="inlineStr">
        <is>
          <t>자연녹지지역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57000</v>
      </c>
      <c r="G1727" s="4" t="n">
        <v>1046</v>
      </c>
      <c r="H1727" s="4" t="n">
        <v>316</v>
      </c>
      <c r="I1727" s="5" t="n">
        <v>180.4</v>
      </c>
      <c r="J1727" s="5" t="n">
        <v>108.5</v>
      </c>
      <c r="K1727" s="3" t="inlineStr">
        <is>
          <t>세종 조치원읍 성장관리계획구역 토지 매매</t>
        </is>
      </c>
      <c r="L1727" s="6">
        <f>HYPERLINK("https://fin.land.naver.com/articles/2650361043", "매물Link")</f>
        <v/>
      </c>
      <c r="M1727" s="6">
        <f>HYPERLINK("https://map.naver.com/p/search/조치원읍 신안리 171-7", "지도Link")</f>
        <v/>
      </c>
      <c r="N1727" s="6">
        <f>HYPERLINK("http://www.eum.go.kr/web/ar/lu/luLandDet.jsp?pnu=3611025032101710007&amp;isNoScr=script&amp;mode=search", "토지이음")</f>
        <v/>
      </c>
      <c r="O1727" s="3" t="inlineStr">
        <is>
          <t>세종몽땅</t>
        </is>
      </c>
      <c r="P1727" s="4" t="n">
        <v>1</v>
      </c>
      <c r="Q1727" s="4" t="n">
        <v>1046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세로장방</t>
        </is>
      </c>
      <c r="V1727" s="3" t="inlineStr">
        <is>
          <t>세로한면(가)</t>
        </is>
      </c>
    </row>
    <row r="1728">
      <c r="A1728" s="3" t="inlineStr">
        <is>
          <t>조치원읍 신안리 193-2</t>
        </is>
      </c>
      <c r="B1728" s="3" t="inlineStr">
        <is>
          <t>자연녹지지역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46000</v>
      </c>
      <c r="G1728" s="4" t="n">
        <v>529</v>
      </c>
      <c r="H1728" s="4" t="n">
        <v>160</v>
      </c>
      <c r="I1728" s="5" t="n">
        <v>287.5</v>
      </c>
      <c r="J1728" s="5" t="n">
        <v>147.6</v>
      </c>
      <c r="K1728" s="3" t="inlineStr">
        <is>
          <t>급매,국도1호선 서창역 인근 알토란 나대지,월룸.단독주택.투자용추천</t>
        </is>
      </c>
      <c r="L1728" s="6">
        <f>HYPERLINK("https://fin.land.naver.com/articles/2651742010", "매물Link")</f>
        <v/>
      </c>
      <c r="M1728" s="6">
        <f>HYPERLINK("https://map.naver.com/p/search/조치원읍 신안리 193-2", "지도Link")</f>
        <v/>
      </c>
      <c r="N1728" s="6">
        <f>HYPERLINK("http://www.eum.go.kr/web/ar/lu/luLandDet.jsp?pnu=3611025032101930002&amp;isNoScr=script&amp;mode=search", "토지이음")</f>
        <v/>
      </c>
      <c r="O1728" s="3" t="inlineStr">
        <is>
          <t>고운맘</t>
        </is>
      </c>
      <c r="P1728" s="4" t="n">
        <v>1</v>
      </c>
      <c r="Q1728" s="4" t="n">
        <v>397</v>
      </c>
      <c r="R1728" s="3" t="inlineStr">
        <is>
          <t>지정되지않음</t>
        </is>
      </c>
      <c r="S1728" s="3" t="inlineStr">
        <is>
          <t>단독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세로한면(불)</t>
        </is>
      </c>
    </row>
    <row r="1729">
      <c r="A1729" s="3" t="inlineStr">
        <is>
          <t>조치원읍 신안리 207-53</t>
        </is>
      </c>
      <c r="B1729" s="3" t="inlineStr">
        <is>
          <t>자연녹지지역</t>
        </is>
      </c>
      <c r="C1729" s="3" t="inlineStr">
        <is>
          <t>전</t>
        </is>
      </c>
      <c r="D1729" s="3" t="inlineStr">
        <is>
          <t>전</t>
        </is>
      </c>
      <c r="E1729" s="3" t="inlineStr">
        <is>
          <t>매매</t>
        </is>
      </c>
      <c r="F1729" s="4" t="n">
        <v>147900</v>
      </c>
      <c r="G1729" s="4" t="n">
        <v>1630</v>
      </c>
      <c r="H1729" s="4" t="n">
        <v>493</v>
      </c>
      <c r="I1729" s="5" t="n">
        <v>300</v>
      </c>
      <c r="J1729" s="5" t="n">
        <v>95.2</v>
      </c>
      <c r="K1729" s="3" t="inlineStr">
        <is>
          <t>1번국도변 가시성좋은 자연녹지. 서창역300미터거리</t>
        </is>
      </c>
      <c r="L1729" s="6">
        <f>HYPERLINK("https://fin.land.naver.com/articles/2649892785", "매물Link")</f>
        <v/>
      </c>
      <c r="M1729" s="6">
        <f>HYPERLINK("https://map.naver.com/p/search/조치원읍 신안리 207-53", "지도Link")</f>
        <v/>
      </c>
      <c r="N1729" s="6">
        <f>HYPERLINK("http://www.eum.go.kr/web/ar/lu/luLandDet.jsp?pnu=3611025032102070053&amp;isNoScr=script&amp;mode=search", "토지이음")</f>
        <v/>
      </c>
      <c r="O1729" s="3" t="inlineStr">
        <is>
          <t>미스터홈즈강남지사</t>
        </is>
      </c>
      <c r="P1729" s="4" t="n">
        <v>1</v>
      </c>
      <c r="Q1729" s="4" t="n">
        <v>1257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맹지</t>
        </is>
      </c>
    </row>
    <row r="1730">
      <c r="A1730" s="3" t="inlineStr">
        <is>
          <t>조치원읍 신안리 243-10</t>
        </is>
      </c>
      <c r="B1730" s="3" t="inlineStr">
        <is>
          <t>자연녹지지역</t>
        </is>
      </c>
      <c r="C1730" s="3" t="inlineStr">
        <is>
          <t>과수원</t>
        </is>
      </c>
      <c r="D1730" s="3" t="inlineStr">
        <is>
          <t>과수원</t>
        </is>
      </c>
      <c r="E1730" s="3" t="inlineStr">
        <is>
          <t>매매</t>
        </is>
      </c>
      <c r="F1730" s="4" t="n">
        <v>98000</v>
      </c>
      <c r="G1730" s="4" t="n">
        <v>1620</v>
      </c>
      <c r="H1730" s="4" t="n">
        <v>490</v>
      </c>
      <c r="I1730" s="5" t="n">
        <v>200</v>
      </c>
      <c r="J1730" s="5" t="n">
        <v>76.5</v>
      </c>
      <c r="K1730" s="3" t="inlineStr">
        <is>
          <t>서창역세권 개발예정지, 홍익대학교 인접, 철도보호지구</t>
        </is>
      </c>
      <c r="L1730" s="6">
        <f>HYPERLINK("https://fin.land.naver.com/articles/2652107211", "매물Link")</f>
        <v/>
      </c>
      <c r="M1730" s="6">
        <f>HYPERLINK("https://map.naver.com/p/search/조치원읍 신안리 243-10", "지도Link")</f>
        <v/>
      </c>
      <c r="N1730" s="6">
        <f>HYPERLINK("http://www.eum.go.kr/web/ar/lu/luLandDet.jsp?pnu=3611025032102430010&amp;isNoScr=script&amp;mode=search", "토지이음")</f>
        <v/>
      </c>
      <c r="O1730" s="3" t="inlineStr">
        <is>
          <t>미스터홈즈강남지사</t>
        </is>
      </c>
      <c r="P1730" s="4" t="n">
        <v>1</v>
      </c>
      <c r="Q1730" s="4" t="n">
        <v>1620</v>
      </c>
      <c r="R1730" s="3" t="inlineStr">
        <is>
          <t>지정되지않음</t>
        </is>
      </c>
      <c r="S1730" s="3" t="inlineStr">
        <is>
          <t>과수원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세로한면(불)</t>
        </is>
      </c>
    </row>
    <row r="1731">
      <c r="A1731" s="3" t="inlineStr">
        <is>
          <t>조치원읍 신안리 341-17</t>
        </is>
      </c>
      <c r="B1731" s="3" t="inlineStr">
        <is>
          <t>제2종일반주거지역</t>
        </is>
      </c>
      <c r="C1731" s="3" t="inlineStr">
        <is>
          <t>전</t>
        </is>
      </c>
      <c r="D1731" s="3" t="inlineStr">
        <is>
          <t>전</t>
        </is>
      </c>
      <c r="E1731" s="3" t="inlineStr">
        <is>
          <t>매매</t>
        </is>
      </c>
      <c r="F1731" s="4" t="n">
        <v>65000</v>
      </c>
      <c r="G1731" s="4" t="n">
        <v>433</v>
      </c>
      <c r="H1731" s="4" t="n">
        <v>131</v>
      </c>
      <c r="I1731" s="5" t="n">
        <v>496.2</v>
      </c>
      <c r="J1731" s="5" t="n">
        <v>233.8</v>
      </c>
      <c r="K1731" s="3" t="inlineStr">
        <is>
          <t>홍익대 근접 거리, 원룸 지으실 분 추천요.</t>
        </is>
      </c>
      <c r="L1731" s="6">
        <f>HYPERLINK("https://fin.land.naver.com/articles/2650467431", "매물Link")</f>
        <v/>
      </c>
      <c r="M1731" s="6">
        <f>HYPERLINK("https://map.naver.com/p/search/조치원읍 신안리 341-17", "지도Link")</f>
        <v/>
      </c>
      <c r="N1731" s="6">
        <f>HYPERLINK("http://www.eum.go.kr/web/ar/lu/luLandDet.jsp?pnu=3611025032103410017&amp;isNoScr=script&amp;mode=search", "토지이음")</f>
        <v/>
      </c>
      <c r="O1731" s="3" t="inlineStr">
        <is>
          <t>세종공감</t>
        </is>
      </c>
      <c r="P1731" s="4" t="n">
        <v>1</v>
      </c>
      <c r="Q1731" s="4" t="n">
        <v>337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세로한면(가)</t>
        </is>
      </c>
    </row>
    <row r="1732">
      <c r="A1732" s="3" t="inlineStr">
        <is>
          <t>조치원읍 신안리 35-17</t>
        </is>
      </c>
      <c r="B1732" s="3" t="inlineStr">
        <is>
          <t>제2종일반주거지역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285000</v>
      </c>
      <c r="G1732" s="4" t="n">
        <v>1653</v>
      </c>
      <c r="H1732" s="4" t="n">
        <v>500</v>
      </c>
      <c r="I1732" s="5" t="n">
        <v>570</v>
      </c>
      <c r="J1732" s="5" t="n">
        <v>430.4</v>
      </c>
      <c r="K1732" s="3" t="inlineStr">
        <is>
          <t>도시지역 대로접, 2종일반주거지역,넓은 면적 위치좋은 토지</t>
        </is>
      </c>
      <c r="L1732" s="6">
        <f>HYPERLINK("https://fin.land.naver.com/articles/2653435544", "매물Link")</f>
        <v/>
      </c>
      <c r="M1732" s="6">
        <f>HYPERLINK("https://map.naver.com/p/search/조치원읍 신안리 35-17", "지도Link")</f>
        <v/>
      </c>
      <c r="N1732" s="6">
        <f>HYPERLINK("http://www.eum.go.kr/web/ar/lu/luLandDet.jsp?pnu=3611025032100350017&amp;isNoScr=script&amp;mode=search", "토지이음")</f>
        <v/>
      </c>
      <c r="O1732" s="3" t="inlineStr">
        <is>
          <t>고운맘</t>
        </is>
      </c>
      <c r="P1732" s="4" t="n">
        <v>1</v>
      </c>
      <c r="Q1732" s="4" t="n">
        <v>1653</v>
      </c>
      <c r="R1732" s="3" t="inlineStr">
        <is>
          <t>지정되지않음</t>
        </is>
      </c>
      <c r="S1732" s="3" t="inlineStr">
        <is>
          <t>상업나지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광대로한면</t>
        </is>
      </c>
    </row>
    <row r="1733">
      <c r="A1733" s="3" t="inlineStr">
        <is>
          <t>조치원읍 신안리 383-1</t>
        </is>
      </c>
      <c r="B1733" s="3" t="inlineStr">
        <is>
          <t>제2종일반주거지역</t>
        </is>
      </c>
      <c r="C1733" s="3" t="inlineStr">
        <is>
          <t>답</t>
        </is>
      </c>
      <c r="D1733" s="3" t="inlineStr">
        <is>
          <t>대</t>
        </is>
      </c>
      <c r="E1733" s="3" t="inlineStr">
        <is>
          <t>매매</t>
        </is>
      </c>
      <c r="F1733" s="4" t="n">
        <v>30000</v>
      </c>
      <c r="G1733" s="4" t="n">
        <v>264</v>
      </c>
      <c r="H1733" s="4" t="n">
        <v>80</v>
      </c>
      <c r="I1733" s="5" t="n">
        <v>375</v>
      </c>
      <c r="J1733" s="5" t="n">
        <v>200.1</v>
      </c>
      <c r="K1733" s="3" t="inlineStr">
        <is>
          <t>2차선도로접,대학교 주변 상권좋음</t>
        </is>
      </c>
      <c r="L1733" s="6">
        <f>HYPERLINK("https://fin.land.naver.com/articles/2651577930", "매물Link")</f>
        <v/>
      </c>
      <c r="M1733" s="6">
        <f>HYPERLINK("https://map.naver.com/p/search/조치원읍 신안리 383-1", "지도Link")</f>
        <v/>
      </c>
      <c r="N1733" s="6">
        <f>HYPERLINK("http://www.eum.go.kr/web/ar/lu/luLandDet.jsp?pnu=3611025032103830001&amp;isNoScr=script&amp;mode=search", "토지이음")</f>
        <v/>
      </c>
      <c r="O1733" s="3" t="inlineStr">
        <is>
          <t>세종연동탑</t>
        </is>
      </c>
      <c r="P1733" s="4" t="n">
        <v>2</v>
      </c>
      <c r="Q1733" s="4" t="n">
        <v>265</v>
      </c>
      <c r="R1733" s="3" t="inlineStr">
        <is>
          <t>지정되지않음</t>
        </is>
      </c>
      <c r="S1733" s="3" t="inlineStr">
        <is>
          <t>주거기타</t>
        </is>
      </c>
      <c r="T1733" s="3" t="inlineStr">
        <is>
          <t>평지</t>
        </is>
      </c>
      <c r="U1733" s="3" t="inlineStr">
        <is>
          <t>사다리형</t>
        </is>
      </c>
      <c r="V1733" s="3" t="inlineStr">
        <is>
          <t>세로한면(가)</t>
        </is>
      </c>
    </row>
    <row r="1734">
      <c r="A1734" s="3" t="inlineStr">
        <is>
          <t>조치원읍 신안리 390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120000</v>
      </c>
      <c r="G1734" s="4" t="n">
        <v>525</v>
      </c>
      <c r="H1734" s="4" t="n">
        <v>159</v>
      </c>
      <c r="I1734" s="5" t="n">
        <v>754.7</v>
      </c>
      <c r="J1734" s="5" t="n">
        <v>418.5</v>
      </c>
      <c r="K1734" s="3" t="inlineStr">
        <is>
          <t>대지가격으로 매매합니다.12억평750만원</t>
        </is>
      </c>
      <c r="L1734" s="6">
        <f>HYPERLINK("https://fin.land.naver.com/articles/2650957174", "매물Link")</f>
        <v/>
      </c>
      <c r="M1734" s="6">
        <f>HYPERLINK("https://map.naver.com/p/search/조치원읍 신안리 390", "지도Link")</f>
        <v/>
      </c>
      <c r="N1734" s="6">
        <f>HYPERLINK("http://www.eum.go.kr/web/ar/lu/luLandDet.jsp?pnu=3611025032103900000&amp;isNoScr=script&amp;mode=search", "토지이음")</f>
        <v/>
      </c>
      <c r="O1734" s="3" t="inlineStr">
        <is>
          <t>고잔역</t>
        </is>
      </c>
      <c r="P1734" s="4" t="n">
        <v>1</v>
      </c>
      <c r="Q1734" s="4" t="n">
        <v>515</v>
      </c>
      <c r="R1734" s="3" t="inlineStr">
        <is>
          <t>지정되지않음</t>
        </is>
      </c>
      <c r="S1734" s="3" t="inlineStr">
        <is>
          <t>상업용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중로각지</t>
        </is>
      </c>
    </row>
    <row r="1735">
      <c r="A1735" s="3" t="inlineStr">
        <is>
          <t>조치원읍 신안리 436-1</t>
        </is>
      </c>
      <c r="B1735" s="3" t="inlineStr">
        <is>
          <t>자연녹지지역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45000</v>
      </c>
      <c r="G1735" s="4" t="n">
        <v>661</v>
      </c>
      <c r="H1735" s="4" t="n">
        <v>200</v>
      </c>
      <c r="I1735" s="5" t="n">
        <v>225</v>
      </c>
      <c r="J1735" s="5" t="n">
        <v>64.59999999999999</v>
      </c>
      <c r="K1735" s="3" t="inlineStr">
        <is>
          <t>대단지아파트인근, 신안지구개발예정지 인근, 전원주택지 등 다용도 가능</t>
        </is>
      </c>
      <c r="L1735" s="6">
        <f>HYPERLINK("https://fin.land.naver.com/articles/2650311385", "매물Link")</f>
        <v/>
      </c>
      <c r="M1735" s="6">
        <f>HYPERLINK("https://map.naver.com/p/search/조치원읍 신안리 436-1", "지도Link")</f>
        <v/>
      </c>
      <c r="N1735" s="6">
        <f>HYPERLINK("http://www.eum.go.kr/web/ar/lu/luLandDet.jsp?pnu=3611025032104360001&amp;isNoScr=script&amp;mode=search", "토지이음")</f>
        <v/>
      </c>
      <c r="O1735" s="3" t="inlineStr">
        <is>
          <t>세종공감</t>
        </is>
      </c>
      <c r="P1735" s="4" t="n">
        <v>2</v>
      </c>
      <c r="Q1735" s="4" t="n">
        <v>661</v>
      </c>
      <c r="R1735" s="3" t="inlineStr">
        <is>
          <t>지정되지않음</t>
        </is>
      </c>
      <c r="S1735" s="3" t="inlineStr">
        <is>
          <t>전</t>
        </is>
      </c>
      <c r="T1735" s="3" t="inlineStr">
        <is>
          <t>완경사</t>
        </is>
      </c>
      <c r="U1735" s="3" t="inlineStr">
        <is>
          <t>부정형</t>
        </is>
      </c>
      <c r="V1735" s="3" t="inlineStr">
        <is>
          <t>세로한면(가)</t>
        </is>
      </c>
    </row>
    <row r="1736">
      <c r="A1736" s="3" t="inlineStr">
        <is>
          <t>조치원읍 신안리 436-3</t>
        </is>
      </c>
      <c r="B1736" s="3" t="inlineStr">
        <is>
          <t>자연녹지지역</t>
        </is>
      </c>
      <c r="C1736" s="3" t="inlineStr">
        <is>
          <t>전</t>
        </is>
      </c>
      <c r="D1736" s="3" t="inlineStr">
        <is>
          <t>답</t>
        </is>
      </c>
      <c r="E1736" s="3" t="inlineStr">
        <is>
          <t>매매</t>
        </is>
      </c>
      <c r="F1736" s="4" t="n">
        <v>46000</v>
      </c>
      <c r="G1736" s="4" t="n">
        <v>662</v>
      </c>
      <c r="H1736" s="4" t="n">
        <v>200</v>
      </c>
      <c r="I1736" s="5" t="n">
        <v>230</v>
      </c>
      <c r="J1736" s="5" t="n">
        <v>67.8</v>
      </c>
      <c r="K1736" s="3" t="inlineStr">
        <is>
          <t>조치원읍 신안리 자연녹지 토지, 네모반듯, 신안지구 개발지, 단독주택</t>
        </is>
      </c>
      <c r="L1736" s="6">
        <f>HYPERLINK("https://fin.land.naver.com/articles/2654029198", "매물Link")</f>
        <v/>
      </c>
      <c r="M1736" s="6">
        <f>HYPERLINK("https://map.naver.com/p/search/조치원읍 신안리 436-3", "지도Link")</f>
        <v/>
      </c>
      <c r="N1736" s="6">
        <f>HYPERLINK("http://www.eum.go.kr/web/ar/lu/luLandDet.jsp?pnu=3611025032104360003&amp;isNoScr=script&amp;mode=search", "토지이음")</f>
        <v/>
      </c>
      <c r="O1736" s="3" t="inlineStr">
        <is>
          <t>스카이</t>
        </is>
      </c>
      <c r="P1736" s="4" t="n">
        <v>1</v>
      </c>
      <c r="Q1736" s="4" t="n">
        <v>662</v>
      </c>
      <c r="R1736" s="3" t="inlineStr">
        <is>
          <t>지정되지않음</t>
        </is>
      </c>
      <c r="S1736" s="3" t="inlineStr">
        <is>
          <t>전</t>
        </is>
      </c>
      <c r="T1736" s="3" t="inlineStr">
        <is>
          <t>완경사</t>
        </is>
      </c>
      <c r="U1736" s="3" t="inlineStr">
        <is>
          <t>사다리형</t>
        </is>
      </c>
      <c r="V1736" s="3" t="inlineStr">
        <is>
          <t>세로한면(가)</t>
        </is>
      </c>
    </row>
    <row r="1737">
      <c r="A1737" s="3" t="inlineStr">
        <is>
          <t>조치원읍 신안리 436-3</t>
        </is>
      </c>
      <c r="B1737" s="3" t="inlineStr">
        <is>
          <t>자연녹지지역</t>
        </is>
      </c>
      <c r="C1737" s="3" t="inlineStr">
        <is>
          <t>전</t>
        </is>
      </c>
      <c r="D1737" s="3" t="inlineStr">
        <is>
          <t>답</t>
        </is>
      </c>
      <c r="E1737" s="3" t="inlineStr">
        <is>
          <t>매매</t>
        </is>
      </c>
      <c r="F1737" s="4" t="n">
        <v>46000</v>
      </c>
      <c r="G1737" s="4" t="n">
        <v>662</v>
      </c>
      <c r="H1737" s="4" t="n">
        <v>200</v>
      </c>
      <c r="I1737" s="5" t="n">
        <v>230</v>
      </c>
      <c r="J1737" s="5" t="n">
        <v>67.8</v>
      </c>
      <c r="K1737" s="3" t="inlineStr">
        <is>
          <t>이편한세상 아파트 983세대  초인접 공영주차장 이용가능</t>
        </is>
      </c>
      <c r="L1737" s="6">
        <f>HYPERLINK("https://fin.land.naver.com/articles/2649611209", "매물Link")</f>
        <v/>
      </c>
      <c r="M1737" s="6">
        <f>HYPERLINK("https://map.naver.com/p/search/조치원읍 신안리 436-3", "지도Link")</f>
        <v/>
      </c>
      <c r="N1737" s="6">
        <f>HYPERLINK("http://www.eum.go.kr/web/ar/lu/luLandDet.jsp?pnu=3611025032104360003&amp;isNoScr=script&amp;mode=search", "토지이음")</f>
        <v/>
      </c>
      <c r="O1737" s="3" t="inlineStr">
        <is>
          <t>그래그</t>
        </is>
      </c>
      <c r="P1737" s="4" t="n">
        <v>2</v>
      </c>
      <c r="Q1737" s="4" t="n">
        <v>662</v>
      </c>
      <c r="R1737" s="3" t="inlineStr">
        <is>
          <t>지정되지않음</t>
        </is>
      </c>
      <c r="S1737" s="3" t="inlineStr">
        <is>
          <t>전</t>
        </is>
      </c>
      <c r="T1737" s="3" t="inlineStr">
        <is>
          <t>완경사</t>
        </is>
      </c>
      <c r="U1737" s="3" t="inlineStr">
        <is>
          <t>사다리형</t>
        </is>
      </c>
      <c r="V1737" s="3" t="inlineStr">
        <is>
          <t>세로한면(가)</t>
        </is>
      </c>
    </row>
    <row r="1738">
      <c r="A1738" s="3" t="inlineStr">
        <is>
          <t>조치원읍 신안리 436-4</t>
        </is>
      </c>
      <c r="B1738" s="3" t="inlineStr">
        <is>
          <t>자연녹지지역</t>
        </is>
      </c>
      <c r="C1738" s="3" t="inlineStr">
        <is>
          <t>전</t>
        </is>
      </c>
      <c r="D1738" s="3" t="inlineStr">
        <is>
          <t>답</t>
        </is>
      </c>
      <c r="E1738" s="3" t="inlineStr">
        <is>
          <t>매매</t>
        </is>
      </c>
      <c r="F1738" s="4" t="n">
        <v>120000</v>
      </c>
      <c r="G1738" s="4" t="n">
        <v>932</v>
      </c>
      <c r="H1738" s="4" t="n">
        <v>282</v>
      </c>
      <c r="I1738" s="5" t="n">
        <v>425.5</v>
      </c>
      <c r="J1738" s="5" t="n">
        <v>72.2</v>
      </c>
      <c r="K1738" s="3" t="inlineStr">
        <is>
          <t>3면 포장도로 접함 이편한세상 984세대 인접 공영주차장이용가능</t>
        </is>
      </c>
      <c r="L1738" s="6">
        <f>HYPERLINK("https://fin.land.naver.com/articles/2649618845", "매물Link")</f>
        <v/>
      </c>
      <c r="M1738" s="6">
        <f>HYPERLINK("https://map.naver.com/p/search/조치원읍 신안리 436-4", "지도Link")</f>
        <v/>
      </c>
      <c r="N1738" s="6">
        <f>HYPERLINK("http://www.eum.go.kr/web/ar/lu/luLandDet.jsp?pnu=3611025032104360004&amp;isNoScr=script&amp;mode=search", "토지이음")</f>
        <v/>
      </c>
      <c r="O1738" s="3" t="inlineStr">
        <is>
          <t>그래그</t>
        </is>
      </c>
      <c r="P1738" s="4" t="n">
        <v>1</v>
      </c>
      <c r="Q1738" s="4" t="n">
        <v>932</v>
      </c>
      <c r="R1738" s="3" t="inlineStr">
        <is>
          <t>지정되지않음</t>
        </is>
      </c>
      <c r="S1738" s="3" t="inlineStr">
        <is>
          <t>전</t>
        </is>
      </c>
      <c r="T1738" s="3" t="inlineStr">
        <is>
          <t>완경사</t>
        </is>
      </c>
      <c r="U1738" s="3" t="inlineStr">
        <is>
          <t>사다리형</t>
        </is>
      </c>
      <c r="V1738" s="3" t="inlineStr">
        <is>
          <t>소로한면</t>
        </is>
      </c>
    </row>
    <row r="1739">
      <c r="A1739" s="3" t="inlineStr">
        <is>
          <t>조치원읍 신안리 436-4</t>
        </is>
      </c>
      <c r="B1739" s="3" t="inlineStr">
        <is>
          <t>자연녹지지역</t>
        </is>
      </c>
      <c r="C1739" s="3" t="inlineStr">
        <is>
          <t>전</t>
        </is>
      </c>
      <c r="D1739" s="3" t="inlineStr">
        <is>
          <t>답</t>
        </is>
      </c>
      <c r="E1739" s="3" t="inlineStr">
        <is>
          <t>매매</t>
        </is>
      </c>
      <c r="F1739" s="4" t="n">
        <v>120000</v>
      </c>
      <c r="G1739" s="4" t="n">
        <v>1256</v>
      </c>
      <c r="H1739" s="4" t="n">
        <v>380</v>
      </c>
      <c r="I1739" s="5" t="n">
        <v>315.8</v>
      </c>
      <c r="J1739" s="5" t="n">
        <v>72.2</v>
      </c>
      <c r="K1739" s="3" t="inlineStr">
        <is>
          <t>신안리 이편한세상 아파트 초인접, 3면 포장도로 접한 음식점,커피숍</t>
        </is>
      </c>
      <c r="L1739" s="6">
        <f>HYPERLINK("https://fin.land.naver.com/articles/2650955165", "매물Link")</f>
        <v/>
      </c>
      <c r="M1739" s="6">
        <f>HYPERLINK("https://map.naver.com/p/search/조치원읍 신안리 436-4", "지도Link")</f>
        <v/>
      </c>
      <c r="N1739" s="6">
        <f>HYPERLINK("http://www.eum.go.kr/web/ar/lu/luLandDet.jsp?pnu=3611025032104360004&amp;isNoScr=script&amp;mode=search", "토지이음")</f>
        <v/>
      </c>
      <c r="O1739" s="3" t="inlineStr">
        <is>
          <t>세종나라</t>
        </is>
      </c>
      <c r="P1739" s="4" t="n">
        <v>1</v>
      </c>
      <c r="Q1739" s="4" t="n">
        <v>932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완경사</t>
        </is>
      </c>
      <c r="U1739" s="3" t="inlineStr">
        <is>
          <t>사다리형</t>
        </is>
      </c>
      <c r="V1739" s="3" t="inlineStr">
        <is>
          <t>소로한면</t>
        </is>
      </c>
    </row>
    <row r="1740">
      <c r="A1740" s="3" t="inlineStr">
        <is>
          <t>조치원읍 신안리 436-4</t>
        </is>
      </c>
      <c r="B1740" s="3" t="inlineStr">
        <is>
          <t>자연녹지지역</t>
        </is>
      </c>
      <c r="C1740" s="3" t="inlineStr">
        <is>
          <t>전</t>
        </is>
      </c>
      <c r="D1740" s="3" t="inlineStr">
        <is>
          <t>답</t>
        </is>
      </c>
      <c r="E1740" s="3" t="inlineStr">
        <is>
          <t>매매</t>
        </is>
      </c>
      <c r="F1740" s="4" t="n">
        <v>120000</v>
      </c>
      <c r="G1740" s="4" t="n">
        <v>1256</v>
      </c>
      <c r="H1740" s="4" t="n">
        <v>380</v>
      </c>
      <c r="I1740" s="5" t="n">
        <v>315.8</v>
      </c>
      <c r="J1740" s="5" t="n">
        <v>72.2</v>
      </c>
      <c r="K1740" s="3" t="inlineStr">
        <is>
          <t>신안리 자연녹지 토지, 3면도로 접, 아파트개발지 옆, 근생시설 등</t>
        </is>
      </c>
      <c r="L1740" s="6">
        <f>HYPERLINK("https://fin.land.naver.com/articles/2654029011", "매물Link")</f>
        <v/>
      </c>
      <c r="M1740" s="6">
        <f>HYPERLINK("https://map.naver.com/p/search/조치원읍 신안리 436-4", "지도Link")</f>
        <v/>
      </c>
      <c r="N1740" s="6">
        <f>HYPERLINK("http://www.eum.go.kr/web/ar/lu/luLandDet.jsp?pnu=3611025032104360004&amp;isNoScr=script&amp;mode=search", "토지이음")</f>
        <v/>
      </c>
      <c r="O1740" s="3" t="inlineStr">
        <is>
          <t>스카이</t>
        </is>
      </c>
      <c r="P1740" s="4" t="n">
        <v>1</v>
      </c>
      <c r="Q1740" s="4" t="n">
        <v>932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완경사</t>
        </is>
      </c>
      <c r="U1740" s="3" t="inlineStr">
        <is>
          <t>사다리형</t>
        </is>
      </c>
      <c r="V1740" s="3" t="inlineStr">
        <is>
          <t>소로한면</t>
        </is>
      </c>
    </row>
    <row r="1741">
      <c r="A1741" s="3" t="inlineStr">
        <is>
          <t>조치원읍 신안리 산13</t>
        </is>
      </c>
      <c r="B1741" s="3" t="inlineStr">
        <is>
          <t>자연녹지지역</t>
        </is>
      </c>
      <c r="C1741" s="3" t="inlineStr">
        <is>
          <t>임야</t>
        </is>
      </c>
      <c r="D1741" s="3" t="inlineStr">
        <is>
          <t>임야</t>
        </is>
      </c>
      <c r="E1741" s="3" t="inlineStr">
        <is>
          <t>매매</t>
        </is>
      </c>
      <c r="F1741" s="4" t="n">
        <v>300000</v>
      </c>
      <c r="G1741" s="4" t="n">
        <v>10909</v>
      </c>
      <c r="H1741" s="4" t="n">
        <v>3300</v>
      </c>
      <c r="I1741" s="5" t="n">
        <v>90.90000000000001</v>
      </c>
      <c r="J1741" s="5" t="n">
        <v>18.7</v>
      </c>
      <c r="K1741" s="3" t="inlineStr">
        <is>
          <t>제2종일반주거지역 성장관리계획구역</t>
        </is>
      </c>
      <c r="L1741" s="6">
        <f>HYPERLINK("https://fin.land.naver.com/articles/2652865397", "매물Link")</f>
        <v/>
      </c>
      <c r="M1741" s="6">
        <f>HYPERLINK("https://map.naver.com/p/search/조치원읍 신안리 산13", "지도Link")</f>
        <v/>
      </c>
      <c r="N1741" s="6">
        <f>HYPERLINK("http://www.eum.go.kr/web/ar/lu/luLandDet.jsp?pnu=3611025032200130000&amp;isNoScr=script&amp;mode=search", "토지이음")</f>
        <v/>
      </c>
      <c r="O1741" s="3" t="inlineStr">
        <is>
          <t>건국</t>
        </is>
      </c>
      <c r="P1741" s="4" t="n">
        <v>1</v>
      </c>
      <c r="Q1741" s="4" t="n">
        <v>10909</v>
      </c>
      <c r="R1741" s="3" t="inlineStr">
        <is>
          <t>제2종일반주거지역</t>
        </is>
      </c>
      <c r="S1741" s="3" t="inlineStr">
        <is>
          <t>자연림</t>
        </is>
      </c>
      <c r="T1741" s="3" t="inlineStr">
        <is>
          <t>급경사</t>
        </is>
      </c>
      <c r="U1741" s="3" t="inlineStr">
        <is>
          <t>부정형</t>
        </is>
      </c>
      <c r="V1741" s="3" t="inlineStr">
        <is>
          <t>맹지</t>
        </is>
      </c>
    </row>
    <row r="1742">
      <c r="A1742" s="3" t="inlineStr">
        <is>
          <t>조치원읍 신안리 산8-37</t>
        </is>
      </c>
      <c r="B1742" s="3" t="inlineStr">
        <is>
          <t>자연녹지지역</t>
        </is>
      </c>
      <c r="C1742" s="3" t="inlineStr">
        <is>
          <t>임야</t>
        </is>
      </c>
      <c r="D1742" s="3" t="inlineStr">
        <is>
          <t>임야</t>
        </is>
      </c>
      <c r="E1742" s="3" t="inlineStr">
        <is>
          <t>매매</t>
        </is>
      </c>
      <c r="F1742" s="4" t="n">
        <v>150000</v>
      </c>
      <c r="G1742" s="4" t="n">
        <v>10118</v>
      </c>
      <c r="H1742" s="4" t="n">
        <v>3061</v>
      </c>
      <c r="I1742" s="5" t="n">
        <v>49</v>
      </c>
      <c r="J1742" s="5" t="n">
        <v>9.199999999999999</v>
      </c>
      <c r="K1742" s="3" t="inlineStr">
        <is>
          <t>총5필지,세종 홍대근접,도로접</t>
        </is>
      </c>
      <c r="L1742" s="6">
        <f>HYPERLINK("https://fin.land.naver.com/articles/2651521476", "매물Link")</f>
        <v/>
      </c>
      <c r="M1742" s="6">
        <f>HYPERLINK("https://map.naver.com/p/search/조치원읍 신안리 산8-37", "지도Link")</f>
        <v/>
      </c>
      <c r="N1742" s="6">
        <f>HYPERLINK("http://www.eum.go.kr/web/ar/lu/luLandDet.jsp?pnu=3611025032200080037&amp;isNoScr=script&amp;mode=search", "토지이음")</f>
        <v/>
      </c>
      <c r="O1742" s="3" t="inlineStr">
        <is>
          <t>담뜰</t>
        </is>
      </c>
      <c r="P1742" s="4" t="n">
        <v>1</v>
      </c>
      <c r="Q1742" s="4" t="n">
        <v>1652</v>
      </c>
      <c r="R1742" s="3" t="inlineStr">
        <is>
          <t>보전녹지지역</t>
        </is>
      </c>
      <c r="S1742" s="3" t="inlineStr">
        <is>
          <t>자연림</t>
        </is>
      </c>
      <c r="T1742" s="3" t="inlineStr">
        <is>
          <t>급경사</t>
        </is>
      </c>
      <c r="U1742" s="3" t="inlineStr">
        <is>
          <t>사다리형</t>
        </is>
      </c>
      <c r="V1742" s="3" t="inlineStr">
        <is>
          <t>맹지</t>
        </is>
      </c>
    </row>
    <row r="1743">
      <c r="A1743" s="3" t="inlineStr">
        <is>
          <t>조치원읍 신흥리 1-5</t>
        </is>
      </c>
      <c r="B1743" s="3" t="inlineStr">
        <is>
          <t>제2종일반주거지역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77000</v>
      </c>
      <c r="G1743" s="4" t="n">
        <v>513</v>
      </c>
      <c r="H1743" s="4" t="n">
        <v>155</v>
      </c>
      <c r="I1743" s="5" t="n">
        <v>496.8</v>
      </c>
      <c r="J1743" s="5" t="n">
        <v>188.2</v>
      </c>
      <c r="K1743" s="3" t="inlineStr">
        <is>
          <t>신흥리 코너 넓은 나대지 활용가치좋음,금액협의</t>
        </is>
      </c>
      <c r="L1743" s="6">
        <f>HYPERLINK("https://fin.land.naver.com/articles/2651981278", "매물Link")</f>
        <v/>
      </c>
      <c r="M1743" s="6">
        <f>HYPERLINK("https://map.naver.com/p/search/조치원읍 신흥리 1-5", "지도Link")</f>
        <v/>
      </c>
      <c r="N1743" s="6">
        <f>HYPERLINK("http://www.eum.go.kr/web/ar/lu/luLandDet.jsp?pnu=3611025029100010005&amp;isNoScr=script&amp;mode=search", "토지이음")</f>
        <v/>
      </c>
      <c r="O1743" s="3" t="inlineStr">
        <is>
          <t>다옴</t>
        </is>
      </c>
      <c r="P1743" s="4" t="n">
        <v>1</v>
      </c>
      <c r="Q1743" s="4" t="n">
        <v>513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소로각지</t>
        </is>
      </c>
    </row>
    <row r="1744">
      <c r="A1744" s="3" t="inlineStr">
        <is>
          <t>조치원읍 신흥리 100-2</t>
        </is>
      </c>
      <c r="B1744" s="3" t="inlineStr">
        <is>
          <t>제2종일반주거지역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17000</v>
      </c>
      <c r="G1744" s="4" t="n">
        <v>188</v>
      </c>
      <c r="H1744" s="4" t="n">
        <v>57</v>
      </c>
      <c r="I1744" s="5" t="n">
        <v>298.2</v>
      </c>
      <c r="J1744" s="5" t="n">
        <v>196.8</v>
      </c>
      <c r="K1744" s="3" t="inlineStr">
        <is>
          <t>신흥리 2종일반주거지역 급매. 맹지이나 진입로 있음</t>
        </is>
      </c>
      <c r="L1744" s="6">
        <f>HYPERLINK("https://fin.land.naver.com/articles/2652663257", "매물Link")</f>
        <v/>
      </c>
      <c r="M1744" s="6">
        <f>HYPERLINK("https://map.naver.com/p/search/조치원읍 신흥리 100-2", "지도Link")</f>
        <v/>
      </c>
      <c r="N1744" s="6">
        <f>HYPERLINK("http://www.eum.go.kr/web/ar/lu/luLandDet.jsp?pnu=3611025029101000002&amp;isNoScr=script&amp;mode=search", "토지이음")</f>
        <v/>
      </c>
      <c r="O1744" s="3" t="inlineStr">
        <is>
          <t>세종대장</t>
        </is>
      </c>
      <c r="P1744" s="4" t="n">
        <v>1</v>
      </c>
      <c r="Q1744" s="4" t="n">
        <v>188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정방형</t>
        </is>
      </c>
      <c r="V1744" s="3" t="inlineStr">
        <is>
          <t>세로한면(불)</t>
        </is>
      </c>
    </row>
    <row r="1745">
      <c r="A1745" s="3" t="inlineStr">
        <is>
          <t>조치원읍 신흥리 198-1</t>
        </is>
      </c>
      <c r="B1745" s="3" t="inlineStr">
        <is>
          <t>제2종일반주거지역</t>
        </is>
      </c>
      <c r="C1745" s="3" t="inlineStr">
        <is>
          <t>잡종지</t>
        </is>
      </c>
      <c r="D1745" s="3" t="inlineStr">
        <is>
          <t>잡종지</t>
        </is>
      </c>
      <c r="E1745" s="3" t="inlineStr">
        <is>
          <t>매매</t>
        </is>
      </c>
      <c r="F1745" s="4" t="n">
        <v>390000</v>
      </c>
      <c r="G1745" s="4" t="n">
        <v>1797</v>
      </c>
      <c r="H1745" s="4" t="n">
        <v>544</v>
      </c>
      <c r="I1745" s="5" t="n">
        <v>716.9</v>
      </c>
      <c r="J1745" s="5" t="n">
        <v>435.4</v>
      </c>
      <c r="K1745" s="3" t="inlineStr">
        <is>
          <t>신흥 아파트단지 중심지역 대도로변 코너각지</t>
        </is>
      </c>
      <c r="L1745" s="6">
        <f>HYPERLINK("https://fin.land.naver.com/articles/2654528051", "매물Link")</f>
        <v/>
      </c>
      <c r="M1745" s="6">
        <f>HYPERLINK("https://map.naver.com/p/search/조치원읍 신흥리 198-1", "지도Link")</f>
        <v/>
      </c>
      <c r="N1745" s="6">
        <f>HYPERLINK("http://www.eum.go.kr/web/ar/lu/luLandDet.jsp?pnu=3611025029101980001&amp;isNoScr=script&amp;mode=search", "토지이음")</f>
        <v/>
      </c>
      <c r="O1745" s="3" t="inlineStr">
        <is>
          <t>뉴신세계</t>
        </is>
      </c>
      <c r="P1745" s="4" t="n">
        <v>2</v>
      </c>
      <c r="Q1745" s="4" t="n">
        <v>1797</v>
      </c>
      <c r="R1745" s="3" t="inlineStr">
        <is>
          <t>지정되지않음</t>
        </is>
      </c>
      <c r="S1745" s="3" t="inlineStr">
        <is>
          <t>상업용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중로각지</t>
        </is>
      </c>
    </row>
    <row r="1746">
      <c r="A1746" s="3" t="inlineStr">
        <is>
          <t>조치원읍 신흥리 288-1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31000</v>
      </c>
      <c r="G1746" s="4" t="n">
        <v>245</v>
      </c>
      <c r="H1746" s="4" t="n">
        <v>74</v>
      </c>
      <c r="I1746" s="5" t="n">
        <v>418.9</v>
      </c>
      <c r="J1746" s="5" t="n">
        <v>246.6</v>
      </c>
      <c r="K1746" s="3" t="inlineStr">
        <is>
          <t>투자가치가 높은 세종시 조치원읍 신흥리 토지</t>
        </is>
      </c>
      <c r="L1746" s="6">
        <f>HYPERLINK("https://fin.land.naver.com/articles/2654358579", "매물Link")</f>
        <v/>
      </c>
      <c r="M1746" s="6">
        <f>HYPERLINK("https://map.naver.com/p/search/조치원읍 신흥리 288-1", "지도Link")</f>
        <v/>
      </c>
      <c r="N1746" s="6">
        <f>HYPERLINK("http://www.eum.go.kr/web/ar/lu/luLandDet.jsp?pnu=3611025029102880001&amp;isNoScr=script&amp;mode=search", "토지이음")</f>
        <v/>
      </c>
      <c r="O1746" s="3" t="inlineStr">
        <is>
          <t>비전</t>
        </is>
      </c>
      <c r="P1746" s="4" t="n">
        <v>1</v>
      </c>
      <c r="Q1746" s="4" t="n">
        <v>245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가로장방</t>
        </is>
      </c>
      <c r="V1746" s="3" t="inlineStr">
        <is>
          <t>소로한면</t>
        </is>
      </c>
    </row>
    <row r="1747">
      <c r="A1747" s="3" t="inlineStr">
        <is>
          <t>조치원읍 신흥리 288-1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31000</v>
      </c>
      <c r="G1747" s="4" t="n">
        <v>245</v>
      </c>
      <c r="H1747" s="4" t="n">
        <v>74</v>
      </c>
      <c r="I1747" s="5" t="n">
        <v>418.9</v>
      </c>
      <c r="J1747" s="5" t="n">
        <v>246.6</v>
      </c>
      <c r="K1747" s="3" t="inlineStr">
        <is>
          <t>추천. 조치원 신흥사거리 대지</t>
        </is>
      </c>
      <c r="L1747" s="6">
        <f>HYPERLINK("https://fin.land.naver.com/articles/2654805366", "매물Link")</f>
        <v/>
      </c>
      <c r="M1747" s="6">
        <f>HYPERLINK("https://map.naver.com/p/search/조치원읍 신흥리 288-1", "지도Link")</f>
        <v/>
      </c>
      <c r="N1747" s="6">
        <f>HYPERLINK("http://www.eum.go.kr/web/ar/lu/luLandDet.jsp?pnu=3611025029102880001&amp;isNoScr=script&amp;mode=search", "토지이음")</f>
        <v/>
      </c>
      <c r="O1747" s="3" t="inlineStr">
        <is>
          <t>강아지풀</t>
        </is>
      </c>
      <c r="P1747" s="4" t="n">
        <v>1</v>
      </c>
      <c r="Q1747" s="4" t="n">
        <v>245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가로장방</t>
        </is>
      </c>
      <c r="V1747" s="3" t="inlineStr">
        <is>
          <t>소로한면</t>
        </is>
      </c>
    </row>
    <row r="1748">
      <c r="A1748" s="3" t="inlineStr">
        <is>
          <t>조치원읍 신흥리 288-2</t>
        </is>
      </c>
      <c r="B1748" s="3" t="inlineStr">
        <is>
          <t>제2종일반주거지역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45000</v>
      </c>
      <c r="G1748" s="4" t="n">
        <v>299</v>
      </c>
      <c r="H1748" s="4" t="n">
        <v>90</v>
      </c>
      <c r="I1748" s="5" t="n">
        <v>500</v>
      </c>
      <c r="J1748" s="5" t="n">
        <v>244.2</v>
      </c>
      <c r="K1748" s="3" t="inlineStr">
        <is>
          <t>투자가치가 높은 세종시 조치원읍 신흥리 토지</t>
        </is>
      </c>
      <c r="L1748" s="6">
        <f>HYPERLINK("https://fin.land.naver.com/articles/2654230232", "매물Link")</f>
        <v/>
      </c>
      <c r="M1748" s="6">
        <f>HYPERLINK("https://map.naver.com/p/search/조치원읍 신흥리 288-2", "지도Link")</f>
        <v/>
      </c>
      <c r="N1748" s="6">
        <f>HYPERLINK("http://www.eum.go.kr/web/ar/lu/luLandDet.jsp?pnu=3611025029102880002&amp;isNoScr=script&amp;mode=search", "토지이음")</f>
        <v/>
      </c>
      <c r="O1748" s="3" t="inlineStr">
        <is>
          <t>비전</t>
        </is>
      </c>
      <c r="P1748" s="4" t="n">
        <v>1</v>
      </c>
      <c r="Q1748" s="4" t="n">
        <v>299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소로한면</t>
        </is>
      </c>
    </row>
    <row r="1749">
      <c r="A1749" s="3" t="inlineStr">
        <is>
          <t>조치원읍 신흥리 304-1</t>
        </is>
      </c>
      <c r="B1749" s="3" t="inlineStr">
        <is>
          <t>제1종일반주거지역</t>
        </is>
      </c>
      <c r="C1749" s="3" t="inlineStr">
        <is>
          <t>전</t>
        </is>
      </c>
      <c r="D1749" s="3" t="inlineStr">
        <is>
          <t>전</t>
        </is>
      </c>
      <c r="E1749" s="3" t="inlineStr">
        <is>
          <t>매매</t>
        </is>
      </c>
      <c r="F1749" s="4" t="n">
        <v>205000</v>
      </c>
      <c r="G1749" s="4" t="n">
        <v>1679</v>
      </c>
      <c r="H1749" s="4" t="n">
        <v>508</v>
      </c>
      <c r="I1749" s="5" t="n">
        <v>403.5</v>
      </c>
      <c r="J1749" s="5" t="n">
        <v>147.3</v>
      </c>
      <c r="K1749" s="3" t="inlineStr">
        <is>
          <t>이쁜 모양의 토지 분할매수도 가능</t>
        </is>
      </c>
      <c r="L1749" s="6">
        <f>HYPERLINK("https://fin.land.naver.com/articles/2651577271", "매물Link")</f>
        <v/>
      </c>
      <c r="M1749" s="6">
        <f>HYPERLINK("https://map.naver.com/p/search/조치원읍 신흥리 304-1", "지도Link")</f>
        <v/>
      </c>
      <c r="N1749" s="6">
        <f>HYPERLINK("http://www.eum.go.kr/web/ar/lu/luLandDet.jsp?pnu=3611025029103040001&amp;isNoScr=script&amp;mode=search", "토지이음")</f>
        <v/>
      </c>
      <c r="O1749" s="3" t="inlineStr">
        <is>
          <t>여기로</t>
        </is>
      </c>
      <c r="P1749" s="4" t="n">
        <v>1</v>
      </c>
      <c r="Q1749" s="4" t="n">
        <v>1667</v>
      </c>
      <c r="R1749" s="3" t="inlineStr">
        <is>
          <t>지정되지않음</t>
        </is>
      </c>
      <c r="S1749" s="3" t="inlineStr">
        <is>
          <t>과수원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조치원읍 신흥리 49-19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33000</v>
      </c>
      <c r="G1750" s="4" t="n">
        <v>239</v>
      </c>
      <c r="H1750" s="4" t="n">
        <v>72</v>
      </c>
      <c r="I1750" s="5" t="n">
        <v>458.3</v>
      </c>
      <c r="J1750" s="5" t="n">
        <v>161.8</v>
      </c>
      <c r="K1750" s="3" t="inlineStr">
        <is>
          <t>급,조치원역 뒤,신축,투자,보유 좋은 저렴토지</t>
        </is>
      </c>
      <c r="L1750" s="6">
        <f>HYPERLINK("https://fin.land.naver.com/articles/2651980448", "매물Link")</f>
        <v/>
      </c>
      <c r="M1750" s="6">
        <f>HYPERLINK("https://map.naver.com/p/search/조치원읍 신흥리 49-19", "지도Link")</f>
        <v/>
      </c>
      <c r="N1750" s="6">
        <f>HYPERLINK("http://www.eum.go.kr/web/ar/lu/luLandDet.jsp?pnu=3611025029100490019&amp;isNoScr=script&amp;mode=search", "토지이음")</f>
        <v/>
      </c>
      <c r="O1750" s="3" t="inlineStr">
        <is>
          <t>다옴</t>
        </is>
      </c>
      <c r="P1750" s="4" t="n">
        <v>1</v>
      </c>
      <c r="Q1750" s="4" t="n">
        <v>130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자루형</t>
        </is>
      </c>
      <c r="V1750" s="3" t="inlineStr">
        <is>
          <t>세로한면(가)</t>
        </is>
      </c>
    </row>
    <row r="1751">
      <c r="A1751" s="3" t="inlineStr">
        <is>
          <t>조치원읍 신흥리 55-2</t>
        </is>
      </c>
      <c r="B1751" s="3" t="inlineStr">
        <is>
          <t>제2종일반주거지역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22000</v>
      </c>
      <c r="G1751" s="4" t="n">
        <v>121</v>
      </c>
      <c r="H1751" s="4" t="n">
        <v>37</v>
      </c>
      <c r="I1751" s="5" t="n">
        <v>594.6</v>
      </c>
      <c r="J1751" s="5" t="n">
        <v>187.2</v>
      </c>
      <c r="K1751" s="3" t="inlineStr">
        <is>
          <t>보건소옆 코너각지 토지매매</t>
        </is>
      </c>
      <c r="L1751" s="6">
        <f>HYPERLINK("https://fin.land.naver.com/articles/2653068635", "매물Link")</f>
        <v/>
      </c>
      <c r="M1751" s="6">
        <f>HYPERLINK("https://map.naver.com/p/search/조치원읍 신흥리 55-2", "지도Link")</f>
        <v/>
      </c>
      <c r="N1751" s="6">
        <f>HYPERLINK("http://www.eum.go.kr/web/ar/lu/luLandDet.jsp?pnu=3611025029100550002&amp;isNoScr=script&amp;mode=search", "토지이음")</f>
        <v/>
      </c>
      <c r="O1751" s="3" t="inlineStr">
        <is>
          <t>세종땅사랑</t>
        </is>
      </c>
      <c r="P1751" s="4" t="n">
        <v>1</v>
      </c>
      <c r="Q1751" s="4" t="n">
        <v>121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사다리형</t>
        </is>
      </c>
      <c r="V1751" s="3" t="inlineStr">
        <is>
          <t>소로각지</t>
        </is>
      </c>
    </row>
    <row r="1752">
      <c r="A1752" s="3" t="inlineStr">
        <is>
          <t>조치원읍 신흥리 62-8</t>
        </is>
      </c>
      <c r="B1752" s="3" t="inlineStr">
        <is>
          <t>제2종일반주거지역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63900</v>
      </c>
      <c r="G1752" s="4" t="n">
        <v>469</v>
      </c>
      <c r="H1752" s="4" t="n">
        <v>142</v>
      </c>
      <c r="I1752" s="5" t="n">
        <v>450</v>
      </c>
      <c r="J1752" s="5" t="n">
        <v>302.4</v>
      </c>
      <c r="K1752" s="3" t="inlineStr">
        <is>
          <t>신흥리 2차선 접한 토지 사옥및주택추천</t>
        </is>
      </c>
      <c r="L1752" s="6">
        <f>HYPERLINK("https://fin.land.naver.com/articles/2651708291", "매물Link")</f>
        <v/>
      </c>
      <c r="M1752" s="6">
        <f>HYPERLINK("https://map.naver.com/p/search/조치원읍 신흥리 62-8", "지도Link")</f>
        <v/>
      </c>
      <c r="N1752" s="6">
        <f>HYPERLINK("http://www.eum.go.kr/web/ar/lu/luLandDet.jsp?pnu=3611025029100620008&amp;isNoScr=script&amp;mode=search", "토지이음")</f>
        <v/>
      </c>
      <c r="O1752" s="3" t="inlineStr">
        <is>
          <t>OK수</t>
        </is>
      </c>
      <c r="P1752" s="4" t="n">
        <v>1</v>
      </c>
      <c r="Q1752" s="4" t="n">
        <v>400</v>
      </c>
      <c r="R1752" s="3" t="inlineStr">
        <is>
          <t>지정되지않음</t>
        </is>
      </c>
      <c r="S1752" s="3" t="inlineStr">
        <is>
          <t>공업용</t>
        </is>
      </c>
      <c r="T1752" s="3" t="inlineStr">
        <is>
          <t>평지</t>
        </is>
      </c>
      <c r="U1752" s="3" t="inlineStr">
        <is>
          <t>자루형</t>
        </is>
      </c>
      <c r="V1752" s="3" t="inlineStr">
        <is>
          <t>소로한면</t>
        </is>
      </c>
    </row>
    <row r="1753">
      <c r="A1753" s="3" t="inlineStr">
        <is>
          <t>조치원읍 원리 8-9</t>
        </is>
      </c>
      <c r="B1753" s="3" t="inlineStr">
        <is>
          <t>일반상업지역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260000</v>
      </c>
      <c r="G1753" s="4" t="n">
        <v>546</v>
      </c>
      <c r="H1753" s="4" t="n">
        <v>165</v>
      </c>
      <c r="I1753" s="5" t="n">
        <v>1575.8</v>
      </c>
      <c r="J1753" s="5" t="n">
        <v>1082.3</v>
      </c>
      <c r="K1753" s="3" t="inlineStr">
        <is>
          <t>nan</t>
        </is>
      </c>
      <c r="L1753" s="6">
        <f>HYPERLINK("https://fin.land.naver.com/articles/2651529141", "매물Link")</f>
        <v/>
      </c>
      <c r="M1753" s="6">
        <f>HYPERLINK("https://map.naver.com/p/search/조치원읍 원리 8-9", "지도Link")</f>
        <v/>
      </c>
      <c r="N1753" s="6">
        <f>HYPERLINK("http://www.eum.go.kr/web/ar/lu/luLandDet.jsp?pnu=3611025021100080009&amp;isNoScr=script&amp;mode=search", "토지이음")</f>
        <v/>
      </c>
      <c r="O1753" s="3" t="inlineStr">
        <is>
          <t>한아름</t>
        </is>
      </c>
      <c r="P1753" s="4" t="n">
        <v>1</v>
      </c>
      <c r="Q1753" s="4" t="n">
        <v>473.1</v>
      </c>
      <c r="R1753" s="3" t="inlineStr">
        <is>
          <t>지정되지않음</t>
        </is>
      </c>
      <c r="S1753" s="3" t="inlineStr">
        <is>
          <t>상업용</t>
        </is>
      </c>
      <c r="T1753" s="3" t="inlineStr">
        <is>
          <t>평지</t>
        </is>
      </c>
      <c r="U1753" s="3" t="inlineStr">
        <is>
          <t>자루형</t>
        </is>
      </c>
      <c r="V1753" s="3" t="inlineStr">
        <is>
          <t>중로각지</t>
        </is>
      </c>
    </row>
    <row r="1754">
      <c r="A1754" s="3" t="inlineStr">
        <is>
          <t>조치원읍 정리 52-6</t>
        </is>
      </c>
      <c r="B1754" s="3" t="inlineStr">
        <is>
          <t>준주거지역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260000</v>
      </c>
      <c r="G1754" s="4" t="n">
        <v>1191</v>
      </c>
      <c r="H1754" s="4" t="n">
        <v>360</v>
      </c>
      <c r="I1754" s="5" t="n">
        <v>722.2</v>
      </c>
      <c r="J1754" s="5" t="n">
        <v>194.4</v>
      </c>
      <c r="K1754" s="3" t="inlineStr">
        <is>
          <t>전통시장 근접한 대지로 단독주택 또는 원룸건축에 좋은 위치입니다.</t>
        </is>
      </c>
      <c r="L1754" s="6">
        <f>HYPERLINK("https://fin.land.naver.com/articles/2649493411", "매물Link")</f>
        <v/>
      </c>
      <c r="M1754" s="6">
        <f>HYPERLINK("https://map.naver.com/p/search/조치원읍 정리 52-6", "지도Link")</f>
        <v/>
      </c>
      <c r="N1754" s="6">
        <f>HYPERLINK("http://www.eum.go.kr/web/ar/lu/luLandDet.jsp?pnu=3611025025100520006&amp;isNoScr=script&amp;mode=search", "토지이음")</f>
        <v/>
      </c>
      <c r="O1754" s="3" t="inlineStr">
        <is>
          <t>가람</t>
        </is>
      </c>
      <c r="P1754" s="4" t="n">
        <v>1</v>
      </c>
      <c r="Q1754" s="4" t="n">
        <v>468</v>
      </c>
      <c r="R1754" s="3" t="inlineStr">
        <is>
          <t>지정되지않음</t>
        </is>
      </c>
      <c r="S1754" s="3" t="inlineStr">
        <is>
          <t>단독</t>
        </is>
      </c>
      <c r="T1754" s="3" t="inlineStr">
        <is>
          <t>평지</t>
        </is>
      </c>
      <c r="U1754" s="3" t="inlineStr">
        <is>
          <t>사다리형</t>
        </is>
      </c>
      <c r="V1754" s="3" t="inlineStr">
        <is>
          <t>세로한면(가)</t>
        </is>
      </c>
    </row>
    <row r="1755">
      <c r="A1755" s="3" t="inlineStr">
        <is>
          <t>조치원읍 정리 87-8</t>
        </is>
      </c>
      <c r="B1755" s="3" t="inlineStr">
        <is>
          <t>일반상업지역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89000</v>
      </c>
      <c r="G1755" s="4" t="n">
        <v>326</v>
      </c>
      <c r="H1755" s="4" t="n">
        <v>99</v>
      </c>
      <c r="I1755" s="5" t="n">
        <v>899</v>
      </c>
      <c r="J1755" s="5" t="n">
        <v>335.5</v>
      </c>
      <c r="K1755" s="3" t="inlineStr">
        <is>
          <t>조치원시장내, 일반상업 알짜토지,다양활용가능</t>
        </is>
      </c>
      <c r="L1755" s="6">
        <f>HYPERLINK("https://fin.land.naver.com/articles/2651333398", "매물Link")</f>
        <v/>
      </c>
      <c r="M1755" s="6">
        <f>HYPERLINK("https://map.naver.com/p/search/조치원읍 정리 87-8", "지도Link")</f>
        <v/>
      </c>
      <c r="N1755" s="6">
        <f>HYPERLINK("http://www.eum.go.kr/web/ar/lu/luLandDet.jsp?pnu=3611025025100870008&amp;isNoScr=script&amp;mode=search", "토지이음")</f>
        <v/>
      </c>
      <c r="O1755" s="3" t="inlineStr">
        <is>
          <t>다옴</t>
        </is>
      </c>
      <c r="P1755" s="4" t="n">
        <v>1</v>
      </c>
      <c r="Q1755" s="4" t="n">
        <v>326</v>
      </c>
      <c r="R1755" s="3" t="inlineStr">
        <is>
          <t>지정되지않음</t>
        </is>
      </c>
      <c r="S1755" s="3" t="inlineStr">
        <is>
          <t>상업용</t>
        </is>
      </c>
      <c r="T1755" s="3" t="inlineStr">
        <is>
          <t>평지</t>
        </is>
      </c>
      <c r="U1755" s="3" t="inlineStr">
        <is>
          <t>자루형</t>
        </is>
      </c>
      <c r="V1755" s="3" t="inlineStr">
        <is>
          <t>세로한면(가)</t>
        </is>
      </c>
    </row>
    <row r="1756">
      <c r="A1756" s="3" t="inlineStr">
        <is>
          <t>조치원읍 죽림리 156-15</t>
        </is>
      </c>
      <c r="B1756" s="3" t="inlineStr">
        <is>
          <t>일반상업지역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245000</v>
      </c>
      <c r="G1756" s="4" t="n">
        <v>810</v>
      </c>
      <c r="H1756" s="4" t="n">
        <v>245</v>
      </c>
      <c r="I1756" s="5" t="n">
        <v>1000</v>
      </c>
      <c r="J1756" s="5" t="n">
        <v>119.3</v>
      </c>
      <c r="K1756" s="3" t="inlineStr">
        <is>
          <t>2차선변 일반상업지역, 투자가치 최고</t>
        </is>
      </c>
      <c r="L1756" s="6">
        <f>HYPERLINK("https://fin.land.naver.com/articles/2650316280", "매물Link")</f>
        <v/>
      </c>
      <c r="M1756" s="6">
        <f>HYPERLINK("https://map.naver.com/p/search/조치원읍 죽림리 156-15", "지도Link")</f>
        <v/>
      </c>
      <c r="N1756" s="6">
        <f>HYPERLINK("http://www.eum.go.kr/web/ar/lu/luLandDet.jsp?pnu=3611025030101560015&amp;isNoScr=script&amp;mode=search", "토지이음")</f>
        <v/>
      </c>
      <c r="O1756" s="3" t="inlineStr">
        <is>
          <t>세종공감</t>
        </is>
      </c>
      <c r="P1756" s="4" t="n">
        <v>1</v>
      </c>
      <c r="Q1756" s="4" t="n">
        <v>716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조치원읍 죽림리 184-15</t>
        </is>
      </c>
      <c r="B1757" s="3" t="inlineStr">
        <is>
          <t>제2종일반주거지역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48500</v>
      </c>
      <c r="G1757" s="4" t="n">
        <v>321</v>
      </c>
      <c r="H1757" s="4" t="n">
        <v>97</v>
      </c>
      <c r="I1757" s="5" t="n">
        <v>500</v>
      </c>
      <c r="J1757" s="5" t="n">
        <v>198.2</v>
      </c>
      <c r="K1757" s="3" t="inlineStr">
        <is>
          <t>2차선3거리코너,주변아파트.상가주택형성,투자가치좋아요</t>
        </is>
      </c>
      <c r="L1757" s="6">
        <f>HYPERLINK("https://fin.land.naver.com/articles/2651762596", "매물Link")</f>
        <v/>
      </c>
      <c r="M1757" s="6">
        <f>HYPERLINK("https://map.naver.com/p/search/조치원읍 죽림리 184-15", "지도Link")</f>
        <v/>
      </c>
      <c r="N1757" s="6">
        <f>HYPERLINK("http://www.eum.go.kr/web/ar/lu/luLandDet.jsp?pnu=3611025030101840015&amp;isNoScr=script&amp;mode=search", "토지이음")</f>
        <v/>
      </c>
      <c r="O1757" s="3" t="inlineStr">
        <is>
          <t>힐스테이트행복</t>
        </is>
      </c>
      <c r="P1757" s="4" t="n">
        <v>1</v>
      </c>
      <c r="Q1757" s="4" t="n">
        <v>321.2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소로각지</t>
        </is>
      </c>
    </row>
    <row r="1758">
      <c r="A1758" s="3" t="inlineStr">
        <is>
          <t>조치원읍 죽림리 240</t>
        </is>
      </c>
      <c r="B1758" s="3" t="inlineStr">
        <is>
          <t>제2종일반주거지역</t>
        </is>
      </c>
      <c r="C1758" s="3" t="inlineStr">
        <is>
          <t>답</t>
        </is>
      </c>
      <c r="D1758" s="3" t="inlineStr">
        <is>
          <t>답</t>
        </is>
      </c>
      <c r="E1758" s="3" t="inlineStr">
        <is>
          <t>매매</t>
        </is>
      </c>
      <c r="F1758" s="4" t="n">
        <v>700000</v>
      </c>
      <c r="G1758" s="4" t="n">
        <v>4045</v>
      </c>
      <c r="H1758" s="4" t="n">
        <v>1224</v>
      </c>
      <c r="I1758" s="5" t="n">
        <v>571.9</v>
      </c>
      <c r="J1758" s="5" t="n">
        <v>131.4</v>
      </c>
      <c r="K1758" s="3" t="inlineStr">
        <is>
          <t>2면 도로접한 도시지역,근생시설,제2종일반주거지역,다용도 사용가능</t>
        </is>
      </c>
      <c r="L1758" s="6">
        <f>HYPERLINK("https://fin.land.naver.com/articles/2653434524", "매물Link")</f>
        <v/>
      </c>
      <c r="M1758" s="6">
        <f>HYPERLINK("https://map.naver.com/p/search/조치원읍 죽림리 240", "지도Link")</f>
        <v/>
      </c>
      <c r="N1758" s="6">
        <f>HYPERLINK("http://www.eum.go.kr/web/ar/lu/luLandDet.jsp?pnu=3611025030102400000&amp;isNoScr=script&amp;mode=search", "토지이음")</f>
        <v/>
      </c>
      <c r="O1758" s="3" t="inlineStr">
        <is>
          <t>고운맘</t>
        </is>
      </c>
      <c r="P1758" s="4" t="n">
        <v>1</v>
      </c>
      <c r="Q1758" s="4" t="n">
        <v>2590</v>
      </c>
      <c r="R1758" s="3" t="inlineStr">
        <is>
          <t>지정되지않음</t>
        </is>
      </c>
      <c r="S1758" s="3" t="inlineStr">
        <is>
          <t>전기타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소로한면</t>
        </is>
      </c>
    </row>
    <row r="1759">
      <c r="A1759" s="3" t="inlineStr">
        <is>
          <t>조치원읍 죽림리 315-2</t>
        </is>
      </c>
      <c r="B1759" s="3" t="inlineStr">
        <is>
          <t>자연녹지지역</t>
        </is>
      </c>
      <c r="C1759" s="3" t="inlineStr">
        <is>
          <t>전</t>
        </is>
      </c>
      <c r="D1759" s="3" t="inlineStr">
        <is>
          <t>전</t>
        </is>
      </c>
      <c r="E1759" s="3" t="inlineStr">
        <is>
          <t>매매</t>
        </is>
      </c>
      <c r="F1759" s="4" t="n">
        <v>695000</v>
      </c>
      <c r="G1759" s="4" t="n">
        <v>5079</v>
      </c>
      <c r="H1759" s="4" t="n">
        <v>1536</v>
      </c>
      <c r="I1759" s="5" t="n">
        <v>452.5</v>
      </c>
      <c r="J1759" s="5" t="n">
        <v>124.8</v>
      </c>
      <c r="K1759" s="3" t="inlineStr">
        <is>
          <t>Click 홈플러스 옆 3필지 도로접 Click</t>
        </is>
      </c>
      <c r="L1759" s="6">
        <f>HYPERLINK("https://fin.land.naver.com/articles/2651207978", "매물Link")</f>
        <v/>
      </c>
      <c r="M1759" s="6">
        <f>HYPERLINK("https://map.naver.com/p/search/조치원읍 죽림리 315-2", "지도Link")</f>
        <v/>
      </c>
      <c r="N1759" s="6">
        <f>HYPERLINK("http://www.eum.go.kr/web/ar/lu/luLandDet.jsp?pnu=3611025030103150002&amp;isNoScr=script&amp;mode=search", "토지이음")</f>
        <v/>
      </c>
      <c r="O1759" s="3" t="inlineStr">
        <is>
          <t>해뜰</t>
        </is>
      </c>
      <c r="P1759" s="4" t="n">
        <v>1</v>
      </c>
      <c r="Q1759" s="4" t="n">
        <v>3538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광대로한면</t>
        </is>
      </c>
    </row>
    <row r="1760">
      <c r="A1760" s="3" t="inlineStr">
        <is>
          <t>조치원읍 죽림리 333-3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240000</v>
      </c>
      <c r="G1760" s="4" t="n">
        <v>1061</v>
      </c>
      <c r="H1760" s="4" t="n">
        <v>321</v>
      </c>
      <c r="I1760" s="5" t="n">
        <v>747.7</v>
      </c>
      <c r="J1760" s="5" t="n">
        <v>311.8</v>
      </c>
      <c r="K1760" s="3" t="inlineStr">
        <is>
          <t>nan</t>
        </is>
      </c>
      <c r="L1760" s="6">
        <f>HYPERLINK("https://fin.land.naver.com/articles/2651553883", "매물Link")</f>
        <v/>
      </c>
      <c r="M1760" s="6">
        <f>HYPERLINK("https://map.naver.com/p/search/조치원읍 죽림리 333-3", "지도Link")</f>
        <v/>
      </c>
      <c r="N1760" s="6">
        <f>HYPERLINK("http://www.eum.go.kr/web/ar/lu/luLandDet.jsp?pnu=3611025030103330003&amp;isNoScr=script&amp;mode=search", "토지이음")</f>
        <v/>
      </c>
      <c r="O1760" s="3" t="inlineStr">
        <is>
          <t>태원</t>
        </is>
      </c>
      <c r="P1760" s="4" t="n">
        <v>1</v>
      </c>
      <c r="Q1760" s="4" t="n">
        <v>945</v>
      </c>
      <c r="R1760" s="3" t="inlineStr">
        <is>
          <t>지정되지않음</t>
        </is>
      </c>
      <c r="S1760" s="3" t="inlineStr">
        <is>
          <t>주상용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광대소각</t>
        </is>
      </c>
    </row>
    <row r="1761">
      <c r="A1761" s="3" t="inlineStr">
        <is>
          <t>조치원읍 죽림리 342</t>
        </is>
      </c>
      <c r="B1761" s="3" t="inlineStr">
        <is>
          <t>제2종일반주거지역</t>
        </is>
      </c>
      <c r="C1761" s="3" t="inlineStr">
        <is>
          <t>과수원</t>
        </is>
      </c>
      <c r="D1761" s="3" t="inlineStr">
        <is>
          <t>과수원</t>
        </is>
      </c>
      <c r="E1761" s="3" t="inlineStr">
        <is>
          <t>매매</t>
        </is>
      </c>
      <c r="F1761" s="4" t="n">
        <v>110000</v>
      </c>
      <c r="G1761" s="4" t="n">
        <v>587</v>
      </c>
      <c r="H1761" s="4" t="n">
        <v>178</v>
      </c>
      <c r="I1761" s="5" t="n">
        <v>618</v>
      </c>
      <c r="J1761" s="5" t="n">
        <v>190.2</v>
      </c>
      <c r="K1761" s="3" t="inlineStr">
        <is>
          <t>세종북부경찰서와 파밀리에아파트, 그리고 원룸이 인접해 있음</t>
        </is>
      </c>
      <c r="L1761" s="6">
        <f>HYPERLINK("https://fin.land.naver.com/articles/2652786093", "매물Link")</f>
        <v/>
      </c>
      <c r="M1761" s="6">
        <f>HYPERLINK("https://map.naver.com/p/search/조치원읍 죽림리 342", "지도Link")</f>
        <v/>
      </c>
      <c r="N1761" s="6">
        <f>HYPERLINK("http://www.eum.go.kr/web/ar/lu/luLandDet.jsp?pnu=3611025030103420000&amp;isNoScr=script&amp;mode=search", "토지이음")</f>
        <v/>
      </c>
      <c r="O1761" s="3" t="inlineStr">
        <is>
          <t>가람</t>
        </is>
      </c>
      <c r="P1761" s="4" t="n">
        <v>1</v>
      </c>
      <c r="Q1761" s="4" t="n">
        <v>587</v>
      </c>
      <c r="R1761" s="3" t="inlineStr">
        <is>
          <t>지정되지않음</t>
        </is>
      </c>
      <c r="S1761" s="3" t="inlineStr">
        <is>
          <t>과수원</t>
        </is>
      </c>
      <c r="T1761" s="3" t="inlineStr">
        <is>
          <t>완경사</t>
        </is>
      </c>
      <c r="U1761" s="3" t="inlineStr">
        <is>
          <t>사다리형</t>
        </is>
      </c>
      <c r="V1761" s="3" t="inlineStr">
        <is>
          <t>중로한면</t>
        </is>
      </c>
    </row>
    <row r="1762">
      <c r="A1762" s="3" t="inlineStr">
        <is>
          <t>조치원읍 죽림리 46-2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260000</v>
      </c>
      <c r="G1762" s="4" t="n">
        <v>1793</v>
      </c>
      <c r="H1762" s="4" t="n">
        <v>542</v>
      </c>
      <c r="I1762" s="5" t="n">
        <v>479.7</v>
      </c>
      <c r="J1762" s="5" t="n">
        <v>254.6</v>
      </c>
      <c r="K1762" s="3" t="inlineStr">
        <is>
          <t>죽림오거리 엘지전자샾 주변,도시지역,제2종일반주거지역.도로접함,다용도 굿</t>
        </is>
      </c>
      <c r="L1762" s="6">
        <f>HYPERLINK("https://fin.land.naver.com/articles/2649742867", "매물Link")</f>
        <v/>
      </c>
      <c r="M1762" s="6">
        <f>HYPERLINK("https://map.naver.com/p/search/조치원읍 죽림리 46-2", "지도Link")</f>
        <v/>
      </c>
      <c r="N1762" s="6">
        <f>HYPERLINK("http://www.eum.go.kr/web/ar/lu/luLandDet.jsp?pnu=3611025030100460002&amp;isNoScr=script&amp;mode=search", "토지이음")</f>
        <v/>
      </c>
      <c r="O1762" s="3" t="inlineStr">
        <is>
          <t>미래타운</t>
        </is>
      </c>
      <c r="P1762" s="4" t="n">
        <v>1</v>
      </c>
      <c r="Q1762" s="4" t="n">
        <v>1209</v>
      </c>
      <c r="R1762" s="3" t="inlineStr">
        <is>
          <t>지정되지않음</t>
        </is>
      </c>
      <c r="S1762" s="3" t="inlineStr">
        <is>
          <t>단독</t>
        </is>
      </c>
      <c r="T1762" s="3" t="inlineStr">
        <is>
          <t>평지</t>
        </is>
      </c>
      <c r="U1762" s="3" t="inlineStr">
        <is>
          <t>부정형</t>
        </is>
      </c>
      <c r="V1762" s="3" t="inlineStr">
        <is>
          <t>소로한면</t>
        </is>
      </c>
    </row>
    <row r="1763">
      <c r="A1763" s="3" t="inlineStr">
        <is>
          <t>조치원읍 침산리 111-18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11400</v>
      </c>
      <c r="G1763" s="4" t="n">
        <v>102</v>
      </c>
      <c r="H1763" s="4" t="n">
        <v>31</v>
      </c>
      <c r="I1763" s="5" t="n">
        <v>367.7</v>
      </c>
      <c r="J1763" s="5" t="n">
        <v>175.7</v>
      </c>
      <c r="K1763" s="3" t="inlineStr">
        <is>
          <t>조치원 침산리 토지 매매 102㎡ 단독필지</t>
        </is>
      </c>
      <c r="L1763" s="6">
        <f>HYPERLINK("https://fin.land.naver.com/articles/2651350442", "매물Link")</f>
        <v/>
      </c>
      <c r="M1763" s="6">
        <f>HYPERLINK("https://map.naver.com/p/search/조치원읍 침산리 111-18", "지도Link")</f>
        <v/>
      </c>
      <c r="N1763" s="6">
        <f>HYPERLINK("http://www.eum.go.kr/web/ar/lu/luLandDet.jsp?pnu=3611025028101110018&amp;isNoScr=script&amp;mode=search", "토지이음")</f>
        <v/>
      </c>
      <c r="O1763" s="3" t="inlineStr">
        <is>
          <t>세종공감</t>
        </is>
      </c>
      <c r="P1763" s="4" t="n">
        <v>1</v>
      </c>
      <c r="Q1763" s="4" t="n">
        <v>102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세로한면(가)</t>
        </is>
      </c>
    </row>
    <row r="1764">
      <c r="A1764" s="3" t="inlineStr">
        <is>
          <t>조치원읍 침산리 123-2</t>
        </is>
      </c>
      <c r="B1764" s="3" t="inlineStr">
        <is>
          <t>제2종일반주거지역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27000</v>
      </c>
      <c r="G1764" s="4" t="n">
        <v>238</v>
      </c>
      <c r="H1764" s="4" t="n">
        <v>72</v>
      </c>
      <c r="I1764" s="5" t="n">
        <v>375</v>
      </c>
      <c r="J1764" s="5" t="n">
        <v>177.6</v>
      </c>
      <c r="K1764" s="3" t="inlineStr">
        <is>
          <t>조치원역인접.나대지상태.상가주택부지.장기투자가치.교통편리.제2종주거지역</t>
        </is>
      </c>
      <c r="L1764" s="6">
        <f>HYPERLINK("https://fin.land.naver.com/articles/2654868027", "매물Link")</f>
        <v/>
      </c>
      <c r="M1764" s="6">
        <f>HYPERLINK("https://map.naver.com/p/search/조치원읍 침산리 123-2", "지도Link")</f>
        <v/>
      </c>
      <c r="N1764" s="6">
        <f>HYPERLINK("http://www.eum.go.kr/web/ar/lu/luLandDet.jsp?pnu=3611025028101230002&amp;isNoScr=script&amp;mode=search", "토지이음")</f>
        <v/>
      </c>
      <c r="O1764" s="3" t="inlineStr">
        <is>
          <t>돈방석</t>
        </is>
      </c>
      <c r="P1764" s="4" t="n">
        <v>1</v>
      </c>
      <c r="Q1764" s="4" t="n">
        <v>238</v>
      </c>
      <c r="R1764" s="3" t="inlineStr">
        <is>
          <t>지정되지않음</t>
        </is>
      </c>
      <c r="S1764" s="3" t="inlineStr">
        <is>
          <t>단독</t>
        </is>
      </c>
      <c r="T1764" s="3" t="inlineStr">
        <is>
          <t>평지</t>
        </is>
      </c>
      <c r="U1764" s="3" t="inlineStr">
        <is>
          <t>가로장방</t>
        </is>
      </c>
      <c r="V1764" s="3" t="inlineStr">
        <is>
          <t>세로한면(가)</t>
        </is>
      </c>
    </row>
    <row r="1765">
      <c r="A1765" s="3" t="inlineStr">
        <is>
          <t>조치원읍 침산리 144-9</t>
        </is>
      </c>
      <c r="B1765" s="3" t="inlineStr">
        <is>
          <t>제2종일반주거지역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52000</v>
      </c>
      <c r="G1765" s="4" t="n">
        <v>129</v>
      </c>
      <c r="H1765" s="4" t="n">
        <v>39</v>
      </c>
      <c r="I1765" s="5" t="n">
        <v>1333.3</v>
      </c>
      <c r="J1765" s="5" t="n">
        <v>404.6</v>
      </c>
      <c r="K1765" s="3" t="inlineStr">
        <is>
          <t>조치원역바로뒤,2층건물 포함 일괄매매</t>
        </is>
      </c>
      <c r="L1765" s="6">
        <f>HYPERLINK("https://fin.land.naver.com/articles/2652801000", "매물Link")</f>
        <v/>
      </c>
      <c r="M1765" s="6">
        <f>HYPERLINK("https://map.naver.com/p/search/조치원읍 침산리 144-9", "지도Link")</f>
        <v/>
      </c>
      <c r="N1765" s="6">
        <f>HYPERLINK("http://www.eum.go.kr/web/ar/lu/luLandDet.jsp?pnu=3611025028101440009&amp;isNoScr=script&amp;mode=search", "토지이음")</f>
        <v/>
      </c>
      <c r="O1765" s="3" t="inlineStr">
        <is>
          <t>다옴</t>
        </is>
      </c>
      <c r="P1765" s="4" t="n">
        <v>1</v>
      </c>
      <c r="Q1765" s="4" t="n">
        <v>129</v>
      </c>
      <c r="R1765" s="3" t="inlineStr">
        <is>
          <t>지정되지않음</t>
        </is>
      </c>
      <c r="S1765" s="3" t="inlineStr">
        <is>
          <t>주상용</t>
        </is>
      </c>
      <c r="T1765" s="3" t="inlineStr">
        <is>
          <t>평지</t>
        </is>
      </c>
      <c r="U1765" s="3" t="inlineStr">
        <is>
          <t>부정형</t>
        </is>
      </c>
      <c r="V1765" s="3" t="inlineStr">
        <is>
          <t>중로한면</t>
        </is>
      </c>
    </row>
    <row r="1766">
      <c r="A1766" s="3" t="inlineStr">
        <is>
          <t>조치원읍 침산리 167-10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95000</v>
      </c>
      <c r="G1766" s="4" t="n">
        <v>332</v>
      </c>
      <c r="H1766" s="4" t="n">
        <v>100</v>
      </c>
      <c r="I1766" s="5" t="n">
        <v>950</v>
      </c>
      <c r="J1766" s="5" t="n">
        <v>440.3</v>
      </c>
      <c r="K1766" s="3" t="inlineStr">
        <is>
          <t>조치원역뒤, 상가포함 좋은입지 일괄매매</t>
        </is>
      </c>
      <c r="L1766" s="6">
        <f>HYPERLINK("https://fin.land.naver.com/articles/2651077314", "매물Link")</f>
        <v/>
      </c>
      <c r="M1766" s="6">
        <f>HYPERLINK("https://map.naver.com/p/search/조치원읍 침산리 167-10", "지도Link")</f>
        <v/>
      </c>
      <c r="N1766" s="6">
        <f>HYPERLINK("http://www.eum.go.kr/web/ar/lu/luLandDet.jsp?pnu=3611025028101670010&amp;isNoScr=script&amp;mode=search", "토지이음")</f>
        <v/>
      </c>
      <c r="O1766" s="3" t="inlineStr">
        <is>
          <t>다옴</t>
        </is>
      </c>
      <c r="P1766" s="4" t="n">
        <v>1</v>
      </c>
      <c r="Q1766" s="4" t="n">
        <v>332</v>
      </c>
      <c r="R1766" s="3" t="inlineStr">
        <is>
          <t>지정되지않음</t>
        </is>
      </c>
      <c r="S1766" s="3" t="inlineStr">
        <is>
          <t>상업용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광대로한면</t>
        </is>
      </c>
    </row>
    <row r="1767">
      <c r="A1767" s="3" t="inlineStr">
        <is>
          <t>조치원읍 침산리 185-13</t>
        </is>
      </c>
      <c r="B1767" s="3" t="inlineStr">
        <is>
          <t>제2종일반주거지역</t>
        </is>
      </c>
      <c r="C1767" s="3" t="inlineStr">
        <is>
          <t>임야</t>
        </is>
      </c>
      <c r="D1767" s="3" t="inlineStr">
        <is>
          <t>임야</t>
        </is>
      </c>
      <c r="E1767" s="3" t="inlineStr">
        <is>
          <t>매매</t>
        </is>
      </c>
      <c r="F1767" s="4" t="n">
        <v>33000</v>
      </c>
      <c r="G1767" s="4" t="n">
        <v>283</v>
      </c>
      <c r="H1767" s="4" t="n">
        <v>86</v>
      </c>
      <c r="I1767" s="5" t="n">
        <v>383.7</v>
      </c>
      <c r="J1767" s="5" t="n">
        <v>136.4</v>
      </c>
      <c r="K1767" s="3" t="inlineStr">
        <is>
          <t>조치원역세권 개발 배후지.도시가스.상하수도 연결 완료</t>
        </is>
      </c>
      <c r="L1767" s="6">
        <f>HYPERLINK("https://fin.land.naver.com/articles/2651803543", "매물Link")</f>
        <v/>
      </c>
      <c r="M1767" s="6">
        <f>HYPERLINK("https://map.naver.com/p/search/조치원읍 침산리 185-13", "지도Link")</f>
        <v/>
      </c>
      <c r="N1767" s="6">
        <f>HYPERLINK("http://www.eum.go.kr/web/ar/lu/luLandDet.jsp?pnu=3611025028101850013&amp;isNoScr=script&amp;mode=search", "토지이음")</f>
        <v/>
      </c>
      <c r="O1767" s="3" t="inlineStr">
        <is>
          <t>굿모닝</t>
        </is>
      </c>
      <c r="P1767" s="4" t="n">
        <v>1</v>
      </c>
      <c r="Q1767" s="4" t="n">
        <v>283</v>
      </c>
      <c r="R1767" s="3" t="inlineStr">
        <is>
          <t>지정되지않음</t>
        </is>
      </c>
      <c r="S1767" s="3" t="inlineStr">
        <is>
          <t>전</t>
        </is>
      </c>
      <c r="T1767" s="3" t="inlineStr">
        <is>
          <t>완경사</t>
        </is>
      </c>
      <c r="U1767" s="3" t="inlineStr">
        <is>
          <t>부정형</t>
        </is>
      </c>
      <c r="V1767" s="3" t="inlineStr">
        <is>
          <t>세로한면(가)</t>
        </is>
      </c>
    </row>
    <row r="1768">
      <c r="A1768" s="3" t="inlineStr">
        <is>
          <t>조치원읍 침산리 185-19</t>
        </is>
      </c>
      <c r="B1768" s="3" t="inlineStr">
        <is>
          <t>제1종일반주거지역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80400</v>
      </c>
      <c r="G1768" s="4" t="n">
        <v>664</v>
      </c>
      <c r="H1768" s="4" t="n">
        <v>201</v>
      </c>
      <c r="I1768" s="5" t="n">
        <v>400</v>
      </c>
      <c r="J1768" s="5" t="n">
        <v>155.1</v>
      </c>
      <c r="K1768" s="3" t="inlineStr">
        <is>
          <t>침산리 위치 좋은 곳으로 커피숍이나 음식점 자리</t>
        </is>
      </c>
      <c r="L1768" s="6">
        <f>HYPERLINK("https://fin.land.naver.com/articles/2653950425", "매물Link")</f>
        <v/>
      </c>
      <c r="M1768" s="6">
        <f>HYPERLINK("https://map.naver.com/p/search/조치원읍 침산리 185-19", "지도Link")</f>
        <v/>
      </c>
      <c r="N1768" s="6">
        <f>HYPERLINK("http://www.eum.go.kr/web/ar/lu/luLandDet.jsp?pnu=3611025028101850019&amp;isNoScr=script&amp;mode=search", "토지이음")</f>
        <v/>
      </c>
      <c r="O1768" s="3" t="inlineStr">
        <is>
          <t>KB세종</t>
        </is>
      </c>
      <c r="P1768" s="4" t="n">
        <v>1</v>
      </c>
      <c r="Q1768" s="4" t="n">
        <v>580</v>
      </c>
      <c r="R1768" s="3" t="inlineStr">
        <is>
          <t>지정되지않음</t>
        </is>
      </c>
      <c r="S1768" s="3" t="inlineStr">
        <is>
          <t>전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세로한면(가)</t>
        </is>
      </c>
    </row>
    <row r="1769">
      <c r="A1769" s="3" t="inlineStr">
        <is>
          <t>조치원읍 침산리 203</t>
        </is>
      </c>
      <c r="B1769" s="3" t="inlineStr">
        <is>
          <t>제1종일반주거지역</t>
        </is>
      </c>
      <c r="C1769" s="3" t="inlineStr">
        <is>
          <t>전</t>
        </is>
      </c>
      <c r="D1769" s="3" t="inlineStr">
        <is>
          <t>전</t>
        </is>
      </c>
      <c r="E1769" s="3" t="inlineStr">
        <is>
          <t>매매</t>
        </is>
      </c>
      <c r="F1769" s="4" t="n">
        <v>193000</v>
      </c>
      <c r="G1769" s="4" t="n">
        <v>2362</v>
      </c>
      <c r="H1769" s="4" t="n">
        <v>715</v>
      </c>
      <c r="I1769" s="5" t="n">
        <v>269.9</v>
      </c>
      <c r="J1769" s="5" t="n">
        <v>187</v>
      </c>
      <c r="K1769" s="3" t="inlineStr">
        <is>
          <t>1번국도 인근토지로 지대가 높고 다양한 용도로 활용가능. 가격조율 가능.</t>
        </is>
      </c>
      <c r="L1769" s="6">
        <f>HYPERLINK("https://fin.land.naver.com/articles/2653505780", "매물Link")</f>
        <v/>
      </c>
      <c r="M1769" s="6">
        <f>HYPERLINK("https://map.naver.com/p/search/조치원읍 침산리 203", "지도Link")</f>
        <v/>
      </c>
      <c r="N1769" s="6">
        <f>HYPERLINK("http://www.eum.go.kr/web/ar/lu/luLandDet.jsp?pnu=3611025028102030000&amp;isNoScr=script&amp;mode=search", "토지이음")</f>
        <v/>
      </c>
      <c r="O1769" s="3" t="inlineStr">
        <is>
          <t>세종대장</t>
        </is>
      </c>
      <c r="P1769" s="4" t="n">
        <v>1</v>
      </c>
      <c r="Q1769" s="4" t="n">
        <v>2362</v>
      </c>
      <c r="R1769" s="3" t="inlineStr">
        <is>
          <t>지정되지않음</t>
        </is>
      </c>
      <c r="S1769" s="3" t="inlineStr">
        <is>
          <t>전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광대로한면</t>
        </is>
      </c>
    </row>
    <row r="1770">
      <c r="A1770" s="3" t="inlineStr">
        <is>
          <t>조치원읍 침산리 219-3</t>
        </is>
      </c>
      <c r="B1770" s="3" t="inlineStr">
        <is>
          <t>제1종일반주거지역</t>
        </is>
      </c>
      <c r="C1770" s="3" t="inlineStr">
        <is>
          <t>전</t>
        </is>
      </c>
      <c r="D1770" s="3" t="inlineStr">
        <is>
          <t>전</t>
        </is>
      </c>
      <c r="E1770" s="3" t="inlineStr">
        <is>
          <t>매매</t>
        </is>
      </c>
      <c r="F1770" s="4" t="n">
        <v>268000</v>
      </c>
      <c r="G1770" s="4" t="n">
        <v>1971</v>
      </c>
      <c r="H1770" s="4" t="n">
        <v>596</v>
      </c>
      <c r="I1770" s="5" t="n">
        <v>449.7</v>
      </c>
      <c r="J1770" s="5" t="n">
        <v>183.4</v>
      </c>
      <c r="K1770" s="3" t="inlineStr">
        <is>
          <t>도도리파크, 문화예술회관 맞은편 토지</t>
        </is>
      </c>
      <c r="L1770" s="6">
        <f>HYPERLINK("https://fin.land.naver.com/articles/2654897799", "매물Link")</f>
        <v/>
      </c>
      <c r="M1770" s="6">
        <f>HYPERLINK("https://map.naver.com/p/search/조치원읍 침산리 219-3", "지도Link")</f>
        <v/>
      </c>
      <c r="N1770" s="6">
        <f>HYPERLINK("http://www.eum.go.kr/web/ar/lu/luLandDet.jsp?pnu=3611025028102190003&amp;isNoScr=script&amp;mode=search", "토지이음")</f>
        <v/>
      </c>
      <c r="O1770" s="3" t="inlineStr">
        <is>
          <t>KB세종</t>
        </is>
      </c>
      <c r="P1770" s="4" t="n">
        <v>1</v>
      </c>
      <c r="Q1770" s="4" t="n">
        <v>1887</v>
      </c>
      <c r="R1770" s="3" t="inlineStr">
        <is>
          <t>지정되지않음</t>
        </is>
      </c>
      <c r="S1770" s="3" t="inlineStr">
        <is>
          <t>전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중로한면</t>
        </is>
      </c>
    </row>
    <row r="1771">
      <c r="A1771" s="3" t="inlineStr">
        <is>
          <t>조치원읍 침산리 219-3</t>
        </is>
      </c>
      <c r="B1771" s="3" t="inlineStr">
        <is>
          <t>제1종일반주거지역</t>
        </is>
      </c>
      <c r="C1771" s="3" t="inlineStr">
        <is>
          <t>전</t>
        </is>
      </c>
      <c r="D1771" s="3" t="inlineStr">
        <is>
          <t>전</t>
        </is>
      </c>
      <c r="E1771" s="3" t="inlineStr">
        <is>
          <t>매매</t>
        </is>
      </c>
      <c r="F1771" s="4" t="n">
        <v>268000</v>
      </c>
      <c r="G1771" s="4" t="n">
        <v>1971</v>
      </c>
      <c r="H1771" s="4" t="n">
        <v>596</v>
      </c>
      <c r="I1771" s="5" t="n">
        <v>449.7</v>
      </c>
      <c r="J1771" s="5" t="n">
        <v>183.4</v>
      </c>
      <c r="K1771" s="3" t="inlineStr">
        <is>
          <t>제1종일반주거지역, 코너토지,조치원하이마트,예술회관,조치원복컴등 인근위치</t>
        </is>
      </c>
      <c r="L1771" s="6">
        <f>HYPERLINK("https://fin.land.naver.com/articles/2650636285", "매물Link")</f>
        <v/>
      </c>
      <c r="M1771" s="6">
        <f>HYPERLINK("https://map.naver.com/p/search/조치원읍 침산리 219-3", "지도Link")</f>
        <v/>
      </c>
      <c r="N1771" s="6">
        <f>HYPERLINK("http://www.eum.go.kr/web/ar/lu/luLandDet.jsp?pnu=3611025028102190003&amp;isNoScr=script&amp;mode=search", "토지이음")</f>
        <v/>
      </c>
      <c r="O1771" s="3" t="inlineStr">
        <is>
          <t>세종일조</t>
        </is>
      </c>
      <c r="P1771" s="4" t="n">
        <v>1</v>
      </c>
      <c r="Q1771" s="4" t="n">
        <v>1887</v>
      </c>
      <c r="R1771" s="3" t="inlineStr">
        <is>
          <t>지정되지않음</t>
        </is>
      </c>
      <c r="S1771" s="3" t="inlineStr">
        <is>
          <t>전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중로한면</t>
        </is>
      </c>
    </row>
    <row r="1772">
      <c r="A1772" s="3" t="inlineStr">
        <is>
          <t>조치원읍 침산리 219-7</t>
        </is>
      </c>
      <c r="B1772" s="3" t="inlineStr">
        <is>
          <t>제1종일반주거지역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136000</v>
      </c>
      <c r="G1772" s="4" t="n">
        <v>566</v>
      </c>
      <c r="H1772" s="4" t="n">
        <v>171</v>
      </c>
      <c r="I1772" s="5" t="n">
        <v>795.3</v>
      </c>
      <c r="J1772" s="5" t="n">
        <v>272.3</v>
      </c>
      <c r="K1772" s="3" t="inlineStr">
        <is>
          <t>침산리 대로변 넓고반듯한 토지 매매,다양활용</t>
        </is>
      </c>
      <c r="L1772" s="6">
        <f>HYPERLINK("https://fin.land.naver.com/articles/2652805884", "매물Link")</f>
        <v/>
      </c>
      <c r="M1772" s="6">
        <f>HYPERLINK("https://map.naver.com/p/search/조치원읍 침산리 219-7", "지도Link")</f>
        <v/>
      </c>
      <c r="N1772" s="6">
        <f>HYPERLINK("http://www.eum.go.kr/web/ar/lu/luLandDet.jsp?pnu=3611025028102190007&amp;isNoScr=script&amp;mode=search", "토지이음")</f>
        <v/>
      </c>
      <c r="O1772" s="3" t="inlineStr">
        <is>
          <t>다옴</t>
        </is>
      </c>
      <c r="P1772" s="4" t="n">
        <v>1</v>
      </c>
      <c r="Q1772" s="4" t="n">
        <v>566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중로각지</t>
        </is>
      </c>
    </row>
    <row r="1773">
      <c r="A1773" s="3" t="inlineStr">
        <is>
          <t>조치원읍 침산리 255-7</t>
        </is>
      </c>
      <c r="B1773" s="3" t="inlineStr">
        <is>
          <t>제2종일반주거지역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40000</v>
      </c>
      <c r="G1773" s="4" t="n">
        <v>251</v>
      </c>
      <c r="H1773" s="4" t="n">
        <v>76</v>
      </c>
      <c r="I1773" s="5" t="n">
        <v>526.3</v>
      </c>
      <c r="J1773" s="5" t="n">
        <v>289.8</v>
      </c>
      <c r="K1773" s="3" t="inlineStr">
        <is>
          <t>침산리 건축가능한 대지매물</t>
        </is>
      </c>
      <c r="L1773" s="6">
        <f>HYPERLINK("https://fin.land.naver.com/articles/2650857783", "매물Link")</f>
        <v/>
      </c>
      <c r="M1773" s="6">
        <f>HYPERLINK("https://map.naver.com/p/search/조치원읍 침산리 255-7", "지도Link")</f>
        <v/>
      </c>
      <c r="N1773" s="6">
        <f>HYPERLINK("http://www.eum.go.kr/web/ar/lu/luLandDet.jsp?pnu=3611025028102550007&amp;isNoScr=script&amp;mode=search", "토지이음")</f>
        <v/>
      </c>
      <c r="O1773" s="3" t="inlineStr">
        <is>
          <t>상희</t>
        </is>
      </c>
      <c r="P1773" s="4" t="n">
        <v>1</v>
      </c>
      <c r="Q1773" s="4" t="n">
        <v>251.7</v>
      </c>
      <c r="R1773" s="3" t="inlineStr">
        <is>
          <t>지정되지않음</t>
        </is>
      </c>
      <c r="S1773" s="3" t="inlineStr">
        <is>
          <t>주거기타</t>
        </is>
      </c>
      <c r="T1773" s="3" t="inlineStr">
        <is>
          <t>평지</t>
        </is>
      </c>
      <c r="U1773" s="3" t="inlineStr">
        <is>
          <t>정방형</t>
        </is>
      </c>
      <c r="V1773" s="3" t="inlineStr">
        <is>
          <t>세로한면(가)</t>
        </is>
      </c>
    </row>
    <row r="1774">
      <c r="A1774" s="3" t="inlineStr">
        <is>
          <t>조치원읍 침산리 262-2</t>
        </is>
      </c>
      <c r="B1774" s="3" t="inlineStr">
        <is>
          <t>제2종일반주거지역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55000</v>
      </c>
      <c r="G1774" s="4" t="n">
        <v>160</v>
      </c>
      <c r="H1774" s="4" t="n">
        <v>48</v>
      </c>
      <c r="I1774" s="5" t="n">
        <v>1145.8</v>
      </c>
      <c r="J1774" s="5" t="n">
        <v>376.9</v>
      </c>
      <c r="K1774" s="3" t="inlineStr">
        <is>
          <t>음식점으로 성업중인 토지와 상가 건물을 일괄하여 매매합니다.</t>
        </is>
      </c>
      <c r="L1774" s="6">
        <f>HYPERLINK("https://fin.land.naver.com/articles/2652461844", "매물Link")</f>
        <v/>
      </c>
      <c r="M1774" s="6">
        <f>HYPERLINK("https://map.naver.com/p/search/조치원읍 침산리 262-2", "지도Link")</f>
        <v/>
      </c>
      <c r="N1774" s="6">
        <f>HYPERLINK("http://www.eum.go.kr/web/ar/lu/luLandDet.jsp?pnu=3611025028102620002&amp;isNoScr=script&amp;mode=search", "토지이음")</f>
        <v/>
      </c>
      <c r="O1774" s="3" t="inlineStr">
        <is>
          <t>스마일세종</t>
        </is>
      </c>
      <c r="P1774" s="4" t="n">
        <v>1</v>
      </c>
      <c r="Q1774" s="4" t="n">
        <v>160.5</v>
      </c>
      <c r="R1774" s="3" t="inlineStr">
        <is>
          <t>지정되지않음</t>
        </is>
      </c>
      <c r="S1774" s="3" t="inlineStr">
        <is>
          <t>주상기타</t>
        </is>
      </c>
      <c r="T1774" s="3" t="inlineStr">
        <is>
          <t>평지</t>
        </is>
      </c>
      <c r="U1774" s="3" t="inlineStr">
        <is>
          <t>정방형</t>
        </is>
      </c>
      <c r="V1774" s="3" t="inlineStr">
        <is>
          <t>세로한면(가)</t>
        </is>
      </c>
    </row>
    <row r="1775">
      <c r="A1775" s="3" t="inlineStr">
        <is>
          <t>조치원읍 침산리 270-6</t>
        </is>
      </c>
      <c r="B1775" s="3" t="inlineStr">
        <is>
          <t>제2종일반주거지역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100000</v>
      </c>
      <c r="G1775" s="4" t="n">
        <v>345</v>
      </c>
      <c r="H1775" s="4" t="n">
        <v>104</v>
      </c>
      <c r="I1775" s="5" t="n">
        <v>961.5</v>
      </c>
      <c r="J1775" s="5" t="n">
        <v>570.2</v>
      </c>
      <c r="K1775" s="3" t="inlineStr">
        <is>
          <t>침산먹자중심,대로변 접한 반듯한 알짜토지</t>
        </is>
      </c>
      <c r="L1775" s="6">
        <f>HYPERLINK("https://fin.land.naver.com/articles/2653941730", "매물Link")</f>
        <v/>
      </c>
      <c r="M1775" s="6">
        <f>HYPERLINK("https://map.naver.com/p/search/조치원읍 침산리 270-6", "지도Link")</f>
        <v/>
      </c>
      <c r="N1775" s="6">
        <f>HYPERLINK("http://www.eum.go.kr/web/ar/lu/luLandDet.jsp?pnu=3611025028102700006&amp;isNoScr=script&amp;mode=search", "토지이음")</f>
        <v/>
      </c>
      <c r="O1775" s="3" t="inlineStr">
        <is>
          <t>다옴</t>
        </is>
      </c>
      <c r="P1775" s="4" t="n">
        <v>1</v>
      </c>
      <c r="Q1775" s="4" t="n">
        <v>345.3</v>
      </c>
      <c r="R1775" s="3" t="inlineStr">
        <is>
          <t>지정되지않음</t>
        </is>
      </c>
      <c r="S1775" s="3" t="inlineStr">
        <is>
          <t>상업용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중로한면</t>
        </is>
      </c>
    </row>
    <row r="1776">
      <c r="A1776" s="3" t="inlineStr">
        <is>
          <t>조치원읍 침산리 272-9</t>
        </is>
      </c>
      <c r="B1776" s="3" t="inlineStr">
        <is>
          <t>제2종일반주거지역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40000</v>
      </c>
      <c r="G1776" s="4" t="n">
        <v>187</v>
      </c>
      <c r="H1776" s="4" t="n">
        <v>57</v>
      </c>
      <c r="I1776" s="5" t="n">
        <v>701.8</v>
      </c>
      <c r="J1776" s="5" t="n">
        <v>323.2</v>
      </c>
      <c r="K1776" s="3" t="inlineStr">
        <is>
          <t>nan</t>
        </is>
      </c>
      <c r="L1776" s="6">
        <f>HYPERLINK("https://fin.land.naver.com/articles/2653948599", "매물Link")</f>
        <v/>
      </c>
      <c r="M1776" s="6">
        <f>HYPERLINK("https://map.naver.com/p/search/조치원읍 침산리 272-9", "지도Link")</f>
        <v/>
      </c>
      <c r="N1776" s="6">
        <f>HYPERLINK("http://www.eum.go.kr/web/ar/lu/luLandDet.jsp?pnu=3611025028102720009&amp;isNoScr=script&amp;mode=search", "토지이음")</f>
        <v/>
      </c>
      <c r="O1776" s="3" t="inlineStr">
        <is>
          <t>KB세종</t>
        </is>
      </c>
      <c r="P1776" s="4" t="n">
        <v>1</v>
      </c>
      <c r="Q1776" s="4" t="n">
        <v>187.5</v>
      </c>
      <c r="R1776" s="3" t="inlineStr">
        <is>
          <t>지정되지않음</t>
        </is>
      </c>
      <c r="S1776" s="3" t="inlineStr">
        <is>
          <t>주거기타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소로각지</t>
        </is>
      </c>
    </row>
    <row r="1777">
      <c r="A1777" s="3" t="inlineStr">
        <is>
          <t>조치원읍 침산리 283-8</t>
        </is>
      </c>
      <c r="B1777" s="3" t="inlineStr">
        <is>
          <t>제2종일반주거지역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55000</v>
      </c>
      <c r="G1777" s="4" t="n">
        <v>265</v>
      </c>
      <c r="H1777" s="4" t="n">
        <v>80</v>
      </c>
      <c r="I1777" s="5" t="n">
        <v>687.5</v>
      </c>
      <c r="J1777" s="5" t="n">
        <v>441.7</v>
      </c>
      <c r="K1777" s="3" t="inlineStr">
        <is>
          <t>코너 대지 매매</t>
        </is>
      </c>
      <c r="L1777" s="6">
        <f>HYPERLINK("https://fin.land.naver.com/articles/2651765054", "매물Link")</f>
        <v/>
      </c>
      <c r="M1777" s="6">
        <f>HYPERLINK("https://map.naver.com/p/search/조치원읍 침산리 283-8", "지도Link")</f>
        <v/>
      </c>
      <c r="N1777" s="6">
        <f>HYPERLINK("http://www.eum.go.kr/web/ar/lu/luLandDet.jsp?pnu=3611025028102830008&amp;isNoScr=script&amp;mode=search", "토지이음")</f>
        <v/>
      </c>
      <c r="O1777" s="3" t="inlineStr">
        <is>
          <t>찬스</t>
        </is>
      </c>
      <c r="P1777" s="4" t="n">
        <v>1</v>
      </c>
      <c r="Q1777" s="4" t="n">
        <v>265.6</v>
      </c>
      <c r="R1777" s="3" t="inlineStr">
        <is>
          <t>지정되지않음</t>
        </is>
      </c>
      <c r="S1777" s="3" t="inlineStr">
        <is>
          <t>주상기타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소로각지</t>
        </is>
      </c>
    </row>
    <row r="1778">
      <c r="A1778" s="3" t="inlineStr">
        <is>
          <t>조치원읍 침산리 283-9</t>
        </is>
      </c>
      <c r="B1778" s="3" t="inlineStr">
        <is>
          <t>제2종일반주거지역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월세</t>
        </is>
      </c>
      <c r="F1778" s="4" t="n">
        <v>1000</v>
      </c>
      <c r="G1778" s="4" t="n">
        <v>248</v>
      </c>
      <c r="H1778" s="4" t="n">
        <v>75</v>
      </c>
      <c r="I1778" s="5" t="n">
        <v>0.5</v>
      </c>
      <c r="J1778" s="5" t="n">
        <v>283.1</v>
      </c>
      <c r="K1778" s="3" t="inlineStr">
        <is>
          <t>nan</t>
        </is>
      </c>
      <c r="L1778" s="6">
        <f>HYPERLINK("https://fin.land.naver.com/articles/2650644582", "매물Link")</f>
        <v/>
      </c>
      <c r="M1778" s="6">
        <f>HYPERLINK("https://map.naver.com/p/search/조치원읍 침산리 283-9", "지도Link")</f>
        <v/>
      </c>
      <c r="N1778" s="6">
        <f>HYPERLINK("http://www.eum.go.kr/web/ar/lu/luLandDet.jsp?pnu=3611025028102830009&amp;isNoScr=script&amp;mode=search", "토지이음")</f>
        <v/>
      </c>
      <c r="O1778" s="3" t="inlineStr">
        <is>
          <t>세종문화길</t>
        </is>
      </c>
      <c r="P1778" s="4" t="n">
        <v>1</v>
      </c>
      <c r="Q1778" s="4" t="n">
        <v>248.8</v>
      </c>
      <c r="R1778" s="3" t="inlineStr">
        <is>
          <t>지정되지않음</t>
        </is>
      </c>
      <c r="S1778" s="3" t="inlineStr">
        <is>
          <t>주거기타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세로한면(가)</t>
        </is>
      </c>
    </row>
    <row r="1779">
      <c r="A1779" s="3" t="inlineStr">
        <is>
          <t>조치원읍 침산리 284-9</t>
        </is>
      </c>
      <c r="B1779" s="3" t="inlineStr">
        <is>
          <t>제2종일반주거지역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60000</v>
      </c>
      <c r="G1779" s="4" t="n">
        <v>238</v>
      </c>
      <c r="H1779" s="4" t="n">
        <v>72</v>
      </c>
      <c r="I1779" s="5" t="n">
        <v>833.3</v>
      </c>
      <c r="J1779" s="5" t="n">
        <v>283.1</v>
      </c>
      <c r="K1779" s="3" t="inlineStr">
        <is>
          <t>스타벅스가 선택한 그 입지, 세종 조치원 침산리 금쪽같은 토지 매매</t>
        </is>
      </c>
      <c r="L1779" s="6">
        <f>HYPERLINK("https://fin.land.naver.com/articles/2654652330", "매물Link")</f>
        <v/>
      </c>
      <c r="M1779" s="6">
        <f>HYPERLINK("https://map.naver.com/p/search/조치원읍 침산리 284-9", "지도Link")</f>
        <v/>
      </c>
      <c r="N1779" s="6">
        <f>HYPERLINK("http://www.eum.go.kr/web/ar/lu/luLandDet.jsp?pnu=3611025028102840009&amp;isNoScr=script&amp;mode=search", "토지이음")</f>
        <v/>
      </c>
      <c r="O1779" s="3" t="inlineStr">
        <is>
          <t>찬스</t>
        </is>
      </c>
      <c r="P1779" s="4" t="n">
        <v>1</v>
      </c>
      <c r="Q1779" s="4" t="n">
        <v>238.8</v>
      </c>
      <c r="R1779" s="3" t="inlineStr">
        <is>
          <t>지정되지않음</t>
        </is>
      </c>
      <c r="S1779" s="3" t="inlineStr">
        <is>
          <t>주거기타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세로한면(가)</t>
        </is>
      </c>
    </row>
    <row r="1780">
      <c r="A1780" s="3" t="inlineStr">
        <is>
          <t>조치원읍 침산리 285-16</t>
        </is>
      </c>
      <c r="B1780" s="3" t="inlineStr">
        <is>
          <t>제2종일반주거지역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38630</v>
      </c>
      <c r="G1780" s="4" t="n">
        <v>255</v>
      </c>
      <c r="H1780" s="4" t="n">
        <v>77</v>
      </c>
      <c r="I1780" s="5" t="n">
        <v>501.7</v>
      </c>
      <c r="J1780" s="5" t="n">
        <v>301.6</v>
      </c>
      <c r="K1780" s="3" t="inlineStr">
        <is>
          <t>구역정리된 지역임</t>
        </is>
      </c>
      <c r="L1780" s="6">
        <f>HYPERLINK("https://fin.land.naver.com/articles/2652215917", "매물Link")</f>
        <v/>
      </c>
      <c r="M1780" s="6">
        <f>HYPERLINK("https://map.naver.com/p/search/조치원읍 침산리 285-16", "지도Link")</f>
        <v/>
      </c>
      <c r="N1780" s="6">
        <f>HYPERLINK("http://www.eum.go.kr/web/ar/lu/luLandDet.jsp?pnu=3611025028102850016&amp;isNoScr=script&amp;mode=search", "토지이음")</f>
        <v/>
      </c>
      <c r="O1780" s="3" t="inlineStr">
        <is>
          <t>한일</t>
        </is>
      </c>
      <c r="P1780" s="4" t="n">
        <v>1</v>
      </c>
      <c r="Q1780" s="4" t="n">
        <v>255.4</v>
      </c>
      <c r="R1780" s="3" t="inlineStr">
        <is>
          <t>지정되지않음</t>
        </is>
      </c>
      <c r="S1780" s="3" t="inlineStr">
        <is>
          <t>주상기타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조치원읍 침산리 40</t>
        </is>
      </c>
      <c r="B1781" s="3" t="inlineStr">
        <is>
          <t>제1종일반주거지역</t>
        </is>
      </c>
      <c r="C1781" s="3" t="inlineStr">
        <is>
          <t>전</t>
        </is>
      </c>
      <c r="D1781" s="3" t="inlineStr">
        <is>
          <t>전</t>
        </is>
      </c>
      <c r="E1781" s="3" t="inlineStr">
        <is>
          <t>매매</t>
        </is>
      </c>
      <c r="F1781" s="4" t="n">
        <v>256000</v>
      </c>
      <c r="G1781" s="4" t="n">
        <v>2116</v>
      </c>
      <c r="H1781" s="4" t="n">
        <v>640</v>
      </c>
      <c r="I1781" s="5" t="n">
        <v>400</v>
      </c>
      <c r="J1781" s="5" t="n">
        <v>177.6</v>
      </c>
      <c r="K1781" s="3" t="inlineStr">
        <is>
          <t>침산리 토지매매</t>
        </is>
      </c>
      <c r="L1781" s="6">
        <f>HYPERLINK("https://fin.land.naver.com/articles/2654532187", "매물Link")</f>
        <v/>
      </c>
      <c r="M1781" s="6">
        <f>HYPERLINK("https://map.naver.com/p/search/조치원읍 침산리 40", "지도Link")</f>
        <v/>
      </c>
      <c r="N1781" s="6">
        <f>HYPERLINK("http://www.eum.go.kr/web/ar/lu/luLandDet.jsp?pnu=3611025028100400000&amp;isNoScr=script&amp;mode=search", "토지이음")</f>
        <v/>
      </c>
      <c r="O1781" s="3" t="inlineStr">
        <is>
          <t>김준희</t>
        </is>
      </c>
      <c r="P1781" s="4" t="n">
        <v>1</v>
      </c>
      <c r="Q1781" s="4" t="n">
        <v>1924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소로한면</t>
        </is>
      </c>
    </row>
    <row r="1782">
      <c r="A1782" s="3" t="inlineStr">
        <is>
          <t>조치원읍 침산리 79-4</t>
        </is>
      </c>
      <c r="B1782" s="3" t="inlineStr">
        <is>
          <t>제1종일반주거지역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700000</v>
      </c>
      <c r="G1782" s="4" t="n">
        <v>1842</v>
      </c>
      <c r="H1782" s="4" t="n">
        <v>557</v>
      </c>
      <c r="I1782" s="5" t="n">
        <v>1256.7</v>
      </c>
      <c r="J1782" s="5" t="n">
        <v>416.9</v>
      </c>
      <c r="K1782" s="3" t="inlineStr">
        <is>
          <t>1번국도와 55m 접해있어 근린생활시설을 지으면 좋은 일반주거지역 대지</t>
        </is>
      </c>
      <c r="L1782" s="6">
        <f>HYPERLINK("https://fin.land.naver.com/articles/2650207703", "매물Link")</f>
        <v/>
      </c>
      <c r="M1782" s="6">
        <f>HYPERLINK("https://map.naver.com/p/search/조치원읍 침산리 79-4", "지도Link")</f>
        <v/>
      </c>
      <c r="N1782" s="6">
        <f>HYPERLINK("http://www.eum.go.kr/web/ar/lu/luLandDet.jsp?pnu=3611025028100790004&amp;isNoScr=script&amp;mode=search", "토지이음")</f>
        <v/>
      </c>
      <c r="O1782" s="3" t="inlineStr">
        <is>
          <t>스마일세종</t>
        </is>
      </c>
      <c r="P1782" s="4" t="n">
        <v>1</v>
      </c>
      <c r="Q1782" s="4" t="n">
        <v>1380</v>
      </c>
      <c r="R1782" s="3" t="inlineStr">
        <is>
          <t>지정되지않음</t>
        </is>
      </c>
      <c r="S1782" s="3" t="inlineStr">
        <is>
          <t>상업기타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광대로한면</t>
        </is>
      </c>
    </row>
    <row r="1783">
      <c r="A1783" s="3" t="inlineStr">
        <is>
          <t>조치원읍 평리 101-2</t>
        </is>
      </c>
      <c r="B1783" s="3" t="inlineStr">
        <is>
          <t>제2종일반주거지역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356</v>
      </c>
      <c r="H1783" s="4" t="n">
        <v>108</v>
      </c>
      <c r="I1783" s="5" t="n">
        <v>555.6</v>
      </c>
      <c r="J1783" s="5" t="n">
        <v>175.8</v>
      </c>
      <c r="K1783" s="3" t="inlineStr">
        <is>
          <t>남향토지,도로지분포함,조치원 시장 도보5분거리 위치,</t>
        </is>
      </c>
      <c r="L1783" s="6">
        <f>HYPERLINK("https://fin.land.naver.com/articles/2652137848", "매물Link")</f>
        <v/>
      </c>
      <c r="M1783" s="6">
        <f>HYPERLINK("https://map.naver.com/p/search/조치원읍 평리 101-2", "지도Link")</f>
        <v/>
      </c>
      <c r="N1783" s="6">
        <f>HYPERLINK("http://www.eum.go.kr/web/ar/lu/luLandDet.jsp?pnu=3611025023101010002&amp;isNoScr=script&amp;mode=search", "토지이음")</f>
        <v/>
      </c>
      <c r="O1783" s="3" t="inlineStr">
        <is>
          <t>담뜰</t>
        </is>
      </c>
      <c r="P1783" s="4" t="n">
        <v>1</v>
      </c>
      <c r="Q1783" s="4" t="n">
        <v>356</v>
      </c>
      <c r="R1783" s="3" t="inlineStr">
        <is>
          <t>지정되지않음</t>
        </is>
      </c>
      <c r="S1783" s="3" t="inlineStr">
        <is>
          <t>단독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세로한면(가)</t>
        </is>
      </c>
    </row>
    <row r="1784">
      <c r="A1784" s="3" t="inlineStr">
        <is>
          <t>조치원읍 평리 101-2</t>
        </is>
      </c>
      <c r="B1784" s="3" t="inlineStr">
        <is>
          <t>제2종일반주거지역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356</v>
      </c>
      <c r="H1784" s="4" t="n">
        <v>108</v>
      </c>
      <c r="I1784" s="5" t="n">
        <v>555.6</v>
      </c>
      <c r="J1784" s="5" t="n">
        <v>175.8</v>
      </c>
      <c r="K1784" s="3" t="inlineStr">
        <is>
          <t>8미터도로연접, 다가구부지 추천매매</t>
        </is>
      </c>
      <c r="L1784" s="6">
        <f>HYPERLINK("https://fin.land.naver.com/articles/2653056560", "매물Link")</f>
        <v/>
      </c>
      <c r="M1784" s="6">
        <f>HYPERLINK("https://map.naver.com/p/search/조치원읍 평리 101-2", "지도Link")</f>
        <v/>
      </c>
      <c r="N1784" s="6">
        <f>HYPERLINK("http://www.eum.go.kr/web/ar/lu/luLandDet.jsp?pnu=3611025023101010002&amp;isNoScr=script&amp;mode=search", "토지이음")</f>
        <v/>
      </c>
      <c r="O1784" s="3" t="inlineStr">
        <is>
          <t>Home</t>
        </is>
      </c>
      <c r="P1784" s="4" t="n">
        <v>1</v>
      </c>
      <c r="Q1784" s="4" t="n">
        <v>356</v>
      </c>
      <c r="R1784" s="3" t="inlineStr">
        <is>
          <t>지정되지않음</t>
        </is>
      </c>
      <c r="S1784" s="3" t="inlineStr">
        <is>
          <t>단독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집현동 1203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215000</v>
      </c>
      <c r="G1785" s="4" t="n">
        <v>569</v>
      </c>
      <c r="H1785" s="4" t="n">
        <v>172</v>
      </c>
      <c r="I1785" s="5" t="n">
        <v>1250</v>
      </c>
      <c r="J1785" s="5" t="n">
        <v>320.7</v>
      </c>
      <c r="K1785" s="3" t="inlineStr">
        <is>
          <t>일반음식점 가능 2종근생, 자이 1200세대 정문 앞 횡단보도 버스정류장</t>
        </is>
      </c>
      <c r="L1785" s="6">
        <f>HYPERLINK("https://fin.land.naver.com/articles/2650179158", "매물Link")</f>
        <v/>
      </c>
      <c r="M1785" s="6">
        <f>HYPERLINK("https://map.naver.com/p/search/집현동 1203", "지도Link")</f>
        <v/>
      </c>
      <c r="N1785" s="6">
        <f>HYPERLINK("http://www.eum.go.kr/web/ar/lu/luLandDet.jsp?pnu=3611011800112030000&amp;isNoScr=script&amp;mode=search", "토지이음")</f>
        <v/>
      </c>
      <c r="O1785" s="3" t="inlineStr">
        <is>
          <t>오송3산단  사무소</t>
        </is>
      </c>
      <c r="P1785" s="4" t="n">
        <v>1</v>
      </c>
      <c r="Q1785" s="4" t="n">
        <v>569.7</v>
      </c>
      <c r="R1785" s="3" t="inlineStr">
        <is>
          <t>지정되지않음</t>
        </is>
      </c>
      <c r="S1785" s="3" t="inlineStr">
        <is>
          <t>상업나지</t>
        </is>
      </c>
      <c r="T1785" s="3" t="inlineStr">
        <is>
          <t>평지</t>
        </is>
      </c>
      <c r="U1785" s="3" t="inlineStr">
        <is>
          <t>정방형</t>
        </is>
      </c>
      <c r="V1785" s="3" t="inlineStr">
        <is>
          <t>광대소각</t>
        </is>
      </c>
    </row>
    <row r="1786">
      <c r="A1786" s="3" t="inlineStr">
        <is>
          <t>집현동 1217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42000</v>
      </c>
      <c r="G1786" s="4" t="n">
        <v>320</v>
      </c>
      <c r="H1786" s="4" t="n">
        <v>97</v>
      </c>
      <c r="I1786" s="5" t="n">
        <v>433</v>
      </c>
      <c r="J1786" s="5" t="n">
        <v>267.1</v>
      </c>
      <c r="K1786" s="3" t="inlineStr">
        <is>
          <t>집현동단독택지 저렴한매매 가격조정열심히해볼게요.</t>
        </is>
      </c>
      <c r="L1786" s="6">
        <f>HYPERLINK("https://fin.land.naver.com/articles/2653639607", "매물Link")</f>
        <v/>
      </c>
      <c r="M1786" s="6">
        <f>HYPERLINK("https://map.naver.com/p/search/집현동 1217", "지도Link")</f>
        <v/>
      </c>
      <c r="N1786" s="6">
        <f>HYPERLINK("http://www.eum.go.kr/web/ar/lu/luLandDet.jsp?pnu=3611011800112170000&amp;isNoScr=script&amp;mode=search", "토지이음")</f>
        <v/>
      </c>
      <c r="O1786" s="3" t="inlineStr">
        <is>
          <t>고운동리치세종</t>
        </is>
      </c>
      <c r="P1786" s="4" t="n">
        <v>3</v>
      </c>
      <c r="Q1786" s="4" t="n">
        <v>320.9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집현동 1219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42000</v>
      </c>
      <c r="G1787" s="4" t="n">
        <v>318</v>
      </c>
      <c r="H1787" s="4" t="n">
        <v>96</v>
      </c>
      <c r="I1787" s="5" t="n">
        <v>437.5</v>
      </c>
      <c r="J1787" s="5" t="n">
        <v>277.7</v>
      </c>
      <c r="K1787" s="3" t="inlineStr">
        <is>
          <t>급매 집현동D1 남향택지 상가 학교가까움</t>
        </is>
      </c>
      <c r="L1787" s="6">
        <f>HYPERLINK("https://fin.land.naver.com/articles/2653175765", "매물Link")</f>
        <v/>
      </c>
      <c r="M1787" s="6">
        <f>HYPERLINK("https://map.naver.com/p/search/집현동 1219", "지도Link")</f>
        <v/>
      </c>
      <c r="N1787" s="6">
        <f>HYPERLINK("http://www.eum.go.kr/web/ar/lu/luLandDet.jsp?pnu=3611011800112190000&amp;isNoScr=script&amp;mode=search", "토지이음")</f>
        <v/>
      </c>
      <c r="O1787" s="3" t="inlineStr">
        <is>
          <t>세종스타</t>
        </is>
      </c>
      <c r="P1787" s="4" t="n">
        <v>2</v>
      </c>
      <c r="Q1787" s="4" t="n">
        <v>318.9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소로각지</t>
        </is>
      </c>
    </row>
    <row r="1788">
      <c r="A1788" s="3" t="inlineStr">
        <is>
          <t>집현동 1226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54000</v>
      </c>
      <c r="G1788" s="4" t="n">
        <v>305</v>
      </c>
      <c r="H1788" s="4" t="n">
        <v>92</v>
      </c>
      <c r="I1788" s="5" t="n">
        <v>587</v>
      </c>
      <c r="J1788" s="5" t="n">
        <v>267.1</v>
      </c>
      <c r="K1788" s="3" t="inlineStr">
        <is>
          <t>집현동 위치 좋은 단독주택 토지매매, 사거리 코너 입지</t>
        </is>
      </c>
      <c r="L1788" s="6">
        <f>HYPERLINK("https://fin.land.naver.com/articles/2654229358", "매물Link")</f>
        <v/>
      </c>
      <c r="M1788" s="6">
        <f>HYPERLINK("https://map.naver.com/p/search/집현동 1226", "지도Link")</f>
        <v/>
      </c>
      <c r="N1788" s="6">
        <f>HYPERLINK("http://www.eum.go.kr/web/ar/lu/luLandDet.jsp?pnu=3611011800112260000&amp;isNoScr=script&amp;mode=search", "토지이음")</f>
        <v/>
      </c>
      <c r="O1788" s="3" t="inlineStr">
        <is>
          <t>명진</t>
        </is>
      </c>
      <c r="P1788" s="4" t="n">
        <v>1</v>
      </c>
      <c r="Q1788" s="4" t="n">
        <v>305.3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집현동 1226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54000</v>
      </c>
      <c r="G1789" s="4" t="n">
        <v>305</v>
      </c>
      <c r="H1789" s="4" t="n">
        <v>92</v>
      </c>
      <c r="I1789" s="5" t="n">
        <v>587</v>
      </c>
      <c r="J1789" s="5" t="n">
        <v>267.1</v>
      </c>
      <c r="K1789" s="3" t="inlineStr">
        <is>
          <t>집현동 위치 좋은 단독주택, 사거리 코너 입지</t>
        </is>
      </c>
      <c r="L1789" s="6">
        <f>HYPERLINK("https://fin.land.naver.com/articles/2652843192", "매물Link")</f>
        <v/>
      </c>
      <c r="M1789" s="6">
        <f>HYPERLINK("https://map.naver.com/p/search/집현동 1226", "지도Link")</f>
        <v/>
      </c>
      <c r="N1789" s="6">
        <f>HYPERLINK("http://www.eum.go.kr/web/ar/lu/luLandDet.jsp?pnu=3611011800112260000&amp;isNoScr=script&amp;mode=search", "토지이음")</f>
        <v/>
      </c>
      <c r="O1789" s="3" t="inlineStr">
        <is>
          <t>세종무지개</t>
        </is>
      </c>
      <c r="P1789" s="4" t="n">
        <v>1</v>
      </c>
      <c r="Q1789" s="4" t="n">
        <v>305.3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집현동 1226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54000</v>
      </c>
      <c r="G1790" s="4" t="n">
        <v>305</v>
      </c>
      <c r="H1790" s="4" t="n">
        <v>92</v>
      </c>
      <c r="I1790" s="5" t="n">
        <v>587</v>
      </c>
      <c r="J1790" s="5" t="n">
        <v>267.1</v>
      </c>
      <c r="K1790" s="3" t="inlineStr">
        <is>
          <t>삼성천인근 남북트인위치 남쪽 보행로접함</t>
        </is>
      </c>
      <c r="L1790" s="6">
        <f>HYPERLINK("https://fin.land.naver.com/articles/2652943039", "매물Link")</f>
        <v/>
      </c>
      <c r="M1790" s="6">
        <f>HYPERLINK("https://map.naver.com/p/search/집현동 1226", "지도Link")</f>
        <v/>
      </c>
      <c r="N1790" s="6">
        <f>HYPERLINK("http://www.eum.go.kr/web/ar/lu/luLandDet.jsp?pnu=3611011800112260000&amp;isNoScr=script&amp;mode=search", "토지이음")</f>
        <v/>
      </c>
      <c r="O1790" s="3" t="inlineStr">
        <is>
          <t>세종스타</t>
        </is>
      </c>
      <c r="P1790" s="4" t="n">
        <v>2</v>
      </c>
      <c r="Q1790" s="4" t="n">
        <v>305.3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집현동 1231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39000</v>
      </c>
      <c r="G1791" s="4" t="n">
        <v>255</v>
      </c>
      <c r="H1791" s="4" t="n">
        <v>77</v>
      </c>
      <c r="I1791" s="5" t="n">
        <v>506.5</v>
      </c>
      <c r="J1791" s="5" t="n">
        <v>264.5</v>
      </c>
      <c r="K1791" s="3" t="inlineStr">
        <is>
          <t>세종시 집현동 부담이 적은 단독주택지 매매</t>
        </is>
      </c>
      <c r="L1791" s="6">
        <f>HYPERLINK("https://fin.land.naver.com/articles/2655175152", "매물Link")</f>
        <v/>
      </c>
      <c r="M1791" s="6">
        <f>HYPERLINK("https://map.naver.com/p/search/집현동 1231", "지도Link")</f>
        <v/>
      </c>
      <c r="N1791" s="6">
        <f>HYPERLINK("http://www.eum.go.kr/web/ar/lu/luLandDet.jsp?pnu=3611011800112310000&amp;isNoScr=script&amp;mode=search", "토지이음")</f>
        <v/>
      </c>
      <c r="O1791" s="3" t="inlineStr">
        <is>
          <t>킹세종</t>
        </is>
      </c>
      <c r="P1791" s="4" t="n">
        <v>1</v>
      </c>
      <c r="Q1791" s="4" t="n">
        <v>255.7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집현동 1240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40800</v>
      </c>
      <c r="G1792" s="4" t="n">
        <v>273</v>
      </c>
      <c r="H1792" s="4" t="n">
        <v>83</v>
      </c>
      <c r="I1792" s="5" t="n">
        <v>491.6</v>
      </c>
      <c r="J1792" s="5" t="n">
        <v>264.5</v>
      </c>
      <c r="K1792" s="3" t="inlineStr">
        <is>
          <t>nan</t>
        </is>
      </c>
      <c r="L1792" s="6">
        <f>HYPERLINK("https://fin.land.naver.com/articles/2654263055", "매물Link")</f>
        <v/>
      </c>
      <c r="M1792" s="6">
        <f>HYPERLINK("https://map.naver.com/p/search/집현동 1240", "지도Link")</f>
        <v/>
      </c>
      <c r="N1792" s="6">
        <f>HYPERLINK("http://www.eum.go.kr/web/ar/lu/luLandDet.jsp?pnu=3611011800112400000&amp;isNoScr=script&amp;mode=search", "토지이음")</f>
        <v/>
      </c>
      <c r="O1792" s="3" t="inlineStr">
        <is>
          <t>우리들</t>
        </is>
      </c>
      <c r="P1792" s="4" t="n">
        <v>1</v>
      </c>
      <c r="Q1792" s="4" t="n">
        <v>273.9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집현동 1244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60000</v>
      </c>
      <c r="G1793" s="4" t="n">
        <v>323</v>
      </c>
      <c r="H1793" s="4" t="n">
        <v>98</v>
      </c>
      <c r="I1793" s="5" t="n">
        <v>612.2</v>
      </c>
      <c r="J1793" s="5" t="n">
        <v>275</v>
      </c>
      <c r="K1793" s="3" t="inlineStr">
        <is>
          <t>최고위치 코너각지 공원뷰 삼성천뷰</t>
        </is>
      </c>
      <c r="L1793" s="6">
        <f>HYPERLINK("https://fin.land.naver.com/articles/2655194330", "매물Link")</f>
        <v/>
      </c>
      <c r="M1793" s="6">
        <f>HYPERLINK("https://map.naver.com/p/search/집현동 1244", "지도Link")</f>
        <v/>
      </c>
      <c r="N1793" s="6">
        <f>HYPERLINK("http://www.eum.go.kr/web/ar/lu/luLandDet.jsp?pnu=3611011800112440000&amp;isNoScr=script&amp;mode=search", "토지이음")</f>
        <v/>
      </c>
      <c r="O1793" s="3" t="inlineStr">
        <is>
          <t>세종스타</t>
        </is>
      </c>
      <c r="P1793" s="4" t="n">
        <v>2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가로장방</t>
        </is>
      </c>
      <c r="V1793" s="3" t="inlineStr">
        <is>
          <t>소로각지</t>
        </is>
      </c>
    </row>
    <row r="1794">
      <c r="A1794" s="3" t="inlineStr">
        <is>
          <t>집현동 1244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60000</v>
      </c>
      <c r="G1794" s="4" t="n">
        <v>323</v>
      </c>
      <c r="H1794" s="4" t="n">
        <v>98</v>
      </c>
      <c r="I1794" s="5" t="n">
        <v>612.2</v>
      </c>
      <c r="J1794" s="5" t="n">
        <v>275</v>
      </c>
      <c r="K1794" s="3" t="inlineStr">
        <is>
          <t>코너각지 위치한 토지매매, 공원과 삼성천 뷰 가능</t>
        </is>
      </c>
      <c r="L1794" s="6">
        <f>HYPERLINK("https://fin.land.naver.com/articles/2649592856", "매물Link")</f>
        <v/>
      </c>
      <c r="M1794" s="6">
        <f>HYPERLINK("https://map.naver.com/p/search/집현동 1244", "지도Link")</f>
        <v/>
      </c>
      <c r="N1794" s="6">
        <f>HYPERLINK("http://www.eum.go.kr/web/ar/lu/luLandDet.jsp?pnu=3611011800112440000&amp;isNoScr=script&amp;mode=search", "토지이음")</f>
        <v/>
      </c>
      <c r="O1794" s="3" t="inlineStr">
        <is>
          <t>세종무지개</t>
        </is>
      </c>
      <c r="P1794" s="4" t="n">
        <v>1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소로각지</t>
        </is>
      </c>
    </row>
    <row r="1795">
      <c r="A1795" s="3" t="inlineStr">
        <is>
          <t>집현동 1255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42000</v>
      </c>
      <c r="G1795" s="4" t="n">
        <v>277</v>
      </c>
      <c r="H1795" s="4" t="n">
        <v>84</v>
      </c>
      <c r="I1795" s="5" t="n">
        <v>500</v>
      </c>
      <c r="J1795" s="5" t="n">
        <v>275</v>
      </c>
      <c r="K1795" s="3" t="inlineStr">
        <is>
          <t>추천. 집현동 코너 택지</t>
        </is>
      </c>
      <c r="L1795" s="6">
        <f>HYPERLINK("https://fin.land.naver.com/articles/2651894833", "매물Link")</f>
        <v/>
      </c>
      <c r="M1795" s="6">
        <f>HYPERLINK("https://map.naver.com/p/search/집현동 1255", "지도Link")</f>
        <v/>
      </c>
      <c r="N1795" s="6">
        <f>HYPERLINK("http://www.eum.go.kr/web/ar/lu/luLandDet.jsp?pnu=3611011800112550000&amp;isNoScr=script&amp;mode=search", "토지이음")</f>
        <v/>
      </c>
      <c r="O1795" s="3" t="inlineStr">
        <is>
          <t>강아지풀</t>
        </is>
      </c>
      <c r="P1795" s="4" t="n">
        <v>1</v>
      </c>
      <c r="Q1795" s="4" t="n">
        <v>277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소로각지</t>
        </is>
      </c>
    </row>
    <row r="1796">
      <c r="A1796" s="3" t="inlineStr">
        <is>
          <t>집현동 1281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160000</v>
      </c>
      <c r="G1796" s="4" t="n">
        <v>521</v>
      </c>
      <c r="H1796" s="4" t="n">
        <v>158</v>
      </c>
      <c r="I1796" s="5" t="n">
        <v>1012.7</v>
      </c>
      <c r="J1796" s="5" t="n">
        <v>320.7</v>
      </c>
      <c r="K1796" s="3" t="inlineStr">
        <is>
          <t>급매 집현동 횡단보도앞 위치좋은 근생부지</t>
        </is>
      </c>
      <c r="L1796" s="6">
        <f>HYPERLINK("https://fin.land.naver.com/articles/2653666306", "매물Link")</f>
        <v/>
      </c>
      <c r="M1796" s="6">
        <f>HYPERLINK("https://map.naver.com/p/search/집현동 1281", "지도Link")</f>
        <v/>
      </c>
      <c r="N1796" s="6">
        <f>HYPERLINK("http://www.eum.go.kr/web/ar/lu/luLandDet.jsp?pnu=3611011800112810000&amp;isNoScr=script&amp;mode=search",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520.5</v>
      </c>
      <c r="R1796" s="3" t="inlineStr">
        <is>
          <t>지정되지않음</t>
        </is>
      </c>
      <c r="S1796" s="3" t="inlineStr">
        <is>
          <t>상업나지</t>
        </is>
      </c>
      <c r="T1796" s="3" t="inlineStr">
        <is>
          <t>평지</t>
        </is>
      </c>
      <c r="U1796" s="3" t="inlineStr">
        <is>
          <t>정방형</t>
        </is>
      </c>
      <c r="V1796" s="3" t="inlineStr">
        <is>
          <t>광대소각</t>
        </is>
      </c>
    </row>
    <row r="1797">
      <c r="A1797" s="3" t="inlineStr">
        <is>
          <t>집현동 1303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45000</v>
      </c>
      <c r="G1797" s="4" t="n">
        <v>308</v>
      </c>
      <c r="H1797" s="4" t="n">
        <v>93</v>
      </c>
      <c r="I1797" s="5" t="n">
        <v>483.9</v>
      </c>
      <c r="J1797" s="5" t="n">
        <v>268.2</v>
      </c>
      <c r="K1797" s="3" t="inlineStr">
        <is>
          <t>D2 남향 보행로접 조율가능</t>
        </is>
      </c>
      <c r="L1797" s="6">
        <f>HYPERLINK("https://fin.land.naver.com/articles/2650653318", "매물Link")</f>
        <v/>
      </c>
      <c r="M1797" s="6">
        <f>HYPERLINK("https://map.naver.com/p/search/집현동 1303", "지도Link")</f>
        <v/>
      </c>
      <c r="N1797" s="6">
        <f>HYPERLINK("http://www.eum.go.kr/web/ar/lu/luLandDet.jsp?pnu=3611011800113030000&amp;isNoScr=script&amp;mode=search", "토지이음")</f>
        <v/>
      </c>
      <c r="O1797" s="3" t="inlineStr">
        <is>
          <t>세종스타</t>
        </is>
      </c>
      <c r="P1797" s="4" t="n">
        <v>1</v>
      </c>
      <c r="Q1797" s="4" t="n">
        <v>308.7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집현동 1304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47000</v>
      </c>
      <c r="G1798" s="4" t="n">
        <v>309</v>
      </c>
      <c r="H1798" s="4" t="n">
        <v>93</v>
      </c>
      <c r="I1798" s="5" t="n">
        <v>505.4</v>
      </c>
      <c r="J1798" s="5" t="n">
        <v>268.2</v>
      </c>
      <c r="K1798" s="3" t="inlineStr">
        <is>
          <t>명성공인, 전용93, 집현동 택지 추천 매물</t>
        </is>
      </c>
      <c r="L1798" s="6">
        <f>HYPERLINK("https://fin.land.naver.com/articles/2653841370", "매물Link")</f>
        <v/>
      </c>
      <c r="M1798" s="6">
        <f>HYPERLINK("https://map.naver.com/p/search/집현동 1304", "지도Link")</f>
        <v/>
      </c>
      <c r="N1798" s="6">
        <f>HYPERLINK("http://www.eum.go.kr/web/ar/lu/luLandDet.jsp?pnu=3611011800113040000&amp;isNoScr=script&amp;mode=search", "토지이음")</f>
        <v/>
      </c>
      <c r="O1798" s="3" t="inlineStr">
        <is>
          <t>명성</t>
        </is>
      </c>
      <c r="P1798" s="4" t="n">
        <v>1</v>
      </c>
      <c r="Q1798" s="4" t="n">
        <v>308.7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세로장방</t>
        </is>
      </c>
      <c r="V1798" s="3" t="inlineStr">
        <is>
          <t>소로한면</t>
        </is>
      </c>
    </row>
    <row r="1799">
      <c r="A1799" s="3" t="inlineStr">
        <is>
          <t>집현동 1310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37000</v>
      </c>
      <c r="G1799" s="4" t="n">
        <v>279</v>
      </c>
      <c r="H1799" s="4" t="n">
        <v>84</v>
      </c>
      <c r="I1799" s="5" t="n">
        <v>440.5</v>
      </c>
      <c r="J1799" s="5" t="n">
        <v>265.5</v>
      </c>
      <c r="K1799" s="3" t="inlineStr">
        <is>
          <t>급매 D2 남북트인위치 남향 건축가능</t>
        </is>
      </c>
      <c r="L1799" s="6">
        <f>HYPERLINK("https://fin.land.naver.com/articles/2655021935", "매물Link")</f>
        <v/>
      </c>
      <c r="M1799" s="6">
        <f>HYPERLINK("https://map.naver.com/p/search/집현동 1310", "지도Link")</f>
        <v/>
      </c>
      <c r="N1799" s="6">
        <f>HYPERLINK("http://www.eum.go.kr/web/ar/lu/luLandDet.jsp?pnu=3611011800113100000&amp;isNoScr=script&amp;mode=search", "토지이음")</f>
        <v/>
      </c>
      <c r="O1799" s="3" t="inlineStr">
        <is>
          <t>세종스타</t>
        </is>
      </c>
      <c r="P1799" s="4" t="n">
        <v>2</v>
      </c>
      <c r="Q1799" s="4" t="n">
        <v>279.8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집현동 1313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52000</v>
      </c>
      <c r="G1800" s="4" t="n">
        <v>284</v>
      </c>
      <c r="H1800" s="4" t="n">
        <v>86</v>
      </c>
      <c r="I1800" s="5" t="n">
        <v>604.7</v>
      </c>
      <c r="J1800" s="5" t="n">
        <v>265.5</v>
      </c>
      <c r="K1800" s="3" t="inlineStr">
        <is>
          <t>앞,뒤 양면도로 접한 남향필지</t>
        </is>
      </c>
      <c r="L1800" s="6">
        <f>HYPERLINK("https://fin.land.naver.com/articles/2649762430", "매물Link")</f>
        <v/>
      </c>
      <c r="M1800" s="6">
        <f>HYPERLINK("https://map.naver.com/p/search/집현동 1313", "지도Link")</f>
        <v/>
      </c>
      <c r="N1800" s="6">
        <f>HYPERLINK("http://www.eum.go.kr/web/ar/lu/luLandDet.jsp?pnu=3611011800113130000&amp;isNoScr=script&amp;mode=search", "토지이음")</f>
        <v/>
      </c>
      <c r="O1800" s="3" t="inlineStr">
        <is>
          <t>킹세종</t>
        </is>
      </c>
      <c r="P1800" s="4" t="n">
        <v>1</v>
      </c>
      <c r="Q1800" s="4" t="n">
        <v>284.8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세로장방</t>
        </is>
      </c>
      <c r="V1800" s="3" t="inlineStr">
        <is>
          <t>소로한면</t>
        </is>
      </c>
    </row>
    <row r="1801">
      <c r="A1801" s="3" t="inlineStr">
        <is>
          <t>집현동 1325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45000</v>
      </c>
      <c r="G1801" s="4" t="n">
        <v>305</v>
      </c>
      <c r="H1801" s="4" t="n">
        <v>92</v>
      </c>
      <c r="I1801" s="5" t="n">
        <v>489.1</v>
      </c>
      <c r="J1801" s="5" t="n">
        <v>265.5</v>
      </c>
      <c r="K1801" s="3" t="inlineStr">
        <is>
          <t>nan</t>
        </is>
      </c>
      <c r="L1801" s="6">
        <f>HYPERLINK("https://fin.land.naver.com/articles/2651658100", "매물Link")</f>
        <v/>
      </c>
      <c r="M1801" s="6">
        <f>HYPERLINK("https://map.naver.com/p/search/집현동 1325", "지도Link")</f>
        <v/>
      </c>
      <c r="N1801" s="6">
        <f>HYPERLINK("http://www.eum.go.kr/web/ar/lu/luLandDet.jsp?pnu=3611011800113250000&amp;isNoScr=script&amp;mode=search", "토지이음")</f>
        <v/>
      </c>
      <c r="O1801" s="3" t="inlineStr">
        <is>
          <t>열린자이</t>
        </is>
      </c>
      <c r="P1801" s="4" t="n">
        <v>1</v>
      </c>
      <c r="Q1801" s="4" t="n">
        <v>304.8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세로장방</t>
        </is>
      </c>
      <c r="V1801" s="3" t="inlineStr">
        <is>
          <t>소로한면</t>
        </is>
      </c>
    </row>
    <row r="1802">
      <c r="A1802" s="3" t="inlineStr">
        <is>
          <t>집현동 1334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50000</v>
      </c>
      <c r="G1802" s="4" t="n">
        <v>309</v>
      </c>
      <c r="H1802" s="4" t="n">
        <v>93</v>
      </c>
      <c r="I1802" s="5" t="n">
        <v>537.6</v>
      </c>
      <c r="J1802" s="5" t="n">
        <v>265.5</v>
      </c>
      <c r="K1802" s="3" t="inlineStr">
        <is>
          <t>공원앞 위치좋은단독택지매매 가격조정가능</t>
        </is>
      </c>
      <c r="L1802" s="6">
        <f>HYPERLINK("https://fin.land.naver.com/articles/2653688105", "매물Link")</f>
        <v/>
      </c>
      <c r="M1802" s="6">
        <f>HYPERLINK("https://map.naver.com/p/search/집현동 1334", "지도Link")</f>
        <v/>
      </c>
      <c r="N1802" s="6">
        <f>HYPERLINK("http://www.eum.go.kr/web/ar/lu/luLandDet.jsp?pnu=3611011800113340000&amp;isNoScr=script&amp;mode=search", "토지이음")</f>
        <v/>
      </c>
      <c r="O1802" s="3" t="inlineStr">
        <is>
          <t>고운동리치세종</t>
        </is>
      </c>
      <c r="P1802" s="4" t="n">
        <v>1</v>
      </c>
      <c r="Q1802" s="4" t="n">
        <v>309.8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집현동 1337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55000</v>
      </c>
      <c r="G1803" s="4" t="n">
        <v>357</v>
      </c>
      <c r="H1803" s="4" t="n">
        <v>108</v>
      </c>
      <c r="I1803" s="5" t="n">
        <v>509.3</v>
      </c>
      <c r="J1803" s="5" t="n">
        <v>276</v>
      </c>
      <c r="K1803" s="3" t="inlineStr">
        <is>
          <t>코너자리로 위치좋은 단독택지 가격조정가능</t>
        </is>
      </c>
      <c r="L1803" s="6">
        <f>HYPERLINK("https://fin.land.naver.com/articles/2654718143", "매물Link")</f>
        <v/>
      </c>
      <c r="M1803" s="6">
        <f>HYPERLINK("https://map.naver.com/p/search/집현동 1337", "지도Link")</f>
        <v/>
      </c>
      <c r="N1803" s="6">
        <f>HYPERLINK("http://www.eum.go.kr/web/ar/lu/luLandDet.jsp?pnu=3611011800113370000&amp;isNoScr=script&amp;mode=search", "토지이음")</f>
        <v/>
      </c>
      <c r="O1803" s="3" t="inlineStr">
        <is>
          <t>고운동리치세종</t>
        </is>
      </c>
      <c r="P1803" s="4" t="n">
        <v>1</v>
      </c>
      <c r="Q1803" s="4" t="n">
        <v>357.7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소로각지</t>
        </is>
      </c>
    </row>
    <row r="1804">
      <c r="A1804" s="3" t="inlineStr">
        <is>
          <t>집현동 1343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60000</v>
      </c>
      <c r="G1804" s="4" t="n">
        <v>390</v>
      </c>
      <c r="H1804" s="4" t="n">
        <v>118</v>
      </c>
      <c r="I1804" s="5" t="n">
        <v>508.5</v>
      </c>
      <c r="J1804" s="5" t="n">
        <v>278.9</v>
      </c>
      <c r="K1804" s="3" t="inlineStr">
        <is>
          <t>탁트인 공원조망 위치최상 왼쪽시유지접 지대높음</t>
        </is>
      </c>
      <c r="L1804" s="6">
        <f>HYPERLINK("https://fin.land.naver.com/articles/2650653242", "매물Link")</f>
        <v/>
      </c>
      <c r="M1804" s="6">
        <f>HYPERLINK("https://map.naver.com/p/search/집현동 1343", "지도Link")</f>
        <v/>
      </c>
      <c r="N1804" s="6">
        <f>HYPERLINK("http://www.eum.go.kr/web/ar/lu/luLandDet.jsp?pnu=3611011800113430000&amp;isNoScr=script&amp;mode=search", "토지이음")</f>
        <v/>
      </c>
      <c r="O1804" s="3" t="inlineStr">
        <is>
          <t>세종스타</t>
        </is>
      </c>
      <c r="P1804" s="4" t="n">
        <v>1</v>
      </c>
      <c r="Q1804" s="4" t="n">
        <v>390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가로장방</t>
        </is>
      </c>
      <c r="V1804" s="3" t="inlineStr">
        <is>
          <t>소로각지</t>
        </is>
      </c>
    </row>
    <row r="1805">
      <c r="A1805" s="3" t="inlineStr">
        <is>
          <t>집현동 1348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414</v>
      </c>
      <c r="H1805" s="4" t="n">
        <v>125</v>
      </c>
      <c r="I1805" s="5" t="n">
        <v>440</v>
      </c>
      <c r="J1805" s="5" t="n">
        <v>278.9</v>
      </c>
      <c r="K1805" s="3" t="inlineStr">
        <is>
          <t>위치좋은 집현동토지매매 평수넓어요</t>
        </is>
      </c>
      <c r="L1805" s="6">
        <f>HYPERLINK("https://fin.land.naver.com/articles/2652656500", "매물Link")</f>
        <v/>
      </c>
      <c r="M1805" s="6">
        <f>HYPERLINK("https://map.naver.com/p/search/집현동 1348", "지도Link")</f>
        <v/>
      </c>
      <c r="N1805" s="6">
        <f>HYPERLINK("http://www.eum.go.kr/web/ar/lu/luLandDet.jsp?pnu=3611011800113480000&amp;isNoScr=script&amp;mode=search", "토지이음")</f>
        <v/>
      </c>
      <c r="O1805" s="3" t="inlineStr">
        <is>
          <t>고운동리치세종</t>
        </is>
      </c>
      <c r="P1805" s="4" t="n">
        <v>2</v>
      </c>
      <c r="Q1805" s="4" t="n">
        <v>414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가로장방</t>
        </is>
      </c>
      <c r="V1805" s="3" t="inlineStr">
        <is>
          <t>소로각지</t>
        </is>
      </c>
    </row>
    <row r="1806">
      <c r="A1806" s="3" t="inlineStr">
        <is>
          <t>한솔동 1000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41500</v>
      </c>
      <c r="G1806" s="4" t="n">
        <v>277</v>
      </c>
      <c r="H1806" s="4" t="n">
        <v>84</v>
      </c>
      <c r="I1806" s="5" t="n">
        <v>494</v>
      </c>
      <c r="J1806" s="5" t="n">
        <v>314.9</v>
      </c>
      <c r="K1806" s="3" t="inlineStr">
        <is>
          <t>급매, 84.1p, 삼거리 코너, 상가와 공원 인근</t>
        </is>
      </c>
      <c r="L1806" s="6">
        <f>HYPERLINK("https://fin.land.naver.com/articles/2654218385", "매물Link")</f>
        <v/>
      </c>
      <c r="M1806" s="6">
        <f>HYPERLINK("https://map.naver.com/p/search/한솔동 1000", "지도Link")</f>
        <v/>
      </c>
      <c r="N1806" s="6">
        <f>HYPERLINK("http://www.eum.go.kr/web/ar/lu/luLandDet.jsp?pnu=3611010600110000000&amp;isNoScr=script&amp;mode=search", "토지이음")</f>
        <v/>
      </c>
      <c r="O1806" s="3" t="inlineStr">
        <is>
          <t>명진</t>
        </is>
      </c>
      <c r="P1806" s="4" t="n">
        <v>1</v>
      </c>
      <c r="Q1806" s="4" t="n">
        <v>277.5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정방형</t>
        </is>
      </c>
      <c r="V1806" s="3" t="inlineStr">
        <is>
          <t>소로각지</t>
        </is>
      </c>
    </row>
    <row r="1807">
      <c r="A1807" s="3" t="inlineStr">
        <is>
          <t>한솔동 1000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41500</v>
      </c>
      <c r="G1807" s="4" t="n">
        <v>275</v>
      </c>
      <c r="H1807" s="4" t="n">
        <v>83</v>
      </c>
      <c r="I1807" s="5" t="n">
        <v>500</v>
      </c>
      <c r="J1807" s="5" t="n">
        <v>314.9</v>
      </c>
      <c r="K1807" s="3" t="inlineStr">
        <is>
          <t>급매, 총 84.1p, 삼거리 코너 토지</t>
        </is>
      </c>
      <c r="L1807" s="6">
        <f>HYPERLINK("https://fin.land.naver.com/articles/2652841509", "매물Link")</f>
        <v/>
      </c>
      <c r="M1807" s="6">
        <f>HYPERLINK("https://map.naver.com/p/search/한솔동 1000", "지도Link")</f>
        <v/>
      </c>
      <c r="N1807" s="6">
        <f>HYPERLINK("http://www.eum.go.kr/web/ar/lu/luLandDet.jsp?pnu=3611010600110000000&amp;isNoScr=script&amp;mode=search", "토지이음")</f>
        <v/>
      </c>
      <c r="O1807" s="3" t="inlineStr">
        <is>
          <t>세종무지개</t>
        </is>
      </c>
      <c r="P1807" s="4" t="n">
        <v>1</v>
      </c>
      <c r="Q1807" s="4" t="n">
        <v>277.5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정방형</t>
        </is>
      </c>
      <c r="V1807" s="3" t="inlineStr">
        <is>
          <t>소로각지</t>
        </is>
      </c>
    </row>
    <row r="1808">
      <c r="A1808" s="3" t="inlineStr">
        <is>
          <t>한솔동 1000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40500</v>
      </c>
      <c r="G1808" s="4" t="n">
        <v>277</v>
      </c>
      <c r="H1808" s="4" t="n">
        <v>84</v>
      </c>
      <c r="I1808" s="5" t="n">
        <v>482.1</v>
      </c>
      <c r="J1808" s="5" t="n">
        <v>314.9</v>
      </c>
      <c r="K1808" s="3" t="inlineStr">
        <is>
          <t>채광좋음 상권가깝고 뒤로 보행로접함</t>
        </is>
      </c>
      <c r="L1808" s="6">
        <f>HYPERLINK("https://fin.land.naver.com/articles/2655187154", "매물Link")</f>
        <v/>
      </c>
      <c r="M1808" s="6">
        <f>HYPERLINK("https://map.naver.com/p/search/한솔동 1000", "지도Link")</f>
        <v/>
      </c>
      <c r="N1808" s="6">
        <f>HYPERLINK("http://www.eum.go.kr/web/ar/lu/luLandDet.jsp?pnu=3611010600110000000&amp;isNoScr=script&amp;mode=search",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277.5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정방형</t>
        </is>
      </c>
      <c r="V1808" s="3" t="inlineStr">
        <is>
          <t>소로각지</t>
        </is>
      </c>
    </row>
    <row r="1809">
      <c r="A1809" s="3" t="inlineStr">
        <is>
          <t>한솔동 1003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52000</v>
      </c>
      <c r="G1809" s="4" t="n">
        <v>277</v>
      </c>
      <c r="H1809" s="4" t="n">
        <v>84</v>
      </c>
      <c r="I1809" s="5" t="n">
        <v>619</v>
      </c>
      <c r="J1809" s="5" t="n">
        <v>314.9</v>
      </c>
      <c r="K1809" s="3" t="inlineStr">
        <is>
          <t>가치있는  즉시 신축 가능 추천  단독주택 도심속전원 시내 시외 진출입</t>
        </is>
      </c>
      <c r="L1809" s="6">
        <f>HYPERLINK("https://fin.land.naver.com/articles/2651707666", "매물Link")</f>
        <v/>
      </c>
      <c r="M1809" s="6">
        <f>HYPERLINK("https://map.naver.com/p/search/한솔동 1003", "지도Link")</f>
        <v/>
      </c>
      <c r="N1809" s="6">
        <f>HYPERLINK("http://www.eum.go.kr/web/ar/lu/luLandDet.jsp?pnu=3611010600110030000&amp;isNoScr=script&amp;mode=search", "토지이음")</f>
        <v/>
      </c>
      <c r="O1809" s="3" t="inlineStr">
        <is>
          <t>세종시삼성래미안</t>
        </is>
      </c>
      <c r="P1809" s="4" t="n">
        <v>1</v>
      </c>
      <c r="Q1809" s="4" t="n">
        <v>277.8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정방형</t>
        </is>
      </c>
      <c r="V1809" s="3" t="inlineStr">
        <is>
          <t>소로각지</t>
        </is>
      </c>
    </row>
    <row r="1810">
      <c r="A1810" s="3" t="inlineStr">
        <is>
          <t>한솔동 1005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50000</v>
      </c>
      <c r="G1810" s="4" t="n">
        <v>277</v>
      </c>
      <c r="H1810" s="4" t="n">
        <v>84</v>
      </c>
      <c r="I1810" s="5" t="n">
        <v>595.2</v>
      </c>
      <c r="J1810" s="5" t="n">
        <v>314.9</v>
      </c>
      <c r="K1810" s="3" t="inlineStr">
        <is>
          <t>급매 채광최상 남서향막힘없음 초중고5분내</t>
        </is>
      </c>
      <c r="L1810" s="6">
        <f>HYPERLINK("https://fin.land.naver.com/articles/2652441626", "매물Link")</f>
        <v/>
      </c>
      <c r="M1810" s="6">
        <f>HYPERLINK("https://map.naver.com/p/search/한솔동 1005", "지도Link")</f>
        <v/>
      </c>
      <c r="N1810" s="6">
        <f>HYPERLINK("http://www.eum.go.kr/web/ar/lu/luLandDet.jsp?pnu=3611010600110050000&amp;isNoScr=script&amp;mode=search", "토지이음")</f>
        <v/>
      </c>
      <c r="O1810" s="3" t="inlineStr">
        <is>
          <t>세종스타</t>
        </is>
      </c>
      <c r="P1810" s="4" t="n">
        <v>1</v>
      </c>
      <c r="Q1810" s="4" t="n">
        <v>276.7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소로각지</t>
        </is>
      </c>
    </row>
    <row r="1811">
      <c r="A1811" s="3" t="inlineStr">
        <is>
          <t>한솔동 1006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62000</v>
      </c>
      <c r="G1811" s="4" t="n">
        <v>394</v>
      </c>
      <c r="H1811" s="4" t="n">
        <v>119</v>
      </c>
      <c r="I1811" s="5" t="n">
        <v>521</v>
      </c>
      <c r="J1811" s="5" t="n">
        <v>314.9</v>
      </c>
      <c r="K1811" s="3" t="inlineStr">
        <is>
          <t>총 119.7p, 대형면적 단독주택토지, 한솔초.중.고 인접</t>
        </is>
      </c>
      <c r="L1811" s="6">
        <f>HYPERLINK("https://fin.land.naver.com/articles/2654225978", "매물Link")</f>
        <v/>
      </c>
      <c r="M1811" s="6">
        <f>HYPERLINK("https://map.naver.com/p/search/한솔동 1006", "지도Link")</f>
        <v/>
      </c>
      <c r="N1811" s="6">
        <f>HYPERLINK("http://www.eum.go.kr/web/ar/lu/luLandDet.jsp?pnu=3611010600110060000&amp;isNoScr=script&amp;mode=search", "토지이음")</f>
        <v/>
      </c>
      <c r="O1811" s="3" t="inlineStr">
        <is>
          <t>명진</t>
        </is>
      </c>
      <c r="P1811" s="4" t="n">
        <v>1</v>
      </c>
      <c r="Q1811" s="4" t="n">
        <v>394.9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소로각지</t>
        </is>
      </c>
    </row>
    <row r="1812">
      <c r="A1812" s="3" t="inlineStr">
        <is>
          <t>한솔동 1006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59500</v>
      </c>
      <c r="G1812" s="4" t="n">
        <v>395</v>
      </c>
      <c r="H1812" s="4" t="n">
        <v>119</v>
      </c>
      <c r="I1812" s="5" t="n">
        <v>500</v>
      </c>
      <c r="J1812" s="5" t="n">
        <v>314.9</v>
      </c>
      <c r="K1812" s="3" t="inlineStr">
        <is>
          <t>넓은평형 평단가 저렴한택지 추가조율가능</t>
        </is>
      </c>
      <c r="L1812" s="6">
        <f>HYPERLINK("https://fin.land.naver.com/articles/2652410227", "매물Link")</f>
        <v/>
      </c>
      <c r="M1812" s="6">
        <f>HYPERLINK("https://map.naver.com/p/search/한솔동 1006", "지도Link")</f>
        <v/>
      </c>
      <c r="N1812" s="6">
        <f>HYPERLINK("http://www.eum.go.kr/web/ar/lu/luLandDet.jsp?pnu=3611010600110060000&amp;isNoScr=script&amp;mode=search", "토지이음")</f>
        <v/>
      </c>
      <c r="O1812" s="3" t="inlineStr">
        <is>
          <t>세종스타</t>
        </is>
      </c>
      <c r="P1812" s="4" t="n">
        <v>1</v>
      </c>
      <c r="Q1812" s="4" t="n">
        <v>394.9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소로각지</t>
        </is>
      </c>
    </row>
    <row r="1813">
      <c r="A1813" s="3" t="inlineStr">
        <is>
          <t>한솔동 1006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62000</v>
      </c>
      <c r="G1813" s="4" t="n">
        <v>394</v>
      </c>
      <c r="H1813" s="4" t="n">
        <v>119</v>
      </c>
      <c r="I1813" s="5" t="n">
        <v>521</v>
      </c>
      <c r="J1813" s="5" t="n">
        <v>314.9</v>
      </c>
      <c r="K1813" s="3" t="inlineStr">
        <is>
          <t>단독주택 토지, 학군인접</t>
        </is>
      </c>
      <c r="L1813" s="6">
        <f>HYPERLINK("https://fin.land.naver.com/articles/2652841375", "매물Link")</f>
        <v/>
      </c>
      <c r="M1813" s="6">
        <f>HYPERLINK("https://map.naver.com/p/search/한솔동 1006", "지도Link")</f>
        <v/>
      </c>
      <c r="N1813" s="6">
        <f>HYPERLINK("http://www.eum.go.kr/web/ar/lu/luLandDet.jsp?pnu=3611010600110060000&amp;isNoScr=script&amp;mode=search", "토지이음")</f>
        <v/>
      </c>
      <c r="O1813" s="3" t="inlineStr">
        <is>
          <t>세종무지개</t>
        </is>
      </c>
      <c r="P1813" s="4" t="n">
        <v>1</v>
      </c>
      <c r="Q1813" s="4" t="n">
        <v>394.9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소로각지</t>
        </is>
      </c>
    </row>
    <row r="1814">
      <c r="A1814" s="3" t="inlineStr">
        <is>
          <t>한솔동 1007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62000</v>
      </c>
      <c r="G1814" s="4" t="n">
        <v>395</v>
      </c>
      <c r="H1814" s="4" t="n">
        <v>119</v>
      </c>
      <c r="I1814" s="5" t="n">
        <v>521</v>
      </c>
      <c r="J1814" s="5" t="n">
        <v>302.8</v>
      </c>
      <c r="K1814" s="3" t="inlineStr">
        <is>
          <t>조정가능 한솔초중고 이마트 코스트코 인근 단독 주택지</t>
        </is>
      </c>
      <c r="L1814" s="6">
        <f>HYPERLINK("https://fin.land.naver.com/articles/2649609420", "매물Link")</f>
        <v/>
      </c>
      <c r="M1814" s="6">
        <f>HYPERLINK("https://map.naver.com/p/search/한솔동 1007", "지도Link")</f>
        <v/>
      </c>
      <c r="N1814" s="6">
        <f>HYPERLINK("http://www.eum.go.kr/web/ar/lu/luLandDet.jsp?pnu=3611010600110070000&amp;isNoScr=script&amp;mode=search", "토지이음")</f>
        <v/>
      </c>
      <c r="O1814" s="3" t="inlineStr">
        <is>
          <t>그래그</t>
        </is>
      </c>
      <c r="P1814" s="4" t="n">
        <v>1</v>
      </c>
      <c r="Q1814" s="4" t="n">
        <v>395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한솔동 1010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50000</v>
      </c>
      <c r="G1815" s="4" t="n">
        <v>317</v>
      </c>
      <c r="H1815" s="4" t="n">
        <v>96</v>
      </c>
      <c r="I1815" s="5" t="n">
        <v>520.8</v>
      </c>
      <c r="J1815" s="5" t="n">
        <v>302.8</v>
      </c>
      <c r="K1815" s="3" t="inlineStr">
        <is>
          <t>급매 추가조율가능 한솔동D3택지</t>
        </is>
      </c>
      <c r="L1815" s="6">
        <f>HYPERLINK("https://fin.land.naver.com/articles/2649812151", "매물Link")</f>
        <v/>
      </c>
      <c r="M1815" s="6">
        <f>HYPERLINK("https://map.naver.com/p/search/한솔동 1010", "지도Link")</f>
        <v/>
      </c>
      <c r="N1815" s="6">
        <f>HYPERLINK("http://www.eum.go.kr/web/ar/lu/luLandDet.jsp?pnu=3611010600110100000&amp;isNoScr=script&amp;mode=search",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317.1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1033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51000</v>
      </c>
      <c r="G1816" s="4" t="n">
        <v>302</v>
      </c>
      <c r="H1816" s="4" t="n">
        <v>91</v>
      </c>
      <c r="I1816" s="5" t="n">
        <v>560.4</v>
      </c>
      <c r="J1816" s="5" t="n">
        <v>314.9</v>
      </c>
      <c r="K1816" s="3" t="inlineStr">
        <is>
          <t>네모 반듯한  내 집 지을 예쁜  토지.주변 인프라 좋음</t>
        </is>
      </c>
      <c r="L1816" s="6">
        <f>HYPERLINK("https://fin.land.naver.com/articles/2650388988", "매물Link")</f>
        <v/>
      </c>
      <c r="M1816" s="6">
        <f>HYPERLINK("https://map.naver.com/p/search/한솔동 1033", "지도Link")</f>
        <v/>
      </c>
      <c r="N1816" s="6">
        <f>HYPERLINK("http://www.eum.go.kr/web/ar/lu/luLandDet.jsp?pnu=3611010600110330000&amp;isNoScr=script&amp;mode=search", "토지이음")</f>
        <v/>
      </c>
      <c r="O1816" s="3" t="inlineStr">
        <is>
          <t>석촌</t>
        </is>
      </c>
      <c r="P1816" s="4" t="n">
        <v>1</v>
      </c>
      <c r="Q1816" s="4" t="n">
        <v>302.1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정방형</t>
        </is>
      </c>
      <c r="V1816" s="3" t="inlineStr">
        <is>
          <t>소로각지</t>
        </is>
      </c>
    </row>
    <row r="1817">
      <c r="A1817" s="3" t="inlineStr">
        <is>
          <t>한솔동 1036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55000</v>
      </c>
      <c r="G1817" s="4" t="n">
        <v>403</v>
      </c>
      <c r="H1817" s="4" t="n">
        <v>122</v>
      </c>
      <c r="I1817" s="5" t="n">
        <v>450.8</v>
      </c>
      <c r="J1817" s="5" t="n">
        <v>290.7</v>
      </c>
      <c r="K1817" s="3" t="inlineStr">
        <is>
          <t>가격 좋은 넓은 평형 토지매매, 조율도 가능</t>
        </is>
      </c>
      <c r="L1817" s="6">
        <f>HYPERLINK("https://fin.land.naver.com/articles/2650427563", "매물Link")</f>
        <v/>
      </c>
      <c r="M1817" s="6">
        <f>HYPERLINK("https://map.naver.com/p/search/한솔동 1036", "지도Link")</f>
        <v/>
      </c>
      <c r="N1817" s="6">
        <f>HYPERLINK("http://www.eum.go.kr/web/ar/lu/luLandDet.jsp?pnu=3611010600110360000&amp;isNoScr=script&amp;mode=search", "토지이음")</f>
        <v/>
      </c>
      <c r="O1817" s="3" t="inlineStr">
        <is>
          <t>세종무지개</t>
        </is>
      </c>
      <c r="P1817" s="4" t="n">
        <v>1</v>
      </c>
      <c r="Q1817" s="4" t="n">
        <v>405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자루형</t>
        </is>
      </c>
      <c r="V1817" s="3" t="inlineStr">
        <is>
          <t>소로한면</t>
        </is>
      </c>
    </row>
    <row r="1818">
      <c r="A1818" s="3" t="inlineStr">
        <is>
          <t>한솔동 1048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41000</v>
      </c>
      <c r="G1818" s="4" t="n">
        <v>294</v>
      </c>
      <c r="H1818" s="4" t="n">
        <v>89</v>
      </c>
      <c r="I1818" s="5" t="n">
        <v>460.7</v>
      </c>
      <c r="J1818" s="5" t="n">
        <v>373.6</v>
      </c>
      <c r="K1818" s="3" t="inlineStr">
        <is>
          <t>남향,교육,상권,교통 생활편리한 한솔동 단독주택지 입니다.</t>
        </is>
      </c>
      <c r="L1818" s="6">
        <f>HYPERLINK("https://fin.land.naver.com/articles/2655008457", "매물Link")</f>
        <v/>
      </c>
      <c r="M1818" s="6">
        <f>HYPERLINK("https://map.naver.com/p/search/한솔동 1048", "지도Link")</f>
        <v/>
      </c>
      <c r="N1818" s="6">
        <f>HYPERLINK("http://www.eum.go.kr/web/ar/lu/luLandDet.jsp?pnu=3611010600110480000&amp;isNoScr=script&amp;mode=search", "토지이음")</f>
        <v/>
      </c>
      <c r="O1818" s="3" t="inlineStr">
        <is>
          <t>디아트성심</t>
        </is>
      </c>
      <c r="P1818" s="4" t="n">
        <v>1</v>
      </c>
      <c r="Q1818" s="4" t="n">
        <v>294.2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1050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294</v>
      </c>
      <c r="H1819" s="4" t="n">
        <v>89</v>
      </c>
      <c r="I1819" s="5" t="n">
        <v>561.8</v>
      </c>
      <c r="J1819" s="5" t="n">
        <v>373.6</v>
      </c>
      <c r="K1819" s="3" t="inlineStr">
        <is>
          <t>남향,교육,상권,교통 생활편리한 한솔동 단독주택지 입니다.</t>
        </is>
      </c>
      <c r="L1819" s="6">
        <f>HYPERLINK("https://fin.land.naver.com/articles/2655008399", "매물Link")</f>
        <v/>
      </c>
      <c r="M1819" s="6">
        <f>HYPERLINK("https://map.naver.com/p/search/한솔동 1050", "지도Link")</f>
        <v/>
      </c>
      <c r="N1819" s="6">
        <f>HYPERLINK("http://www.eum.go.kr/web/ar/lu/luLandDet.jsp?pnu=3611010600110500000&amp;isNoScr=script&amp;mode=search", "토지이음")</f>
        <v/>
      </c>
      <c r="O1819" s="3" t="inlineStr">
        <is>
          <t>디아트성심</t>
        </is>
      </c>
      <c r="P1819" s="4" t="n">
        <v>1</v>
      </c>
      <c r="Q1819" s="4" t="n">
        <v>294.3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1059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312</v>
      </c>
      <c r="H1820" s="4" t="n">
        <v>94</v>
      </c>
      <c r="I1820" s="5" t="n">
        <v>531.9</v>
      </c>
      <c r="J1820" s="5" t="n">
        <v>373.6</v>
      </c>
      <c r="K1820" s="3" t="inlineStr">
        <is>
          <t>상가 및 대중교통 이용 편리한 위치,근린공원 근접</t>
        </is>
      </c>
      <c r="L1820" s="6">
        <f>HYPERLINK("https://fin.land.naver.com/articles/2653795767", "매물Link")</f>
        <v/>
      </c>
      <c r="M1820" s="6">
        <f>HYPERLINK("https://map.naver.com/p/search/한솔동 1059", "지도Link")</f>
        <v/>
      </c>
      <c r="N1820" s="6">
        <f>HYPERLINK("http://www.eum.go.kr/web/ar/lu/luLandDet.jsp?pnu=3611010600110590000&amp;isNoScr=script&amp;mode=search", "토지이음")</f>
        <v/>
      </c>
      <c r="O1820" s="3" t="inlineStr">
        <is>
          <t>현대파라곤</t>
        </is>
      </c>
      <c r="P1820" s="4" t="n">
        <v>2</v>
      </c>
      <c r="Q1820" s="4" t="n">
        <v>312.4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1080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59000</v>
      </c>
      <c r="G1821" s="4" t="n">
        <v>301</v>
      </c>
      <c r="H1821" s="4" t="n">
        <v>91</v>
      </c>
      <c r="I1821" s="5" t="n">
        <v>648.4</v>
      </c>
      <c r="J1821" s="5" t="n">
        <v>369.3</v>
      </c>
      <c r="K1821" s="3" t="inlineStr">
        <is>
          <t>총 91.2p, 근린공원인근, 조율가능</t>
        </is>
      </c>
      <c r="L1821" s="6">
        <f>HYPERLINK("https://fin.land.naver.com/articles/2652839380", "매물Link")</f>
        <v/>
      </c>
      <c r="M1821" s="6">
        <f>HYPERLINK("https://map.naver.com/p/search/한솔동 1080", "지도Link")</f>
        <v/>
      </c>
      <c r="N1821" s="6">
        <f>HYPERLINK("http://www.eum.go.kr/web/ar/lu/luLandDet.jsp?pnu=3611010600110800000&amp;isNoScr=script&amp;mode=search", "토지이음")</f>
        <v/>
      </c>
      <c r="O1821" s="3" t="inlineStr">
        <is>
          <t>세종무지개</t>
        </is>
      </c>
      <c r="P1821" s="4" t="n">
        <v>1</v>
      </c>
      <c r="Q1821" s="4" t="n">
        <v>301.1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사다리형</t>
        </is>
      </c>
      <c r="V1821" s="3" t="inlineStr">
        <is>
          <t>소로한면</t>
        </is>
      </c>
    </row>
    <row r="1822">
      <c r="A1822" s="3" t="inlineStr">
        <is>
          <t>한솔동 1080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59000</v>
      </c>
      <c r="G1822" s="4" t="n">
        <v>301</v>
      </c>
      <c r="H1822" s="4" t="n">
        <v>91</v>
      </c>
      <c r="I1822" s="5" t="n">
        <v>648.4</v>
      </c>
      <c r="J1822" s="5" t="n">
        <v>369.3</v>
      </c>
      <c r="K1822" s="3" t="inlineStr">
        <is>
          <t>총 91.2p, 한솔동 전원주택지, 위치좋은 토지</t>
        </is>
      </c>
      <c r="L1822" s="6">
        <f>HYPERLINK("https://fin.land.naver.com/articles/2654927736", "매물Link")</f>
        <v/>
      </c>
      <c r="M1822" s="6">
        <f>HYPERLINK("https://map.naver.com/p/search/한솔동 1080", "지도Link")</f>
        <v/>
      </c>
      <c r="N1822" s="6">
        <f>HYPERLINK("http://www.eum.go.kr/web/ar/lu/luLandDet.jsp?pnu=3611010600110800000&amp;isNoScr=script&amp;mode=search", "토지이음")</f>
        <v/>
      </c>
      <c r="O1822" s="3" t="inlineStr">
        <is>
          <t>명진</t>
        </is>
      </c>
      <c r="P1822" s="4" t="n">
        <v>1</v>
      </c>
      <c r="Q1822" s="4" t="n">
        <v>301.1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사다리형</t>
        </is>
      </c>
      <c r="V1822" s="3" t="inlineStr">
        <is>
          <t>소로한면</t>
        </is>
      </c>
    </row>
    <row r="1823">
      <c r="A1823" s="3" t="inlineStr">
        <is>
          <t>한솔동 1086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60000</v>
      </c>
      <c r="G1823" s="4" t="n">
        <v>302</v>
      </c>
      <c r="H1823" s="4" t="n">
        <v>91</v>
      </c>
      <c r="I1823" s="5" t="n">
        <v>659.3</v>
      </c>
      <c r="J1823" s="5" t="n">
        <v>377.2</v>
      </c>
      <c r="K1823" s="3" t="inlineStr">
        <is>
          <t>황제급매 즉시신축 핵심시설 어울린 전원주택 먼곳 찾을필요 없을것 같아요</t>
        </is>
      </c>
      <c r="L1823" s="6">
        <f>HYPERLINK("https://fin.land.naver.com/articles/2654861252", "매물Link")</f>
        <v/>
      </c>
      <c r="M1823" s="6">
        <f>HYPERLINK("https://map.naver.com/p/search/한솔동 1086", "지도Link")</f>
        <v/>
      </c>
      <c r="N1823" s="6">
        <f>HYPERLINK("http://www.eum.go.kr/web/ar/lu/luLandDet.jsp?pnu=3611010600110860000&amp;isNoScr=script&amp;mode=search", "토지이음")</f>
        <v/>
      </c>
      <c r="O1823" s="3" t="inlineStr">
        <is>
          <t>삼성래미안</t>
        </is>
      </c>
      <c r="P1823" s="4" t="n">
        <v>3</v>
      </c>
      <c r="Q1823" s="4" t="n">
        <v>302.9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세로장방</t>
        </is>
      </c>
      <c r="V1823" s="3" t="inlineStr">
        <is>
          <t>소로한면</t>
        </is>
      </c>
    </row>
    <row r="1824">
      <c r="A1824" s="3" t="inlineStr">
        <is>
          <t>한솔동 1086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60000</v>
      </c>
      <c r="G1824" s="4" t="n">
        <v>310</v>
      </c>
      <c r="H1824" s="4" t="n">
        <v>94</v>
      </c>
      <c r="I1824" s="5" t="n">
        <v>638.3</v>
      </c>
      <c r="J1824" s="5" t="n">
        <v>377.2</v>
      </c>
      <c r="K1824" s="3" t="inlineStr">
        <is>
          <t>nan</t>
        </is>
      </c>
      <c r="L1824" s="6">
        <f>HYPERLINK("https://fin.land.naver.com/articles/2655011623", "매물Link")</f>
        <v/>
      </c>
      <c r="M1824" s="6">
        <f>HYPERLINK("https://map.naver.com/p/search/한솔동 1086", "지도Link")</f>
        <v/>
      </c>
      <c r="N1824" s="6">
        <f>HYPERLINK("http://www.eum.go.kr/web/ar/lu/luLandDet.jsp?pnu=3611010600110860000&amp;isNoScr=script&amp;mode=search", "토지이음")</f>
        <v/>
      </c>
      <c r="O1824" s="3" t="inlineStr">
        <is>
          <t>디아트성심</t>
        </is>
      </c>
      <c r="P1824" s="4" t="n">
        <v>1</v>
      </c>
      <c r="Q1824" s="4" t="n">
        <v>302.9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세로장방</t>
        </is>
      </c>
      <c r="V1824" s="3" t="inlineStr">
        <is>
          <t>소로한면</t>
        </is>
      </c>
    </row>
    <row r="1825">
      <c r="A1825" s="3" t="inlineStr">
        <is>
          <t>한솔동 1087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85000</v>
      </c>
      <c r="G1825" s="4" t="n">
        <v>305</v>
      </c>
      <c r="H1825" s="4" t="n">
        <v>92</v>
      </c>
      <c r="I1825" s="5" t="n">
        <v>923.9</v>
      </c>
      <c r="J1825" s="5" t="n">
        <v>377.2</v>
      </c>
      <c r="K1825" s="3" t="inlineStr">
        <is>
          <t>nan</t>
        </is>
      </c>
      <c r="L1825" s="6">
        <f>HYPERLINK("https://fin.land.naver.com/articles/2655007481", "매물Link")</f>
        <v/>
      </c>
      <c r="M1825" s="6">
        <f>HYPERLINK("https://map.naver.com/p/search/한솔동 1087", "지도Link")</f>
        <v/>
      </c>
      <c r="N1825" s="6">
        <f>HYPERLINK("http://www.eum.go.kr/web/ar/lu/luLandDet.jsp?pnu=3611010600110870000&amp;isNoScr=script&amp;mode=search", "토지이음")</f>
        <v/>
      </c>
      <c r="O1825" s="3" t="inlineStr">
        <is>
          <t>디아트성심</t>
        </is>
      </c>
      <c r="P1825" s="4" t="n">
        <v>1</v>
      </c>
      <c r="Q1825" s="4" t="n">
        <v>303.9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세로장방</t>
        </is>
      </c>
      <c r="V1825" s="3" t="inlineStr">
        <is>
          <t>소로한면</t>
        </is>
      </c>
    </row>
    <row r="1826">
      <c r="A1826" s="3" t="inlineStr">
        <is>
          <t>한솔동 1087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85000</v>
      </c>
      <c r="G1826" s="4" t="n">
        <v>303</v>
      </c>
      <c r="H1826" s="4" t="n">
        <v>92</v>
      </c>
      <c r="I1826" s="5" t="n">
        <v>923.9</v>
      </c>
      <c r="J1826" s="5" t="n">
        <v>377.2</v>
      </c>
      <c r="K1826" s="3" t="inlineStr">
        <is>
          <t>한솔동, 단독주택지 토지매매</t>
        </is>
      </c>
      <c r="L1826" s="6">
        <f>HYPERLINK("https://fin.land.naver.com/articles/2649875547", "매물Link")</f>
        <v/>
      </c>
      <c r="M1826" s="6">
        <f>HYPERLINK("https://map.naver.com/p/search/한솔동 1087", "지도Link")</f>
        <v/>
      </c>
      <c r="N1826" s="6">
        <f>HYPERLINK("http://www.eum.go.kr/web/ar/lu/luLandDet.jsp?pnu=3611010600110870000&amp;isNoScr=script&amp;mode=search", "토지이음")</f>
        <v/>
      </c>
      <c r="O1826" s="3" t="inlineStr">
        <is>
          <t>명진</t>
        </is>
      </c>
      <c r="P1826" s="4" t="n">
        <v>1</v>
      </c>
      <c r="Q1826" s="4" t="n">
        <v>303.9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세로장방</t>
        </is>
      </c>
      <c r="V1826" s="3" t="inlineStr">
        <is>
          <t>소로한면</t>
        </is>
      </c>
    </row>
    <row r="1827">
      <c r="A1827" s="3" t="inlineStr">
        <is>
          <t>한솔동 1098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80000</v>
      </c>
      <c r="G1827" s="4" t="n">
        <v>314</v>
      </c>
      <c r="H1827" s="4" t="n">
        <v>95</v>
      </c>
      <c r="I1827" s="5" t="n">
        <v>842.1</v>
      </c>
      <c r="J1827" s="5" t="n">
        <v>373.6</v>
      </c>
      <c r="K1827" s="3" t="inlineStr">
        <is>
          <t>삼거리 코너입지, 한솔동 단독주택지</t>
        </is>
      </c>
      <c r="L1827" s="6">
        <f>HYPERLINK("https://fin.land.naver.com/articles/2650427968", "매물Link")</f>
        <v/>
      </c>
      <c r="M1827" s="6">
        <f>HYPERLINK("https://map.naver.com/p/search/한솔동 1098", "지도Link")</f>
        <v/>
      </c>
      <c r="N1827" s="6">
        <f>HYPERLINK("http://www.eum.go.kr/web/ar/lu/luLandDet.jsp?pnu=3611010600110980000&amp;isNoScr=script&amp;mode=search", "토지이음")</f>
        <v/>
      </c>
      <c r="O1827" s="3" t="inlineStr">
        <is>
          <t>세종무지개</t>
        </is>
      </c>
      <c r="P1827" s="4" t="n">
        <v>1</v>
      </c>
      <c r="Q1827" s="4" t="n">
        <v>314.9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세로장방</t>
        </is>
      </c>
      <c r="V1827" s="3" t="inlineStr">
        <is>
          <t>소로한면</t>
        </is>
      </c>
    </row>
    <row r="1828">
      <c r="A1828" s="3" t="inlineStr">
        <is>
          <t>한솔동 1098</t>
        </is>
      </c>
      <c r="B1828" s="3" t="inlineStr">
        <is>
          <t>제1종전용주거지역</t>
        </is>
      </c>
      <c r="C1828" s="3" t="inlineStr">
        <is>
          <t>대</t>
        </is>
      </c>
      <c r="D1828" s="3" t="inlineStr">
        <is>
          <t>대</t>
        </is>
      </c>
      <c r="E1828" s="3" t="inlineStr">
        <is>
          <t>매매</t>
        </is>
      </c>
      <c r="F1828" s="4" t="n">
        <v>80000</v>
      </c>
      <c r="G1828" s="4" t="n">
        <v>314</v>
      </c>
      <c r="H1828" s="4" t="n">
        <v>95</v>
      </c>
      <c r="I1828" s="5" t="n">
        <v>842.1</v>
      </c>
      <c r="J1828" s="5" t="n">
        <v>373.6</v>
      </c>
      <c r="K1828" s="3" t="inlineStr">
        <is>
          <t>조건 파격조율가능 도심속전원 시내 시외 진출입편리 이곳은 엘도라도입니다</t>
        </is>
      </c>
      <c r="L1828" s="6">
        <f>HYPERLINK("https://fin.land.naver.com/articles/2654203210", "매물Link")</f>
        <v/>
      </c>
      <c r="M1828" s="6">
        <f>HYPERLINK("https://map.naver.com/p/search/한솔동 1098", "지도Link")</f>
        <v/>
      </c>
      <c r="N1828" s="6">
        <f>HYPERLINK("http://www.eum.go.kr/web/ar/lu/luLandDet.jsp?pnu=3611010600110980000&amp;isNoScr=script&amp;mode=search", "토지이음")</f>
        <v/>
      </c>
      <c r="O1828" s="3" t="inlineStr">
        <is>
          <t>세종시삼성래미안</t>
        </is>
      </c>
      <c r="P1828" s="4" t="n">
        <v>1</v>
      </c>
      <c r="Q1828" s="4" t="n">
        <v>314.9</v>
      </c>
      <c r="R1828" s="3" t="inlineStr">
        <is>
          <t>지정되지않음</t>
        </is>
      </c>
      <c r="S1828" s="3" t="inlineStr">
        <is>
          <t>주거나지</t>
        </is>
      </c>
      <c r="T1828" s="3" t="inlineStr">
        <is>
          <t>평지</t>
        </is>
      </c>
      <c r="U1828" s="3" t="inlineStr">
        <is>
          <t>세로장방</t>
        </is>
      </c>
      <c r="V1828" s="3" t="inlineStr">
        <is>
          <t>소로한면</t>
        </is>
      </c>
    </row>
    <row r="1829">
      <c r="A1829" s="3" t="inlineStr">
        <is>
          <t>한솔동 1098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80000</v>
      </c>
      <c r="G1829" s="4" t="n">
        <v>314</v>
      </c>
      <c r="H1829" s="4" t="n">
        <v>95</v>
      </c>
      <c r="I1829" s="5" t="n">
        <v>842.1</v>
      </c>
      <c r="J1829" s="5" t="n">
        <v>373.6</v>
      </c>
      <c r="K1829" s="3" t="inlineStr">
        <is>
          <t>95.4p, 삼거리코너 맞은편, 새뜸1단지 앞 단독주택 토지</t>
        </is>
      </c>
      <c r="L1829" s="6">
        <f>HYPERLINK("https://fin.land.naver.com/articles/2654927138", "매물Link")</f>
        <v/>
      </c>
      <c r="M1829" s="6">
        <f>HYPERLINK("https://map.naver.com/p/search/한솔동 1098", "지도Link")</f>
        <v/>
      </c>
      <c r="N1829" s="6">
        <f>HYPERLINK("http://www.eum.go.kr/web/ar/lu/luLandDet.jsp?pnu=3611010600110980000&amp;isNoScr=script&amp;mode=search", "토지이음")</f>
        <v/>
      </c>
      <c r="O1829" s="3" t="inlineStr">
        <is>
          <t>명진</t>
        </is>
      </c>
      <c r="P1829" s="4" t="n">
        <v>1</v>
      </c>
      <c r="Q1829" s="4" t="n">
        <v>314.9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1113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60000</v>
      </c>
      <c r="G1830" s="4" t="n">
        <v>320</v>
      </c>
      <c r="H1830" s="4" t="n">
        <v>97</v>
      </c>
      <c r="I1830" s="5" t="n">
        <v>618.6</v>
      </c>
      <c r="J1830" s="5" t="n">
        <v>373.6</v>
      </c>
      <c r="K1830" s="3" t="inlineStr">
        <is>
          <t>적극협의가능 시유지넓게접함 선호위치</t>
        </is>
      </c>
      <c r="L1830" s="6">
        <f>HYPERLINK("https://fin.land.naver.com/articles/2649812097", "매물Link")</f>
        <v/>
      </c>
      <c r="M1830" s="6">
        <f>HYPERLINK("https://map.naver.com/p/search/한솔동 1113", "지도Link")</f>
        <v/>
      </c>
      <c r="N1830" s="6">
        <f>HYPERLINK("http://www.eum.go.kr/web/ar/lu/luLandDet.jsp?pnu=3611010600111130000&amp;isNoScr=script&amp;mode=search", "토지이음")</f>
        <v/>
      </c>
      <c r="O1830" s="3" t="inlineStr">
        <is>
          <t>세종스타</t>
        </is>
      </c>
      <c r="P1830" s="4" t="n">
        <v>1</v>
      </c>
      <c r="Q1830" s="4" t="n">
        <v>320.1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1122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80000</v>
      </c>
      <c r="G1831" s="4" t="n">
        <v>310</v>
      </c>
      <c r="H1831" s="4" t="n">
        <v>94</v>
      </c>
      <c r="I1831" s="5" t="n">
        <v>851.1</v>
      </c>
      <c r="J1831" s="5" t="n">
        <v>376.9</v>
      </c>
      <c r="K1831" s="3" t="inlineStr">
        <is>
          <t>총 94p, 한솔동 단독주택지 토지</t>
        </is>
      </c>
      <c r="L1831" s="6">
        <f>HYPERLINK("https://fin.land.naver.com/articles/2654920463", "매물Link")</f>
        <v/>
      </c>
      <c r="M1831" s="6">
        <f>HYPERLINK("https://map.naver.com/p/search/한솔동 1122", "지도Link")</f>
        <v/>
      </c>
      <c r="N1831" s="6">
        <f>HYPERLINK("http://www.eum.go.kr/web/ar/lu/luLandDet.jsp?pnu=3611010600111220000&amp;isNoScr=script&amp;mode=search", "토지이음")</f>
        <v/>
      </c>
      <c r="O1831" s="3" t="inlineStr">
        <is>
          <t>명진</t>
        </is>
      </c>
      <c r="P1831" s="4" t="n">
        <v>1</v>
      </c>
      <c r="Q1831" s="4" t="n">
        <v>310.1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세로장방</t>
        </is>
      </c>
      <c r="V1831" s="3" t="inlineStr">
        <is>
          <t>소로한면</t>
        </is>
      </c>
    </row>
    <row r="1832">
      <c r="A1832" s="3" t="inlineStr">
        <is>
          <t>한솔동 1122</t>
        </is>
      </c>
      <c r="B1832" s="3" t="inlineStr">
        <is>
          <t>제1종전용주거지역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80000</v>
      </c>
      <c r="G1832" s="4" t="n">
        <v>310</v>
      </c>
      <c r="H1832" s="4" t="n">
        <v>94</v>
      </c>
      <c r="I1832" s="5" t="n">
        <v>851.1</v>
      </c>
      <c r="J1832" s="5" t="n">
        <v>376.9</v>
      </c>
      <c r="K1832" s="3" t="inlineStr">
        <is>
          <t>한솔동 단독주택 토지매매</t>
        </is>
      </c>
      <c r="L1832" s="6">
        <f>HYPERLINK("https://fin.land.naver.com/articles/2650427036", "매물Link")</f>
        <v/>
      </c>
      <c r="M1832" s="6">
        <f>HYPERLINK("https://map.naver.com/p/search/한솔동 1122", "지도Link")</f>
        <v/>
      </c>
      <c r="N1832" s="6">
        <f>HYPERLINK("http://www.eum.go.kr/web/ar/lu/luLandDet.jsp?pnu=3611010600111220000&amp;isNoScr=script&amp;mode=search", "토지이음")</f>
        <v/>
      </c>
      <c r="O1832" s="3" t="inlineStr">
        <is>
          <t>세종무지개</t>
        </is>
      </c>
      <c r="P1832" s="4" t="n">
        <v>1</v>
      </c>
      <c r="Q1832" s="4" t="n">
        <v>310.1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평지</t>
        </is>
      </c>
      <c r="U1832" s="3" t="inlineStr">
        <is>
          <t>세로장방</t>
        </is>
      </c>
      <c r="V1832" s="3" t="inlineStr">
        <is>
          <t>소로한면</t>
        </is>
      </c>
    </row>
    <row r="1833">
      <c r="A1833" s="3" t="inlineStr">
        <is>
          <t>한솔동 1135</t>
        </is>
      </c>
      <c r="B1833" s="3" t="inlineStr">
        <is>
          <t>제1종전용주거지역</t>
        </is>
      </c>
      <c r="C1833" s="3" t="inlineStr">
        <is>
          <t>대</t>
        </is>
      </c>
      <c r="D1833" s="3" t="inlineStr">
        <is>
          <t>대</t>
        </is>
      </c>
      <c r="E1833" s="3" t="inlineStr">
        <is>
          <t>매매</t>
        </is>
      </c>
      <c r="F1833" s="4" t="n">
        <v>55000</v>
      </c>
      <c r="G1833" s="4" t="n">
        <v>309</v>
      </c>
      <c r="H1833" s="4" t="n">
        <v>93</v>
      </c>
      <c r="I1833" s="5" t="n">
        <v>591.4</v>
      </c>
      <c r="J1833" s="5" t="n">
        <v>376.9</v>
      </c>
      <c r="K1833" s="3" t="inlineStr">
        <is>
          <t>새롬동과 한솔동사이 경사진 단독전용 택지,협의가능</t>
        </is>
      </c>
      <c r="L1833" s="6">
        <f>HYPERLINK("https://fin.land.naver.com/articles/2653031834", "매물Link")</f>
        <v/>
      </c>
      <c r="M1833" s="6">
        <f>HYPERLINK("https://map.naver.com/p/search/한솔동 1135", "지도Link")</f>
        <v/>
      </c>
      <c r="N1833" s="6">
        <f>HYPERLINK("http://www.eum.go.kr/web/ar/lu/luLandDet.jsp?pnu=3611010600111350000&amp;isNoScr=script&amp;mode=search", "토지이음")</f>
        <v/>
      </c>
      <c r="O1833" s="3" t="inlineStr">
        <is>
          <t>세종나라</t>
        </is>
      </c>
      <c r="P1833" s="4" t="n">
        <v>2</v>
      </c>
      <c r="Q1833" s="4" t="n">
        <v>309.9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평지</t>
        </is>
      </c>
      <c r="U1833" s="3" t="inlineStr">
        <is>
          <t>세로장방</t>
        </is>
      </c>
      <c r="V1833" s="3" t="inlineStr">
        <is>
          <t>소로한면</t>
        </is>
      </c>
    </row>
    <row r="1834">
      <c r="A1834" s="3" t="inlineStr">
        <is>
          <t>한솔동 1152</t>
        </is>
      </c>
      <c r="B1834" s="3" t="inlineStr">
        <is>
          <t>제1종전용주거지역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75000</v>
      </c>
      <c r="G1834" s="4" t="n">
        <v>309</v>
      </c>
      <c r="H1834" s="4" t="n">
        <v>93</v>
      </c>
      <c r="I1834" s="5" t="n">
        <v>806.5</v>
      </c>
      <c r="J1834" s="5" t="n">
        <v>376.9</v>
      </c>
      <c r="K1834" s="3" t="inlineStr">
        <is>
          <t>한솔동 인기주택지중 좋은위치의 저렴한 택지로 조율 가능함</t>
        </is>
      </c>
      <c r="L1834" s="6">
        <f>HYPERLINK("https://fin.land.naver.com/articles/2654594075", "매물Link")</f>
        <v/>
      </c>
      <c r="M1834" s="6">
        <f>HYPERLINK("https://map.naver.com/p/search/한솔동 1152", "지도Link")</f>
        <v/>
      </c>
      <c r="N1834" s="6">
        <f>HYPERLINK("http://www.eum.go.kr/web/ar/lu/luLandDet.jsp?pnu=3611010600111520000&amp;isNoScr=script&amp;mode=search", "토지이음")</f>
        <v/>
      </c>
      <c r="O1834" s="3" t="inlineStr">
        <is>
          <t>바로그</t>
        </is>
      </c>
      <c r="P1834" s="4" t="n">
        <v>1</v>
      </c>
      <c r="Q1834" s="4" t="n">
        <v>309.4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평지</t>
        </is>
      </c>
      <c r="U1834" s="3" t="inlineStr">
        <is>
          <t>세로장방</t>
        </is>
      </c>
      <c r="V1834" s="3" t="inlineStr">
        <is>
          <t>소로한면</t>
        </is>
      </c>
    </row>
    <row r="1835">
      <c r="A1835" s="3" t="inlineStr">
        <is>
          <t>한솔동 1175</t>
        </is>
      </c>
      <c r="B1835" s="3" t="inlineStr">
        <is>
          <t>제1종전용주거지역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90000</v>
      </c>
      <c r="G1835" s="4" t="n">
        <v>407</v>
      </c>
      <c r="H1835" s="4" t="n">
        <v>123</v>
      </c>
      <c r="I1835" s="5" t="n">
        <v>731.7</v>
      </c>
      <c r="J1835" s="5" t="n">
        <v>389.8</v>
      </c>
      <c r="K1835" s="3" t="inlineStr">
        <is>
          <t>총 123.4p, 새뜸1단지 맞은편</t>
        </is>
      </c>
      <c r="L1835" s="6">
        <f>HYPERLINK("https://fin.land.naver.com/articles/2654232425", "매물Link")</f>
        <v/>
      </c>
      <c r="M1835" s="6">
        <f>HYPERLINK("https://map.naver.com/p/search/한솔동 1175", "지도Link")</f>
        <v/>
      </c>
      <c r="N1835" s="6">
        <f>HYPERLINK("http://www.eum.go.kr/web/ar/lu/luLandDet.jsp?pnu=3611010600111750000&amp;isNoScr=script&amp;mode=search", "토지이음")</f>
        <v/>
      </c>
      <c r="O1835" s="3" t="inlineStr">
        <is>
          <t>명진</t>
        </is>
      </c>
      <c r="P1835" s="4" t="n">
        <v>1</v>
      </c>
      <c r="Q1835" s="4" t="n">
        <v>407.1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평지</t>
        </is>
      </c>
      <c r="U1835" s="3" t="inlineStr">
        <is>
          <t>정방형</t>
        </is>
      </c>
      <c r="V1835" s="3" t="inlineStr">
        <is>
          <t>소로한면</t>
        </is>
      </c>
    </row>
    <row r="1836">
      <c r="A1836" s="3" t="inlineStr">
        <is>
          <t>한솔동 1175</t>
        </is>
      </c>
      <c r="B1836" s="3" t="inlineStr">
        <is>
          <t>제1종전용주거지역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90000</v>
      </c>
      <c r="G1836" s="4" t="n">
        <v>407</v>
      </c>
      <c r="H1836" s="4" t="n">
        <v>123</v>
      </c>
      <c r="I1836" s="5" t="n">
        <v>731.7</v>
      </c>
      <c r="J1836" s="5" t="n">
        <v>389.8</v>
      </c>
      <c r="K1836" s="3" t="inlineStr">
        <is>
          <t>넓은 평형 토지매매, 한솔동</t>
        </is>
      </c>
      <c r="L1836" s="6">
        <f>HYPERLINK("https://fin.land.naver.com/articles/2650427381", "매물Link")</f>
        <v/>
      </c>
      <c r="M1836" s="6">
        <f>HYPERLINK("https://map.naver.com/p/search/한솔동 1175", "지도Link")</f>
        <v/>
      </c>
      <c r="N1836" s="6">
        <f>HYPERLINK("http://www.eum.go.kr/web/ar/lu/luLandDet.jsp?pnu=3611010600111750000&amp;isNoScr=script&amp;mode=search", "토지이음")</f>
        <v/>
      </c>
      <c r="O1836" s="3" t="inlineStr">
        <is>
          <t>세종무지개</t>
        </is>
      </c>
      <c r="P1836" s="4" t="n">
        <v>1</v>
      </c>
      <c r="Q1836" s="4" t="n">
        <v>407.1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평지</t>
        </is>
      </c>
      <c r="U1836" s="3" t="inlineStr">
        <is>
          <t>정방형</t>
        </is>
      </c>
      <c r="V1836" s="3" t="inlineStr">
        <is>
          <t>소로한면</t>
        </is>
      </c>
    </row>
    <row r="1837">
      <c r="A1837" s="3" t="inlineStr">
        <is>
          <t>한솔동 1175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90000</v>
      </c>
      <c r="G1837" s="4" t="n">
        <v>407</v>
      </c>
      <c r="H1837" s="4" t="n">
        <v>123</v>
      </c>
      <c r="I1837" s="5" t="n">
        <v>731.7</v>
      </c>
      <c r="J1837" s="5" t="n">
        <v>389.8</v>
      </c>
      <c r="K1837" s="3" t="inlineStr">
        <is>
          <t>nan</t>
        </is>
      </c>
      <c r="L1837" s="6">
        <f>HYPERLINK("https://fin.land.naver.com/articles/2655008691", "매물Link")</f>
        <v/>
      </c>
      <c r="M1837" s="6">
        <f>HYPERLINK("https://map.naver.com/p/search/한솔동 1175", "지도Link")</f>
        <v/>
      </c>
      <c r="N1837" s="6">
        <f>HYPERLINK("http://www.eum.go.kr/web/ar/lu/luLandDet.jsp?pnu=3611010600111750000&amp;isNoScr=script&amp;mode=search", "토지이음")</f>
        <v/>
      </c>
      <c r="O1837" s="3" t="inlineStr">
        <is>
          <t>디아트성심</t>
        </is>
      </c>
      <c r="P1837" s="4" t="n">
        <v>1</v>
      </c>
      <c r="Q1837" s="4" t="n">
        <v>407.1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정방형</t>
        </is>
      </c>
      <c r="V1837" s="3" t="inlineStr">
        <is>
          <t>소로한면</t>
        </is>
      </c>
    </row>
    <row r="1838">
      <c r="A1838" s="3" t="inlineStr">
        <is>
          <t>한솔동 1187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60000</v>
      </c>
      <c r="G1838" s="4" t="n">
        <v>420</v>
      </c>
      <c r="H1838" s="4" t="n">
        <v>127</v>
      </c>
      <c r="I1838" s="5" t="n">
        <v>472.4</v>
      </c>
      <c r="J1838" s="5" t="n">
        <v>391.7</v>
      </c>
      <c r="K1838" s="3" t="inlineStr">
        <is>
          <t>대형평수 코너각지 위치최상 조율협의</t>
        </is>
      </c>
      <c r="L1838" s="6">
        <f>HYPERLINK("https://fin.land.naver.com/articles/2655186672", "매물Link")</f>
        <v/>
      </c>
      <c r="M1838" s="6">
        <f>HYPERLINK("https://map.naver.com/p/search/한솔동 1187", "지도Link")</f>
        <v/>
      </c>
      <c r="N1838" s="6">
        <f>HYPERLINK("http://www.eum.go.kr/web/ar/lu/luLandDet.jsp?pnu=3611010600111870000&amp;isNoScr=script&amp;mode=search", "토지이음")</f>
        <v/>
      </c>
      <c r="O1838" s="3" t="inlineStr">
        <is>
          <t>세종스타</t>
        </is>
      </c>
      <c r="P1838" s="4" t="n">
        <v>2</v>
      </c>
      <c r="Q1838" s="4" t="n">
        <v>420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정방형</t>
        </is>
      </c>
      <c r="V1838" s="3" t="inlineStr">
        <is>
          <t>소로각지</t>
        </is>
      </c>
    </row>
    <row r="1839">
      <c r="A1839" s="3" t="inlineStr">
        <is>
          <t>한솔동 1193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65000</v>
      </c>
      <c r="G1839" s="4" t="n">
        <v>320</v>
      </c>
      <c r="H1839" s="4" t="n">
        <v>97</v>
      </c>
      <c r="I1839" s="5" t="n">
        <v>670.1</v>
      </c>
      <c r="J1839" s="5" t="n">
        <v>391.7</v>
      </c>
      <c r="K1839" s="3" t="inlineStr">
        <is>
          <t>코너위치좋은한솔동단독택지매매 가격조정가능</t>
        </is>
      </c>
      <c r="L1839" s="6">
        <f>HYPERLINK("https://fin.land.naver.com/articles/2651789377", "매물Link")</f>
        <v/>
      </c>
      <c r="M1839" s="6">
        <f>HYPERLINK("https://map.naver.com/p/search/한솔동 1193", "지도Link")</f>
        <v/>
      </c>
      <c r="N1839" s="6">
        <f>HYPERLINK("http://www.eum.go.kr/web/ar/lu/luLandDet.jsp?pnu=3611010600111930000&amp;isNoScr=script&amp;mode=search", "토지이음")</f>
        <v/>
      </c>
      <c r="O1839" s="3" t="inlineStr">
        <is>
          <t>고운동리치세종</t>
        </is>
      </c>
      <c r="P1839" s="4" t="n">
        <v>2</v>
      </c>
      <c r="Q1839" s="4" t="n">
        <v>320.1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소로각지</t>
        </is>
      </c>
    </row>
    <row r="1840">
      <c r="A1840" s="3" t="inlineStr">
        <is>
          <t>한솔동 1194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49000</v>
      </c>
      <c r="G1840" s="4" t="n">
        <v>335</v>
      </c>
      <c r="H1840" s="4" t="n">
        <v>101</v>
      </c>
      <c r="I1840" s="5" t="n">
        <v>485.1</v>
      </c>
      <c r="J1840" s="5" t="n">
        <v>376.9</v>
      </c>
      <c r="K1840" s="3" t="inlineStr">
        <is>
          <t>급매 추가조율가능 한솔D2 최저가 초중고도보 상권인접</t>
        </is>
      </c>
      <c r="L1840" s="6">
        <f>HYPERLINK("https://fin.land.naver.com/articles/2655177545", "매물Link")</f>
        <v/>
      </c>
      <c r="M1840" s="6">
        <f>HYPERLINK("https://map.naver.com/p/search/한솔동 1194", "지도Link")</f>
        <v/>
      </c>
      <c r="N1840" s="6">
        <f>HYPERLINK("http://www.eum.go.kr/web/ar/lu/luLandDet.jsp?pnu=3611010600111940000&amp;isNoScr=script&amp;mode=search", "토지이음")</f>
        <v/>
      </c>
      <c r="O1840" s="3" t="inlineStr">
        <is>
          <t>세종스타</t>
        </is>
      </c>
      <c r="P1840" s="4" t="n">
        <v>2</v>
      </c>
      <c r="Q1840" s="4" t="n">
        <v>335.4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세로장방</t>
        </is>
      </c>
      <c r="V1840" s="3" t="inlineStr">
        <is>
          <t>소로한면</t>
        </is>
      </c>
    </row>
    <row r="1841">
      <c r="A1841" s="3" t="inlineStr">
        <is>
          <t>한솔동 1194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49000</v>
      </c>
      <c r="G1841" s="4" t="n">
        <v>335</v>
      </c>
      <c r="H1841" s="4" t="n">
        <v>101</v>
      </c>
      <c r="I1841" s="5" t="n">
        <v>485.1</v>
      </c>
      <c r="J1841" s="5" t="n">
        <v>376.9</v>
      </c>
      <c r="K1841" s="3" t="inlineStr">
        <is>
          <t>101p.단독택지.1분거리.학원.마트.초중고.5분.단독주택.전원주택.추천</t>
        </is>
      </c>
      <c r="L1841" s="6">
        <f>HYPERLINK("https://fin.land.naver.com/articles/2654690294", "매물Link")</f>
        <v/>
      </c>
      <c r="M1841" s="6">
        <f>HYPERLINK("https://map.naver.com/p/search/한솔동 1194", "지도Link")</f>
        <v/>
      </c>
      <c r="N1841" s="6">
        <f>HYPERLINK("http://www.eum.go.kr/web/ar/lu/luLandDet.jsp?pnu=3611010600111940000&amp;isNoScr=script&amp;mode=search", "토지이음")</f>
        <v/>
      </c>
      <c r="O1841" s="3" t="inlineStr">
        <is>
          <t>원</t>
        </is>
      </c>
      <c r="P1841" s="4" t="n">
        <v>1</v>
      </c>
      <c r="Q1841" s="4" t="n">
        <v>335.4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세로장방</t>
        </is>
      </c>
      <c r="V1841" s="3" t="inlineStr">
        <is>
          <t>소로한면</t>
        </is>
      </c>
    </row>
    <row r="1842">
      <c r="A1842" s="3" t="inlineStr">
        <is>
          <t>한솔동 1197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75000</v>
      </c>
      <c r="G1842" s="4" t="n">
        <v>320</v>
      </c>
      <c r="H1842" s="4" t="n">
        <v>97</v>
      </c>
      <c r="I1842" s="5" t="n">
        <v>773.2</v>
      </c>
      <c r="J1842" s="5" t="n">
        <v>391.7</v>
      </c>
      <c r="K1842" s="3" t="inlineStr">
        <is>
          <t>공원앞 코너각지토지 97p 답답하지않은 위치</t>
        </is>
      </c>
      <c r="L1842" s="6">
        <f>HYPERLINK("https://fin.land.naver.com/articles/2653171975", "매물Link")</f>
        <v/>
      </c>
      <c r="M1842" s="6">
        <f>HYPERLINK("https://map.naver.com/p/search/한솔동 1197", "지도Link")</f>
        <v/>
      </c>
      <c r="N1842" s="6">
        <f>HYPERLINK("http://www.eum.go.kr/web/ar/lu/luLandDet.jsp?pnu=3611010600111970000&amp;isNoScr=script&amp;mode=search", "토지이음")</f>
        <v/>
      </c>
      <c r="O1842" s="3" t="inlineStr">
        <is>
          <t>세종365</t>
        </is>
      </c>
      <c r="P1842" s="4" t="n">
        <v>1</v>
      </c>
      <c r="Q1842" s="4" t="n">
        <v>320.4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세로장방</t>
        </is>
      </c>
      <c r="V1842" s="3" t="inlineStr">
        <is>
          <t>소로각지</t>
        </is>
      </c>
    </row>
    <row r="1843">
      <c r="A1843" s="3" t="inlineStr">
        <is>
          <t>한솔동 1201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60000</v>
      </c>
      <c r="G1843" s="4" t="n">
        <v>294</v>
      </c>
      <c r="H1843" s="4" t="n">
        <v>89</v>
      </c>
      <c r="I1843" s="5" t="n">
        <v>674.2</v>
      </c>
      <c r="J1843" s="5" t="n">
        <v>376.9</v>
      </c>
      <c r="K1843" s="3" t="inlineStr">
        <is>
          <t>위치좋은 단독주택지, 직접보시면 더 좋아요</t>
        </is>
      </c>
      <c r="L1843" s="6">
        <f>HYPERLINK("https://fin.land.naver.com/articles/2654798480", "매물Link")</f>
        <v/>
      </c>
      <c r="M1843" s="6">
        <f>HYPERLINK("https://map.naver.com/p/search/한솔동 1201", "지도Link")</f>
        <v/>
      </c>
      <c r="N1843" s="6">
        <f>HYPERLINK("http://www.eum.go.kr/web/ar/lu/luLandDet.jsp?pnu=3611010600112010000&amp;isNoScr=script&amp;mode=search", "토지이음")</f>
        <v/>
      </c>
      <c r="O1843" s="3" t="inlineStr">
        <is>
          <t>리브</t>
        </is>
      </c>
      <c r="P1843" s="4" t="n">
        <v>1</v>
      </c>
      <c r="Q1843" s="4" t="n">
        <v>294.6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한솔동 1207</t>
        </is>
      </c>
      <c r="B1844" s="3" t="inlineStr">
        <is>
          <t>제1종전용주거지역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50000</v>
      </c>
      <c r="G1844" s="4" t="n">
        <v>329</v>
      </c>
      <c r="H1844" s="4" t="n">
        <v>100</v>
      </c>
      <c r="I1844" s="5" t="n">
        <v>500</v>
      </c>
      <c r="J1844" s="5" t="n">
        <v>376.9</v>
      </c>
      <c r="K1844" s="3" t="inlineStr">
        <is>
          <t>총 99.8p, 조율가능, 네모반듯한 남향 예쁜 토지</t>
        </is>
      </c>
      <c r="L1844" s="6">
        <f>HYPERLINK("https://fin.land.naver.com/articles/2651947606", "매물Link")</f>
        <v/>
      </c>
      <c r="M1844" s="6">
        <f>HYPERLINK("https://map.naver.com/p/search/한솔동 1207", "지도Link")</f>
        <v/>
      </c>
      <c r="N1844" s="6">
        <f>HYPERLINK("http://www.eum.go.kr/web/ar/lu/luLandDet.jsp?pnu=3611010600112070000&amp;isNoScr=script&amp;mode=search", "토지이음")</f>
        <v/>
      </c>
      <c r="O1844" s="3" t="inlineStr">
        <is>
          <t>명진</t>
        </is>
      </c>
      <c r="P1844" s="4" t="n">
        <v>1</v>
      </c>
      <c r="Q1844" s="4" t="n">
        <v>329.5</v>
      </c>
      <c r="R1844" s="3" t="inlineStr">
        <is>
          <t>지정되지않음</t>
        </is>
      </c>
      <c r="S1844" s="3" t="inlineStr">
        <is>
          <t>주거나지</t>
        </is>
      </c>
      <c r="T1844" s="3" t="inlineStr">
        <is>
          <t>평지</t>
        </is>
      </c>
      <c r="U1844" s="3" t="inlineStr">
        <is>
          <t>세로장방</t>
        </is>
      </c>
      <c r="V1844" s="3" t="inlineStr">
        <is>
          <t>소로한면</t>
        </is>
      </c>
    </row>
    <row r="1845">
      <c r="A1845" s="3" t="inlineStr">
        <is>
          <t>한솔동 1207</t>
        </is>
      </c>
      <c r="B1845" s="3" t="inlineStr">
        <is>
          <t>제1종전용주거지역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50000</v>
      </c>
      <c r="G1845" s="4" t="n">
        <v>329</v>
      </c>
      <c r="H1845" s="4" t="n">
        <v>100</v>
      </c>
      <c r="I1845" s="5" t="n">
        <v>500</v>
      </c>
      <c r="J1845" s="5" t="n">
        <v>376.9</v>
      </c>
      <c r="K1845" s="3" t="inlineStr">
        <is>
          <t>네모 반듯한 예쁜 토지 매매, 입지 굿</t>
        </is>
      </c>
      <c r="L1845" s="6">
        <f>HYPERLINK("https://fin.land.naver.com/articles/2650893847", "매물Link")</f>
        <v/>
      </c>
      <c r="M1845" s="6">
        <f>HYPERLINK("https://map.naver.com/p/search/한솔동 1207", "지도Link")</f>
        <v/>
      </c>
      <c r="N1845" s="6">
        <f>HYPERLINK("http://www.eum.go.kr/web/ar/lu/luLandDet.jsp?pnu=3611010600112070000&amp;isNoScr=script&amp;mode=search", "토지이음")</f>
        <v/>
      </c>
      <c r="O1845" s="3" t="inlineStr">
        <is>
          <t>세종무지개</t>
        </is>
      </c>
      <c r="P1845" s="4" t="n">
        <v>1</v>
      </c>
      <c r="Q1845" s="4" t="n">
        <v>329.5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평지</t>
        </is>
      </c>
      <c r="U1845" s="3" t="inlineStr">
        <is>
          <t>세로장방</t>
        </is>
      </c>
      <c r="V1845" s="3" t="inlineStr">
        <is>
          <t>소로한면</t>
        </is>
      </c>
    </row>
    <row r="1846">
      <c r="A1846" s="3" t="inlineStr">
        <is>
          <t>한솔동 1207</t>
        </is>
      </c>
      <c r="B1846" s="3" t="inlineStr">
        <is>
          <t>제1종전용주거지역</t>
        </is>
      </c>
      <c r="C1846" s="3" t="inlineStr">
        <is>
          <t>대</t>
        </is>
      </c>
      <c r="D1846" s="3" t="inlineStr">
        <is>
          <t>대</t>
        </is>
      </c>
      <c r="E1846" s="3" t="inlineStr">
        <is>
          <t>매매</t>
        </is>
      </c>
      <c r="F1846" s="4" t="n">
        <v>50000</v>
      </c>
      <c r="G1846" s="4" t="n">
        <v>329</v>
      </c>
      <c r="H1846" s="4" t="n">
        <v>100</v>
      </c>
      <c r="I1846" s="5" t="n">
        <v>500</v>
      </c>
      <c r="J1846" s="5" t="n">
        <v>376.9</v>
      </c>
      <c r="K1846" s="3" t="inlineStr">
        <is>
          <t>인기지역 D2 땅모양좋음 조율가능</t>
        </is>
      </c>
      <c r="L1846" s="6">
        <f>HYPERLINK("https://fin.land.naver.com/articles/2650653609", "매물Link")</f>
        <v/>
      </c>
      <c r="M1846" s="6">
        <f>HYPERLINK("https://map.naver.com/p/search/한솔동 1207", "지도Link")</f>
        <v/>
      </c>
      <c r="N1846" s="6">
        <f>HYPERLINK("http://www.eum.go.kr/web/ar/lu/luLandDet.jsp?pnu=3611010600112070000&amp;isNoScr=script&amp;mode=search", "토지이음")</f>
        <v/>
      </c>
      <c r="O1846" s="3" t="inlineStr">
        <is>
          <t>세종스타</t>
        </is>
      </c>
      <c r="P1846" s="4" t="n">
        <v>1</v>
      </c>
      <c r="Q1846" s="4" t="n">
        <v>329.5</v>
      </c>
      <c r="R1846" s="3" t="inlineStr">
        <is>
          <t>지정되지않음</t>
        </is>
      </c>
      <c r="S1846" s="3" t="inlineStr">
        <is>
          <t>주거나지</t>
        </is>
      </c>
      <c r="T1846" s="3" t="inlineStr">
        <is>
          <t>평지</t>
        </is>
      </c>
      <c r="U1846" s="3" t="inlineStr">
        <is>
          <t>세로장방</t>
        </is>
      </c>
      <c r="V1846" s="3" t="inlineStr">
        <is>
          <t>소로한면</t>
        </is>
      </c>
    </row>
    <row r="1847">
      <c r="A1847" s="3" t="inlineStr">
        <is>
          <t>한솔동 1208</t>
        </is>
      </c>
      <c r="B1847" s="3" t="inlineStr">
        <is>
          <t>제1종전용주거지역</t>
        </is>
      </c>
      <c r="C1847" s="3" t="inlineStr">
        <is>
          <t>대</t>
        </is>
      </c>
      <c r="D1847" s="3" t="inlineStr">
        <is>
          <t>대</t>
        </is>
      </c>
      <c r="E1847" s="3" t="inlineStr">
        <is>
          <t>매매</t>
        </is>
      </c>
      <c r="F1847" s="4" t="n">
        <v>45000</v>
      </c>
      <c r="G1847" s="4" t="n">
        <v>299</v>
      </c>
      <c r="H1847" s="4" t="n">
        <v>90</v>
      </c>
      <c r="I1847" s="5" t="n">
        <v>500</v>
      </c>
      <c r="J1847" s="5" t="n">
        <v>376.9</v>
      </c>
      <c r="K1847" s="3" t="inlineStr">
        <is>
          <t>nan</t>
        </is>
      </c>
      <c r="L1847" s="6">
        <f>HYPERLINK("https://fin.land.naver.com/articles/2654337391", "매물Link")</f>
        <v/>
      </c>
      <c r="M1847" s="6">
        <f>HYPERLINK("https://map.naver.com/p/search/한솔동 1208", "지도Link")</f>
        <v/>
      </c>
      <c r="N1847" s="6">
        <f>HYPERLINK("http://www.eum.go.kr/web/ar/lu/luLandDet.jsp?pnu=3611010600112080000&amp;isNoScr=script&amp;mode=search", "토지이음")</f>
        <v/>
      </c>
      <c r="O1847" s="3" t="inlineStr">
        <is>
          <t>봄마중</t>
        </is>
      </c>
      <c r="P1847" s="4" t="n">
        <v>1</v>
      </c>
      <c r="Q1847" s="4" t="n">
        <v>299.8</v>
      </c>
      <c r="R1847" s="3" t="inlineStr">
        <is>
          <t>지정되지않음</t>
        </is>
      </c>
      <c r="S1847" s="3" t="inlineStr">
        <is>
          <t>주거나지</t>
        </is>
      </c>
      <c r="T1847" s="3" t="inlineStr">
        <is>
          <t>평지</t>
        </is>
      </c>
      <c r="U1847" s="3" t="inlineStr">
        <is>
          <t>세로장방</t>
        </is>
      </c>
      <c r="V1847" s="3" t="inlineStr">
        <is>
          <t>소로한면</t>
        </is>
      </c>
    </row>
    <row r="1848">
      <c r="A1848" s="3" t="inlineStr">
        <is>
          <t>한솔동 1211</t>
        </is>
      </c>
      <c r="B1848" s="3" t="inlineStr">
        <is>
          <t>제1종전용주거지역</t>
        </is>
      </c>
      <c r="C1848" s="3" t="inlineStr">
        <is>
          <t>대</t>
        </is>
      </c>
      <c r="D1848" s="3" t="inlineStr">
        <is>
          <t>대</t>
        </is>
      </c>
      <c r="E1848" s="3" t="inlineStr">
        <is>
          <t>매매</t>
        </is>
      </c>
      <c r="F1848" s="4" t="n">
        <v>39000</v>
      </c>
      <c r="G1848" s="4" t="n">
        <v>323</v>
      </c>
      <c r="H1848" s="4" t="n">
        <v>98</v>
      </c>
      <c r="I1848" s="5" t="n">
        <v>398</v>
      </c>
      <c r="J1848" s="5" t="n">
        <v>373.6</v>
      </c>
      <c r="K1848" s="3" t="inlineStr">
        <is>
          <t>급매 조율가능 한솔동d2 최저가 택지</t>
        </is>
      </c>
      <c r="L1848" s="6">
        <f>HYPERLINK("https://fin.land.naver.com/articles/2655235506", "매물Link")</f>
        <v/>
      </c>
      <c r="M1848" s="6">
        <f>HYPERLINK("https://map.naver.com/p/search/한솔동 1211", "지도Link")</f>
        <v/>
      </c>
      <c r="N1848" s="6">
        <f>HYPERLINK("http://www.eum.go.kr/web/ar/lu/luLandDet.jsp?pnu=3611010600112110000&amp;isNoScr=script&amp;mode=search", "토지이음")</f>
        <v/>
      </c>
      <c r="O1848" s="3" t="inlineStr">
        <is>
          <t>세종스타</t>
        </is>
      </c>
      <c r="P1848" s="4" t="n">
        <v>3</v>
      </c>
      <c r="Q1848" s="4" t="n">
        <v>323</v>
      </c>
      <c r="R1848" s="3" t="inlineStr">
        <is>
          <t>지정되지않음</t>
        </is>
      </c>
      <c r="S1848" s="3" t="inlineStr">
        <is>
          <t>주거나지</t>
        </is>
      </c>
      <c r="T1848" s="3" t="inlineStr">
        <is>
          <t>평지</t>
        </is>
      </c>
      <c r="U1848" s="3" t="inlineStr">
        <is>
          <t>정방형</t>
        </is>
      </c>
      <c r="V1848" s="3" t="inlineStr">
        <is>
          <t>소로한면</t>
        </is>
      </c>
    </row>
    <row r="1849">
      <c r="A1849" s="3" t="inlineStr">
        <is>
          <t>한솔동 1211</t>
        </is>
      </c>
      <c r="B1849" s="3" t="inlineStr">
        <is>
          <t>제1종전용주거지역</t>
        </is>
      </c>
      <c r="C1849" s="3" t="inlineStr">
        <is>
          <t>대</t>
        </is>
      </c>
      <c r="D1849" s="3" t="inlineStr">
        <is>
          <t>대</t>
        </is>
      </c>
      <c r="E1849" s="3" t="inlineStr">
        <is>
          <t>매매</t>
        </is>
      </c>
      <c r="F1849" s="4" t="n">
        <v>39000</v>
      </c>
      <c r="G1849" s="4" t="n">
        <v>323</v>
      </c>
      <c r="H1849" s="4" t="n">
        <v>98</v>
      </c>
      <c r="I1849" s="5" t="n">
        <v>398</v>
      </c>
      <c r="J1849" s="5" t="n">
        <v>373.6</v>
      </c>
      <c r="K1849" s="3" t="inlineStr">
        <is>
          <t>생활편리한 한솔동 단독주택지입니다.</t>
        </is>
      </c>
      <c r="L1849" s="6">
        <f>HYPERLINK("https://fin.land.naver.com/articles/2655008964", "매물Link")</f>
        <v/>
      </c>
      <c r="M1849" s="6">
        <f>HYPERLINK("https://map.naver.com/p/search/한솔동 1211", "지도Link")</f>
        <v/>
      </c>
      <c r="N1849" s="6">
        <f>HYPERLINK("http://www.eum.go.kr/web/ar/lu/luLandDet.jsp?pnu=3611010600112110000&amp;isNoScr=script&amp;mode=search", "토지이음")</f>
        <v/>
      </c>
      <c r="O1849" s="3" t="inlineStr">
        <is>
          <t>디아트성심</t>
        </is>
      </c>
      <c r="P1849" s="4" t="n">
        <v>1</v>
      </c>
      <c r="Q1849" s="4" t="n">
        <v>323</v>
      </c>
      <c r="R1849" s="3" t="inlineStr">
        <is>
          <t>지정되지않음</t>
        </is>
      </c>
      <c r="S1849" s="3" t="inlineStr">
        <is>
          <t>주거나지</t>
        </is>
      </c>
      <c r="T1849" s="3" t="inlineStr">
        <is>
          <t>평지</t>
        </is>
      </c>
      <c r="U1849" s="3" t="inlineStr">
        <is>
          <t>정방형</t>
        </is>
      </c>
      <c r="V1849" s="3" t="inlineStr">
        <is>
          <t>소로한면</t>
        </is>
      </c>
    </row>
    <row r="1850">
      <c r="A1850" s="3" t="inlineStr">
        <is>
          <t>한솔동 1211</t>
        </is>
      </c>
      <c r="B1850" s="3" t="inlineStr">
        <is>
          <t>제1종전용주거지역</t>
        </is>
      </c>
      <c r="C1850" s="3" t="inlineStr">
        <is>
          <t>대</t>
        </is>
      </c>
      <c r="D1850" s="3" t="inlineStr">
        <is>
          <t>대</t>
        </is>
      </c>
      <c r="E1850" s="3" t="inlineStr">
        <is>
          <t>매매</t>
        </is>
      </c>
      <c r="F1850" s="4" t="n">
        <v>38000</v>
      </c>
      <c r="G1850" s="4" t="n">
        <v>323</v>
      </c>
      <c r="H1850" s="4" t="n">
        <v>98</v>
      </c>
      <c r="I1850" s="5" t="n">
        <v>387.8</v>
      </c>
      <c r="J1850" s="5" t="n">
        <v>373.6</v>
      </c>
      <c r="K1850" s="3" t="inlineStr">
        <is>
          <t>급매, 한솔동 단독주택지 가격 좋은 토지</t>
        </is>
      </c>
      <c r="L1850" s="6">
        <f>HYPERLINK("https://fin.land.naver.com/articles/2651773518", "매물Link")</f>
        <v/>
      </c>
      <c r="M1850" s="6">
        <f>HYPERLINK("https://map.naver.com/p/search/한솔동 1211", "지도Link")</f>
        <v/>
      </c>
      <c r="N1850" s="6">
        <f>HYPERLINK("http://www.eum.go.kr/web/ar/lu/luLandDet.jsp?pnu=3611010600112110000&amp;isNoScr=script&amp;mode=search", "토지이음")</f>
        <v/>
      </c>
      <c r="O1850" s="3" t="inlineStr">
        <is>
          <t>세종무지개</t>
        </is>
      </c>
      <c r="P1850" s="4" t="n">
        <v>1</v>
      </c>
      <c r="Q1850" s="4" t="n">
        <v>323</v>
      </c>
      <c r="R1850" s="3" t="inlineStr">
        <is>
          <t>지정되지않음</t>
        </is>
      </c>
      <c r="S1850" s="3" t="inlineStr">
        <is>
          <t>주거나지</t>
        </is>
      </c>
      <c r="T1850" s="3" t="inlineStr">
        <is>
          <t>평지</t>
        </is>
      </c>
      <c r="U1850" s="3" t="inlineStr">
        <is>
          <t>정방형</t>
        </is>
      </c>
      <c r="V1850" s="3" t="inlineStr">
        <is>
          <t>소로한면</t>
        </is>
      </c>
    </row>
    <row r="1851">
      <c r="A1851" s="3" t="inlineStr">
        <is>
          <t>한솔동 865</t>
        </is>
      </c>
      <c r="B1851" s="3" t="inlineStr">
        <is>
          <t>제1종전용주거지역</t>
        </is>
      </c>
      <c r="C1851" s="3" t="inlineStr">
        <is>
          <t>대</t>
        </is>
      </c>
      <c r="D1851" s="3" t="inlineStr">
        <is>
          <t>대</t>
        </is>
      </c>
      <c r="E1851" s="3" t="inlineStr">
        <is>
          <t>매매</t>
        </is>
      </c>
      <c r="F1851" s="4" t="n">
        <v>80000</v>
      </c>
      <c r="G1851" s="4" t="n">
        <v>353</v>
      </c>
      <c r="H1851" s="4" t="n">
        <v>107</v>
      </c>
      <c r="I1851" s="5" t="n">
        <v>747.7</v>
      </c>
      <c r="J1851" s="5" t="n">
        <v>403</v>
      </c>
      <c r="K1851" s="3" t="inlineStr">
        <is>
          <t>세종시 한솔동 도심속 전원주택부지 매매</t>
        </is>
      </c>
      <c r="L1851" s="6">
        <f>HYPERLINK("https://fin.land.naver.com/articles/2651763249", "매물Link")</f>
        <v/>
      </c>
      <c r="M1851" s="6">
        <f>HYPERLINK("https://map.naver.com/p/search/한솔동 865", "지도Link")</f>
        <v/>
      </c>
      <c r="N1851" s="6">
        <f>HYPERLINK("http://www.eum.go.kr/web/ar/lu/luLandDet.jsp?pnu=3611010600108650000&amp;isNoScr=script&amp;mode=search", "토지이음")</f>
        <v/>
      </c>
      <c r="O1851" s="3" t="inlineStr">
        <is>
          <t>전원</t>
        </is>
      </c>
      <c r="P1851" s="4" t="n">
        <v>2</v>
      </c>
      <c r="Q1851" s="4" t="n">
        <v>353.4</v>
      </c>
      <c r="R1851" s="3" t="inlineStr">
        <is>
          <t>지정되지않음</t>
        </is>
      </c>
      <c r="S1851" s="3" t="inlineStr">
        <is>
          <t>주거나지</t>
        </is>
      </c>
      <c r="T1851" s="3" t="inlineStr">
        <is>
          <t>평지</t>
        </is>
      </c>
      <c r="U1851" s="3" t="inlineStr">
        <is>
          <t>사다리형</t>
        </is>
      </c>
      <c r="V1851" s="3" t="inlineStr">
        <is>
          <t>소로한면</t>
        </is>
      </c>
    </row>
    <row r="1852">
      <c r="A1852" s="3" t="inlineStr">
        <is>
          <t>한솔동 865</t>
        </is>
      </c>
      <c r="B1852" s="3" t="inlineStr">
        <is>
          <t>제1종전용주거지역</t>
        </is>
      </c>
      <c r="C1852" s="3" t="inlineStr">
        <is>
          <t>대</t>
        </is>
      </c>
      <c r="D1852" s="3" t="inlineStr">
        <is>
          <t>대</t>
        </is>
      </c>
      <c r="E1852" s="3" t="inlineStr">
        <is>
          <t>매매</t>
        </is>
      </c>
      <c r="F1852" s="4" t="n">
        <v>80000</v>
      </c>
      <c r="G1852" s="4" t="n">
        <v>352</v>
      </c>
      <c r="H1852" s="4" t="n">
        <v>106</v>
      </c>
      <c r="I1852" s="5" t="n">
        <v>754.7</v>
      </c>
      <c r="J1852" s="5" t="n">
        <v>403</v>
      </c>
      <c r="K1852" s="3" t="inlineStr">
        <is>
          <t>공원 인근, 조용한고 편리한 단독주택지 토지매매</t>
        </is>
      </c>
      <c r="L1852" s="6">
        <f>HYPERLINK("https://fin.land.naver.com/articles/2650427090", "매물Link")</f>
        <v/>
      </c>
      <c r="M1852" s="6">
        <f>HYPERLINK("https://map.naver.com/p/search/한솔동 865", "지도Link")</f>
        <v/>
      </c>
      <c r="N1852" s="6">
        <f>HYPERLINK("http://www.eum.go.kr/web/ar/lu/luLandDet.jsp?pnu=3611010600108650000&amp;isNoScr=script&amp;mode=search", "토지이음")</f>
        <v/>
      </c>
      <c r="O1852" s="3" t="inlineStr">
        <is>
          <t>세종무지개</t>
        </is>
      </c>
      <c r="P1852" s="4" t="n">
        <v>1</v>
      </c>
      <c r="Q1852" s="4" t="n">
        <v>353.4</v>
      </c>
      <c r="R1852" s="3" t="inlineStr">
        <is>
          <t>지정되지않음</t>
        </is>
      </c>
      <c r="S1852" s="3" t="inlineStr">
        <is>
          <t>주거나지</t>
        </is>
      </c>
      <c r="T1852" s="3" t="inlineStr">
        <is>
          <t>평지</t>
        </is>
      </c>
      <c r="U1852" s="3" t="inlineStr">
        <is>
          <t>사다리형</t>
        </is>
      </c>
      <c r="V1852" s="3" t="inlineStr">
        <is>
          <t>소로한면</t>
        </is>
      </c>
    </row>
    <row r="1853">
      <c r="A1853" s="3" t="inlineStr">
        <is>
          <t>한솔동 865</t>
        </is>
      </c>
      <c r="B1853" s="3" t="inlineStr">
        <is>
          <t>제1종전용주거지역</t>
        </is>
      </c>
      <c r="C1853" s="3" t="inlineStr">
        <is>
          <t>대</t>
        </is>
      </c>
      <c r="D1853" s="3" t="inlineStr">
        <is>
          <t>대</t>
        </is>
      </c>
      <c r="E1853" s="3" t="inlineStr">
        <is>
          <t>매매</t>
        </is>
      </c>
      <c r="F1853" s="4" t="n">
        <v>80000</v>
      </c>
      <c r="G1853" s="4" t="n">
        <v>353</v>
      </c>
      <c r="H1853" s="4" t="n">
        <v>107</v>
      </c>
      <c r="I1853" s="5" t="n">
        <v>747.7</v>
      </c>
      <c r="J1853" s="5" t="n">
        <v>403</v>
      </c>
      <c r="K1853" s="3" t="inlineStr">
        <is>
          <t>nan</t>
        </is>
      </c>
      <c r="L1853" s="6">
        <f>HYPERLINK("https://fin.land.naver.com/articles/2655007350", "매물Link")</f>
        <v/>
      </c>
      <c r="M1853" s="6">
        <f>HYPERLINK("https://map.naver.com/p/search/한솔동 865", "지도Link")</f>
        <v/>
      </c>
      <c r="N1853" s="6">
        <f>HYPERLINK("http://www.eum.go.kr/web/ar/lu/luLandDet.jsp?pnu=3611010600108650000&amp;isNoScr=script&amp;mode=search", "토지이음")</f>
        <v/>
      </c>
      <c r="O1853" s="3" t="inlineStr">
        <is>
          <t>디아트성심</t>
        </is>
      </c>
      <c r="P1853" s="4" t="n">
        <v>1</v>
      </c>
      <c r="Q1853" s="4" t="n">
        <v>353.4</v>
      </c>
      <c r="R1853" s="3" t="inlineStr">
        <is>
          <t>지정되지않음</t>
        </is>
      </c>
      <c r="S1853" s="3" t="inlineStr">
        <is>
          <t>주거나지</t>
        </is>
      </c>
      <c r="T1853" s="3" t="inlineStr">
        <is>
          <t>평지</t>
        </is>
      </c>
      <c r="U1853" s="3" t="inlineStr">
        <is>
          <t>사다리형</t>
        </is>
      </c>
      <c r="V1853" s="3" t="inlineStr">
        <is>
          <t>소로한면</t>
        </is>
      </c>
    </row>
    <row r="1854">
      <c r="A1854" s="3" t="inlineStr">
        <is>
          <t>한솔동 865</t>
        </is>
      </c>
      <c r="B1854" s="3" t="inlineStr">
        <is>
          <t>제1종전용주거지역</t>
        </is>
      </c>
      <c r="C1854" s="3" t="inlineStr">
        <is>
          <t>대</t>
        </is>
      </c>
      <c r="D1854" s="3" t="inlineStr">
        <is>
          <t>대</t>
        </is>
      </c>
      <c r="E1854" s="3" t="inlineStr">
        <is>
          <t>매매</t>
        </is>
      </c>
      <c r="F1854" s="4" t="n">
        <v>80000</v>
      </c>
      <c r="G1854" s="4" t="n">
        <v>353</v>
      </c>
      <c r="H1854" s="4" t="n">
        <v>107</v>
      </c>
      <c r="I1854" s="5" t="n">
        <v>747.7</v>
      </c>
      <c r="J1854" s="5" t="n">
        <v>403</v>
      </c>
      <c r="K1854" s="3" t="inlineStr">
        <is>
          <t>총 107.1p, 한솔동 단독주택지</t>
        </is>
      </c>
      <c r="L1854" s="6">
        <f>HYPERLINK("https://fin.land.naver.com/articles/2653682654", "매물Link")</f>
        <v/>
      </c>
      <c r="M1854" s="6">
        <f>HYPERLINK("https://map.naver.com/p/search/한솔동 865", "지도Link")</f>
        <v/>
      </c>
      <c r="N1854" s="6">
        <f>HYPERLINK("http://www.eum.go.kr/web/ar/lu/luLandDet.jsp?pnu=3611010600108650000&amp;isNoScr=script&amp;mode=search", "토지이음")</f>
        <v/>
      </c>
      <c r="O1854" s="3" t="inlineStr">
        <is>
          <t>명진</t>
        </is>
      </c>
      <c r="P1854" s="4" t="n">
        <v>1</v>
      </c>
      <c r="Q1854" s="4" t="n">
        <v>353.4</v>
      </c>
      <c r="R1854" s="3" t="inlineStr">
        <is>
          <t>지정되지않음</t>
        </is>
      </c>
      <c r="S1854" s="3" t="inlineStr">
        <is>
          <t>주거나지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소로한면</t>
        </is>
      </c>
    </row>
    <row r="1855">
      <c r="A1855" s="3" t="inlineStr">
        <is>
          <t>한솔동 874</t>
        </is>
      </c>
      <c r="B1855" s="3" t="inlineStr">
        <is>
          <t>제1종전용주거지역</t>
        </is>
      </c>
      <c r="C1855" s="3" t="inlineStr">
        <is>
          <t>대</t>
        </is>
      </c>
      <c r="D1855" s="3" t="inlineStr">
        <is>
          <t>대</t>
        </is>
      </c>
      <c r="E1855" s="3" t="inlineStr">
        <is>
          <t>매매</t>
        </is>
      </c>
      <c r="F1855" s="4" t="n">
        <v>62000</v>
      </c>
      <c r="G1855" s="4" t="n">
        <v>304</v>
      </c>
      <c r="H1855" s="4" t="n">
        <v>92</v>
      </c>
      <c r="I1855" s="5" t="n">
        <v>673.9</v>
      </c>
      <c r="J1855" s="5" t="n">
        <v>394.7</v>
      </c>
      <c r="K1855" s="3" t="inlineStr">
        <is>
          <t>nan</t>
        </is>
      </c>
      <c r="L1855" s="6">
        <f>HYPERLINK("https://fin.land.naver.com/articles/2655009445", "매물Link")</f>
        <v/>
      </c>
      <c r="M1855" s="6">
        <f>HYPERLINK("https://map.naver.com/p/search/한솔동 874", "지도Link")</f>
        <v/>
      </c>
      <c r="N1855" s="6">
        <f>HYPERLINK("http://www.eum.go.kr/web/ar/lu/luLandDet.jsp?pnu=3611010600108740000&amp;isNoScr=script&amp;mode=search", "토지이음")</f>
        <v/>
      </c>
      <c r="O1855" s="3" t="inlineStr">
        <is>
          <t>디아트성심</t>
        </is>
      </c>
      <c r="P1855" s="4" t="n">
        <v>1</v>
      </c>
      <c r="Q1855" s="4" t="n">
        <v>325.8</v>
      </c>
      <c r="R1855" s="3" t="inlineStr">
        <is>
          <t>지정되지않음</t>
        </is>
      </c>
      <c r="S1855" s="3" t="inlineStr">
        <is>
          <t>주거나지</t>
        </is>
      </c>
      <c r="T1855" s="3" t="inlineStr">
        <is>
          <t>평지</t>
        </is>
      </c>
      <c r="U1855" s="3" t="inlineStr">
        <is>
          <t>부정형</t>
        </is>
      </c>
      <c r="V1855" s="3" t="inlineStr">
        <is>
          <t>소로한면</t>
        </is>
      </c>
    </row>
    <row r="1856">
      <c r="A1856" s="3" t="inlineStr">
        <is>
          <t>한솔동 877</t>
        </is>
      </c>
      <c r="B1856" s="3" t="inlineStr">
        <is>
          <t>제1종전용주거지역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61000</v>
      </c>
      <c r="G1856" s="4" t="n">
        <v>326</v>
      </c>
      <c r="H1856" s="4" t="n">
        <v>99</v>
      </c>
      <c r="I1856" s="5" t="n">
        <v>616.2</v>
      </c>
      <c r="J1856" s="5" t="n">
        <v>394.7</v>
      </c>
      <c r="K1856" s="3" t="inlineStr">
        <is>
          <t>nan</t>
        </is>
      </c>
      <c r="L1856" s="6">
        <f>HYPERLINK("https://fin.land.naver.com/articles/2655011453", "매물Link")</f>
        <v/>
      </c>
      <c r="M1856" s="6">
        <f>HYPERLINK("https://map.naver.com/p/search/한솔동 877", "지도Link")</f>
        <v/>
      </c>
      <c r="N1856" s="6">
        <f>HYPERLINK("http://www.eum.go.kr/web/ar/lu/luLandDet.jsp?pnu=3611010600108770000&amp;isNoScr=script&amp;mode=search", "토지이음")</f>
        <v/>
      </c>
      <c r="O1856" s="3" t="inlineStr">
        <is>
          <t>디아트성심</t>
        </is>
      </c>
      <c r="P1856" s="4" t="n">
        <v>1</v>
      </c>
      <c r="Q1856" s="4" t="n">
        <v>326.5</v>
      </c>
      <c r="R1856" s="3" t="inlineStr">
        <is>
          <t>지정되지않음</t>
        </is>
      </c>
      <c r="S1856" s="3" t="inlineStr">
        <is>
          <t>주거나지</t>
        </is>
      </c>
      <c r="T1856" s="3" t="inlineStr">
        <is>
          <t>평지</t>
        </is>
      </c>
      <c r="U1856" s="3" t="inlineStr">
        <is>
          <t>부정형</t>
        </is>
      </c>
      <c r="V1856" s="3" t="inlineStr">
        <is>
          <t>소로한면</t>
        </is>
      </c>
    </row>
    <row r="1857">
      <c r="A1857" s="3" t="inlineStr">
        <is>
          <t>한솔동 885</t>
        </is>
      </c>
      <c r="B1857" s="3" t="inlineStr">
        <is>
          <t>제1종전용주거지역</t>
        </is>
      </c>
      <c r="C1857" s="3" t="inlineStr">
        <is>
          <t>대</t>
        </is>
      </c>
      <c r="D1857" s="3" t="inlineStr">
        <is>
          <t>대</t>
        </is>
      </c>
      <c r="E1857" s="3" t="inlineStr">
        <is>
          <t>매매</t>
        </is>
      </c>
      <c r="F1857" s="4" t="n">
        <v>57000</v>
      </c>
      <c r="G1857" s="4" t="n">
        <v>292</v>
      </c>
      <c r="H1857" s="4" t="n">
        <v>88</v>
      </c>
      <c r="I1857" s="5" t="n">
        <v>647.7</v>
      </c>
      <c r="J1857" s="5" t="n">
        <v>410.9</v>
      </c>
      <c r="K1857" s="3" t="inlineStr">
        <is>
          <t>D1 귀한매물 새롬동학원가도보 조율가능</t>
        </is>
      </c>
      <c r="L1857" s="6">
        <f>HYPERLINK("https://fin.land.naver.com/articles/2652410283", "매물Link")</f>
        <v/>
      </c>
      <c r="M1857" s="6">
        <f>HYPERLINK("https://map.naver.com/p/search/한솔동 885", "지도Link")</f>
        <v/>
      </c>
      <c r="N1857" s="6">
        <f>HYPERLINK("http://www.eum.go.kr/web/ar/lu/luLandDet.jsp?pnu=3611010600108850000&amp;isNoScr=script&amp;mode=search", "토지이음")</f>
        <v/>
      </c>
      <c r="O1857" s="3" t="inlineStr">
        <is>
          <t>세종스타</t>
        </is>
      </c>
      <c r="P1857" s="4" t="n">
        <v>1</v>
      </c>
      <c r="Q1857" s="4" t="n">
        <v>292.2</v>
      </c>
      <c r="R1857" s="3" t="inlineStr">
        <is>
          <t>지정되지않음</t>
        </is>
      </c>
      <c r="S1857" s="3" t="inlineStr">
        <is>
          <t>주거나지</t>
        </is>
      </c>
      <c r="T1857" s="3" t="inlineStr">
        <is>
          <t>평지</t>
        </is>
      </c>
      <c r="U1857" s="3" t="inlineStr">
        <is>
          <t>세로장방</t>
        </is>
      </c>
      <c r="V1857" s="3" t="inlineStr">
        <is>
          <t>소로한면</t>
        </is>
      </c>
    </row>
    <row r="1858">
      <c r="A1858" s="3" t="inlineStr">
        <is>
          <t>한솔동 967</t>
        </is>
      </c>
      <c r="B1858" s="3" t="inlineStr">
        <is>
          <t>준주거지역</t>
        </is>
      </c>
      <c r="C1858" s="3" t="inlineStr">
        <is>
          <t>주차장</t>
        </is>
      </c>
      <c r="D1858" s="3" t="inlineStr">
        <is>
          <t>주차장</t>
        </is>
      </c>
      <c r="E1858" s="3" t="inlineStr">
        <is>
          <t>매매</t>
        </is>
      </c>
      <c r="F1858" s="4" t="n">
        <v>580000</v>
      </c>
      <c r="G1858" s="4" t="n">
        <v>1407</v>
      </c>
      <c r="H1858" s="4" t="n">
        <v>426</v>
      </c>
      <c r="I1858" s="5" t="n">
        <v>1361.5</v>
      </c>
      <c r="J1858" s="5" t="n">
        <v>741.2</v>
      </c>
      <c r="K1858" s="3" t="inlineStr">
        <is>
          <t>세종 첫마을 넓은 주차장으로 대형마트나 고급 식당 사옥 추천 드립니다</t>
        </is>
      </c>
      <c r="L1858" s="6">
        <f>HYPERLINK("https://fin.land.naver.com/articles/2652035481", "매물Link")</f>
        <v/>
      </c>
      <c r="M1858" s="6">
        <f>HYPERLINK("https://map.naver.com/p/search/한솔동 967", "지도Link")</f>
        <v/>
      </c>
      <c r="N1858" s="6">
        <f>HYPERLINK("http://www.eum.go.kr/web/ar/lu/luLandDet.jsp?pnu=3611010600109670000&amp;isNoScr=script&amp;mode=search", "토지이음")</f>
        <v/>
      </c>
      <c r="O1858" s="3" t="inlineStr">
        <is>
          <t>자이행복</t>
        </is>
      </c>
      <c r="P1858" s="4" t="n">
        <v>1</v>
      </c>
      <c r="Q1858" s="4" t="n">
        <v>1407</v>
      </c>
      <c r="R1858" s="3" t="inlineStr">
        <is>
          <t>지정되지않음</t>
        </is>
      </c>
      <c r="S1858" s="3" t="inlineStr">
        <is>
          <t>주차장등</t>
        </is>
      </c>
      <c r="T1858" s="3" t="inlineStr">
        <is>
          <t>평지</t>
        </is>
      </c>
      <c r="U1858" s="3" t="inlineStr">
        <is>
          <t>가로장방</t>
        </is>
      </c>
      <c r="V1858" s="3" t="inlineStr">
        <is>
          <t>중로한면</t>
        </is>
      </c>
    </row>
    <row r="1859">
      <c r="A1859" s="3" t="inlineStr">
        <is>
          <t>한솔동 989</t>
        </is>
      </c>
      <c r="B1859" s="3" t="inlineStr">
        <is>
          <t>제1종전용주거지역</t>
        </is>
      </c>
      <c r="C1859" s="3" t="inlineStr">
        <is>
          <t>대</t>
        </is>
      </c>
      <c r="D1859" s="3" t="inlineStr">
        <is>
          <t>대</t>
        </is>
      </c>
      <c r="E1859" s="3" t="inlineStr">
        <is>
          <t>매매</t>
        </is>
      </c>
      <c r="F1859" s="4" t="n">
        <v>55000</v>
      </c>
      <c r="G1859" s="4" t="n">
        <v>326</v>
      </c>
      <c r="H1859" s="4" t="n">
        <v>99</v>
      </c>
      <c r="I1859" s="5" t="n">
        <v>555.6</v>
      </c>
      <c r="J1859" s="5" t="n">
        <v>302.8</v>
      </c>
      <c r="K1859" s="3" t="inlineStr">
        <is>
          <t>생활 인프라가 완비된 2생활권 내 희소성 높은 알짜 토지.</t>
        </is>
      </c>
      <c r="L1859" s="6">
        <f>HYPERLINK("https://fin.land.naver.com/articles/2654570640", "매물Link")</f>
        <v/>
      </c>
      <c r="M1859" s="6">
        <f>HYPERLINK("https://map.naver.com/p/search/한솔동 989", "지도Link")</f>
        <v/>
      </c>
      <c r="N1859" s="6">
        <f>HYPERLINK("http://www.eum.go.kr/web/ar/lu/luLandDet.jsp?pnu=3611010600109890000&amp;isNoScr=script&amp;mode=search", "토지이음")</f>
        <v/>
      </c>
      <c r="O1859" s="3" t="inlineStr">
        <is>
          <t>이룸</t>
        </is>
      </c>
      <c r="P1859" s="4" t="n">
        <v>1</v>
      </c>
      <c r="Q1859" s="4" t="n">
        <v>326</v>
      </c>
      <c r="R1859" s="3" t="inlineStr">
        <is>
          <t>지정되지않음</t>
        </is>
      </c>
      <c r="S1859" s="3" t="inlineStr">
        <is>
          <t>주거나지</t>
        </is>
      </c>
      <c r="T1859" s="3" t="inlineStr">
        <is>
          <t>평지</t>
        </is>
      </c>
      <c r="U1859" s="3" t="inlineStr">
        <is>
          <t>세로장방</t>
        </is>
      </c>
      <c r="V1859" s="3" t="inlineStr">
        <is>
          <t>소로한면</t>
        </is>
      </c>
    </row>
    <row r="1860">
      <c r="A1860" s="3" t="inlineStr">
        <is>
          <t>한솔동 992</t>
        </is>
      </c>
      <c r="B1860" s="3" t="inlineStr">
        <is>
          <t>제1종전용주거지역</t>
        </is>
      </c>
      <c r="C1860" s="3" t="inlineStr">
        <is>
          <t>대</t>
        </is>
      </c>
      <c r="D1860" s="3" t="inlineStr">
        <is>
          <t>대</t>
        </is>
      </c>
      <c r="E1860" s="3" t="inlineStr">
        <is>
          <t>매매</t>
        </is>
      </c>
      <c r="F1860" s="4" t="n">
        <v>55000</v>
      </c>
      <c r="G1860" s="4" t="n">
        <v>355</v>
      </c>
      <c r="H1860" s="4" t="n">
        <v>107</v>
      </c>
      <c r="I1860" s="5" t="n">
        <v>514</v>
      </c>
      <c r="J1860" s="5" t="n">
        <v>314.9</v>
      </c>
      <c r="K1860" s="3" t="inlineStr">
        <is>
          <t>조율가능 공원낀위치 상권최인접 한솔초중고 도보5분</t>
        </is>
      </c>
      <c r="L1860" s="6">
        <f>HYPERLINK("https://fin.land.naver.com/articles/2653667235", "매물Link")</f>
        <v/>
      </c>
      <c r="M1860" s="6">
        <f>HYPERLINK("https://map.naver.com/p/search/한솔동 992", "지도Link")</f>
        <v/>
      </c>
      <c r="N1860" s="6">
        <f>HYPERLINK("http://www.eum.go.kr/web/ar/lu/luLandDet.jsp?pnu=3611010600109920000&amp;isNoScr=script&amp;mode=search", "토지이음")</f>
        <v/>
      </c>
      <c r="O1860" s="3" t="inlineStr">
        <is>
          <t>세종스타</t>
        </is>
      </c>
      <c r="P1860" s="4" t="n">
        <v>1</v>
      </c>
      <c r="Q1860" s="4" t="n">
        <v>355</v>
      </c>
      <c r="R1860" s="3" t="inlineStr">
        <is>
          <t>지정되지않음</t>
        </is>
      </c>
      <c r="S1860" s="3" t="inlineStr">
        <is>
          <t>주거나지</t>
        </is>
      </c>
      <c r="T1860" s="3" t="inlineStr">
        <is>
          <t>평지</t>
        </is>
      </c>
      <c r="U1860" s="3" t="inlineStr">
        <is>
          <t>정방형</t>
        </is>
      </c>
      <c r="V1860" s="3" t="inlineStr">
        <is>
          <t>소로각지</t>
        </is>
      </c>
    </row>
    <row r="1861">
      <c r="A1861" s="3" t="inlineStr">
        <is>
          <t>해밀동 668</t>
        </is>
      </c>
      <c r="B1861" s="3" t="inlineStr">
        <is>
          <t>제2종일반주거지역</t>
        </is>
      </c>
      <c r="C1861" s="3" t="inlineStr">
        <is>
          <t>대</t>
        </is>
      </c>
      <c r="D1861" s="3" t="inlineStr">
        <is>
          <t>대</t>
        </is>
      </c>
      <c r="E1861" s="3" t="inlineStr">
        <is>
          <t>매매</t>
        </is>
      </c>
      <c r="F1861" s="4" t="n">
        <v>360000</v>
      </c>
      <c r="G1861" s="4" t="n">
        <v>1070</v>
      </c>
      <c r="H1861" s="4" t="n">
        <v>324</v>
      </c>
      <c r="I1861" s="5" t="n">
        <v>1111.1</v>
      </c>
      <c r="J1861" s="5" t="n">
        <v>407.6</v>
      </c>
      <c r="K1861" s="3" t="inlineStr">
        <is>
          <t>급매 대형 상가건물 부지 추가조율협의 옆필지도 매매가능</t>
        </is>
      </c>
      <c r="L1861" s="6">
        <f>HYPERLINK("https://fin.land.naver.com/articles/2649812128", "매물Link")</f>
        <v/>
      </c>
      <c r="M1861" s="6">
        <f>HYPERLINK("https://map.naver.com/p/search/해밀동 668", "지도Link")</f>
        <v/>
      </c>
      <c r="N1861" s="6">
        <f>HYPERLINK("http://www.eum.go.kr/web/ar/lu/luLandDet.jsp?pnu=3611011600106680000&amp;isNoScr=script&amp;mode=search", "토지이음")</f>
        <v/>
      </c>
      <c r="O1861" s="3" t="inlineStr">
        <is>
          <t>세종스타</t>
        </is>
      </c>
      <c r="P1861" s="4" t="n">
        <v>1</v>
      </c>
      <c r="Q1861" s="4" t="n">
        <v>1070.9</v>
      </c>
      <c r="R1861" s="3" t="inlineStr">
        <is>
          <t>지정되지않음</t>
        </is>
      </c>
      <c r="S1861" s="3" t="inlineStr">
        <is>
          <t>상업나지</t>
        </is>
      </c>
      <c r="T1861" s="3" t="inlineStr">
        <is>
          <t>평지</t>
        </is>
      </c>
      <c r="U1861" s="3" t="inlineStr">
        <is>
          <t>가로장방</t>
        </is>
      </c>
      <c r="V1861" s="3" t="inlineStr">
        <is>
          <t>광대소각</t>
        </is>
      </c>
    </row>
    <row r="1862">
      <c r="A1862" s="3" t="inlineStr">
        <is>
          <t>해밀동 678</t>
        </is>
      </c>
      <c r="B1862" s="3" t="inlineStr">
        <is>
          <t>제2종일반주거지역</t>
        </is>
      </c>
      <c r="C1862" s="3" t="inlineStr">
        <is>
          <t>대</t>
        </is>
      </c>
      <c r="D1862" s="3" t="inlineStr">
        <is>
          <t>대</t>
        </is>
      </c>
      <c r="E1862" s="3" t="inlineStr">
        <is>
          <t>매매</t>
        </is>
      </c>
      <c r="F1862" s="4" t="n">
        <v>155000</v>
      </c>
      <c r="G1862" s="4" t="n">
        <v>446</v>
      </c>
      <c r="H1862" s="4" t="n">
        <v>135</v>
      </c>
      <c r="I1862" s="5" t="n">
        <v>1148.1</v>
      </c>
      <c r="J1862" s="5" t="n">
        <v>379.2</v>
      </c>
      <c r="K1862" s="3" t="inlineStr">
        <is>
          <t>조율가능 N4 코너각지 3층건축가능 사옥 음식점 카페 애견샵 추천</t>
        </is>
      </c>
      <c r="L1862" s="6">
        <f>HYPERLINK("https://fin.land.naver.com/articles/2652136712", "매물Link")</f>
        <v/>
      </c>
      <c r="M1862" s="6">
        <f>HYPERLINK("https://map.naver.com/p/search/해밀동 678", "지도Link")</f>
        <v/>
      </c>
      <c r="N1862" s="6">
        <f>HYPERLINK("http://www.eum.go.kr/web/ar/lu/luLandDet.jsp?pnu=3611011600106780000&amp;isNoScr=script&amp;mode=search", "토지이음")</f>
        <v/>
      </c>
      <c r="O1862" s="3" t="inlineStr">
        <is>
          <t>세종스타</t>
        </is>
      </c>
      <c r="P1862" s="4" t="n">
        <v>1</v>
      </c>
      <c r="Q1862" s="4" t="n">
        <v>446.4</v>
      </c>
      <c r="R1862" s="3" t="inlineStr">
        <is>
          <t>지정되지않음</t>
        </is>
      </c>
      <c r="S1862" s="3" t="inlineStr">
        <is>
          <t>상업나지</t>
        </is>
      </c>
      <c r="T1862" s="3" t="inlineStr">
        <is>
          <t>평지</t>
        </is>
      </c>
      <c r="U1862" s="3" t="inlineStr">
        <is>
          <t>사다리형</t>
        </is>
      </c>
      <c r="V1862" s="3" t="inlineStr">
        <is>
          <t>중로한면</t>
        </is>
      </c>
    </row>
    <row r="1863">
      <c r="A1863" s="3" t="inlineStr">
        <is>
          <t>해밀동 687</t>
        </is>
      </c>
      <c r="B1863" s="3" t="inlineStr">
        <is>
          <t>제2종일반주거지역</t>
        </is>
      </c>
      <c r="C1863" s="3" t="inlineStr">
        <is>
          <t>대</t>
        </is>
      </c>
      <c r="D1863" s="3" t="inlineStr">
        <is>
          <t>대</t>
        </is>
      </c>
      <c r="E1863" s="3" t="inlineStr">
        <is>
          <t>매매</t>
        </is>
      </c>
      <c r="F1863" s="4" t="n">
        <v>145000</v>
      </c>
      <c r="G1863" s="4" t="n">
        <v>403</v>
      </c>
      <c r="H1863" s="4" t="n">
        <v>122</v>
      </c>
      <c r="I1863" s="5" t="n">
        <v>1188.5</v>
      </c>
      <c r="J1863" s="5" t="n">
        <v>383.1</v>
      </c>
      <c r="K1863" s="3" t="inlineStr">
        <is>
          <t>N5 근생부지 3층건축가능</t>
        </is>
      </c>
      <c r="L1863" s="6">
        <f>HYPERLINK("https://fin.land.naver.com/articles/2653666438", "매물Link")</f>
        <v/>
      </c>
      <c r="M1863" s="6">
        <f>HYPERLINK("https://map.naver.com/p/search/해밀동 687", "지도Link")</f>
        <v/>
      </c>
      <c r="N1863" s="6">
        <f>HYPERLINK("http://www.eum.go.kr/web/ar/lu/luLandDet.jsp?pnu=3611011600106870000&amp;isNoScr=script&amp;mode=search", "토지이음")</f>
        <v/>
      </c>
      <c r="O1863" s="3" t="inlineStr">
        <is>
          <t>세종스타</t>
        </is>
      </c>
      <c r="P1863" s="4" t="n">
        <v>1</v>
      </c>
      <c r="Q1863" s="4" t="n">
        <v>403.2</v>
      </c>
      <c r="R1863" s="3" t="inlineStr">
        <is>
          <t>지정되지않음</t>
        </is>
      </c>
      <c r="S1863" s="3" t="inlineStr">
        <is>
          <t>상업나지</t>
        </is>
      </c>
      <c r="T1863" s="3" t="inlineStr">
        <is>
          <t>평지</t>
        </is>
      </c>
      <c r="U1863" s="3" t="inlineStr">
        <is>
          <t>세로장방</t>
        </is>
      </c>
      <c r="V1863" s="3" t="inlineStr">
        <is>
          <t>중로한면</t>
        </is>
      </c>
    </row>
    <row r="1864">
      <c r="A1864" s="3" t="inlineStr">
        <is>
          <t>해밀동 700</t>
        </is>
      </c>
      <c r="B1864" s="3" t="inlineStr">
        <is>
          <t>제1종전용주거지역</t>
        </is>
      </c>
      <c r="C1864" s="3" t="inlineStr">
        <is>
          <t>대</t>
        </is>
      </c>
      <c r="D1864" s="3" t="inlineStr">
        <is>
          <t>대</t>
        </is>
      </c>
      <c r="E1864" s="3" t="inlineStr">
        <is>
          <t>매매</t>
        </is>
      </c>
      <c r="F1864" s="4" t="n">
        <v>401300</v>
      </c>
      <c r="G1864" s="4" t="n">
        <v>2949</v>
      </c>
      <c r="H1864" s="4" t="n">
        <v>892</v>
      </c>
      <c r="I1864" s="5" t="n">
        <v>449.9</v>
      </c>
      <c r="J1864" s="5" t="n">
        <v>219.8</v>
      </c>
      <c r="K1864" s="3" t="inlineStr">
        <is>
          <t>해밀동 제1종전용주거 타운하우스 부지, 15가구 개발가능</t>
        </is>
      </c>
      <c r="L1864" s="6">
        <f>HYPERLINK("https://fin.land.naver.com/articles/2654022827", "매물Link")</f>
        <v/>
      </c>
      <c r="M1864" s="6">
        <f>HYPERLINK("https://map.naver.com/p/search/해밀동 700", "지도Link")</f>
        <v/>
      </c>
      <c r="N1864" s="6">
        <f>HYPERLINK("http://www.eum.go.kr/web/ar/lu/luLandDet.jsp?pnu=3611011600107000000&amp;isNoScr=script&amp;mode=search", "토지이음")</f>
        <v/>
      </c>
      <c r="O1864" s="3" t="inlineStr">
        <is>
          <t>스카이</t>
        </is>
      </c>
      <c r="P1864" s="4" t="n">
        <v>1</v>
      </c>
      <c r="Q1864" s="4" t="n">
        <v>2948.1</v>
      </c>
      <c r="R1864" s="3" t="inlineStr">
        <is>
          <t>지정되지않음</t>
        </is>
      </c>
      <c r="S1864" s="3" t="inlineStr">
        <is>
          <t>주거나지</t>
        </is>
      </c>
      <c r="T1864" s="3" t="inlineStr">
        <is>
          <t>평지</t>
        </is>
      </c>
      <c r="U1864" s="3" t="inlineStr">
        <is>
          <t>사다리형</t>
        </is>
      </c>
      <c r="V1864" s="3" t="inlineStr">
        <is>
          <t>소로한면</t>
        </is>
      </c>
    </row>
    <row r="1865">
      <c r="A1865" s="3" t="inlineStr">
        <is>
          <t>해밀동 702</t>
        </is>
      </c>
      <c r="B1865" s="3" t="inlineStr">
        <is>
          <t>제1종전용주거지역</t>
        </is>
      </c>
      <c r="C1865" s="3" t="inlineStr">
        <is>
          <t>대</t>
        </is>
      </c>
      <c r="D1865" s="3" t="inlineStr">
        <is>
          <t>대</t>
        </is>
      </c>
      <c r="E1865" s="3" t="inlineStr">
        <is>
          <t>매매</t>
        </is>
      </c>
      <c r="F1865" s="4" t="n">
        <v>431600</v>
      </c>
      <c r="G1865" s="4" t="n">
        <v>3170</v>
      </c>
      <c r="H1865" s="4" t="n">
        <v>959</v>
      </c>
      <c r="I1865" s="5" t="n">
        <v>450.1</v>
      </c>
      <c r="J1865" s="5" t="n">
        <v>219.8</v>
      </c>
      <c r="K1865" s="3" t="inlineStr">
        <is>
          <t>세종시 해밀동 토지 매매 숲속 타운하우스 15가구 부지 대지 3,170㎡</t>
        </is>
      </c>
      <c r="L1865" s="6">
        <f>HYPERLINK("https://fin.land.naver.com/articles/2651744353", "매물Link")</f>
        <v/>
      </c>
      <c r="M1865" s="6">
        <f>HYPERLINK("https://map.naver.com/p/search/해밀동 702", "지도Link")</f>
        <v/>
      </c>
      <c r="N1865" s="6">
        <f>HYPERLINK("http://www.eum.go.kr/web/ar/lu/luLandDet.jsp?pnu=3611011600107020000&amp;isNoScr=script&amp;mode=search", "토지이음")</f>
        <v/>
      </c>
      <c r="O1865" s="3" t="inlineStr">
        <is>
          <t>세종</t>
        </is>
      </c>
      <c r="P1865" s="4" t="n">
        <v>1</v>
      </c>
      <c r="Q1865" s="4" t="n">
        <v>3170.9</v>
      </c>
      <c r="R1865" s="3" t="inlineStr">
        <is>
          <t>지정되지않음</t>
        </is>
      </c>
      <c r="S1865" s="3" t="inlineStr">
        <is>
          <t>주거나지</t>
        </is>
      </c>
      <c r="T1865" s="3" t="inlineStr">
        <is>
          <t>평지</t>
        </is>
      </c>
      <c r="U1865" s="3" t="inlineStr">
        <is>
          <t>사다리형</t>
        </is>
      </c>
      <c r="V1865" s="3" t="inlineStr">
        <is>
          <t>소로한면</t>
        </is>
      </c>
    </row>
    <row r="1866">
      <c r="A1866" s="3" t="inlineStr">
        <is>
          <t>해밀동 704</t>
        </is>
      </c>
      <c r="B1866" s="3" t="inlineStr">
        <is>
          <t>제1종전용주거지역</t>
        </is>
      </c>
      <c r="C1866" s="3" t="inlineStr">
        <is>
          <t>대</t>
        </is>
      </c>
      <c r="D1866" s="3" t="inlineStr">
        <is>
          <t>대</t>
        </is>
      </c>
      <c r="E1866" s="3" t="inlineStr">
        <is>
          <t>매매</t>
        </is>
      </c>
      <c r="F1866" s="4" t="n">
        <v>60000</v>
      </c>
      <c r="G1866" s="4" t="n">
        <v>289</v>
      </c>
      <c r="H1866" s="4" t="n">
        <v>87</v>
      </c>
      <c r="I1866" s="5" t="n">
        <v>689.7</v>
      </c>
      <c r="J1866" s="5" t="n">
        <v>241.1</v>
      </c>
      <c r="K1866" s="3" t="inlineStr">
        <is>
          <t>조율가능 지대높음 원수산뷰 학교,상가 가까움</t>
        </is>
      </c>
      <c r="L1866" s="6">
        <f>HYPERLINK("https://fin.land.naver.com/articles/2652136537", "매물Link")</f>
        <v/>
      </c>
      <c r="M1866" s="6">
        <f>HYPERLINK("https://map.naver.com/p/search/해밀동 704", "지도Link")</f>
        <v/>
      </c>
      <c r="N1866" s="6">
        <f>HYPERLINK("http://www.eum.go.kr/web/ar/lu/luLandDet.jsp?pnu=3611011600107040000&amp;isNoScr=script&amp;mode=search", "토지이음")</f>
        <v/>
      </c>
      <c r="O1866" s="3" t="inlineStr">
        <is>
          <t>세종스타</t>
        </is>
      </c>
      <c r="P1866" s="4" t="n">
        <v>1</v>
      </c>
      <c r="Q1866" s="4" t="n">
        <v>289.4</v>
      </c>
      <c r="R1866" s="3" t="inlineStr">
        <is>
          <t>지정되지않음</t>
        </is>
      </c>
      <c r="S1866" s="3" t="inlineStr">
        <is>
          <t>주거나지</t>
        </is>
      </c>
      <c r="T1866" s="3" t="inlineStr">
        <is>
          <t>평지</t>
        </is>
      </c>
      <c r="U1866" s="3" t="inlineStr">
        <is>
          <t>세로장방</t>
        </is>
      </c>
      <c r="V1866" s="3" t="inlineStr">
        <is>
          <t>소로한면</t>
        </is>
      </c>
    </row>
    <row r="1867">
      <c r="A1867" s="3" t="inlineStr">
        <is>
          <t>해밀동 713</t>
        </is>
      </c>
      <c r="B1867" s="3" t="inlineStr">
        <is>
          <t>제1종전용주거지역</t>
        </is>
      </c>
      <c r="C1867" s="3" t="inlineStr">
        <is>
          <t>대</t>
        </is>
      </c>
      <c r="D1867" s="3" t="inlineStr">
        <is>
          <t>대</t>
        </is>
      </c>
      <c r="E1867" s="3" t="inlineStr">
        <is>
          <t>매매</t>
        </is>
      </c>
      <c r="F1867" s="4" t="n">
        <v>58000</v>
      </c>
      <c r="G1867" s="4" t="n">
        <v>324</v>
      </c>
      <c r="H1867" s="4" t="n">
        <v>98</v>
      </c>
      <c r="I1867" s="5" t="n">
        <v>591.8</v>
      </c>
      <c r="J1867" s="5" t="n">
        <v>241.1</v>
      </c>
      <c r="K1867" s="3" t="inlineStr">
        <is>
          <t>98.18p, 해밀동 네모 반듯한 단독주택 토지매매</t>
        </is>
      </c>
      <c r="L1867" s="6">
        <f>HYPERLINK("https://fin.land.naver.com/articles/2654925092", "매물Link")</f>
        <v/>
      </c>
      <c r="M1867" s="6">
        <f>HYPERLINK("https://map.naver.com/p/search/해밀동 713", "지도Link")</f>
        <v/>
      </c>
      <c r="N1867" s="6">
        <f>HYPERLINK("http://www.eum.go.kr/web/ar/lu/luLandDet.jsp?pnu=3611011600107130000&amp;isNoScr=script&amp;mode=search", "토지이음")</f>
        <v/>
      </c>
      <c r="O1867" s="3" t="inlineStr">
        <is>
          <t>명진</t>
        </is>
      </c>
      <c r="P1867" s="4" t="n">
        <v>1</v>
      </c>
      <c r="Q1867" s="4" t="n">
        <v>324</v>
      </c>
      <c r="R1867" s="3" t="inlineStr">
        <is>
          <t>지정되지않음</t>
        </is>
      </c>
      <c r="S1867" s="3" t="inlineStr">
        <is>
          <t>주거나지</t>
        </is>
      </c>
      <c r="T1867" s="3" t="inlineStr">
        <is>
          <t>평지</t>
        </is>
      </c>
      <c r="U1867" s="3" t="inlineStr">
        <is>
          <t>정방형</t>
        </is>
      </c>
      <c r="V1867" s="3" t="inlineStr">
        <is>
          <t>소로한면</t>
        </is>
      </c>
    </row>
    <row r="1868">
      <c r="A1868" s="3" t="inlineStr">
        <is>
          <t>해밀동 713</t>
        </is>
      </c>
      <c r="B1868" s="3" t="inlineStr">
        <is>
          <t>제1종전용주거지역</t>
        </is>
      </c>
      <c r="C1868" s="3" t="inlineStr">
        <is>
          <t>대</t>
        </is>
      </c>
      <c r="D1868" s="3" t="inlineStr">
        <is>
          <t>대</t>
        </is>
      </c>
      <c r="E1868" s="3" t="inlineStr">
        <is>
          <t>매매</t>
        </is>
      </c>
      <c r="F1868" s="4" t="n">
        <v>58000</v>
      </c>
      <c r="G1868" s="4" t="n">
        <v>324</v>
      </c>
      <c r="H1868" s="4" t="n">
        <v>98</v>
      </c>
      <c r="I1868" s="5" t="n">
        <v>591.8</v>
      </c>
      <c r="J1868" s="5" t="n">
        <v>241.1</v>
      </c>
      <c r="K1868" s="3" t="inlineStr">
        <is>
          <t>조율가능 남동향 트인위치 땅모양 좋음</t>
        </is>
      </c>
      <c r="L1868" s="6">
        <f>HYPERLINK("https://fin.land.naver.com/articles/2655182096", "매물Link")</f>
        <v/>
      </c>
      <c r="M1868" s="6">
        <f>HYPERLINK("https://map.naver.com/p/search/해밀동 713", "지도Link")</f>
        <v/>
      </c>
      <c r="N1868" s="6">
        <f>HYPERLINK("http://www.eum.go.kr/web/ar/lu/luLandDet.jsp?pnu=3611011600107130000&amp;isNoScr=script&amp;mode=search", "토지이음")</f>
        <v/>
      </c>
      <c r="O1868" s="3" t="inlineStr">
        <is>
          <t>세종스타</t>
        </is>
      </c>
      <c r="P1868" s="4" t="n">
        <v>1</v>
      </c>
      <c r="Q1868" s="4" t="n">
        <v>324</v>
      </c>
      <c r="R1868" s="3" t="inlineStr">
        <is>
          <t>지정되지않음</t>
        </is>
      </c>
      <c r="S1868" s="3" t="inlineStr">
        <is>
          <t>주거나지</t>
        </is>
      </c>
      <c r="T1868" s="3" t="inlineStr">
        <is>
          <t>평지</t>
        </is>
      </c>
      <c r="U1868" s="3" t="inlineStr">
        <is>
          <t>정방형</t>
        </is>
      </c>
      <c r="V1868" s="3" t="inlineStr">
        <is>
          <t>소로한면</t>
        </is>
      </c>
    </row>
    <row r="1869">
      <c r="A1869" s="3" t="inlineStr">
        <is>
          <t>해밀동 756</t>
        </is>
      </c>
      <c r="B1869" s="3" t="inlineStr">
        <is>
          <t>제1종전용주거지역</t>
        </is>
      </c>
      <c r="C1869" s="3" t="inlineStr">
        <is>
          <t>대</t>
        </is>
      </c>
      <c r="D1869" s="3" t="inlineStr">
        <is>
          <t>대</t>
        </is>
      </c>
      <c r="E1869" s="3" t="inlineStr">
        <is>
          <t>매매</t>
        </is>
      </c>
      <c r="F1869" s="4" t="n">
        <v>57000</v>
      </c>
      <c r="G1869" s="4" t="n">
        <v>326</v>
      </c>
      <c r="H1869" s="4" t="n">
        <v>99</v>
      </c>
      <c r="I1869" s="5" t="n">
        <v>575.8</v>
      </c>
      <c r="J1869" s="5" t="n">
        <v>241.1</v>
      </c>
      <c r="K1869" s="3" t="inlineStr">
        <is>
          <t>조율가능 넓은평수 코너 보행로접</t>
        </is>
      </c>
      <c r="L1869" s="6">
        <f>HYPERLINK("https://fin.land.naver.com/articles/2652942604", "매물Link")</f>
        <v/>
      </c>
      <c r="M1869" s="6">
        <f>HYPERLINK("https://map.naver.com/p/search/해밀동 756", "지도Link")</f>
        <v/>
      </c>
      <c r="N1869" s="6">
        <f>HYPERLINK("http://www.eum.go.kr/web/ar/lu/luLandDet.jsp?pnu=3611011600107560000&amp;isNoScr=script&amp;mode=search", "토지이음")</f>
        <v/>
      </c>
      <c r="O1869" s="3" t="inlineStr">
        <is>
          <t>세종스타</t>
        </is>
      </c>
      <c r="P1869" s="4" t="n">
        <v>2</v>
      </c>
      <c r="Q1869" s="4" t="n">
        <v>326.4</v>
      </c>
      <c r="R1869" s="3" t="inlineStr">
        <is>
          <t>지정되지않음</t>
        </is>
      </c>
      <c r="S1869" s="3" t="inlineStr">
        <is>
          <t>주거나지</t>
        </is>
      </c>
      <c r="T1869" s="3" t="inlineStr">
        <is>
          <t>평지</t>
        </is>
      </c>
      <c r="U1869" s="3" t="inlineStr">
        <is>
          <t>정방형</t>
        </is>
      </c>
      <c r="V1869" s="3" t="inlineStr">
        <is>
          <t>소로한면</t>
        </is>
      </c>
    </row>
    <row r="1870">
      <c r="A1870" s="3" t="inlineStr">
        <is>
          <t>해밀동 767</t>
        </is>
      </c>
      <c r="B1870" s="3" t="inlineStr">
        <is>
          <t>제1종전용주거지역</t>
        </is>
      </c>
      <c r="C1870" s="3" t="inlineStr">
        <is>
          <t>대</t>
        </is>
      </c>
      <c r="D1870" s="3" t="inlineStr">
        <is>
          <t>대</t>
        </is>
      </c>
      <c r="E1870" s="3" t="inlineStr">
        <is>
          <t>매매</t>
        </is>
      </c>
      <c r="F1870" s="4" t="n">
        <v>55000</v>
      </c>
      <c r="G1870" s="4" t="n">
        <v>287</v>
      </c>
      <c r="H1870" s="4" t="n">
        <v>87</v>
      </c>
      <c r="I1870" s="5" t="n">
        <v>632.2</v>
      </c>
      <c r="J1870" s="5" t="n">
        <v>241.1</v>
      </c>
      <c r="K1870" s="3" t="inlineStr">
        <is>
          <t>남향 보행로접함 뒷편 공원조망 조율가능</t>
        </is>
      </c>
      <c r="L1870" s="6">
        <f>HYPERLINK("https://fin.land.naver.com/articles/2649618859", "매물Link")</f>
        <v/>
      </c>
      <c r="M1870" s="6">
        <f>HYPERLINK("https://map.naver.com/p/search/해밀동 767", "지도Link")</f>
        <v/>
      </c>
      <c r="N1870" s="6">
        <f>HYPERLINK("http://www.eum.go.kr/web/ar/lu/luLandDet.jsp?pnu=3611011600107670000&amp;isNoScr=script&amp;mode=search", "토지이음")</f>
        <v/>
      </c>
      <c r="O1870" s="3" t="inlineStr">
        <is>
          <t>세종스타</t>
        </is>
      </c>
      <c r="P1870" s="4" t="n">
        <v>1</v>
      </c>
      <c r="Q1870" s="4" t="n">
        <v>287.5</v>
      </c>
      <c r="R1870" s="3" t="inlineStr">
        <is>
          <t>지정되지않음</t>
        </is>
      </c>
      <c r="S1870" s="3" t="inlineStr">
        <is>
          <t>주거나지</t>
        </is>
      </c>
      <c r="T1870" s="3" t="inlineStr">
        <is>
          <t>평지</t>
        </is>
      </c>
      <c r="U1870" s="3" t="inlineStr">
        <is>
          <t>세로장방</t>
        </is>
      </c>
      <c r="V1870" s="3" t="inlineStr">
        <is>
          <t>소로한면</t>
        </is>
      </c>
    </row>
    <row r="1871">
      <c r="A1871" s="3" t="inlineStr">
        <is>
          <t>해밀동 777</t>
        </is>
      </c>
      <c r="B1871" s="3" t="inlineStr">
        <is>
          <t>제1종전용주거지역</t>
        </is>
      </c>
      <c r="C1871" s="3" t="inlineStr">
        <is>
          <t>대</t>
        </is>
      </c>
      <c r="D1871" s="3" t="inlineStr">
        <is>
          <t>대</t>
        </is>
      </c>
      <c r="E1871" s="3" t="inlineStr">
        <is>
          <t>매매</t>
        </is>
      </c>
      <c r="F1871" s="4" t="n">
        <v>56500</v>
      </c>
      <c r="G1871" s="4" t="n">
        <v>294</v>
      </c>
      <c r="H1871" s="4" t="n">
        <v>89</v>
      </c>
      <c r="I1871" s="5" t="n">
        <v>634.8</v>
      </c>
      <c r="J1871" s="5" t="n">
        <v>243.3</v>
      </c>
      <c r="K1871" s="3" t="inlineStr">
        <is>
          <t>남향 원수산조망 뒷쪽 보행로접</t>
        </is>
      </c>
      <c r="L1871" s="6">
        <f>HYPERLINK("https://fin.land.naver.com/articles/2653837563", "매물Link")</f>
        <v/>
      </c>
      <c r="M1871" s="6">
        <f>HYPERLINK("https://map.naver.com/p/search/해밀동 777", "지도Link")</f>
        <v/>
      </c>
      <c r="N1871" s="6">
        <f>HYPERLINK("http://www.eum.go.kr/web/ar/lu/luLandDet.jsp?pnu=3611011600107770000&amp;isNoScr=script&amp;mode=search", "토지이음")</f>
        <v/>
      </c>
      <c r="O1871" s="3" t="inlineStr">
        <is>
          <t>세종스타</t>
        </is>
      </c>
      <c r="P1871" s="4" t="n">
        <v>1</v>
      </c>
      <c r="Q1871" s="4" t="n">
        <v>294.8</v>
      </c>
      <c r="R1871" s="3" t="inlineStr">
        <is>
          <t>지정되지않음</t>
        </is>
      </c>
      <c r="S1871" s="3" t="inlineStr">
        <is>
          <t>주거나지</t>
        </is>
      </c>
      <c r="T1871" s="3" t="inlineStr">
        <is>
          <t>평지</t>
        </is>
      </c>
      <c r="U1871" s="3" t="inlineStr">
        <is>
          <t>사다리형</t>
        </is>
      </c>
      <c r="V1871" s="3" t="inlineStr">
        <is>
          <t>소로한면</t>
        </is>
      </c>
    </row>
    <row r="1872">
      <c r="A1872" s="3" t="inlineStr">
        <is>
          <t>해밀동 777</t>
        </is>
      </c>
      <c r="B1872" s="3" t="inlineStr">
        <is>
          <t>제1종전용주거지역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56500</v>
      </c>
      <c r="G1872" s="4" t="n">
        <v>294</v>
      </c>
      <c r="H1872" s="4" t="n">
        <v>89</v>
      </c>
      <c r="I1872" s="5" t="n">
        <v>634.8</v>
      </c>
      <c r="J1872" s="5" t="n">
        <v>243.3</v>
      </c>
      <c r="K1872" s="3" t="inlineStr">
        <is>
          <t>해밀동 가격 좋은 단독주택 매매, 공원인근</t>
        </is>
      </c>
      <c r="L1872" s="6">
        <f>HYPERLINK("https://fin.land.naver.com/articles/2653569861", "매물Link")</f>
        <v/>
      </c>
      <c r="M1872" s="6">
        <f>HYPERLINK("https://map.naver.com/p/search/해밀동 777", "지도Link")</f>
        <v/>
      </c>
      <c r="N1872" s="6">
        <f>HYPERLINK("http://www.eum.go.kr/web/ar/lu/luLandDet.jsp?pnu=3611011600107770000&amp;isNoScr=script&amp;mode=search", "토지이음")</f>
        <v/>
      </c>
      <c r="O1872" s="3" t="inlineStr">
        <is>
          <t>세종무지개</t>
        </is>
      </c>
      <c r="P1872" s="4" t="n">
        <v>1</v>
      </c>
      <c r="Q1872" s="4" t="n">
        <v>294.8</v>
      </c>
      <c r="R1872" s="3" t="inlineStr">
        <is>
          <t>지정되지않음</t>
        </is>
      </c>
      <c r="S1872" s="3" t="inlineStr">
        <is>
          <t>주거나지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소로한면</t>
        </is>
      </c>
    </row>
    <row r="1873">
      <c r="A1873" s="3" t="inlineStr">
        <is>
          <t>해밀동 806</t>
        </is>
      </c>
      <c r="B1873" s="3" t="inlineStr">
        <is>
          <t>제1종전용주거지역</t>
        </is>
      </c>
      <c r="C1873" s="3" t="inlineStr">
        <is>
          <t>도로</t>
        </is>
      </c>
      <c r="D1873" s="3" t="inlineStr">
        <is>
          <t>대</t>
        </is>
      </c>
      <c r="E1873" s="3" t="inlineStr">
        <is>
          <t>매매</t>
        </is>
      </c>
      <c r="F1873" s="4" t="n">
        <v>70000</v>
      </c>
      <c r="G1873" s="4" t="n">
        <v>314</v>
      </c>
      <c r="H1873" s="4" t="n">
        <v>95</v>
      </c>
      <c r="I1873" s="5" t="n">
        <v>736.8</v>
      </c>
      <c r="J1873" s="5" t="n">
        <v>79.59999999999999</v>
      </c>
      <c r="K1873" s="3" t="inlineStr">
        <is>
          <t>조율가능 시유지접한 지대높음</t>
        </is>
      </c>
      <c r="L1873" s="6">
        <f>HYPERLINK("https://fin.land.naver.com/articles/2651299558", "매물Link")</f>
        <v/>
      </c>
      <c r="M1873" s="6">
        <f>HYPERLINK("https://map.naver.com/p/search/해밀동 806", "지도Link")</f>
        <v/>
      </c>
      <c r="N1873" s="6">
        <f>HYPERLINK("http://www.eum.go.kr/web/ar/lu/luLandDet.jsp?pnu=3611011600108060000&amp;isNoScr=script&amp;mode=search", "토지이음")</f>
        <v/>
      </c>
      <c r="O1873" s="3" t="inlineStr">
        <is>
          <t>세종스타</t>
        </is>
      </c>
      <c r="P1873" s="4" t="n">
        <v>1</v>
      </c>
      <c r="Q1873" s="4" t="n">
        <v>5372.8</v>
      </c>
      <c r="R1873" s="3" t="inlineStr">
        <is>
          <t>지정되지않음</t>
        </is>
      </c>
      <c r="S1873" s="3" t="inlineStr">
        <is>
          <t>도로등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지정되지않음</t>
        </is>
      </c>
    </row>
  </sheetData>
  <autoFilter ref="A1:V187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2026-10-14T01:28:45Z</dcterms:created>
  <dcterms:modified xsi:type="dcterms:W3CDTF">2026-10-14T01:28:54Z</dcterms:modified>
</cp:coreProperties>
</file>